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1" name="_xlnm._FilterDatabase">'DMI CBM'!$A$1:$J$10</definedName>
    <definedName hidden="1" localSheetId="2" name="_xlnm._FilterDatabase">'DJA AOC NSRDIL R01'!$A$2:$V$106</definedName>
    <definedName hidden="1" localSheetId="3" name="_xlnm._FilterDatabase">'ALL FINDING '!$A$2:$K$9</definedName>
    <definedName hidden="1" localSheetId="4" name="_xlnm._FilterDatabase">UNPLANNED!$A$2:$W$30</definedName>
    <definedName hidden="1" localSheetId="5" name="_xlnm._FilterDatabase">'DAILY REPORT'!$A$2:$V$571</definedName>
    <definedName hidden="1" localSheetId="7" name="_xlnm._FilterDatabase">UNSCHED!$A$2:$P$623</definedName>
    <definedName hidden="1" localSheetId="3" name="Z_1D5D4C08_41B8_44F5_B7A0_E50FAB37F69D_.wvu.FilterData">'ALL FINDING '!$A$1:$J$9</definedName>
    <definedName hidden="1" localSheetId="3" name="Z_7F51FDF6_4C52_486F_AB5A_B2B6A6311D91_.wvu.FilterData">'ALL FINDING '!$A$1:$J$9</definedName>
    <definedName hidden="1" localSheetId="0" name="Z_7F51FDF6_4C52_486F_AB5A_B2B6A6311D91_.wvu.FilterData">WO!$A$1:$O$62</definedName>
    <definedName hidden="1" localSheetId="1" name="Z_7F51FDF6_4C52_486F_AB5A_B2B6A6311D91_.wvu.FilterData">'DMI CBM'!$A$1:$J$27</definedName>
    <definedName hidden="1" localSheetId="3" name="Z_1985F42F_042F_4FDC_89D9_E7B4D8530F25_.wvu.FilterData">'ALL FINDING '!$A$1:$B$2</definedName>
    <definedName hidden="1" localSheetId="0" name="Z_1985F42F_042F_4FDC_89D9_E7B4D8530F25_.wvu.FilterData">WO!$A$1:$O$62</definedName>
    <definedName hidden="1" localSheetId="1" name="Z_1985F42F_042F_4FDC_89D9_E7B4D8530F25_.wvu.FilterData">'DMI CBM'!$A$2:$J$27</definedName>
    <definedName hidden="1" localSheetId="3" name="Z_01E890E0_A3BB_4E31_90EE_528D9CD1A3AE_.wvu.FilterData">'ALL FINDING '!$A$2:$J$9</definedName>
  </definedNames>
  <calcPr/>
  <customWorkbookViews>
    <customWorkbookView activeSheetId="0" maximized="1" windowHeight="0" windowWidth="0" guid="{1D5D4C08-41B8-44F5-B7A0-E50FAB37F69D}" name="Filter 3"/>
    <customWorkbookView activeSheetId="0" maximized="1" windowHeight="0" windowWidth="0" guid="{7F51FDF6-4C52-486F-AB5A-B2B6A6311D91}" name="Filter 2"/>
    <customWorkbookView activeSheetId="0" maximized="1" windowHeight="0" windowWidth="0" guid="{1985F42F-042F-4FDC-89D9-E7B4D8530F25}" name="Filter 1"/>
    <customWorkbookView activeSheetId="0" maximized="1" windowHeight="0" windowWidth="0" guid="{01E890E0-A3BB-4E31-90EE-528D9CD1A3AE}" name="Filter 4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tc={bd1db803-141b-40ab-87cb-5f8006733a3e}</author>
    <author>tc={bd4daf7d-d9cf-414e-911a-38f7f300f32b}</author>
  </authors>
  <commentList>
    <comment authorId="0" xr:uid="{bd1db803-141b-40ab-87cb-5f8006733a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bd4daf7d-d9cf-414e-911a-38f7f300f3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<sst xmlns="http://schemas.openxmlformats.org/spreadsheetml/2006/main" count="5012" uniqueCount="1349">
  <si>
    <t xml:space="preserve"> </t>
  </si>
  <si>
    <t> ALL GROUP LEADER CABIN MAINTENANCE PLEASE REMARKS JIKA OPEN ATAU CLOSE</t>
  </si>
  <si>
    <t>REFRESH DATE</t>
  </si>
  <si>
    <t>DATE</t>
  </si>
  <si>
    <t>WG</t>
  </si>
  <si>
    <t>AC REG</t>
  </si>
  <si>
    <t>NSRDI</t>
  </si>
  <si>
    <t>FINDING DESCRIPTION</t>
  </si>
  <si>
    <t>CATEGORY</t>
  </si>
  <si>
    <t>REPORT DATE</t>
  </si>
  <si>
    <t>DUE DATE</t>
  </si>
  <si>
    <t>PART NUMBER</t>
  </si>
  <si>
    <t>PART DESCRIPTION</t>
  </si>
  <si>
    <t>DEFER</t>
  </si>
  <si>
    <t>AOC</t>
  </si>
  <si>
    <t>REG</t>
  </si>
  <si>
    <t>TYPE</t>
  </si>
  <si>
    <t>PLAN STA</t>
  </si>
  <si>
    <t>PLAN DATE</t>
  </si>
  <si>
    <t>REMARKS</t>
  </si>
  <si>
    <t>STATUS</t>
  </si>
  <si>
    <t>CLOSE DATE</t>
  </si>
  <si>
    <t>ALL GROUP LEADER CABIN MAINTENANCE PLEASE REMARKS JIKA OPEN ATAU CLOSE</t>
  </si>
  <si>
    <t>ACT STA</t>
  </si>
  <si>
    <t>DMI DESCRIPTION</t>
  </si>
  <si>
    <t>PN REQUIRED</t>
  </si>
  <si>
    <t>REASON OPEN</t>
  </si>
  <si>
    <t>DMI NO</t>
  </si>
  <si>
    <t>CODE OPEN</t>
  </si>
  <si>
    <t>DMI CAT</t>
  </si>
  <si>
    <t>CAT</t>
  </si>
  <si>
    <t>REMARK</t>
  </si>
  <si>
    <t>WG 03</t>
  </si>
  <si>
    <t>PK-LOJ</t>
  </si>
  <si>
    <t>NLA084118</t>
  </si>
  <si>
    <t>COVER CEILLING ROW 31 FOUND PEEL OFF</t>
  </si>
  <si>
    <t>PAINTING</t>
  </si>
  <si>
    <t>PK-STC</t>
  </si>
  <si>
    <t>REF CML NO: S128037
 MOSTLY ALL FASTEN SEATBELT SIGN AT PSU NOT ILLUMINATE.
 (ROW1,3,12,15 &amp; 32 ILLUMINATE)</t>
  </si>
  <si>
    <t> ALL GROUP LEADER CABIN MAINTENANCE PLEASE CANTUMKAN REFF DOC NUMBER DI KOLOM REMARKS</t>
  </si>
  <si>
    <t>NEED TROUBLESHOOT</t>
  </si>
  <si>
    <t>SAJ-029556</t>
  </si>
  <si>
    <t>C</t>
  </si>
  <si>
    <t>CGK</t>
  </si>
  <si>
    <t>DJA DMI R01</t>
  </si>
  <si>
    <t>OPERATOR</t>
  </si>
  <si>
    <t>DOC TYPE</t>
  </si>
  <si>
    <t>OPEN</t>
  </si>
  <si>
    <t>SLIDE LM</t>
  </si>
  <si>
    <t>WAITING PERFORM</t>
  </si>
  <si>
    <t>JT</t>
  </si>
  <si>
    <t>B737</t>
  </si>
  <si>
    <t>SUB</t>
  </si>
  <si>
    <t>WO</t>
  </si>
  <si>
    <t>FINDING NO</t>
  </si>
  <si>
    <t>WO CAT</t>
  </si>
  <si>
    <t>CLOSED</t>
  </si>
  <si>
    <t>DEFECT DESCRIPTION</t>
  </si>
  <si>
    <t>ACTION TAKEN</t>
  </si>
  <si>
    <t>STATION</t>
  </si>
  <si>
    <t>REMARKS
REF NO CML/NSRDI/DMI/AFML</t>
  </si>
  <si>
    <t>PICTURES</t>
  </si>
  <si>
    <t>SUPER AIR JET</t>
  </si>
  <si>
    <t>PK-LJG</t>
  </si>
  <si>
    <t>WINDOW LT 4SN 12-15 DEF,32-33 DEF,35DEF,31DE.30DE NOT ILLUMINATE</t>
  </si>
  <si>
    <t>LED PN:9650-35-0005 (1EA) AVAIL K4 (2EA) PL NO 590733
 LED PN: 9651-14-0004 ( 1EA) AVAIL K4 PL NO 590733
 LED PN:9651-35-0005 (3EA) AVAIL K4 PL:591151</t>
  </si>
  <si>
    <t>028601</t>
  </si>
  <si>
    <t>MDC</t>
  </si>
  <si>
    <t>WO DESCRIPTION</t>
  </si>
  <si>
    <t>PN PICKLIST (NO. PICKLIST)</t>
  </si>
  <si>
    <t>MAN HOURS</t>
  </si>
  <si>
    <t>PK-LFO</t>
  </si>
  <si>
    <t>WINDOW LT SN 1 BC NOT ILL</t>
  </si>
  <si>
    <t>NEED LAMP PN: 5106CW AVAIL K1 PL. 591570 
 TP.2611496//k4</t>
  </si>
  <si>
    <t>018249</t>
  </si>
  <si>
    <t>UPG</t>
  </si>
  <si>
    <t>REMARKS PPC WG TO LM</t>
  </si>
  <si>
    <t>PK-SGC</t>
  </si>
  <si>
    <t>A/C NOT RON UPG</t>
  </si>
  <si>
    <t>PK-SJA</t>
  </si>
  <si>
    <t>FLASHLIGHT FA6 NOT ILLUMINATE</t>
  </si>
  <si>
    <t>NEED PART BATTERY PN: BATTRY-A1
 AVAIL AT K22</t>
  </si>
  <si>
    <t>SAJ0172912</t>
  </si>
  <si>
    <t>D</t>
  </si>
  <si>
    <t>SOC</t>
  </si>
  <si>
    <t>PK-STA
 AOG AT BTH</t>
  </si>
  <si>
    <t>CEILING LIGHT S/N 3ABC, 5DEF, 26DEF, 28ABC, 29DEF, 31DEF, AND 32ABC IS NOT ILL</t>
  </si>
  <si>
    <t>WG 11</t>
  </si>
  <si>
    <t>NEED PART LAMP PN : F30WT8-840 (7EA)
 AVAIL AT K1, PL#590253</t>
  </si>
  <si>
    <t>INSPECTION</t>
  </si>
  <si>
    <t>SAJ014290</t>
  </si>
  <si>
    <t>C1</t>
  </si>
  <si>
    <t>PK-WGM</t>
  </si>
  <si>
    <t>BTH</t>
  </si>
  <si>
    <t>NO PART</t>
  </si>
  <si>
    <t>CBMIC</t>
  </si>
  <si>
    <t>FULL DEEP CLEANING INTERIOR INCLUDE SHAMPOOING CARPET, AND SEAT POLISHING FOR ATR72 AIRCRAFT</t>
  </si>
  <si>
    <t>PK-SJT
 APU INOP</t>
  </si>
  <si>
    <t>INTERPHONE HANDSET 4L INOP</t>
  </si>
  <si>
    <t>NEED HANDSET ASSY CABIN PN : 89-01-07152
 AVAIL AT K1</t>
  </si>
  <si>
    <t>SAJ033745</t>
  </si>
  <si>
    <t>---</t>
  </si>
  <si>
    <t>PART NOT AVAIL AT K1</t>
  </si>
  <si>
    <t>PK-BLA</t>
  </si>
  <si>
    <t>SEAT NO: 7F, 16D, 30B, 18DEF, 21 E &amp; 23F CANT RECLINE</t>
  </si>
  <si>
    <t>KNO</t>
  </si>
  <si>
    <t>IW</t>
  </si>
  <si>
    <t>ATR72</t>
  </si>
  <si>
    <t>AMQ</t>
  </si>
  <si>
    <t>PILOT SEAT (F/O SIDE) ELECTRICAL ADJUSTMENT INOP (HORIZONTAL CONTROL SWITCH LOOSE, UNABLE MOVE TO NEUTRAL)</t>
  </si>
  <si>
    <t>ID027096</t>
  </si>
  <si>
    <t>UNPLANNED DMI</t>
  </si>
  <si>
    <t>FLASHLIGHT FA#6 NOT ILLUMINATE</t>
  </si>
  <si>
    <t>PSU UNPROPER AT UPPER ATTENDANT SEAT AFT</t>
  </si>
  <si>
    <t>SAJ017292</t>
  </si>
  <si>
    <t>CBMEC</t>
  </si>
  <si>
    <t>SCREW LOOSE AT LH PANEL NO: 191BB</t>
  </si>
  <si>
    <t>DEEP CLEANING EXTERIOR ON ATR72 AIRCRAFT</t>
  </si>
  <si>
    <t>PK-SGD</t>
  </si>
  <si>
    <t>WINDOW LT 22 ABC NOT ILL</t>
  </si>
  <si>
    <t>AC NOT RON SUB</t>
  </si>
  <si>
    <t>WINDOW LT 31 ABC NOT ILL</t>
  </si>
  <si>
    <t>WG 12</t>
  </si>
  <si>
    <t>PK-WFV</t>
  </si>
  <si>
    <t>LION AIR</t>
  </si>
  <si>
    <t>PK-LOQ</t>
  </si>
  <si>
    <t>DURING SURVEILLANCE A/C PK-LOQ FOUND RH WINDOW #2 SUNVISSOR MISSING</t>
  </si>
  <si>
    <t>BPN</t>
  </si>
  <si>
    <t>PK-LQZ</t>
  </si>
  <si>
    <t>PASTEN SEAT BELT SEAT 34 ABC UNSATISFACTORY</t>
  </si>
  <si>
    <t>CML E0444929</t>
  </si>
  <si>
    <t>NOT AVAILABLE LIGHTING ON FRONT OF HANGGAR</t>
  </si>
  <si>
    <t>AUTHOR</t>
  </si>
  <si>
    <t>WG 04</t>
  </si>
  <si>
    <t>PK-LRF</t>
  </si>
  <si>
    <t>EO</t>
  </si>
  <si>
    <t>INSPECTION FOR INVENTORY EMERGENCY EQUIPMENT ON THE AIRCRAFT</t>
  </si>
  <si>
    <t>2,00</t>
  </si>
  <si>
    <t>WG 08</t>
  </si>
  <si>
    <t>PK-SAI</t>
  </si>
  <si>
    <t>INTERIOR CABIN INSPECTION</t>
  </si>
  <si>
    <t>8,50</t>
  </si>
  <si>
    <t>IU</t>
  </si>
  <si>
    <t>A320</t>
  </si>
  <si>
    <t>PREPARE FOR RTS</t>
  </si>
  <si>
    <t>2060674</t>
  </si>
  <si>
    <t>AIRCRAFT PEST CONTROL APPLICATION GUIDE</t>
  </si>
  <si>
    <t>1,00</t>
  </si>
  <si>
    <t>-</t>
  </si>
  <si>
    <t>2323107</t>
  </si>
  <si>
    <t>HT</t>
  </si>
  <si>
    <t>CREW OXYGEN CYLINDER. REMOVE OXYGEN CYLINDER FOR IN SHOP HYDROSTATIC TEST</t>
  </si>
  <si>
    <t>PN: NSA835070-5C (590367) @ K1 
 PN: 891511-14 / SN: ST295417 (590366) @ K4 
 PN: NSA835070-5C (588384) @ K1 
 PN: NSA835070-5C (587706) @ BM32</t>
  </si>
  <si>
    <t>- PL 591532 with con</t>
  </si>
  <si>
    <t>LM SLIDE</t>
  </si>
  <si>
    <t>WG 02</t>
  </si>
  <si>
    <t>3,00</t>
  </si>
  <si>
    <t>PK-LSJ</t>
  </si>
  <si>
    <t>NLA076868</t>
  </si>
  <si>
    <t>DURING DBI FOUND ULTRA LOCK HEADTRACK 16 DEFM 27-28 ABC D/T LEAK (AUTO RECLINE)</t>
  </si>
  <si>
    <t>CBM</t>
  </si>
  <si>
    <t>SP23789L</t>
  </si>
  <si>
    <t>ULTRALOC SP23789L</t>
  </si>
  <si>
    <t>PK-SAQ</t>
  </si>
  <si>
    <t>2295280</t>
  </si>
  <si>
    <t>OFFWING ESCAPE SLIDE.
 REMOVE OFFWING ESCAPE SLIDE FOR IN SHOP 
 OVERHAUL
 NOTE:
 PLANNING:
 - TASK IS NOT APPLICABLE FOR DEACTIVATED EMERGENCY 
  EXITS.
 INTERVAL:
 - FOR INTERVAL SELECTED FOR THE VARIOUS PART NUMBERS 
  REFER TO APPENDIX 3.
 - INTERVAL TO BE MANAGED AT COMPONENT LEVEL. REFER TO 
  SYSTEM SECTION INTRODUCTION FOR ADDITIONAL 
  GUIDANCE.</t>
  </si>
  <si>
    <t>AVAIL K1 : 14EA</t>
  </si>
  <si>
    <t>* K1/ SN: M11506</t>
  </si>
  <si>
    <t>PK-SJG</t>
  </si>
  <si>
    <t>OP</t>
  </si>
  <si>
    <t>VACUUM TOILET SYSTEM .
  CLEANING OF VACUUM CLEANING OF VACUUM WASTE LINES WITH CHEMICAL CLEANING AGENT.</t>
  </si>
  <si>
    <t>BPN RON</t>
  </si>
  <si>
    <t>IRR</t>
  </si>
  <si>
    <t>WG 09</t>
  </si>
  <si>
    <t>PK-STF</t>
  </si>
  <si>
    <t>WG 05</t>
  </si>
  <si>
    <t>PK-LDK</t>
  </si>
  <si>
    <t>PINNACLE庐 / INSPECTION OF SEAT BEAMS / GENERIC / ALL AIRCRAFT TYPES</t>
  </si>
  <si>
    <t>ID</t>
  </si>
  <si>
    <t>AC  CONTINUE DINIHARI</t>
  </si>
  <si>
    <t>WG 07</t>
  </si>
  <si>
    <t>PK-BKT</t>
  </si>
  <si>
    <t>PASSENGER OXYGEN SYSTEM (CHEMICAL) DISCARD CHEMICAL OXYGEN GENERATORSNOTE: PN: E63440-00 SN: BEBL-F017-223 POS: 15 LH</t>
  </si>
  <si>
    <t>WG 13</t>
  </si>
  <si>
    <t>PK-LEJ</t>
  </si>
  <si>
    <t>DISCARD LAVATORY AIR EXTRACTION FILTER ELEMENT</t>
  </si>
  <si>
    <t>A330</t>
  </si>
  <si>
    <t>PN: A425400454-200 AVAIL AT K1</t>
  </si>
  <si>
    <t>PK-SJT</t>
  </si>
  <si>
    <t>VACUUM TOILET SYSTEM 
 INSPECT WATER SEPARATOR AND ASSOCIATED FILTER 
 ELEMENT, AND CLEAN AS NECESSARY 
 NOTE: 
 DEPENDING ON OPERATING ENVIRONMENT AND OPERATORS 
 EXPERIENCE, A LESS FREQUENT OR MORE FREQUENT INITIAL 
 INTERVAL MAY BE USED.</t>
  </si>
  <si>
    <t>PL 591319 (K7) SEND K1</t>
  </si>
  <si>
    <t>2250836</t>
  </si>
  <si>
    <t>POTABLE WATER SYSTEM 
 DISINFECTION OF POTABLE WATER SYSTEM AND DISCARD OF 
 WATER FILTER ELEMENTS, IF INSTALLED 
 NOTE: 
 INTERVAL: 
 - DEPENDING ON OPERATING ENVIRONMENT AND OPERATORS 
  EXPERIENCE, A LESS FREQUENT OR MORE FREQUENT 
  INITIAL INTERVAL MAY BE USED.</t>
  </si>
  <si>
    <t>ICT OVERDUE</t>
  </si>
  <si>
    <t>PN: 0344-01 GASKET NILL K1</t>
  </si>
  <si>
    <t>NS</t>
  </si>
  <si>
    <t>CBMS</t>
  </si>
  <si>
    <t>NBA032836</t>
  </si>
  <si>
    <t>REFFNSRDIL NBA049589 FOOT REST FO WORN OUT</t>
  </si>
  <si>
    <t>D2721021120000</t>
  </si>
  <si>
    <t>FOOT REST</t>
  </si>
  <si>
    <t>2303792</t>
  </si>
  <si>
    <t>AVAIL K1 : 7 EA</t>
  </si>
  <si>
    <t>WG 06</t>
  </si>
  <si>
    <t>PK-BKF</t>
  </si>
  <si>
    <t>POTABLE WATER SYSTEM
 STERILIZATION OF POTABLE WATER SYSTEM AND DISCARD OF WATER FILTER ELEMENTS.</t>
  </si>
  <si>
    <t>Fwd Galley PN: EV949000 Qty 1EA
 OVER DUE
 770440 QTY 1 EA</t>
  </si>
  <si>
    <t>PK-STD</t>
  </si>
  <si>
    <t>PK-SAS</t>
  </si>
  <si>
    <t>PN: EV949000 (589981) @ K1</t>
  </si>
  <si>
    <t>REQ PIC
 PL#589981 (CGK) PN: EV949000 Qty 2EA</t>
  </si>
  <si>
    <t>PK-BKQ</t>
  </si>
  <si>
    <t>NBA037532</t>
  </si>
  <si>
    <t>REFF FINDING SRV 7365 CARPET UNDER SEAT 1 DF BAD CONDITION</t>
  </si>
  <si>
    <t>DISINFECTION OF POTABLE WATER SYSTEM</t>
  </si>
  <si>
    <t>INVESTIGATE</t>
  </si>
  <si>
    <t>PLEASE INVESTIGATE AND RECTIFICATION. IF NEED SPARE PARTS, PLEASE CREATE RQ IN EMRO</t>
  </si>
  <si>
    <t>PK-LEQ</t>
  </si>
  <si>
    <t>CANISTER PN: 770410 NILL K1</t>
  </si>
  <si>
    <t>POTABLE DISCARD WATER FILTER CARTRIDGE OF THE GALLEYS</t>
  </si>
  <si>
    <t>PN: 770440 avail at K1</t>
  </si>
  <si>
    <t>PK-LBK</t>
  </si>
  <si>
    <t>REPLACE PLACARD HEXA CODE ELT FIX PK-LBK</t>
  </si>
  <si>
    <t>0,25</t>
  </si>
  <si>
    <t>MEGAPHONE BATTERIES DISCARD MEGAPHONE BATTERIES NOTE: P/N: ACREM1A VENDOR: ACR ELECTRONICS QTY 2</t>
  </si>
  <si>
    <t>K22: 94EA</t>
  </si>
  <si>
    <t>PK-SAG</t>
  </si>
  <si>
    <t>DPS</t>
  </si>
  <si>
    <t>PK-LAJ</t>
  </si>
  <si>
    <t>VACUUM TOILET SYSTEM 
 INSPECT WATER SEPARATOR AND ASSOCIATED FILTER ELEMENT, AND CLEAN AS NECESSARY. 
 INTERVAL NOTE: DEPENDING ON OPERATING ENVIRONMENT AND OPERATORS EXPERIENCE, A LESS FREQUENT OR MORE FREQUENT INITIAL INTERVAL MAY BE USED.</t>
  </si>
  <si>
    <t>HLP</t>
  </si>
  <si>
    <t>PK-LBW</t>
  </si>
  <si>
    <t>NID008516</t>
  </si>
  <si>
    <t>FOUND COVER AT UPPER FLOOD PANEL P8-50 (LEFT) PAINT PEEL OFF</t>
  </si>
  <si>
    <t>NIL SPARE FILTER PN : 14401-080 AT H3</t>
  </si>
  <si>
    <t>PK-WJT</t>
  </si>
  <si>
    <t>KOE</t>
  </si>
  <si>
    <t>PK-SJD</t>
  </si>
  <si>
    <t>PK-LEU</t>
  </si>
  <si>
    <t>POTABLE DISCARD WATER FILTER CARTRIDGE OF THE GALLEYS
 USE PN: 770440 AVAIL AT K86</t>
  </si>
  <si>
    <t>DISINFECTION OF POTABLE WATER SYSTEM
 PN: SODIUM HYPOCHLORITE - A AVAIL AT S1</t>
  </si>
  <si>
    <t>PK-LJI</t>
  </si>
  <si>
    <t>DISCARD THE CHEMICAL OXYGEN GENERATORS.</t>
  </si>
  <si>
    <t>CHEMICAL OXYGEN GENERATOR
 SPARE PN: E71740-00 AVAIL @S1
 TOOL PN: E71401-00 AVAIL @S1</t>
  </si>
  <si>
    <t>TOOLS INSERT PIN NOT AVAIL AT S1 / K86</t>
  </si>
  <si>
    <t>NT</t>
  </si>
  <si>
    <t>PK-LUK</t>
  </si>
  <si>
    <t>PK-LUW</t>
  </si>
  <si>
    <t>REPLACEMENT LIFE VEST UNDER SEAT NO. 28 EXP. DATE 14 OCT 2026, PLEASE RECORD PN, SN &amp; EXP. DATE OF LIFE VEST INSTALLED</t>
  </si>
  <si>
    <t>PANEL COCKPIT SHOP SIDE</t>
  </si>
  <si>
    <t>PK-LUP</t>
  </si>
  <si>
    <t>TC</t>
  </si>
  <si>
    <t>REPLACEMENT LIFE VEST UNDER SEAT NO. 5A, 9B EXP. DATE 15 OCT 2026, PLEASE RECORD PN, SN &amp; EXP. DATE OF LIFE VEST INSTALLED</t>
  </si>
  <si>
    <t>PK-LFK</t>
  </si>
  <si>
    <t>91050</t>
  </si>
  <si>
    <t>RECLINE SEAT BUTTON 10 D BROKEN</t>
  </si>
  <si>
    <t>INSPECTION PART NUMBER (PN), SERIAL NUMBER (SN) AND EXPIRED DATE OF ADULT AND INFANT LIFE VEST ON THE AIRCRAFT</t>
  </si>
  <si>
    <t>PK-LAO</t>
  </si>
  <si>
    <t>INSPECTION PART NUMBER (P/N), SERIAL NUMBER (S/N) AND EXPIRED DATE OF ADULT AND INFANT LIFE VEST ON THE AIRCRAFT</t>
  </si>
  <si>
    <t>PK-LQY</t>
  </si>
  <si>
    <t>REPLACE THE POWER MEGAPHONES BATTERIES</t>
  </si>
  <si>
    <t>DESC : MEGAPHONE 
 PN : ACR/EM-1A
 SN: ST274202 
 QTY : 6 EA
 PL#591559 
 Please sent via JT782 12:40 CGK-UPG</t>
  </si>
  <si>
    <t>PART ONBOARD FROM CGK ID 6182 &amp; PK- LQY CONT JT-948 STD 02:35</t>
  </si>
  <si>
    <t>WTP</t>
  </si>
  <si>
    <t>PK-LUV</t>
  </si>
  <si>
    <t>REPLACEMENT LIFE VEST INFANT AT FWD PASSENGER CABIN QTY 4EA EXP. DATE 09 OCT 2026 REFF ATTACHED FORM, PLEASE RECORD PN, SN &amp; EXP. DATE OF LIFE VEST INSTALLED</t>
  </si>
  <si>
    <t>LV INFANT PN: P0640-101 (K1=119)</t>
  </si>
  <si>
    <t>AC NOT RON UPG</t>
  </si>
  <si>
    <t>PK-SGB</t>
  </si>
  <si>
    <t>LIFE VEST REPLACEMENT</t>
  </si>
  <si>
    <t>NLA091551</t>
  </si>
  <si>
    <t>REFF NSRDIL PAGE NO.NLA091050 RECLINE SEAT BUTTON NO.10D IS BROKEN</t>
  </si>
  <si>
    <t>SP23996B</t>
  </si>
  <si>
    <t>RECLINE BUTTON</t>
  </si>
  <si>
    <t>PLEASE REPLACED AND RECORD LIFE VEST UNDERSEAT NO: 34B QTY: 1EA D/T EXPIRE</t>
  </si>
  <si>
    <t>AVAIL K4 : 89 EA</t>
  </si>
  <si>
    <t>NLA091552</t>
  </si>
  <si>
    <t>RECLINE BUTTON 36C,38D MISSING</t>
  </si>
  <si>
    <t>PK-LPK</t>
  </si>
  <si>
    <t>NLA070994</t>
  </si>
  <si>
    <t>REF FINDING SRV 12154 ESCUTCHEON SEAT 4AB, 4 D, 10E, 20D,24F,27A,27E,29B,30B FOUND CRACK</t>
  </si>
  <si>
    <t>1010206-301BHU</t>
  </si>
  <si>
    <t>ESCUTCHEON, BLANK</t>
  </si>
  <si>
    <t>TP 2611703</t>
  </si>
  <si>
    <t>NLA070996</t>
  </si>
  <si>
    <t>REF FINDING SRV 12164 ESCUTCHEON 19E MISSING</t>
  </si>
  <si>
    <t>NO. DOC</t>
  </si>
  <si>
    <t>DEFFECT DESCRIPTION</t>
  </si>
  <si>
    <t>PK-LUG</t>
  </si>
  <si>
    <t>STATUS MATERIAL</t>
  </si>
  <si>
    <t>NID016210</t>
  </si>
  <si>
    <t>STA</t>
  </si>
  <si>
    <t>REF FINDING NO FND 17644 FOUND DENT AT VHF #2 ANTENA</t>
  </si>
  <si>
    <t>PK-SGA</t>
  </si>
  <si>
    <t>NSAJ007404</t>
  </si>
  <si>
    <t>WATER TAP G1 UNSERVICEABLE</t>
  </si>
  <si>
    <t>N/A</t>
  </si>
  <si>
    <t>YIA</t>
  </si>
  <si>
    <t>A/C STOP YIA PLEASE REOPEN</t>
  </si>
  <si>
    <t>DENT LM SIDE</t>
  </si>
  <si>
    <t>PK-LUR</t>
  </si>
  <si>
    <t>NID008797</t>
  </si>
  <si>
    <t>DURING DAILY CHECK PERFORM W/O CABIN INSPECTION  COVER AND PRAME FLASH ELECTRICAL SWITCH LD &amp; LE FOUND BAD CONDITION</t>
  </si>
  <si>
    <t>PK-SJF</t>
  </si>
  <si>
    <t>SRG</t>
  </si>
  <si>
    <t>NSAJ035950</t>
  </si>
  <si>
    <t>COVER EMERGENCY COMPARTMENT UNDER JUMPSEAT FA3 (SWIVELING) CANT LOCK PROPERLY</t>
  </si>
  <si>
    <t>PLM</t>
  </si>
  <si>
    <t>A/C STOP PLM PLEASE REOPEN</t>
  </si>
  <si>
    <t>PK-SJI</t>
  </si>
  <si>
    <t>NSAJ012719</t>
  </si>
  <si>
    <t>REF FINDING INSP 15170
 DURING AIRCRAFT INSP FOUND CARPET DIRTY AT ROQ SEAT NO 4ABC 26DEF 31DEF</t>
  </si>
  <si>
    <t>PK-SJV</t>
  </si>
  <si>
    <t>NSAJ007369</t>
  </si>
  <si>
    <t>DURING PERFORM WO FOUND DOOR COMPARTMENT FA1 BROKEN</t>
  </si>
  <si>
    <t>A/C STOP BPN PLEASE REOPEN</t>
  </si>
  <si>
    <t>NSAJ002547</t>
  </si>
  <si>
    <t>CABLE HANDSET AT 4L BAD CONDITIOJ</t>
  </si>
  <si>
    <t>NSAJ007358</t>
  </si>
  <si>
    <t>WATER TAP G1 LEAKING NEED PART PN:HV99-174 FIG 25-31-42-92P ITEM 040</t>
  </si>
  <si>
    <t>N40-1B20000-100</t>
  </si>
  <si>
    <t>SUPPORT-BRACKET</t>
  </si>
  <si>
    <t>PL: 591750</t>
  </si>
  <si>
    <t>NSAJ007359</t>
  </si>
  <si>
    <t>REFF FINDING NSRDIL NO .NSAJ005928 MIRROR LAVATORY LD BAD CONDITION</t>
  </si>
  <si>
    <t>NSAJ007360</t>
  </si>
  <si>
    <t>AISLE CARPET POS AFT BAD CONDITION</t>
  </si>
  <si>
    <t>NSAJ002548</t>
  </si>
  <si>
    <t>REFF NSRDI NO NSAJ002512,ACCES DOOR AT LAVATORY D CANT LOCK PROPERLY</t>
  </si>
  <si>
    <t>A325400431-204</t>
  </si>
  <si>
    <t>CATCH</t>
  </si>
  <si>
    <t>AVAIL K1 : 4 EA (please replace with ex.repair part delta</t>
  </si>
  <si>
    <t>NSAJ007361</t>
  </si>
  <si>
    <t>REFF FINDING NSRDIL NO. NSAJ105923 LED LIGHT WATER HEATER LAVATORY D AND E NOT ILLUMINATE</t>
  </si>
  <si>
    <t>NSAJ007364</t>
  </si>
  <si>
    <t>REF NSRDIL NSAJ005933 " REF FINDING SRV 2979 SEAT BELT ALL SEATS DIRTY "</t>
  </si>
  <si>
    <t>NSAJ007365</t>
  </si>
  <si>
    <t>REF NSRDIL NSAJ005925 " DURING PERFORM WO FOUND ALLMOST COVER ARMREST ARE BAD CONDITION "</t>
  </si>
  <si>
    <t>NSAJ008205</t>
  </si>
  <si>
    <t>WORKING LIGHT FA1 &amp; FA4 STILL DIM</t>
  </si>
  <si>
    <t>NSAJ007367</t>
  </si>
  <si>
    <t>REF FINDING SRV 9292 " PPO &amp; MARKING AREA LH VERSTAB PPO "</t>
  </si>
  <si>
    <t>NSAJ007351</t>
  </si>
  <si>
    <t>LUGAGE BAR SEAT 21BC 23BC 27C 28D 29C NOT PROPERLY CONDITION (PART MISSING)</t>
  </si>
  <si>
    <t>NSAJ008206</t>
  </si>
  <si>
    <t>REFF NSRDIL NSAJ017066 ARMREST SEAT 32F FOUND BROKEN</t>
  </si>
  <si>
    <t>1003636-001ACJ</t>
  </si>
  <si>
    <t>ESCUTCHEON-ARM</t>
  </si>
  <si>
    <t>NSAJ003370</t>
  </si>
  <si>
    <t>REF NSRDIL NSAJ001895 " REFF FINDING CREW
 BRACKET FOR 1 PBE AT FWD STATION NOT AVAILABLE "</t>
  </si>
  <si>
    <t>A/C STOP CGK PLEASE REOPEN</t>
  </si>
  <si>
    <t>NSAJ003371</t>
  </si>
  <si>
    <t>CARPET AT ROW 1ABCDEF FOUND TORN</t>
  </si>
  <si>
    <t>PK-LJQ</t>
  </si>
  <si>
    <t>NLA074507</t>
  </si>
  <si>
    <t>FAUCET AT LAVATORY LD CONTINOUS FLOW</t>
  </si>
  <si>
    <t>NSAJ008207</t>
  </si>
  <si>
    <t>WINDOW SHUTTER S/N 12 DEF MISSING</t>
  </si>
  <si>
    <t>D2529185502200</t>
  </si>
  <si>
    <t>SHADE ASSY-SINGLE WINDOW</t>
  </si>
  <si>
    <t>BATIK AIR</t>
  </si>
  <si>
    <t>NLA091554</t>
  </si>
  <si>
    <t>SMOKING SIGN SEAT NO.7ABCDEF,8DEF,15ABC,37DEF NOT ILLUMINATE</t>
  </si>
  <si>
    <t>PK-LAT</t>
  </si>
  <si>
    <t>NID014966</t>
  </si>
  <si>
    <t>ENDBAY RUBSTRIP SEAT NO.3D FOUND BROKEN</t>
  </si>
  <si>
    <t>NID014968</t>
  </si>
  <si>
    <t>RUBSTRIP END BAY S/N 1D AND 2D BROKEN</t>
  </si>
  <si>
    <t>NSAJ017091</t>
  </si>
  <si>
    <t>REFF FINDING SRV 14147, 14148 CURTAIN AT FWD GALLEY DIRTY &amp; TORN</t>
  </si>
  <si>
    <t>NSAJ021462</t>
  </si>
  <si>
    <t>REFF FINDING ICT 18455 COVER FILTER WASH BASIN AT LAV LE FOUND MISSING</t>
  </si>
  <si>
    <t>PK-BLD</t>
  </si>
  <si>
    <t>NID008615</t>
  </si>
  <si>
    <t>PK-LOR</t>
  </si>
  <si>
    <t>NLA080162</t>
  </si>
  <si>
    <t>LAVATORY D TOILET ONLY</t>
  </si>
  <si>
    <t>NSAJ017094</t>
  </si>
  <si>
    <t>WALPAPER SKIN AROUND FRAME WINDOW S/N 20F TEAR OFF</t>
  </si>
  <si>
    <t>WINGS AIR</t>
  </si>
  <si>
    <t>PK-WHU</t>
  </si>
  <si>
    <t>NWA005131</t>
  </si>
  <si>
    <t>PLACARD BUTTON FLUSHING AT LAVATORY IS BAD CONDITION</t>
  </si>
  <si>
    <t>AIRCRAFT PEST CONTROL APPLICATION GUIDE FOR ATR72</t>
  </si>
  <si>
    <t>NSAJ017095</t>
  </si>
  <si>
    <t>REF FINDING NO. SRV10081SPRING SEATPOCKET 32A, 31CD, 30E, 25C, 20D, 15E, 11CD, 7D, 2EF BROKEN</t>
  </si>
  <si>
    <t>NSAJ017096</t>
  </si>
  <si>
    <t>REF FINDING NO. SRV 10843TRIM HEADRACK 3DEF BAD CONDITION</t>
  </si>
  <si>
    <t>NSAJ017098</t>
  </si>
  <si>
    <t>TOGGLE WATER HEATER AT LAV A NOT AVAILABLE</t>
  </si>
  <si>
    <t>NSAJ022548</t>
  </si>
  <si>
    <t>WINDOW FRME SEAT 15A CRACK</t>
  </si>
  <si>
    <t>D2529354800200</t>
  </si>
  <si>
    <t>FRAME ASSY-DECOR</t>
  </si>
  <si>
    <t>TO.2610463</t>
  </si>
  <si>
    <t>A/C NOT RON WITH PLAN DJA</t>
  </si>
  <si>
    <t>PK-SJW</t>
  </si>
  <si>
    <t>S117403</t>
  </si>
  <si>
    <t>COVER UNDER ARMREST SEAT NO.1C NOT PROPERLY</t>
  </si>
  <si>
    <t>PK-STG</t>
  </si>
  <si>
    <t>NSAJ001430</t>
  </si>
  <si>
    <t>COMPARTMENT FA3 BROKEN</t>
  </si>
  <si>
    <t>A/C STATUS</t>
  </si>
  <si>
    <t>NO DOC</t>
  </si>
  <si>
    <t>PK-LHI</t>
  </si>
  <si>
    <t>TRANSIT</t>
  </si>
  <si>
    <t>PDG</t>
  </si>
  <si>
    <t>CML</t>
  </si>
  <si>
    <t>E0465597</t>
  </si>
  <si>
    <t>IAW AMM 25-00-00 PERFORMED COMPLATED CABIN SPRAY FOR FLIGHT INTER</t>
  </si>
  <si>
    <t>NID007356</t>
  </si>
  <si>
    <t>FILTER WASH BASIN AT LAVATORY LE FOUND MISING</t>
  </si>
  <si>
    <t>7600763</t>
  </si>
  <si>
    <t>FILTER</t>
  </si>
  <si>
    <t>AVAIL S1 : 1 EA</t>
  </si>
  <si>
    <t>E0465598</t>
  </si>
  <si>
    <t>IAW AMM 25-00-00 PERFORMED COMPLATED UPK FOR FLIGHT INTER</t>
  </si>
  <si>
    <t>E0465581</t>
  </si>
  <si>
    <t>TRANSFER TO AFML B3928524</t>
  </si>
  <si>
    <t>WG 01</t>
  </si>
  <si>
    <t>PK-LQS</t>
  </si>
  <si>
    <t>NLA082305</t>
  </si>
  <si>
    <t>2 RESERVOIR BAG 02 MASK AT AFT CABIN NOT AVAILABLE</t>
  </si>
  <si>
    <t>289-801-447</t>
  </si>
  <si>
    <t>E0465582</t>
  </si>
  <si>
    <t>OXYGEN MASK</t>
  </si>
  <si>
    <t>PERFORM CLEAN UP SENSOR WASTE SERVIS TRUCK HAS BEEN DONE</t>
  </si>
  <si>
    <t>TO.2611719</t>
  </si>
  <si>
    <t>E0465599</t>
  </si>
  <si>
    <t>IAW AMM 25-00-00 PERFORMED REMOVED UPK FOR STOCK (PDG), SN : UPK-005P</t>
  </si>
  <si>
    <t>RON</t>
  </si>
  <si>
    <t>S113249</t>
  </si>
  <si>
    <t>CEILLING LIGHT 19DEF AND 25ABC NOT ILL, TRANSFER TO AFML S321477</t>
  </si>
  <si>
    <t>S113250</t>
  </si>
  <si>
    <t>ENTRY LIGHT 1L NOT ILL, TRANSFER TO AFML S321477</t>
  </si>
  <si>
    <t>S122951</t>
  </si>
  <si>
    <t>NLA090209</t>
  </si>
  <si>
    <t>IAW AMM 25-00-00 PERFORMED RECTIFIED FLAPPER DOOR AT AFT DUE TO NOT FULLY CLOSED, RSULT TEST GOOD</t>
  </si>
  <si>
    <t>RESERVOIR BAG OXYGEN MASK AT FWD AND AFT FOR DEMO KIT MISSING</t>
  </si>
  <si>
    <t>TO.2610252</t>
  </si>
  <si>
    <t>S122952</t>
  </si>
  <si>
    <t>IAW AMM 25-00-00 PERFORMED DAILY CHECKED BEAUTIFICATION INSPECTION HAS BEEN C/O</t>
  </si>
  <si>
    <t>PK-LOP</t>
  </si>
  <si>
    <t>E0461086</t>
  </si>
  <si>
    <t>IAW AMM 33-24-00 PERFORMED REPOSITION BULB MIRROR LIGHT LAV A DUE TO NOT ILLUMINATE, RESULT TEST ILLUMINSTE</t>
  </si>
  <si>
    <t>E0461087</t>
  </si>
  <si>
    <t>PK-BKG</t>
  </si>
  <si>
    <t>B149077</t>
  </si>
  <si>
    <t>PERFORM CLEAN UP FILTER WASH BASIN LAV A , E HAS BEEN C/O</t>
  </si>
  <si>
    <t>PK-STZ</t>
  </si>
  <si>
    <t>NSAJ020657</t>
  </si>
  <si>
    <t>REFF NO. NSAJ008580 LIST METAL VACANT LE MISSING</t>
  </si>
  <si>
    <t>A8-254-2015-931</t>
  </si>
  <si>
    <t>ESCUTHEON</t>
  </si>
  <si>
    <t>TO.2610638</t>
  </si>
  <si>
    <t>PK-BKJ</t>
  </si>
  <si>
    <t>B141130</t>
  </si>
  <si>
    <t>PERFORM REINSTALL SEAT TRACK COVER SN 18C HAS BEEN C/O</t>
  </si>
  <si>
    <t>PK-SJS</t>
  </si>
  <si>
    <t>S125897</t>
  </si>
  <si>
    <t>PERFORM RECTIFIED AND RETIGHTEN SCREW ARM REST COVER SN 32B D/T BROKEN , HAS BEEN C/O</t>
  </si>
  <si>
    <t>S125898</t>
  </si>
  <si>
    <t>PERFORM CLEAN UP FILTER WASH BASIN ALL LAVATORY HAS BEEN C/O</t>
  </si>
  <si>
    <t>S125899</t>
  </si>
  <si>
    <t>PERFORM RECTIFIED SEAL PSU SN 29-30ABC D/T NOT PROPERLY HAS BEEN C/O</t>
  </si>
  <si>
    <t>PK-LEI</t>
  </si>
  <si>
    <t>NLA087082</t>
  </si>
  <si>
    <t>FOUND FAUCET AT LAV L11 LEAK</t>
  </si>
  <si>
    <t>2980372100000</t>
  </si>
  <si>
    <t>FAUCET ASSY-WATER</t>
  </si>
  <si>
    <t>AVAIL K4 : 1 EA</t>
  </si>
  <si>
    <t>JED</t>
  </si>
  <si>
    <t>S125900</t>
  </si>
  <si>
    <t>PERFORM DAILY BEAUTYFICATION INSPECTION HAS BEEN C/O</t>
  </si>
  <si>
    <t>PK-LHY</t>
  </si>
  <si>
    <t>NLA075293</t>
  </si>
  <si>
    <t>PLACARD " OPEN BUKA " AT 1L,1R &amp; 5R FOUND BAD CONDITION</t>
  </si>
  <si>
    <t>LT11-11-PLC-0027</t>
  </si>
  <si>
    <t>PLACARD BUKA / OPEN</t>
  </si>
  <si>
    <t xml:space="preserve">AVAIL S1 </t>
  </si>
  <si>
    <t>PK-SAW</t>
  </si>
  <si>
    <t>S122158</t>
  </si>
  <si>
    <t>PERFORM REFILL HAND SOAP AT LAV A D/T EMPTY HAS BEEN C/O</t>
  </si>
  <si>
    <t>S122159</t>
  </si>
  <si>
    <t>PERFORM CLEAN UP FILTER WASH BASIN ALL LAVATORY D/T SLOWLY DRAIN HAS BEEN C/O</t>
  </si>
  <si>
    <t>S122160</t>
  </si>
  <si>
    <t>PERFORM RECTIFIED SCREW HANDLE MEAGPHONE POS FwD CABIN D/T LOOSEN HAS BEEN C/O OPT TEST GOOD</t>
  </si>
  <si>
    <t>S122161</t>
  </si>
  <si>
    <t>PERFORM ADJUSTMENT HYDROLOCK CABLE SN 18B D/T AUTO RECLINE HAS BEEN C/O RESULT TEST GOOD</t>
  </si>
  <si>
    <t>S122163</t>
  </si>
  <si>
    <t>PERFORM INSTALL AIRFI AT AFT STATION HASBEEN C/O</t>
  </si>
  <si>
    <t>S122162</t>
  </si>
  <si>
    <t>B143875</t>
  </si>
  <si>
    <t>PERFORM REINSTALL COVER CABLE IFE S/N 30F D/T NOT PROPERLLY INSTALL HAS BEEN C/O</t>
  </si>
  <si>
    <t>B143876</t>
  </si>
  <si>
    <t>B143877</t>
  </si>
  <si>
    <t>PERFORM REMOVE AND RECHARGING AT FWD CABIN HAS BEEN C/O SN 557</t>
  </si>
  <si>
    <t>B143878</t>
  </si>
  <si>
    <t>PERFORM RECTIFIED SLIDER CURTAIN FWD FALLEY D/T NOT PROPERLLY HAS BEEN C/O</t>
  </si>
  <si>
    <t>B143880</t>
  </si>
  <si>
    <t>DURING DAILY CHECK PERFORM W/O CABIN INSP COVER &amp; FRAME FLUSH ELECT SWITCH LD &amp; LE FOUND BAD CONDITION</t>
  </si>
  <si>
    <t>B143879</t>
  </si>
  <si>
    <t>PK-LEH</t>
  </si>
  <si>
    <t>E0462072</t>
  </si>
  <si>
    <t>REFF AMM 25-10-00 PERFORMED CHARGING DOOR DAMPER 1L TO GREEN BAND C/O</t>
  </si>
  <si>
    <t>E0462073</t>
  </si>
  <si>
    <t>REFF AMM 25-21-00 PERFOEMED RECTIFIED AND DJUSMENT SCREW BRACKET LATCH TRAYTABLE HAS BEEN C/O RESULT GOOD</t>
  </si>
  <si>
    <t>E0462074</t>
  </si>
  <si>
    <t>REFF T/C DBI PERFORMED DAILY BEAUTIFICATION INSPECTION CHECK HAS DONE</t>
  </si>
  <si>
    <t>PK-STS</t>
  </si>
  <si>
    <t>S111345</t>
  </si>
  <si>
    <t>REFF AMM 25-00-00 PERFORMED REMOVE STRCHER FOR SUPPORT PAX SICK CGK-BTH HAS BEEN C/O</t>
  </si>
  <si>
    <t>PK-LJR</t>
  </si>
  <si>
    <t>E0463585</t>
  </si>
  <si>
    <t>NO</t>
  </si>
  <si>
    <t>REFF AMM 25-21-00 PERFORMED RECTIFIFED SLINDING CURTAIN HOOK'S HAS BEEN C/O RESULT GOOD</t>
  </si>
  <si>
    <t>DJA R01</t>
  </si>
  <si>
    <t>PK-SJR</t>
  </si>
  <si>
    <t>NSAJ021257</t>
  </si>
  <si>
    <t>E0463586</t>
  </si>
  <si>
    <t>DURING DBI CHECK FOUND INFANT SEAT BELT MINUS 4EA &amp; EXTENTION SEATBELT MINUS 1 EA REFF LOPA</t>
  </si>
  <si>
    <t>REFF T/C DBI PERFORMED DAILY BEAUTIFIFCATION INSPECTION CHECK HAS DONE</t>
  </si>
  <si>
    <t>DJA AOC ( NSRDI R01 )</t>
  </si>
  <si>
    <t>PKY</t>
  </si>
  <si>
    <t>DMI</t>
  </si>
  <si>
    <t>PK-LAF</t>
  </si>
  <si>
    <t>ALL FINDING</t>
  </si>
  <si>
    <t>B37533</t>
  </si>
  <si>
    <t>UNPLANNED
WO CLOSED</t>
  </si>
  <si>
    <t>UNPLANNED
NSRDIL CLOSED</t>
  </si>
  <si>
    <t>PK-WGP</t>
  </si>
  <si>
    <t>C037629</t>
  </si>
  <si>
    <t>UNPLANNED DMI CLOSED</t>
  </si>
  <si>
    <t>BEAUTIFICATION INSPECTION DAILY HAS BEEN PERFORMED</t>
  </si>
  <si>
    <t>CML CLOSED</t>
  </si>
  <si>
    <t>CLOSED TOTAL</t>
  </si>
  <si>
    <t>C037622</t>
  </si>
  <si>
    <t>PERFORMED REPLACE ACM OPT TEST AND LEAK CHECK RESULT GOOD DUCT TEMP SHOW 10 C</t>
  </si>
  <si>
    <t>DEPLOY</t>
  </si>
  <si>
    <t>C037630</t>
  </si>
  <si>
    <t>PERFORMED RECTIFIED SEAT POCKET S/N 17A,17F,18A,19D RESULT GOOD</t>
  </si>
  <si>
    <t>NO MP CBM</t>
  </si>
  <si>
    <t>PERFORMED WARNING FLAG REMOVE BEFORE FLIGHT AT TAIL PROP D/T IS MISSING RESULT AVAIL C/O</t>
  </si>
  <si>
    <t>MP</t>
  </si>
  <si>
    <t>NSAJ021263</t>
  </si>
  <si>
    <t>REF FINDING ICT NO18010 SHROUD LAVATORY A BAD CONDITION</t>
  </si>
  <si>
    <t>C037593</t>
  </si>
  <si>
    <t>C037592</t>
  </si>
  <si>
    <t>PERFORMED RECTIFIED AND INSTALL COVER EMERGENCY ESCAPE PATH MARKING NO 15-17 DF D/T MISSING RESULT AVAIL C/O</t>
  </si>
  <si>
    <t>C037595</t>
  </si>
  <si>
    <t>PERFOERMED INSTALL COVER SEAT TRACK S/N 18A,19A RESULT COMPLTED</t>
  </si>
  <si>
    <t>C037594</t>
  </si>
  <si>
    <t>PERFORMED RECTIFIED HANDSET INTERPHONE AT FA 1 STATTION D/T NOT SECURED OPT TEST RESULT GOOD</t>
  </si>
  <si>
    <t>C037598</t>
  </si>
  <si>
    <t>PERFORMED REPANTING SPINNER R/H, L/H RESULT GODD HAS BEEN C/O</t>
  </si>
  <si>
    <t>NSAJ021264</t>
  </si>
  <si>
    <t>REF FINDING ICT NO18011 COVER TOILET BOWL SURFACE BAD CONDITON LAVATORY A</t>
  </si>
  <si>
    <t>C037597</t>
  </si>
  <si>
    <t>PERFORMED REPANTING LETTRR W FROM WINGS D/T PPO RESULT GOOD</t>
  </si>
  <si>
    <t>PK-WFK</t>
  </si>
  <si>
    <t>C028812</t>
  </si>
  <si>
    <t>C028815</t>
  </si>
  <si>
    <t>PERFORFMED RECTIFICATION WIRE AT TAIL PROP D/T BAD CONDITION RESULT GOOD</t>
  </si>
  <si>
    <t>PK-LGL</t>
  </si>
  <si>
    <t>E0465111</t>
  </si>
  <si>
    <t>NLA087496</t>
  </si>
  <si>
    <t>REF FINDING SRV9497 ESCUTHEON 34A, 27F, 6A MISSING</t>
  </si>
  <si>
    <t>TO.2611554</t>
  </si>
  <si>
    <t>E0465109</t>
  </si>
  <si>
    <t>PERFORMED RECTIFICATION ARMREST NO 2B,2C,4C D/T NOT PROPPER RESULT GOOD</t>
  </si>
  <si>
    <t>E0465108</t>
  </si>
  <si>
    <t>PERFORMED RECTFICATION ONE OF GASPER OUTLET D/T NOT PROPER RESULT GOOD PLEASE MONITOR</t>
  </si>
  <si>
    <t>E0465105</t>
  </si>
  <si>
    <t>PERFORMED CLEANING AT LAVATORY LE AND FRESH CLEAN BY CALINGTON D/T SMEL NOT GOOD C/O</t>
  </si>
  <si>
    <t>PK-WJS</t>
  </si>
  <si>
    <t>C 034026</t>
  </si>
  <si>
    <t>PERFORMED RECTIFIED CARPET FLOOR NEAR SIDE WALL HAS BEEN C/O</t>
  </si>
  <si>
    <t>C 034027</t>
  </si>
  <si>
    <t>PERFORMED REPLACE PLASTIC COVER PUSH BUTTON TWO MINUTE LIGHT HAS BEEN DONE</t>
  </si>
  <si>
    <t>C 034028</t>
  </si>
  <si>
    <t>PERFORMED REPAIR AND INSTALL HOOK CURTAIN AT ENTRANCE DOOR HAS FOR COMPLETED HAS BEEN DONE</t>
  </si>
  <si>
    <t>PK-LHR</t>
  </si>
  <si>
    <t>NLA083679</t>
  </si>
  <si>
    <t>REFF NSRDIL NO. NLA089093 DURING DAILY FOUND COVER LIST HEADTRACK NO 32DEF IS CRACK</t>
  </si>
  <si>
    <t>412A7111-30D</t>
  </si>
  <si>
    <t>TRIM ASSY-THRESHOLD</t>
  </si>
  <si>
    <t>PKU</t>
  </si>
  <si>
    <t>C 034029</t>
  </si>
  <si>
    <t>AVAIL P5 : 1 EA</t>
  </si>
  <si>
    <t>PERFORMED DAILY CHECK BEAUTIFICATION INSPECTION CARRIED OUT</t>
  </si>
  <si>
    <t>PK-WJO</t>
  </si>
  <si>
    <t>C 025672</t>
  </si>
  <si>
    <t>PERFORMED RECTIFIED AND REINSTALL CARPET UNDERSEAT S/N 4AC HAS BEEN C/O</t>
  </si>
  <si>
    <t>C 025673</t>
  </si>
  <si>
    <t>PERFORMED REPOSITION BATTERY FLASHLIGHT FA 1 HAS BEEN C/O RESULT GOOD</t>
  </si>
  <si>
    <t>C 036446</t>
  </si>
  <si>
    <t>DEFECT ALREAY INSERT TO NSRDI NWA024642 NEED SPARE</t>
  </si>
  <si>
    <t>ACTUAL CHECK PN NOT MATCH</t>
  </si>
  <si>
    <t>PK-SJO</t>
  </si>
  <si>
    <t>NSAJ013067</t>
  </si>
  <si>
    <t>REF FINDING ICT 18449 HEADREST COVER CO PILOT FOUND DIRTY</t>
  </si>
  <si>
    <t>TAAI3-998412-01</t>
  </si>
  <si>
    <t>COVER HEAD REST</t>
  </si>
  <si>
    <t>C 036447</t>
  </si>
  <si>
    <t>PERFORMED REFILL HANDSOAP AT LAV HAS BEEN C/O</t>
  </si>
  <si>
    <t>C 036448</t>
  </si>
  <si>
    <t>PERFORMED INSTALL PLACARD 'WASTE NO CIGARETTE DISPOSAL' OF FLAPPER WASTE BIN AT GALLEY HAS BEENC/O</t>
  </si>
  <si>
    <t>C 036449</t>
  </si>
  <si>
    <t>PERFORMED COMPLETED NEW CML BOOK HAS BEEN C/O</t>
  </si>
  <si>
    <t>C 036450</t>
  </si>
  <si>
    <t>NLA070817</t>
  </si>
  <si>
    <t>GASPER AIR OUTLET 32C,32E,32F FOUND LOSS</t>
  </si>
  <si>
    <t>S115382</t>
  </si>
  <si>
    <t>TO.2611521</t>
  </si>
  <si>
    <t>REFF NSRDI NSAJ007440, PERFORMED REPLACEMENT HEADREST COVER CAPT AND FO SIDE DUE TO DIRTY HAS BEEN CARRIED OUT</t>
  </si>
  <si>
    <t>S115383</t>
  </si>
  <si>
    <t>DURING DAILY CHECK PERFORMED CLEAN UP FILTER WASH BASIN AT LAVATORY E DUE TO STOP DRAIN HAS BEEN CARRIED OUT</t>
  </si>
  <si>
    <t>S115384</t>
  </si>
  <si>
    <t>PERFORMED DAILY BEAUTIFICATION INSPECTION HAS BEEN CARRIED OUT</t>
  </si>
  <si>
    <t>PK-LSK</t>
  </si>
  <si>
    <t>E0462551</t>
  </si>
  <si>
    <t>DURING DAILY CHECK PERFORMED RECONNECT CONNECTOR PLUG WINDOW LIGHT S/N 25ABC, 33ABC, 37DEF DUE TO BLINKING, OPS TEST FOUND ILLUMINATE</t>
  </si>
  <si>
    <t>E0462552</t>
  </si>
  <si>
    <t>PK-STQ</t>
  </si>
  <si>
    <t>S116768</t>
  </si>
  <si>
    <t>NLA070819</t>
  </si>
  <si>
    <t>DURING DAILY CHECK PERFORMED RECHARGER BATT AIRFI AT FWD CABIN DUE TO LOW BATT HAS BEEN CARRIED OUT</t>
  </si>
  <si>
    <t>ESCUTCHEON ARMCAP SEAT NO : 12F, 16C, 33B, 34B, 36E, 37A, 39ADF MISSING</t>
  </si>
  <si>
    <t>S116769</t>
  </si>
  <si>
    <t>DURING DAILY CHECK PERFORMED RE INSTAL AND REPOSITION CARPET UNDER SEAT 23DEF DUE TO NOT PROPERLY INSTAL HAS BEEN CARRIED OUT</t>
  </si>
  <si>
    <t>S116770</t>
  </si>
  <si>
    <t>PK-LUF</t>
  </si>
  <si>
    <t>B139662</t>
  </si>
  <si>
    <t>PERFORMED COMPLITED LIFE RAFT FOR SUPPORT FLIGHT INTER DPS-PERTH HAS BEEN C/O</t>
  </si>
  <si>
    <t>B139663</t>
  </si>
  <si>
    <t>PERFORMED PREPARED &amp; SPRAYING CARGO &amp; COMPARMENT FOR SUPPORT FLIGHT INTER HAS BEEN C/O</t>
  </si>
  <si>
    <t>PK-LAZ</t>
  </si>
  <si>
    <t>LGT</t>
  </si>
  <si>
    <t>B138424</t>
  </si>
  <si>
    <t>PERFORMED RECTIFICATION &amp; CLEAN UP CONECTOR HAS BEEN C/O, OP'S TEST RESULT ILLUMINATE</t>
  </si>
  <si>
    <t>NLA070840</t>
  </si>
  <si>
    <t>COVER GASPER AIR OUTLET S/N 19A MISSING</t>
  </si>
  <si>
    <t>PERFORMED CLEAN UP FILTER WASH BASIN AT LD HAS BEEN C/O, OPS TEST RESULT NORMAL</t>
  </si>
  <si>
    <t>B141868</t>
  </si>
  <si>
    <t>PERFORMED REMOVE &amp; CHANGE NEW AIRFI AT FWD &amp; AFT STATION HAS BEEN C/O</t>
  </si>
  <si>
    <t>B139664</t>
  </si>
  <si>
    <t>PERFORMED CHECK DAILY BEAUTIFICATION INSPECTION HAS BEEN C/O</t>
  </si>
  <si>
    <t>S116144</t>
  </si>
  <si>
    <t>ALREADY TO DMI NO. SAJ039816</t>
  </si>
  <si>
    <t>S116145</t>
  </si>
  <si>
    <t>PERFORMED REPOSITION WINDOW LIGHT S/N 29ABC D/T NOT ILL RESULT ILL</t>
  </si>
  <si>
    <t>S116146</t>
  </si>
  <si>
    <t>WO NO.2337591 PERFORMED TOILET SYSTEM CLEANING OF VACUUM CLEANING OF VACUUM WASTE LINES WITH CHEMICAL CLEAANING AGENT C/O</t>
  </si>
  <si>
    <t>S116147</t>
  </si>
  <si>
    <t>NSAJ006234</t>
  </si>
  <si>
    <t>AIRFI AT AFT STATION NOT AVAILABLE</t>
  </si>
  <si>
    <t>DSD.IU.999.0819</t>
  </si>
  <si>
    <t>AIRFI BOX FOR SUPER AIR JET</t>
  </si>
  <si>
    <t>TO.2611696</t>
  </si>
  <si>
    <t>B138425</t>
  </si>
  <si>
    <t>TRANSFER TO NSRDIL NO. NID022675 (ICT 18379 AREA ENTRY DOOR PPO)</t>
  </si>
  <si>
    <t>B138426</t>
  </si>
  <si>
    <t>TRANSFER TO NSRDIL NO. NID022676 (ICT 18380 PEDAL DISK SIDE CAP AND SIDE FO PPO)</t>
  </si>
  <si>
    <t>B138427</t>
  </si>
  <si>
    <t>E0465223</t>
  </si>
  <si>
    <t>PERFORMED BITE ATTENDANT PANEL CHECK LAMP AND SOFTWARE C/O. BITE TEST ACP TO LRU TEST C/O. RESULT LIGHT S/N 12F FOUND NORMAL</t>
  </si>
  <si>
    <t>E0465224</t>
  </si>
  <si>
    <t>REF ENGINEERING INFORMATION NSRDIL VALID FOR 120DAYS</t>
  </si>
  <si>
    <t>NLA090053</t>
  </si>
  <si>
    <t>LAVATORY L61 CAN'T LOCK PROPERLY</t>
  </si>
  <si>
    <t>L2-254-0015-105</t>
  </si>
  <si>
    <t>LOCK ASSY</t>
  </si>
  <si>
    <t>E0465225</t>
  </si>
  <si>
    <t>PERFORMED REALIGN POSITION OF LED ASSY D/T LOOSE C/O. RESULT LIGHT S/N 20A, 3F FOUND NORMALLY</t>
  </si>
  <si>
    <t>E0465226</t>
  </si>
  <si>
    <t>PERFORMED RECTIFICATION LED ASSY AND CONNECTOR PLUG WINDOW LIGHT S/N 23-25ABC FOUND ILL</t>
  </si>
  <si>
    <t>E0465227</t>
  </si>
  <si>
    <t>REFF EI GEN-EI-35-083 R2. PRESS POB AT AFT STILL WITHIN LIMIT</t>
  </si>
  <si>
    <t>E0465228</t>
  </si>
  <si>
    <t>PERFORMED DETAILED VISUAL INSPECTION RESULT PRESSURE SLIDE 1R STILL WITH IN LIMIT</t>
  </si>
  <si>
    <t xml:space="preserve">SCREW LOCK DOOR STUCK AND REPAIRMAN DO HEALTY PROGRAM AT HM </t>
  </si>
  <si>
    <t>PK-LUY</t>
  </si>
  <si>
    <t>NBA033554</t>
  </si>
  <si>
    <t>DOOR WASTE LAVATORY LE FOUND BAD CONDITION (CRACK)</t>
  </si>
  <si>
    <t>E0465229</t>
  </si>
  <si>
    <t>PERFORMED REPLACE ESCUTHEON SEAT 4AB, 4D, 10E, 20D, 24F, 27A, 27E, 29B, 30B C/O</t>
  </si>
  <si>
    <t>S125400431-504</t>
  </si>
  <si>
    <t>DOOR ASSY-WASH BASIN</t>
  </si>
  <si>
    <t>PART AVAIL P7 : 1 EA</t>
  </si>
  <si>
    <t>E0465230</t>
  </si>
  <si>
    <t>PERFORMED REPLACE ESCUTHEON 19E D/T MISSING C/O</t>
  </si>
  <si>
    <t>E0465231</t>
  </si>
  <si>
    <t>PK-WHS</t>
  </si>
  <si>
    <t>C037010</t>
  </si>
  <si>
    <t>PERFORMED RECTIFICATION WINDOW SHADE S/N 20A D/T BAD C/O</t>
  </si>
  <si>
    <t>NSAJ007653</t>
  </si>
  <si>
    <t>PANEL I5IAW BAD CONDITION</t>
  </si>
  <si>
    <t>C037011</t>
  </si>
  <si>
    <t>ICT NO.18414 PERFORMED CLEAN UP INSIDE WINDOW SHADE AT 8F, 11F, 10A D/T DIRTY ( DEAD COCKROACH) C/O</t>
  </si>
  <si>
    <t>D2557123801000</t>
  </si>
  <si>
    <t>PANEL ASSY - SIDEWALL</t>
  </si>
  <si>
    <t>C037012</t>
  </si>
  <si>
    <t>ICT NO.18415 PERFORMED CLEAN UP AREA SHROUD AND COVER TOILET D/T DIRTY C/O</t>
  </si>
  <si>
    <t>C037013</t>
  </si>
  <si>
    <t>ICT NO.18418 PERFORMED CLEAN UP SREA PSU PANEL AT 18AC D/T DIRTY EX GLUE C/O</t>
  </si>
  <si>
    <t>C037014</t>
  </si>
  <si>
    <t>ICT NO.18417 TRANSFER TO NSRDIL NO. NWA038486 (AREA PSU PANEL NEAR WINDOW LIGHT S/N 19F FOUND PPO)</t>
  </si>
  <si>
    <t>C037015</t>
  </si>
  <si>
    <t>NSAJ007658</t>
  </si>
  <si>
    <t>REF MDRR NO N/R-00001 FOUND VERSTAB PAINT PEEL OFF</t>
  </si>
  <si>
    <t>ICT NO.18416 TRANSFER TO NSRDIL NO. NWA038487 (SIDEWALL AT LAVATORY DIFFERENT COLOR)</t>
  </si>
  <si>
    <t>C037016</t>
  </si>
  <si>
    <t>PK-SJH</t>
  </si>
  <si>
    <t>S120684</t>
  </si>
  <si>
    <t>DURING D.B.I PERFORM RECTIFIED SEAT POCKET S/N 8DEF 10DEF 11ABC C/O</t>
  </si>
  <si>
    <t>S120685</t>
  </si>
  <si>
    <t>PERFORM DAILY BEAUTIFICATION INSPECTION</t>
  </si>
  <si>
    <t xml:space="preserve">AC NOT RON CGK, BUT RON SUB NEED BOOMLIFT &amp; BOOMLIFT ONLY AVAIL AT T2 IN SUB </t>
  </si>
  <si>
    <t>PK-LSH</t>
  </si>
  <si>
    <t>NLA027634</t>
  </si>
  <si>
    <t>TABLE SEAT NO.27B NOT LOCKABLE</t>
  </si>
  <si>
    <t>1012222-017KA06</t>
  </si>
  <si>
    <t>FOODTRAY LATCH ASSEMBLY</t>
  </si>
  <si>
    <t>LOP</t>
  </si>
  <si>
    <t>PK-LSW</t>
  </si>
  <si>
    <t>AVAIL L2</t>
  </si>
  <si>
    <t>E0384735</t>
  </si>
  <si>
    <t>E0384734</t>
  </si>
  <si>
    <t>PERFORMED REPOSITION LAVATORY LIGHT AT LA C/O,OP'T RESULT ILLUMINATE</t>
  </si>
  <si>
    <t>E0438616</t>
  </si>
  <si>
    <t>E0438615</t>
  </si>
  <si>
    <t>PERFORMED REPLACED OXYGEN MASK @FWD AND AFT FOR DEMO KIT HAS BEEN C/O</t>
  </si>
  <si>
    <t>THE SENDED PART NOT SUITABLE WITH ACTUAL TABLE</t>
  </si>
  <si>
    <t>DEFFECT</t>
  </si>
  <si>
    <t>NLA084188</t>
  </si>
  <si>
    <t>ARM REST AT NO.30D FOUND BAD CONDITION</t>
  </si>
  <si>
    <t>1010210-301BHW</t>
  </si>
  <si>
    <t>BUMPER-ENDBAY</t>
  </si>
  <si>
    <t>E0457700</t>
  </si>
  <si>
    <t>ALREADY INSERT TO NSRDIL NO NLA 087545</t>
  </si>
  <si>
    <t>S126811</t>
  </si>
  <si>
    <t>PERFORM COMPLETED ESCUTCHEIN LAVATORY LE AND D HAS BEEN C/O</t>
  </si>
  <si>
    <t>S126812</t>
  </si>
  <si>
    <t>PK-WJY</t>
  </si>
  <si>
    <t>C039500</t>
  </si>
  <si>
    <t>PK-LAI</t>
  </si>
  <si>
    <t>B139063</t>
  </si>
  <si>
    <t>FOCUS PERFORM WO AND ANOTHER NSRDL</t>
  </si>
  <si>
    <t>NSAJ007440</t>
  </si>
  <si>
    <t>REF FINDING ICT 18034 HEADREST COVER CAPT AND FO FOUND DIRTY</t>
  </si>
  <si>
    <t>PK-LSL</t>
  </si>
  <si>
    <t>E0462142</t>
  </si>
  <si>
    <t>PERFORMED DAILY CHECK BEUTIFICATION INSPECTION CARRIED OUT</t>
  </si>
  <si>
    <t>PK-SJM</t>
  </si>
  <si>
    <t>S1214218</t>
  </si>
  <si>
    <t>PERFORMED DAILY CHECK BEUTIFICATION INSPECTION C/O</t>
  </si>
  <si>
    <t>STBY</t>
  </si>
  <si>
    <t>S128612</t>
  </si>
  <si>
    <t>PERFORMED REPOSITION LAMP CEILLING LIGHT NO 32DEF C/O</t>
  </si>
  <si>
    <t>S128613</t>
  </si>
  <si>
    <t>PERFORMED REPOSITION SWITCH UOTLOW VALVE C/O</t>
  </si>
  <si>
    <t>S128614</t>
  </si>
  <si>
    <t>INSERT TO NSRDIL NSAJ016554 NEED PN : A320-25-0547-0010</t>
  </si>
  <si>
    <t>S128615</t>
  </si>
  <si>
    <t>INSERT TO NSRDIL NSAJ016555 NEED PN : A2-254-0006-03</t>
  </si>
  <si>
    <t>S128646</t>
  </si>
  <si>
    <t>INSERT TO NSRDIL NSAJ016556 NEED PN : HV99-174</t>
  </si>
  <si>
    <t>S128617</t>
  </si>
  <si>
    <t>INSERT TO NSRDIL NSAJ016557 NEED PN : * 182401-20O05, *VE64-10-126-50,*150400-05,*160400-6,*150400-06</t>
  </si>
  <si>
    <t>PK-WJJ</t>
  </si>
  <si>
    <t>C027014</t>
  </si>
  <si>
    <t>C111260</t>
  </si>
  <si>
    <t>PERFORMED REMOVE STRECER CASE AND INSTALL SEAT C/O</t>
  </si>
  <si>
    <t>C111261</t>
  </si>
  <si>
    <t>C111258</t>
  </si>
  <si>
    <t>PERFORMED REPISITION LAMP OF WINDOW LIGHT S/N 32DEF</t>
  </si>
  <si>
    <t>C111257</t>
  </si>
  <si>
    <t>PERFORMED REPOSITION TUBE LAMP OF CEILING LIGHT S/N 32ABC</t>
  </si>
  <si>
    <t>C111262</t>
  </si>
  <si>
    <t>PERFORMED REMOVE CABLE TIE AND RETIGHTENED SCREW AT CABLE HANDSEAT FA 1</t>
  </si>
  <si>
    <t>PK-LSO</t>
  </si>
  <si>
    <t>E0463640</t>
  </si>
  <si>
    <t>S115415</t>
  </si>
  <si>
    <t>S115416</t>
  </si>
  <si>
    <t>AFTER CHECK ALREADY INSERT NSRDIL NSAJ005220</t>
  </si>
  <si>
    <t>S115417</t>
  </si>
  <si>
    <t>PERFORMED REPLACE O2MASK DEMOKIT AT AFT STATION</t>
  </si>
  <si>
    <t>S115418</t>
  </si>
  <si>
    <t>PERFORMED ADJUSTMENT SPRING FLAPPER DOOR AT LAV D</t>
  </si>
  <si>
    <t>S115419</t>
  </si>
  <si>
    <t>PERFORMED RETIGHTENED SCREW BACK REST S/N 9C</t>
  </si>
  <si>
    <t>B147851</t>
  </si>
  <si>
    <t>AMM 25-45-00 PERFORMED REFILL HANDSOAP LAVATORY A D/T EMPTY.HAS BEEN C/O</t>
  </si>
  <si>
    <t>B147852</t>
  </si>
  <si>
    <t>AMM 25-21-00 PERFORMED REPOSITION AND RECTIFIED SPRING SEAT POCKET AT 15A AND 29E D/T FOUND NOT PROPER.HAS BEEN C/O</t>
  </si>
  <si>
    <t>B147853</t>
  </si>
  <si>
    <t>AMM 33-50-00 PERFORMED RECTIFIED GLASS COVER EMERGENCY EXIT LIGHT AT DOOR 1R D/T NOT PROPER.HAS BEEN C/O</t>
  </si>
  <si>
    <t>B141237</t>
  </si>
  <si>
    <t>AMM 44-21-00 PERFORMED COMPLETED AIRFI AT AFT CABIN D/T NOT AVAILABLE (SN. 608 )</t>
  </si>
  <si>
    <t>B141238</t>
  </si>
  <si>
    <t>AMM 25-45-00 PERFORMED REFILL HANDSOAP LAVATORY D D/T EMPTY.HAS BEEN C/O</t>
  </si>
  <si>
    <t>B141239</t>
  </si>
  <si>
    <t>AMM 25-21-00 PERFORMED RECTIFIED VELCRO BOTTOM COVER AT SEAT 20F D/T NOT PROPER.HAS BEEN C/O</t>
  </si>
  <si>
    <t>EXBASE</t>
  </si>
  <si>
    <t>B141184</t>
  </si>
  <si>
    <t>AMM 44-21-00 PERFORMED REMOVE INSTALL AIRFI AT AFT CABIN D/T LOW BATTERY (SN. OFF 575 / SN. ON 505)</t>
  </si>
  <si>
    <t>B147854</t>
  </si>
  <si>
    <t>AMM 44-21-00 PERFORMED REMOVE AIRFI FWD AFT FOR CHARGING (SN. 529 / 561 )</t>
  </si>
  <si>
    <t>B147804</t>
  </si>
  <si>
    <t>REFF AMM 38, PERFORMED CLEAN UP SINKBASIN DRAINASE FILTER AT AFT GALLEY</t>
  </si>
  <si>
    <t>B147805</t>
  </si>
  <si>
    <t>REFF AMM 25, PERFORMED REPOSITION LIST LOWER SIDEWALL AT ROW 3 DF</t>
  </si>
  <si>
    <t>B147806</t>
  </si>
  <si>
    <t>REFF AMM 25,PERFORMED REPOSITION SEAT COVER COCKPIT AREA</t>
  </si>
  <si>
    <t>B141240</t>
  </si>
  <si>
    <t>REFF IAW AMM:25-43-00 .PERFORMED COMPLETED NOZZLE HAND SOAP LAVATORY D.DUE TO FOUND MISSING .DO OP'S TEST RESULT GOOD</t>
  </si>
  <si>
    <t>B141241</t>
  </si>
  <si>
    <t>REFF IAW AMM:44-21-00 .PERFORMED REMOVE AIRFI BOX FWD AND AFT STATION .DUE TO A/C RON ,WITH SN:608/547RESULT C/O</t>
  </si>
  <si>
    <t>B141242</t>
  </si>
  <si>
    <t>REFF IAW AMM:25-22-00 .PERFORMED COMPLETED AND RETIGHTENED BOLT SCREW JUMP SEAT FA4 .DUE TO NOT PROPERLY .DO OP'S TEST RESULT NORMALLY</t>
  </si>
  <si>
    <t>B141243</t>
  </si>
  <si>
    <t>REFF IAW AMM;25-21-00 .PERFORMED RECTIFIED MECHANISM BUTTON RECLINE SEAT NO 11A .DUE TO CANNOT RECLINE .OP'S TEST RESULT NORMALLY</t>
  </si>
  <si>
    <t>B141244</t>
  </si>
  <si>
    <t>REFF IAW AMM;11-32-00 .PERFORMED REPLACEMENT ONE OFF VALIDITY DATE TAGE INFANT LIFEVEST FWD STATION .DUE TO BAD CONDITION .RESULT C/O</t>
  </si>
  <si>
    <t>B141246</t>
  </si>
  <si>
    <t>AMM 25-00-00 PERFORMED DAILY BEAUTIFICATION INSPECTION</t>
  </si>
  <si>
    <t>B141247</t>
  </si>
  <si>
    <t>REFF IAW AMM;44-21-00 .PERFORMED PRE FLIGHT CHECK AREA CABIN.EMERGENCY EQUIPMENT AND INSTALL AIRFI WITH SN ON:608/547.RESULT C/O</t>
  </si>
  <si>
    <t>B147855</t>
  </si>
  <si>
    <t>REFF IAW AMM;25-64-00 .PERFORMED REPLACEMENT BATTERY FLASH LIGHT AT JUMP SEAT FA4 .DUE TO NOT ILLUMINATE.DO OP'S TEST RESULT GOOD</t>
  </si>
  <si>
    <t>B147856</t>
  </si>
  <si>
    <t>REFF IAW AMM;25-41-00 .PERFORMED CLEAN UP FILTER CATRIDGE SMOKE DETECTOR AT ALL LAVATORY ,DUE TO FOUND DIRTY.RESULT C/O</t>
  </si>
  <si>
    <t>B147857</t>
  </si>
  <si>
    <t>REFF IAW AMM;25-43-00 .PERFORMED RETIGHTENED BOLT DOOR COMPARTMENT TRASH BIN LAVATORY D .DUE TO NOT PROPERLY .OP'S TEST RESULT NORMALLY</t>
  </si>
  <si>
    <t>B147858</t>
  </si>
  <si>
    <t>REFF IAW AMM:25-35-00 .PERFORMED RECTIFIED AND LUBRICATED SPRING MECHANISM LATCH COMPARTMENT AFT STATION .D/T CNA;T LOCK .RESULT TEST NORMALLY</t>
  </si>
  <si>
    <t>B147859</t>
  </si>
  <si>
    <t>REFF IAW AMM: 25-26-00 .PERFORMED RECTIFIED AND COMPLETED SLIDDER CURTAIN AT AFT STATION .DUE TO NOT PROPERLY .RESULT C/O</t>
  </si>
  <si>
    <t>B147860</t>
  </si>
  <si>
    <t>REFF IAW AMM:51-13-00 ,PERFORMED REECTIFIED METAL COVER FAIRING AT UNDER WASTE COMPARTMENT 4L AND 4R,D/T NOT PROPERLY .RESULT C/O</t>
  </si>
  <si>
    <t>B147861</t>
  </si>
  <si>
    <t>B147862</t>
  </si>
  <si>
    <t>REFF IAW AMM;44-21-00 .PERFORMED PRE FLIGHT CHECK AREA CABIN.EMERGENCY EQUIPMENT AND INSTALL AIRFI WITH SN ON:525/561.RESULT C/O</t>
  </si>
  <si>
    <t>PK-WFS</t>
  </si>
  <si>
    <t>C036214</t>
  </si>
  <si>
    <t>PERFORMED ACTUAL CHECK &amp; OPT TEST FLAPPER LAVATORY FOUND GOOD</t>
  </si>
  <si>
    <t>C036215</t>
  </si>
  <si>
    <t>C036216</t>
  </si>
  <si>
    <t>PERFOMED REPLACEMENT LAMINATE SIDE WALL OF LAVATORY CARRIED OUT</t>
  </si>
  <si>
    <t>PK-WHP</t>
  </si>
  <si>
    <t>C037653</t>
  </si>
  <si>
    <t>C037654</t>
  </si>
  <si>
    <t>DURING DBI. PERFORMED CLEAN UP COVER TOILET BOWL CARRIED OUT</t>
  </si>
  <si>
    <t>E0428122</t>
  </si>
  <si>
    <t>PERFORMED REPOSITION MIRROR LIGHT LAVATORY E D/T NOT ILLUMINATE C/O OPT RESULT ILLUMINATE</t>
  </si>
  <si>
    <t>E0428123</t>
  </si>
  <si>
    <t>PERFORMED RECONECT WINDOW LIGHT S/N 28ABC, &amp;35ABC D/T NOT ILLUMINATE C/O OPT RESULT ILLUMINATE</t>
  </si>
  <si>
    <t>E0428124</t>
  </si>
  <si>
    <t>PERFORMED RECTIFIED TRAY TABLE S/N 6A C/O RESULT GOOD</t>
  </si>
  <si>
    <t>E0428125</t>
  </si>
  <si>
    <t>PK-SAA</t>
  </si>
  <si>
    <t>S119477</t>
  </si>
  <si>
    <t>PERFORMED REPOSITION CEILING LIGHT S/N 20DEF, 18ABC,23ABC,26DEFD/T NOT ILLUMINATE C/O OPT RESULT ILLUMINATE</t>
  </si>
  <si>
    <t>S119479</t>
  </si>
  <si>
    <t>DURING DBI, PERFORMED CLEAN UP MIRROR AT LAVATORY A HAS BEEN C/O</t>
  </si>
  <si>
    <t>S119480</t>
  </si>
  <si>
    <t>PERFORM CHECK AT GROUND WASTE /WATER INFO AT FAP D/T ERROR DURING TAXI CLIMBING AND DESCENT APPLINE MESSAGE C/O RESULT NORMALY</t>
  </si>
  <si>
    <t>S119481</t>
  </si>
  <si>
    <t>PERFORMED ADJUSMENT BALLAST WINDOW LIGHT S/N 4 ABC &amp; 26DEF D/T NOT ILLUMINATE C/O OPT RESULT ILLUMINATE</t>
  </si>
  <si>
    <t>S119482</t>
  </si>
  <si>
    <t>PK-SJP</t>
  </si>
  <si>
    <t>S128842</t>
  </si>
  <si>
    <t>ALL READY INSERT TO NSRDI NO NSAJ 015770</t>
  </si>
  <si>
    <t>S128843</t>
  </si>
  <si>
    <t>PERFORMED RECTIFIED LATCHES IN G5 D/T CANOT BE LOCKED C/O OPT RESULT NORMALY</t>
  </si>
  <si>
    <t>S128844</t>
  </si>
  <si>
    <t>PK-LAW</t>
  </si>
  <si>
    <t>B145069</t>
  </si>
  <si>
    <t>PERFORM ADJUSTMEN HINGE OVERHEAD STOWAGE COMPARTMENT NO 12ABC D/T CAN'T FULL OPEN, OP'S TEST NORMAL</t>
  </si>
  <si>
    <t>PK-LUZ</t>
  </si>
  <si>
    <t>B142231</t>
  </si>
  <si>
    <t>PERFORMED RECTIFIED TISSUE ROLL AT LAVATORY LA D/T NOT PROPER, RESULT GOOD</t>
  </si>
  <si>
    <t>KUL</t>
  </si>
  <si>
    <t>PK-LUH</t>
  </si>
  <si>
    <t>B149231</t>
  </si>
  <si>
    <t>PERFORMED RECTIFIED HEADREST JUMPSEAT FA2 D/T NOY FIRM, RESULT GOOD</t>
  </si>
  <si>
    <t>B149232</t>
  </si>
  <si>
    <t>PERFORMED RECTIFIED LATCH COMPARTMENT EMEQ FA3 &amp; FA6 NOT SECURED, RESULT GOOD</t>
  </si>
  <si>
    <t>PK-BDF</t>
  </si>
  <si>
    <t>B144100</t>
  </si>
  <si>
    <t>PERFORMED RECTIFIED COVER EXIT IDENTIFIERS DOOR 1 L D/T BROKEN</t>
  </si>
  <si>
    <t>B138980</t>
  </si>
  <si>
    <t>PERFORM REPLACE MASK OXYGEN AT DEMO KIT FWD STATION D/T BAD CONDITION</t>
  </si>
  <si>
    <t>B141604</t>
  </si>
  <si>
    <t>REFF FINDING ICT NO 17921
 PERFORMED REPOSITION VELCRO PAX CUSSION S/N 29 A AND 29 C D/T BROKEN</t>
  </si>
  <si>
    <t>PK-BGZ</t>
  </si>
  <si>
    <t>B141979</t>
  </si>
  <si>
    <t>PERFORMED RECTIFIED HEADREST SEAT NO 8D D/T BROKEN, RESULT GOOD</t>
  </si>
  <si>
    <t>B141980</t>
  </si>
  <si>
    <t>PERFORMED RECTIFIED COVER CEILING LIGHT LAVATORY LE D/T NOT PROPER</t>
  </si>
  <si>
    <t>B141651</t>
  </si>
  <si>
    <t>PERFORM RECTIFIED SEAT TRACK S/N 9 D D/T NOT PROPERLY 
 ACTION: B141652, PERFORM RECTFIED LEGREST PASSENGER SEAT NO 9 D AND 11 C D/T NOT PROPERLY</t>
  </si>
  <si>
    <t>S111344</t>
  </si>
  <si>
    <t>PERFORMED INSTALL AND REMOVE STRECHER FOR SUPPORT PAX SICK IU854 CGK-BTH HAS BEEN DONE</t>
  </si>
  <si>
    <t>S111259</t>
  </si>
  <si>
    <t>PERFORMED INSTALL AND REMOVE STRECHER FOR SUPPORT PAX SICK IU608 CGK-BPN HAS BEEN DONE</t>
  </si>
  <si>
    <t>PK-BKV</t>
  </si>
  <si>
    <t>B137195</t>
  </si>
  <si>
    <t>PERFORM ADDED PLACARD INOP FOR SPARE QTY 3EA</t>
  </si>
  <si>
    <t>TOTAL</t>
  </si>
  <si>
    <t>PK-BKP</t>
  </si>
  <si>
    <t>B143760</t>
  </si>
  <si>
    <t>PERFORM REPLACED PLACARD HALLON FIREX AT AFT L/H D/T BAD CONDITION</t>
  </si>
  <si>
    <t>S125896</t>
  </si>
  <si>
    <t>REFF AMM 25-24-00 PERFORMED ADJUSMENT SPRING LATCH COMPARTMENT HEADTRACK SEAT NO.4ABC D/T CAN'T LOCK OP'S RESULT TEST GOOD</t>
  </si>
  <si>
    <t>PK-SJQ</t>
  </si>
  <si>
    <t>S115483</t>
  </si>
  <si>
    <t>PERFORMED BEAUTIFICATION INSPECTION DAILY CHECK HAS BEEN C/0</t>
  </si>
  <si>
    <t>S115484</t>
  </si>
  <si>
    <t>PERFORMED COMPLETED PLACARD UU PENERBANGAN AT S/N 2B D/T MISSING</t>
  </si>
  <si>
    <t>S119249</t>
  </si>
  <si>
    <t>S114902</t>
  </si>
  <si>
    <t>S114903</t>
  </si>
  <si>
    <t>PERFORMED ADD MORE PLACARD INOP TO CML BOOK</t>
  </si>
  <si>
    <t>PK-SJC</t>
  </si>
  <si>
    <t>S118966</t>
  </si>
  <si>
    <t>B141507</t>
  </si>
  <si>
    <t>B141503</t>
  </si>
  <si>
    <t>PERFORMED RECTIFIED MIRROR AT G4B D/T NOT PROPER</t>
  </si>
  <si>
    <t>B141506</t>
  </si>
  <si>
    <t>PERFORMED REPOAITION TUBE LAMP MIRROR LIGHT AT LAVATORY D D/T NOT ILLUMINATE</t>
  </si>
  <si>
    <t>B141504</t>
  </si>
  <si>
    <t>PERFORMED RECONNECT PLUG AND RESET ACP WINDOW LIGHT SEAT NO 10DEF, 28DEF NOT ILLUMINATE</t>
  </si>
  <si>
    <t>PK-BKR</t>
  </si>
  <si>
    <t>B143928</t>
  </si>
  <si>
    <t>B143929</t>
  </si>
  <si>
    <t>PERFORMED ADJUSMENT BEZZLE RECLINE AT SEAT NO 3A DUE TO SEAT BACK CANT RECLINE</t>
  </si>
  <si>
    <t>PK-LJY</t>
  </si>
  <si>
    <t>E0461148</t>
  </si>
  <si>
    <t>B141024</t>
  </si>
  <si>
    <t>S127817</t>
  </si>
  <si>
    <t>B142234</t>
  </si>
  <si>
    <t>PK-LZV</t>
  </si>
  <si>
    <t>B145440</t>
  </si>
  <si>
    <t>E0453166</t>
  </si>
  <si>
    <t>E0462908</t>
  </si>
  <si>
    <t>B141436</t>
  </si>
  <si>
    <t>PK-LHQ</t>
  </si>
  <si>
    <t>E0463686</t>
  </si>
  <si>
    <t>PK-LRI</t>
  </si>
  <si>
    <t>E0465191</t>
  </si>
  <si>
    <t>E0465600</t>
  </si>
  <si>
    <t>E0441224</t>
  </si>
  <si>
    <t>E0441225</t>
  </si>
  <si>
    <t>REFF PENDING ICT,NO18072 PERFORM REPLACED PLACARD LAW STATEMENT IT FWD PARTITION LH D/T BAD CONDITION</t>
  </si>
  <si>
    <t>S115310</t>
  </si>
  <si>
    <t>B141066</t>
  </si>
  <si>
    <t>S122741</t>
  </si>
  <si>
    <t>E045244</t>
  </si>
  <si>
    <t>PK-SJE</t>
  </si>
  <si>
    <t>S118861</t>
  </si>
  <si>
    <t>S118862</t>
  </si>
  <si>
    <t>PERFORMED REPLACEMENT COVER TOILET LAVATORY A D/T BROKEN</t>
  </si>
  <si>
    <t>PK-BLC</t>
  </si>
  <si>
    <t>B137025</t>
  </si>
  <si>
    <t>PK-BLB</t>
  </si>
  <si>
    <t>B149578</t>
  </si>
  <si>
    <t>PK-LZZ</t>
  </si>
  <si>
    <t>B141557</t>
  </si>
  <si>
    <t>B138981</t>
  </si>
  <si>
    <t>B141605</t>
  </si>
  <si>
    <t>PK-BKL</t>
  </si>
  <si>
    <t>B149136</t>
  </si>
  <si>
    <t>B149527</t>
  </si>
  <si>
    <t>B140402</t>
  </si>
  <si>
    <t>B149528</t>
  </si>
  <si>
    <t>PERFORMED REPLACEMENT MASKER DEMO AT FWD CABIN</t>
  </si>
  <si>
    <t>B149135</t>
  </si>
  <si>
    <t>PERFORMED COMPLETED SCREW LOCK SEAT NO. 31DEF. DUE TO LOSSE</t>
  </si>
  <si>
    <t>PK-LAL</t>
  </si>
  <si>
    <t>B139013</t>
  </si>
  <si>
    <t>B143494</t>
  </si>
  <si>
    <t>B149078</t>
  </si>
  <si>
    <t>PK-LUT</t>
  </si>
  <si>
    <t>B149181</t>
  </si>
  <si>
    <t>B141131</t>
  </si>
  <si>
    <t>PK-LUJ</t>
  </si>
  <si>
    <t>B144262</t>
  </si>
  <si>
    <t>B144261</t>
  </si>
  <si>
    <t>PERFORMED REPLACEMENT BATTERIES FLASH LIGHT AT JUMPSEAT FA2 DUE TO NOT ILL, OPERATIONAL TEST RESULT ILLUMINATE AND NORMALLY WITH ON PN: BATTRY-A1 QTY: 2EA.</t>
  </si>
  <si>
    <t>B149182</t>
  </si>
  <si>
    <t>PERFORMED RECTIFICATION CURTAIN AND COMPLETED SLIDER ASSY CURTAIN AT FWD CABIN AND MIDDLE AREA HASBEEN C/O, OPRATIONAL TEST GOOD CONDITION AND NORMALLY.</t>
  </si>
  <si>
    <t>B137196</t>
  </si>
  <si>
    <t>PERFORMED REPOSITION NO5ABC 27DEF 29ABC DUE TO NOT ILLUMINATE OPS TEST ILLUMINATE</t>
  </si>
  <si>
    <t>S128039</t>
  </si>
  <si>
    <t>S129397</t>
  </si>
  <si>
    <t>S111397</t>
  </si>
  <si>
    <t>S141653</t>
  </si>
  <si>
    <t>S119420</t>
  </si>
  <si>
    <t>B141981</t>
  </si>
  <si>
    <t>PERFORMED RECTIFIED LOCKING TRAY TABLE SEAT NO 19B D/T BROKEN RESULT GOOD</t>
  </si>
  <si>
    <t>E0453132</t>
  </si>
  <si>
    <t>PERFORM THE RECONEC CONNECTOR PLUG WINDOW LIGHT AT SEAT NO 2DEF AND 34ABC DUE TO NOT ILLUMINATE HAS BEEN C/O OP'S TEST RESULT ILLUMINATE</t>
  </si>
  <si>
    <t>E0453133</t>
  </si>
  <si>
    <t>TRANSFER TO NSRDI NO NLA070766 NEED SPARE PN:LT-25-SB-001 EXTENSION SEAT BELT RQ:1120227 DUE TO MINUS 1 SPARE SEAT BELT</t>
  </si>
  <si>
    <t>E0453134</t>
  </si>
  <si>
    <t>PERFORM THE REPOSITION OF TUBE LAMP AT LAVATORY E DUE TO NOT ILLUMINATE HSA BEEN C/O OP'S TEST RESULT ILLUMINATE</t>
  </si>
  <si>
    <t>E0458311</t>
  </si>
  <si>
    <t>PERFORM THE CLEAN UP OF FILTER WASH BASIN AT LAVATORY E DUE TO DIRTY HAS BEEN C/O OP'S TEST RESULT WATER FLOW OUT NORMALY</t>
  </si>
  <si>
    <t>E0458312</t>
  </si>
  <si>
    <t>PERFORM THE RETIGHTENED OF WASTE FLAPPER DOOR SCREW AT FWD GALLEY DUE TO NOT PROPERLY HAS BEEN C/O RESULT PROPERLY</t>
  </si>
  <si>
    <t>PK-LKQ</t>
  </si>
  <si>
    <t>E0384752</t>
  </si>
  <si>
    <t>PERFORMED REPOSITION LED ASSY WINDOW LIGHT AT S/N 12ABC D/T SOMETIME BLINKING , RESULT NORMAL ILLUMINATE</t>
  </si>
  <si>
    <t>E0384754</t>
  </si>
  <si>
    <t>PERFORMED REFILL HANDSOAP AT LAVATORY LE D/T NOT AVAILABLE</t>
  </si>
  <si>
    <t>B147801</t>
  </si>
  <si>
    <t>PERFORMED REPOSITION COVER SEAT TRACK AT SEAT NO.18F &amp; 29F D/T NOT PROPER , RESULT GOOD</t>
  </si>
  <si>
    <t>B147802</t>
  </si>
  <si>
    <t>PERFORMED CLEAN UP FILTER WASH BASIN AT ALL LAVATORY DUE TO DIRTY, RESULT GOOD</t>
  </si>
  <si>
    <t>B147803</t>
  </si>
  <si>
    <t>PERFORMED RECTIFIED SHROUD ASSY AT LAVATORY LE D/T NOT PROPERLY , RESULT GOOD</t>
  </si>
  <si>
    <t>E0458597</t>
  </si>
  <si>
    <t>PERFORM THE DAILY BEAUTIFICATION OF INSPECTION CHECK HAS BEEN C/O</t>
  </si>
  <si>
    <t>S118917</t>
  </si>
  <si>
    <t>PERFORMED BEAUTIFICATION INSPECTION DAILY HAS BEEN C/O</t>
  </si>
  <si>
    <t>PK-LHS</t>
  </si>
  <si>
    <t>E0462011</t>
  </si>
  <si>
    <t>E0462010</t>
  </si>
  <si>
    <t>PERFORMED CLEAN UP FILTER CATRIDGE FAUCET LAVATORY A D/T LOW WATER , RESULT TEST GOOD</t>
  </si>
  <si>
    <t>E0462009</t>
  </si>
  <si>
    <t>PERFORMED RECONECT CONECTORE PLUG ENTRY LIGHT AT G4B RESULT NORMALLY</t>
  </si>
  <si>
    <t>E0462008</t>
  </si>
  <si>
    <t>PERFORMED RECONECT CONECTOR PLUG WINDOW LIGHT S/N 6ABC,A0DEF,25ABC,28-30DEF,22DEF D/T NOT ILLUMINATE</t>
  </si>
  <si>
    <t>E0462006</t>
  </si>
  <si>
    <t>PERFORMED RECONECT CONECTORE PLUG WINDOW LIGHT S/N 9DEF D/T BLINKING</t>
  </si>
  <si>
    <t>E0462007</t>
  </si>
  <si>
    <t>AFTER CHECK AND TEST ON GROUND WASTE SYSTEM INDICATOR FOUND NORMALLY</t>
  </si>
  <si>
    <t>E0456559</t>
  </si>
  <si>
    <t>PERFORMED REPOSITION CONNECTOR PLUG WINDOW LIGHT 29ABC D/T NOT ILLUMINATE</t>
  </si>
  <si>
    <t>E0456562</t>
  </si>
  <si>
    <t>E0456560</t>
  </si>
  <si>
    <t>PERFORMED REPLACED PLACARD OPEN BUKA AT 1L D/T BAD CONDITION</t>
  </si>
  <si>
    <t>E0456561</t>
  </si>
  <si>
    <t>DEFECT TRANSFER TO NSRDI:NLA082166 PLACARD OPEN BUKA AT 1R,5R BAD CONDITION</t>
  </si>
  <si>
    <t>PK-SAH</t>
  </si>
  <si>
    <t>S128189</t>
  </si>
  <si>
    <t>PERFORMED RECHARGE AIRFI FWD AND AFT CABIN S/N:165,095</t>
  </si>
  <si>
    <t>S128188</t>
  </si>
  <si>
    <t>S128186</t>
  </si>
  <si>
    <t>PERFORMED REPOSITION CB WORKLIGHT AT FWD GALLEY D/T POP OUT</t>
  </si>
  <si>
    <t>B143763</t>
  </si>
  <si>
    <t>PERFORMED RECHARGE AIRFI FWD AND AFT CABIN S/N:647,623</t>
  </si>
  <si>
    <t>E0384755</t>
  </si>
  <si>
    <t>E0384751</t>
  </si>
  <si>
    <t>PERFORMED RECONNECT PLUG WINDOW LIGHT CHECK RESULT ILLUMINATE RUE TO WINDOW LIGHT SN 7,10,16,22,ABC &amp; 18,DEF NOT ILLUMINATE</t>
  </si>
  <si>
    <t>E0384753</t>
  </si>
  <si>
    <t>PERFORMED RECONNECT PLUG CEILING LIGHT CHECK RESULT ILLUMINATE DUE TO CEILING LIGHT SN,5,9,29;ABC NOT ILLUMINATE</t>
  </si>
  <si>
    <t>B143761</t>
  </si>
  <si>
    <t>PK-SJL</t>
  </si>
  <si>
    <t>S119086</t>
  </si>
  <si>
    <t>S128187</t>
  </si>
  <si>
    <t>PERFORMED REPAINTING CANOE AT WING RH DUE TO PAINT PEELED OFF</t>
  </si>
  <si>
    <t>E0458281</t>
  </si>
  <si>
    <t>REFF ICT 18175 PERFORMED REPAINTING ARMREST SEAT 34F,33A,32B,32A,24A DUE TO PEELED OFF</t>
  </si>
  <si>
    <t>E0458280</t>
  </si>
  <si>
    <t>REFF NSRDI NLA084118 PERFORMED REPAINTING COVER CEILLING ROW 31DUE TO PEELED OFF</t>
  </si>
  <si>
    <t>B141871</t>
  </si>
  <si>
    <t>PERFORMED REPAINTING BOTH ENGINE COWLING #2 DUE TO PAINT BAD CONDITION</t>
  </si>
  <si>
    <t>E0433297</t>
  </si>
  <si>
    <t>PERFORMED ACTUAL CHECK ENTRY LIGHT AFT D/T FOLOW CABIN LIGHT. RESULT OPS TEST NORMALLY AND GOOD</t>
  </si>
  <si>
    <t>E0433298</t>
  </si>
  <si>
    <t>REOPEN TO NSRDI NO. NLA081712 GASPER AIR OUT S/N 32CEF NEED PART GASPER ASSY PN : 70651-32</t>
  </si>
  <si>
    <t>E0433300</t>
  </si>
  <si>
    <t>REFF NSRDI NLA070819 ECCUTCHEON ARMCAP S/N 12F , 16C , 33B , 34B , 236E ,37A , 39ADFIS MISSING NEED PN : 1010206-301BHU &amp; MS35206-226</t>
  </si>
  <si>
    <t>E0439452</t>
  </si>
  <si>
    <t>REFF NSRDI NAL 070840 COVER GASPER AIR OUT 19A MISSING NEED PN : 70651-32</t>
  </si>
  <si>
    <t>E0439454</t>
  </si>
  <si>
    <t>DURING DBI PERFORMED ADD NEW CML BOOK . HAS BEEN C.O</t>
  </si>
  <si>
    <t>E0439455</t>
  </si>
  <si>
    <t>DURING DBI PERFORMED RECTIFIED PANEL WORK LIGHT AT MID CABIN D/T NOT PROPER CONDITION. RESULT PROPER CONDITION</t>
  </si>
  <si>
    <t>E0439456</t>
  </si>
  <si>
    <t>PERFORMED BEAUTIFICATION INSPECTION DAILY CHECK. HAS BEEN C/O</t>
  </si>
  <si>
    <t>E0458279</t>
  </si>
  <si>
    <t>PK-SJJ</t>
  </si>
  <si>
    <t>S128278</t>
  </si>
  <si>
    <t>S128279</t>
  </si>
  <si>
    <t>DURING DBI PERFORMD RECAHRGING AIRFI FWD SN 116 D/T LOW BATT. HAS BEEN C/O</t>
  </si>
  <si>
    <t>B133844</t>
  </si>
  <si>
    <t>REFF NSRDI PAGE NO NID007356 PERFORMED COMPLETED FILTER WASH BASIN AT LAVATORY LE DUE TO MISSING</t>
  </si>
  <si>
    <t>B133845</t>
  </si>
  <si>
    <t>PERFORMED RECHARGING ARIFI AT FWD AND AFT CABIN DUE TO LOW BATTERY</t>
  </si>
  <si>
    <t>B133846</t>
  </si>
  <si>
    <t>PK-LBS</t>
  </si>
  <si>
    <t>B149042</t>
  </si>
  <si>
    <t>B149043</t>
  </si>
  <si>
    <t>PK-SJZ</t>
  </si>
  <si>
    <t>S114869</t>
  </si>
  <si>
    <t>B141186</t>
  </si>
  <si>
    <t>B141185</t>
  </si>
  <si>
    <t>DURING DBI RECHARGE AIRFI AT FWD AND AFT CABIN DUE TO LOW BATT</t>
  </si>
  <si>
    <t>B141870</t>
  </si>
  <si>
    <t>B141869</t>
  </si>
  <si>
    <t>E0465603</t>
  </si>
  <si>
    <t>REF TO WO NO: 2330308 T/C GEN.EA.25-205-IDNPERFORM REPLACED LIFEVEST UNDER SEAT NO:36F D/T EXPIRE OCTOBER 2026</t>
  </si>
  <si>
    <t>E0465604</t>
  </si>
  <si>
    <t>PERFORM CHECK DAILY BEAUTIFICATION INSPECTION C/O REF AMM:25-00-00</t>
  </si>
  <si>
    <t>E0465602</t>
  </si>
  <si>
    <t>PERFORM RECTIFIED HYDROLOCK SEAT 3A, 3C, 5A, D/T CAN'T RECLINE REF AMM 25-22-00</t>
  </si>
  <si>
    <t>PK-SAV</t>
  </si>
  <si>
    <t>S086440</t>
  </si>
  <si>
    <t>PERFORM ADJUSMENT HYDROLOCK S/N 8E OP'S TEST RESULT NORMAL REF AMM:25-22-00</t>
  </si>
  <si>
    <t>S086441</t>
  </si>
  <si>
    <t>PERFORM REPOSITION TUBE LAMP WINDOW LIGHT AT S/N 11-12 DEF D/T NOT ILL. OP'S TEST RESULT ILL. REF AMM : 33-21-00</t>
  </si>
  <si>
    <t>S086442</t>
  </si>
  <si>
    <t>PERFORM RECTIFIED SEAT NO: 31ABC D/T NOT PROPERLY AT SEAT TRACK REF AMM:25-22-00</t>
  </si>
  <si>
    <t>S086443</t>
  </si>
  <si>
    <t>E0465106</t>
  </si>
  <si>
    <t>REF AMM 25-00-00 PERFORM ISTALL UPK ON AIRCRAFT FOR SUPPORT FLIGHT INTER</t>
  </si>
  <si>
    <t>PK-LDJ</t>
  </si>
  <si>
    <t>B144778</t>
  </si>
  <si>
    <t>REF AMM 33-21-00 PERFORM RECONNECT CONNECTOR PLUG WNDOW LIGHT 5,7 AND 28 ABC D/T NOT ILLUMINATE, RESULT GOOD</t>
  </si>
  <si>
    <t>B144779</t>
  </si>
  <si>
    <t>REF AMM 25-22-00 PERFORM REINSTALL RECLINE BUTTON SEAT 22B D/T NOT AVAVILABLE</t>
  </si>
  <si>
    <t>B144780</t>
  </si>
  <si>
    <t>REF AMM 25-00-00 PERFORMED REFILL HANDSOAP TO ALL LAVATORY D/T LESS VOLUME</t>
  </si>
  <si>
    <t>PK-LAM</t>
  </si>
  <si>
    <t>B145924</t>
  </si>
  <si>
    <t>REF AMM 25-00-00 PERFORMED CLEANED UP UNKNOWN STICKER AT TRAY TABLE 4B,15B,22CD , RESULT GOOD CONDTION</t>
  </si>
  <si>
    <t>B145925</t>
  </si>
  <si>
    <t>REF AMM 25-00-00 PERFORMED BEAUFICATION INSPECTION CHECK C/O</t>
  </si>
  <si>
    <t>E0465107</t>
  </si>
  <si>
    <t>REF AMM 25-00-00 PERFORM REMOVE UPK ON THE AIRCRAFT AFTER SUPPORT FLIGHT INTER</t>
  </si>
  <si>
    <t>S110863</t>
  </si>
  <si>
    <t>REF AMM 25-00-00 PERFORMED BEAUFICATION DAILY CHECK C/O</t>
  </si>
  <si>
    <t>PK-WHT</t>
  </si>
  <si>
    <t>C028582</t>
  </si>
  <si>
    <t>JIC 25-00-00 PERFORM INSPECTION BEAUFICATION DAILY RESULT C/O</t>
  </si>
  <si>
    <t>E0456624</t>
  </si>
  <si>
    <t>REF AMM 25-00-00 DEFECT ALREADY INSERT TO NSRDIL PAGE NO.NLA082316 NEED PN:1013160-001HZ01-GEN</t>
  </si>
  <si>
    <t>E0456625</t>
  </si>
  <si>
    <t>REF AMM 33-21-00 PERFORMED REPOSITION CONNECTOR PLUG OF WINDOW LIGHT AT S/N 8ABC D/T BLINKING RESULT NORMALLY</t>
  </si>
  <si>
    <t>E0456626</t>
  </si>
  <si>
    <t>REF AMM 33-21-00 ALREADY INSERT TO DMI PAGE NO.004195</t>
  </si>
  <si>
    <t>E0456627</t>
  </si>
  <si>
    <t>E0456628</t>
  </si>
  <si>
    <t>REF AMM 33-26-00 ALREADY INSERT TO NSRDIL PAGE NO.NLA072388</t>
  </si>
  <si>
    <t>E0456629</t>
  </si>
  <si>
    <t>PK-LAY</t>
  </si>
  <si>
    <t>B131195</t>
  </si>
  <si>
    <t>B144781</t>
  </si>
  <si>
    <t>S110864</t>
  </si>
  <si>
    <t>REF AMM 25-21-00 PERFORMED ACTUAL CHECK SEAT NO.7F,16D,18DEF,21E,23F,30B GOOD CONDITITON RECLINE NORMALLY</t>
  </si>
  <si>
    <t>E0463743</t>
  </si>
  <si>
    <t>REF AMM 25-00-00 PERFORMED BEAUFICATION INSPECTION DAILY CHECK C/O</t>
  </si>
  <si>
    <t>E0463741</t>
  </si>
  <si>
    <t>REF AMM 33-29-00 PERFORMED RESET BITE TEST FROM FAP DUE TO ENTRY LIGHT @64B ALWAYS ILLUMINATE OP'S TEST RESULT NORMALLY</t>
  </si>
  <si>
    <t>E0453135</t>
  </si>
  <si>
    <t>PK-WFT</t>
  </si>
  <si>
    <t>C028238</t>
  </si>
  <si>
    <t>REF JIC 25-00-00 PERFORMED REPLACEMENT TAP HOTJUG NO 2 D/T LEAKING</t>
  </si>
  <si>
    <t>S128590</t>
  </si>
  <si>
    <t>PERFORMED REPOSITION TUBE LAMP CEILLING LIGHT 32ABC FOUND NOT ILLUMINATE HAS BEEN CARRIED OUT OPS TEST RESULT ILLUMINATE</t>
  </si>
  <si>
    <t>S128591</t>
  </si>
  <si>
    <t>PERFORMED RETIGHTEN TRAY TABLE S/N 18E FOUND CRACK HAS BEEN CARRIED OUT</t>
  </si>
  <si>
    <t>S128592</t>
  </si>
  <si>
    <t>PERFORMED REPOSITION SEAL OF PBE AT FWD STATION FOUND BROKEN HAS BEEN CARRIED OUT</t>
  </si>
  <si>
    <t>S128593</t>
  </si>
  <si>
    <t>REOPEN TO NSRDI PAGE NSAJ031265 PANEL COVER HEADRACK S/N 29-30-31 ABC, 26-27-28 DEF, 12-15-16 ABC DEF, 11 ABC, 7-8 DEF FOUND MISSING</t>
  </si>
  <si>
    <t>S128594</t>
  </si>
  <si>
    <t>DURING DAILY CHECK PERFORMED CLEAN UP FILTER WASH BASIN AT LAVATORY LA, LD, AND LE FOUND DIRTY HAS BEEN CARRIED OUT</t>
  </si>
  <si>
    <t>S128595</t>
  </si>
  <si>
    <t>DURING DAILY CHECK PERFORMED RECHARGING BATTERY AIRFI AT FWD STATION D/T LOWBATT HAS BEEN CARRIED OUT S/N : DSD.ID.999.0819.154 &amp; DSD.ID.999.0819.162</t>
  </si>
  <si>
    <t>S128596</t>
  </si>
  <si>
    <t>PK-BKY</t>
  </si>
  <si>
    <t>B141911</t>
  </si>
  <si>
    <t>DURING DAILY CHECK PERFORMED REFILL HAND SOAP AT LAVATORY LA, LD, AND LE FOUND EMPTY HAS BEEN CARRIED OUT</t>
  </si>
  <si>
    <t>B141912</t>
  </si>
  <si>
    <t>DURING DAILY CHECK PERFORMED RECHARGING BATTERY AIRFI AT FWD STATION D/T LOWBATT HAS BEEN CARRIED OUT S/N : DSD.IU.999.0619.570 &amp; DSD.ID.999.0619.621</t>
  </si>
  <si>
    <t>B141913</t>
  </si>
  <si>
    <t>B141434</t>
  </si>
  <si>
    <t>TRANSFERRED TO AFML PAGE NO. Z836907</t>
  </si>
  <si>
    <t>E0346421</t>
  </si>
  <si>
    <t>PERFORM RESET CB LAV VACUUM WASTE,TEST OP'S FOUND NORMAL ON FAP</t>
  </si>
  <si>
    <t>E0346422</t>
  </si>
  <si>
    <t>PERFORM RESEAL OF MEDICAL KIT C/O</t>
  </si>
  <si>
    <t>E0346423</t>
  </si>
  <si>
    <t>DO CHECK PRESSURE POCA 1L,FOUND STILL LIMIT REF GEN EI-35-083R2</t>
  </si>
  <si>
    <t>E0346416</t>
  </si>
  <si>
    <t>PERFORM RECTIFIED SPEAKER AT L11,RESULT TEST NORMAL</t>
  </si>
  <si>
    <t>E0346428</t>
  </si>
  <si>
    <t>PERFORM ADDED PRESPRAY,TOP OF DESCENT,ONE SHOT FOR CHARTER FLIGHT</t>
  </si>
  <si>
    <t>E0346427</t>
  </si>
  <si>
    <t>PERFORM INSTALL AIRSICKNESS BAG ON THE AIRCRAFT C/O</t>
  </si>
  <si>
    <t>C025336</t>
  </si>
  <si>
    <t>PERFORM REPLACEMENT PLACARD BUTTON FLUSHING C/O,RESULT GOOD CONDITION</t>
  </si>
  <si>
    <t>C025337</t>
  </si>
  <si>
    <t>DEFECT ALREADY INSERT TO NSRDI NO.NWA005132</t>
  </si>
  <si>
    <t>C025338</t>
  </si>
  <si>
    <t>DEFECT INSERT TO NSRDI NO.NWA005133</t>
  </si>
  <si>
    <t>C025339</t>
  </si>
  <si>
    <t>PERFORM TOUCHUP PAINT AT SIDE WALL 11A C/O</t>
  </si>
  <si>
    <t>C025340</t>
  </si>
  <si>
    <t>PERFORM RECTIFIED AND REPOSITION SLIDER CURTAIN AFT ENTERANCE DOOR C/O RESULT GOOD CONDITION</t>
  </si>
  <si>
    <t>C025341</t>
  </si>
  <si>
    <t>PERFORM RECTIFICATION OF SEAT BELT 1C,18F, C/O RESULT GOOD CONDITION</t>
  </si>
  <si>
    <t>C025342</t>
  </si>
  <si>
    <t>DEFECT INSERT TO NSRDI NO.NWA005134</t>
  </si>
  <si>
    <t>C025343</t>
  </si>
  <si>
    <t>PERFORM TOUCH UP PAINT OF INNER DOOR HEADRACK 5DF C/O</t>
  </si>
  <si>
    <t>B139062</t>
  </si>
  <si>
    <t>PERFORM RECTIFIE SPRING SEAT POCKET S/N 10F RESULT GOOD CONDITION</t>
  </si>
  <si>
    <t>PKL-LQZ</t>
  </si>
  <si>
    <t>LONG STAY</t>
  </si>
  <si>
    <t>E0444928</t>
  </si>
  <si>
    <t>PERFORM REPOSITION LED WINDOW LIGHT S/N 10ABC RESULT NORMAL</t>
  </si>
  <si>
    <t>E0444927</t>
  </si>
  <si>
    <t>PERFORM RECTIFIED ARMREST S/N 7F RESULT GOOD CONDITION</t>
  </si>
  <si>
    <t>B141435</t>
  </si>
  <si>
    <t>PERFORM RECTIFIED SPRING JUMPSEAT AT FA2 RESULT GOOD AND PROPER</t>
  </si>
  <si>
    <t>E0438611</t>
  </si>
  <si>
    <t>PERFORM RECONECT CONECTOR PLUG WINDOW LIGHT S/N 38-39 ABC RESULT ILLUMINATE</t>
  </si>
  <si>
    <t>E0438612</t>
  </si>
  <si>
    <t>PERFORM REPOSITION LED WINDOW LIGHT S/N 31,33 ABC D/T BLINKING RESULT NORMAL LIGHTING</t>
  </si>
  <si>
    <t>E0438614</t>
  </si>
  <si>
    <t>PERFORM ADJUSSMENT CABLE RECLINE SEAT 4E RESULT TES GOOD AND RECLINE</t>
  </si>
  <si>
    <t>E0438613</t>
  </si>
  <si>
    <t>TRANSFER TO NSRDIL NO NLA090213 (WASTE SYSTEM INDICATOR ERROR</t>
  </si>
  <si>
    <t>B143493</t>
  </si>
  <si>
    <t>PERFORM COMPLETED CSREW COVER BUMPER ENDBAY S/N 3D RESULT GOOD AND PROPER</t>
  </si>
  <si>
    <t>PK-LQT</t>
  </si>
  <si>
    <t>E0451301</t>
  </si>
  <si>
    <t>PERFORM ADDED NEW CML C/O</t>
  </si>
  <si>
    <t>E0444985</t>
  </si>
  <si>
    <t>PERFORM RECONECT CONECTOR ENTRY LIGHT AT AFT CABIN RESULT C/O</t>
  </si>
  <si>
    <t>E0444986</t>
  </si>
  <si>
    <t>PERFORM REFILL HANDSOAP LAV LE RESULT OK</t>
  </si>
  <si>
    <t>E0444987</t>
  </si>
  <si>
    <t>PERFORM REPOSITION AREA LIGHT AT FWD GALLEY RESULT OK</t>
  </si>
  <si>
    <t>E0444988</t>
  </si>
  <si>
    <t>PERFORM RECONECT CONECTOR WINDOW LIGHT S/N 26-34 D/T ALWAYS ILLUMINATE RESULT OK</t>
  </si>
  <si>
    <t>E0444989</t>
  </si>
  <si>
    <t>PERFORM DAILY BEAUTIFICATION INSPECTION CHECK HAS BEEN C/O</t>
  </si>
  <si>
    <t>S115449</t>
  </si>
  <si>
    <t>PERFORM RECTIFIED PAX CALL 16DEF RESULT NORMAL</t>
  </si>
  <si>
    <t>S115450</t>
  </si>
  <si>
    <t>PERFORM REPOSITION CEILLING LIGHT 31ABC RESULT ILLUMINATE</t>
  </si>
  <si>
    <t>S115451</t>
  </si>
  <si>
    <t>PERFORM ADD NEW CML HAS BEEN DONE</t>
  </si>
  <si>
    <t>S124002</t>
  </si>
  <si>
    <t>PERFORM ADJUSMENT BUTTON SEAT COVER S/N 31A, 32EF D/T NOT PROPER RESULT OK</t>
  </si>
  <si>
    <t>S124003</t>
  </si>
  <si>
    <t>PERFORM CLEAN UP FILTER WASH BASIN ALL LAVATORY RESULT CLEAN</t>
  </si>
  <si>
    <t>S124004</t>
  </si>
  <si>
    <t>E0444929</t>
  </si>
  <si>
    <t>PERFORM RECTIFIED PASTEN SEAT BELT 34ABC RESULT NORMAL</t>
  </si>
  <si>
    <t>E0444930</t>
  </si>
  <si>
    <t>PK-LKV</t>
  </si>
  <si>
    <t>E0463244</t>
  </si>
  <si>
    <t>PERFORM RECONECT CONECTOR WINDOW LIGHT S/N 4DEF, 5ABC, 8A-F, 15ABC, 12ABC, 25-29ABC, 33DEF RESULT ILLUMINATE</t>
  </si>
  <si>
    <t>E0463245</t>
  </si>
  <si>
    <t>PERFORM REFILL HANDSOAP AT LD &amp; LE RESULT OK</t>
  </si>
  <si>
    <t>E0463246</t>
  </si>
  <si>
    <t>C025344IW</t>
  </si>
  <si>
    <t>PK-WJP</t>
  </si>
  <si>
    <t>C162637</t>
  </si>
  <si>
    <t>PK-WJZ</t>
  </si>
  <si>
    <t>C015996IW</t>
  </si>
  <si>
    <t>PK-WKH</t>
  </si>
  <si>
    <t>C037530</t>
  </si>
  <si>
    <t>PK-WJM</t>
  </si>
  <si>
    <t>C036037</t>
  </si>
  <si>
    <t>PERFORMED REPOSITION OF WINDOW SHUTTER AT SN 2F HAS BEEN C/O</t>
  </si>
  <si>
    <t>C036038</t>
  </si>
  <si>
    <t>PK-WJL</t>
  </si>
  <si>
    <t>C025043IW</t>
  </si>
  <si>
    <t>TRANSFERRED TO NSRDIL NO. NWA015047</t>
  </si>
  <si>
    <t>C025044IW</t>
  </si>
  <si>
    <t>TRANSFERRED TO NSRDIL NO. NWA015048</t>
  </si>
  <si>
    <t>C025045IW</t>
  </si>
  <si>
    <t>TRANSFERRED TO NSRDIL NO. NWA015049</t>
  </si>
  <si>
    <t>C025042IW</t>
  </si>
  <si>
    <t>PERFORMED REPLACED PLACARD " NO SMOKING AND KEEP CLEANING AT DOOR LAVATORY RESULT GOOD</t>
  </si>
  <si>
    <t>C025041IW</t>
  </si>
  <si>
    <t>PERFORMED RECTIFIED OF ARMCAP AT SN 20D RESULT GOOD</t>
  </si>
  <si>
    <t>C025040IW</t>
  </si>
  <si>
    <t>PERFORMED REPOSITION OF CABLE RECLINE NO. 10F, 3F RESULT GOOD</t>
  </si>
  <si>
    <t>C025039IW</t>
  </si>
  <si>
    <t>PERFORMED REPLACEMENT SAFETY WALK AT PAX STAIR RESULT GOOD</t>
  </si>
  <si>
    <t>C025046IW</t>
  </si>
  <si>
    <t>E0451355</t>
  </si>
  <si>
    <t>PERFORM REPLACED RECLINE BUTTON AT SEAT NO.26C &amp; 38D C/O</t>
  </si>
  <si>
    <t>E0451356</t>
  </si>
  <si>
    <t>PERFORM REPLACED BULB SMOKING SIGN SEAT NO.7A-F,8DEF,15ABC,37DEF OPT TEST RESULT ILL</t>
  </si>
  <si>
    <t>E0451357</t>
  </si>
  <si>
    <t>PERFORM DAILY BEAUTIFICATION INSPECTION CHECK C/O</t>
  </si>
  <si>
    <t>PK-LUI</t>
  </si>
  <si>
    <t>B143821</t>
  </si>
  <si>
    <t>PERFORM CLEAN UP FILTER WASH BASHIN AT ALL LAVATORY C/O RESULT GOOD &amp; CLEAN</t>
  </si>
  <si>
    <t>B143822</t>
  </si>
  <si>
    <t>B135593</t>
  </si>
  <si>
    <t>B135594</t>
  </si>
  <si>
    <t>E0431068</t>
  </si>
  <si>
    <t>TRANSFER TO NSRDIL NO.NLA0431068</t>
  </si>
  <si>
    <t>E0431064</t>
  </si>
  <si>
    <t>PERFORM RECTIFIED AND CLEAN UP FAUCET LAVATORY LD RESULT TEST GOOD</t>
  </si>
  <si>
    <t>E0431065</t>
  </si>
  <si>
    <t>PERFORM RECTIFIED SWITCH FLUSH LAVATORY LE RESULT TEST GOOD</t>
  </si>
  <si>
    <t>E0431066</t>
  </si>
  <si>
    <t>TRANSFER TO NSRDIL NO.NLA074510</t>
  </si>
  <si>
    <t>E0431067</t>
  </si>
  <si>
    <t>PK-LET</t>
  </si>
  <si>
    <t>E0463930</t>
  </si>
  <si>
    <t>I.A.W. AMM : 25-00-00 PERFORMED BEAUTIFICATION INSPECTION DAILY CHECK HAS BEEN C/O.</t>
  </si>
  <si>
    <t>E0463931</t>
  </si>
  <si>
    <t>REF NSRDIL NO. NLA089319 I.A.W AMM 25-64-00 PERFORM RECTIFIED OXYGEN MASK AT DOOR 2 L D/T NOT PROPERLY HAS BEEN C/O</t>
  </si>
  <si>
    <t>S111069</t>
  </si>
  <si>
    <t>I.A.W AMM ATA 23-40-00 PERFORM RECTIFIED PA AT FWD CABIN HARD TO PRESS RESULT NORMAL</t>
  </si>
  <si>
    <t>S111070</t>
  </si>
  <si>
    <t>PROBLEM TRANSFER TO AFML S337183</t>
  </si>
  <si>
    <t>S111071</t>
  </si>
  <si>
    <t>I.A.W AMM ATA 25-21-00 PERFORM RECTIFIED COVER ARMREST AT S/N 6 E, 8 E, 24 A DUE TO NOT PROPER CONDITION</t>
  </si>
  <si>
    <t>S111072</t>
  </si>
  <si>
    <t>PROBLEM ALREADY NSRDIL NO. NSAJ027010</t>
  </si>
  <si>
    <t>S111073</t>
  </si>
  <si>
    <t>I.A.W AMM ATA 25-21-00 PERFORM RECTIFIED SEAT BACK S/N 7 D DUE TO AUTO RECLINE HAS BEEN C/O. RESULT GOOD</t>
  </si>
  <si>
    <t>S111074</t>
  </si>
  <si>
    <t>I.A.W AMM ATA 25-21-00 PERFORM RECTIFIED BUTTON RECLINE SEAT NO. 7 E IS DUE TO NOT PROPER HAS BEEN C/O</t>
  </si>
  <si>
    <t>S111075</t>
  </si>
  <si>
    <t>S111077</t>
  </si>
  <si>
    <t>I.A.W AMM ATA 25-60-00 PERFORMED REPLACEMENT BATTERY FLASH LIGHT FA 3 DUE TO NOT ILLUMINATE HAS BEEN C/O</t>
  </si>
  <si>
    <t>B147807</t>
  </si>
  <si>
    <t>REF NSRDIL NBA033554 I.A.W AMM ATA 25-45-00 PERFORMED REPLACE DOOR WASTE LAVATORY LE FOUND DUE TO BAD CONDITION (CRACK) HAS BEEN C/O . RESULT GOOD</t>
  </si>
  <si>
    <t>B147808</t>
  </si>
  <si>
    <t>I.A.W AMM ATA : 44-21-00 PERFORMED RECHARGE AIRFI AT POS AFT SN : 447 STATION DUE TO LOW BATTERY HAS BEEN C/O.</t>
  </si>
  <si>
    <t>B147809</t>
  </si>
  <si>
    <t>REF WO. 2290290 I.A.W AMM ATA 25-45-00 PERFORM DETAILED INSPECTION OF WASTE COMPARTMENT FOR FIRE CONTAINMENT CAPABILITY &amp; INSPECTION OF ASHTRAYS ON LAVATORY HAS BEEN C/O</t>
  </si>
  <si>
    <t>B147810</t>
  </si>
  <si>
    <t>PK-LFW</t>
  </si>
  <si>
    <t>E0461435</t>
  </si>
  <si>
    <t>E0461436</t>
  </si>
  <si>
    <t>REF NSRDIL NLA082512 I.A.W AMM 25-00-00 PERFORMED VERIFICATION CHECK LOG BOOK CML GOOD CONDITION ALREADY REPLACE</t>
  </si>
  <si>
    <t>PK-SAO</t>
  </si>
  <si>
    <t>S116089</t>
  </si>
  <si>
    <t>I.A.W AMM 25-64-00 PERFORM RECTIFIED POUCH MRT FA4 RESULT GOOD CONDITION</t>
  </si>
  <si>
    <t>S116090</t>
  </si>
  <si>
    <t>Pk-LBK</t>
  </si>
  <si>
    <t>Perfomed repainted at rh Aft Fuselage</t>
  </si>
  <si>
    <t>Perfomed repainted at Aft lh Fuselage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</si>
</sst>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m-yy"/>
    <numFmt numFmtId="165" formatCode="DD-MMM-YY"/>
    <numFmt numFmtId="166" formatCode="dd&quot;-&quot;mmm&quot;-&quot;yy"/>
    <numFmt numFmtId="167" formatCode="dd&quot; &quot;mmmm&quot; &quot;yy"/>
    <numFmt numFmtId="168" formatCode="d&quot; &quot;mmmm&quot; &quot;yy"/>
    <numFmt numFmtId="169" formatCode="dd&quot;-&quot;mmm&quot;-&quot;yyyy"/>
    <numFmt numFmtId="170" formatCode="d\ mmmm\ yyyy"/>
    <numFmt numFmtId="171" formatCode="d-mmm-yy"/>
    <numFmt numFmtId="172" formatCode="d&quot;-&quot;mmm&quot;-&quot;yyyy"/>
  </numFmts>
  <fonts count="27">
    <font>
      <sz val="10.0"/>
      <color rgb="FF000000"/>
      <name val="Arial"/>
      <scheme val="minor"/>
    </font>
    <font>
      <b/>
      <sz val="9.0"/>
      <color rgb="FF3C4043"/>
      <name val="Calibri"/>
    </font>
    <font>
      <b/>
      <sz val="10.0"/>
      <color theme="1"/>
      <name val="Calibri"/>
    </font>
    <font>
      <b/>
      <sz val="9.0"/>
      <color theme="1"/>
      <name val="Calibri"/>
    </font>
    <font/>
    <font>
      <sz val="9.0"/>
      <color theme="1"/>
      <name val="Calibri"/>
    </font>
    <font>
      <b/>
      <sz val="10.0"/>
      <color rgb="FFF8F9FA"/>
      <name val="Calibri"/>
    </font>
    <font>
      <sz val="10.0"/>
      <color rgb="FF000000"/>
      <name val="Calibri"/>
    </font>
    <font>
      <color theme="1"/>
      <name val="Arial"/>
    </font>
    <font>
      <b/>
      <sz val="10.0"/>
      <color rgb="FF000000"/>
      <name val="Calibri"/>
    </font>
    <font>
      <sz val="10.0"/>
      <color rgb="FF34A853"/>
      <name val="Calibri"/>
    </font>
    <font>
      <sz val="10.0"/>
      <color theme="1"/>
      <name val="Calibri"/>
    </font>
    <font>
      <sz val="10.0"/>
      <color rgb="FF434343"/>
      <name val="Calibri"/>
    </font>
    <font>
      <sz val="9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sz val="14.0"/>
      <color theme="1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color theme="1"/>
      <name val="Calibri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E378"/>
        <bgColor rgb="FF99E378"/>
      </patternFill>
    </fill>
    <fill>
      <patternFill patternType="solid">
        <fgColor rgb="FFCCCCCC"/>
        <bgColor rgb="FFCCCCCC"/>
      </patternFill>
    </fill>
    <fill>
      <patternFill patternType="solid">
        <fgColor rgb="FFE1F3F8"/>
        <bgColor rgb="FFE1F3F8"/>
      </patternFill>
    </fill>
    <fill>
      <patternFill patternType="solid">
        <fgColor rgb="FFF6F8F9"/>
        <bgColor rgb="FFF6F8F9"/>
      </patternFill>
    </fill>
    <fill>
      <patternFill patternType="solid">
        <fgColor rgb="FFF4CCCC"/>
        <bgColor rgb="FFF4CCCC"/>
      </patternFill>
    </fill>
    <fill>
      <patternFill patternType="solid">
        <fgColor rgb="FF97E075"/>
        <bgColor rgb="FF97E075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3" numFmtId="165" xfId="0" applyAlignment="1" applyBorder="1" applyFill="1" applyFont="1" applyNumberFormat="1">
      <alignment horizontal="center" readingOrder="0" shrinkToFit="0" vertical="center" wrapText="1"/>
    </xf>
    <xf borderId="1" fillId="2" fontId="2" numFmtId="165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Border="1" applyFill="1" applyFont="1"/>
    <xf borderId="0" fillId="0" fontId="5" numFmtId="0" xfId="0" applyAlignment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3" fillId="0" fontId="4" numFmtId="0" xfId="0" applyBorder="1" applyFont="1"/>
    <xf borderId="2" fillId="0" fontId="4" numFmtId="0" xfId="0" applyBorder="1" applyFont="1"/>
    <xf borderId="4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vertical="top"/>
    </xf>
    <xf borderId="4" fillId="5" fontId="7" numFmtId="0" xfId="0" applyAlignment="1" applyBorder="1" applyFill="1" applyFont="1">
      <alignment horizontal="center" shrinkToFit="0" vertical="center" wrapText="1"/>
    </xf>
    <xf borderId="4" fillId="6" fontId="3" numFmtId="166" xfId="0" applyAlignment="1" applyBorder="1" applyFill="1" applyFont="1" applyNumberFormat="1">
      <alignment horizontal="center" shrinkToFit="0" vertical="center" wrapText="1"/>
    </xf>
    <xf borderId="3" fillId="3" fontId="4" numFmtId="0" xfId="0" applyBorder="1" applyFill="1" applyFont="1"/>
    <xf borderId="4" fillId="6" fontId="3" numFmtId="0" xfId="0" applyAlignment="1" applyBorder="1" applyFill="1" applyFont="1">
      <alignment horizontal="center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2" fillId="5" fontId="2" numFmtId="165" xfId="0" applyAlignment="1" applyBorder="1" applyFill="1" applyFont="1" applyNumberForma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1"/>
    </xf>
    <xf borderId="4" fillId="6" fontId="3" numFmtId="49" xfId="0" applyAlignment="1" applyBorder="1" applyFill="1" applyFont="1" applyNumberFormat="1">
      <alignment horizontal="center" shrinkToFit="0" vertical="center" wrapText="1"/>
    </xf>
    <xf borderId="0" fillId="6" fontId="3" numFmtId="49" xfId="0" applyAlignment="1" applyFill="1" applyFont="1" applyNumberFormat="1">
      <alignment horizontal="center" shrinkToFit="0" vertical="center" wrapText="1"/>
    </xf>
    <xf borderId="4" fillId="8" fontId="5" numFmtId="166" xfId="0" applyAlignment="1" applyBorder="1" applyFill="1" applyFont="1" applyNumberFormat="1">
      <alignment horizontal="center" vertical="top"/>
    </xf>
    <xf borderId="4" fillId="7" fontId="2" numFmtId="167" xfId="0" applyAlignment="1" applyBorder="1" applyFill="1" applyFont="1" applyNumberFormat="1">
      <alignment horizontal="center" shrinkToFit="0" vertical="center" wrapText="1"/>
    </xf>
    <xf borderId="4" fillId="0" fontId="7" numFmtId="167" xfId="0" applyAlignment="1" applyBorder="1" applyFont="1" applyNumberFormat="1">
      <alignment horizontal="center" shrinkToFit="0" vertical="center" wrapText="1"/>
    </xf>
    <xf borderId="4" fillId="8" fontId="5" numFmtId="0" xfId="0" applyAlignment="1" applyBorder="1" applyFill="1" applyFont="1">
      <alignment horizontal="center" vertical="top"/>
    </xf>
    <xf borderId="4" fillId="8" fontId="5" numFmtId="0" xfId="0" applyAlignment="1" applyBorder="1" applyFill="1" applyFont="1">
      <alignment horizontal="center" vertical="top"/>
    </xf>
    <xf borderId="4" fillId="0" fontId="10" numFmtId="167" xfId="0" applyAlignment="1" applyBorder="1" applyFont="1" applyNumberForma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top" wrapText="1"/>
    </xf>
    <xf borderId="1" fillId="0" fontId="7" numFmtId="167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4" fillId="5" fontId="11" numFmtId="166" xfId="0" applyAlignment="1" applyBorder="1" applyFill="1" applyFont="1" applyNumberFormat="1">
      <alignment horizontal="center" readingOrder="0" shrinkToFit="0" vertical="center" wrapText="1"/>
    </xf>
    <xf borderId="4" fillId="0" fontId="9" numFmtId="168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ill="1" applyFont="1">
      <alignment vertical="top"/>
    </xf>
    <xf borderId="4" fillId="0" fontId="12" numFmtId="0" xfId="0" applyAlignment="1" applyBorder="1" applyFont="1">
      <alignment horizontal="center" readingOrder="0" shrinkToFit="0" vertical="center" wrapText="1"/>
    </xf>
    <xf borderId="4" fillId="6" fontId="9" numFmtId="15" xfId="0" applyAlignment="1" applyBorder="1" applyFill="1" applyFont="1" applyNumberFormat="1">
      <alignment horizontal="center" shrinkToFit="0" vertical="center" wrapText="1"/>
    </xf>
    <xf borderId="4" fillId="6" fontId="9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center" readingOrder="0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2" numFmtId="166" xfId="0" applyAlignment="1" applyBorder="1" applyFont="1" applyNumberForma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quotePrefix="1" borderId="4" fillId="0" fontId="7" numFmtId="0" xfId="0" applyAlignment="1" applyBorder="1" applyFont="1">
      <alignment horizontal="center" readingOrder="0" shrinkToFit="0" vertical="center" wrapText="1"/>
    </xf>
    <xf borderId="4" fillId="8" fontId="8" numFmtId="166" xfId="0" applyAlignment="1" applyBorder="1" applyFill="1" applyFont="1" applyNumberFormat="1">
      <alignment vertical="top"/>
    </xf>
    <xf borderId="4" fillId="9" fontId="9" numFmtId="49" xfId="0" applyAlignment="1" applyBorder="1" applyFill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12" numFmtId="0" xfId="0" applyAlignment="1" applyBorder="1" applyFill="1" applyFont="1">
      <alignment horizontal="center" readingOrder="0" shrinkToFit="0" vertical="center" wrapText="1"/>
    </xf>
    <xf borderId="4" fillId="6" fontId="2" numFmtId="49" xfId="0" applyAlignment="1" applyBorder="1" applyFill="1" applyFont="1" applyNumberFormat="1">
      <alignment horizontal="center" shrinkToFit="0" vertical="center" wrapText="1"/>
    </xf>
    <xf borderId="4" fillId="5" fontId="13" numFmtId="0" xfId="0" applyAlignment="1" applyBorder="1" applyFill="1" applyFont="1">
      <alignment horizontal="center" readingOrder="0" shrinkToFit="0" vertical="center" wrapText="1"/>
    </xf>
    <xf borderId="4" fillId="5" fontId="13" numFmtId="0" xfId="0" applyAlignment="1" applyBorder="1" applyFill="1" applyFont="1">
      <alignment horizontal="center" readingOrder="0"/>
    </xf>
    <xf borderId="4" fillId="5" fontId="13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4" fillId="5" fontId="12" numFmtId="0" xfId="0" applyAlignment="1" applyBorder="1" applyFill="1" applyFont="1">
      <alignment horizontal="center" readingOrder="0" shrinkToFit="0" vertical="center" wrapText="1"/>
    </xf>
    <xf borderId="4" fillId="11" fontId="11" numFmtId="0" xfId="0" applyAlignment="1" applyBorder="1" applyFill="1" applyFont="1">
      <alignment horizontal="center" readingOrder="0" shrinkToFit="0" vertical="center" wrapText="1"/>
    </xf>
    <xf borderId="4" fillId="3" fontId="13" numFmtId="0" xfId="0" applyAlignment="1" applyBorder="1" applyFill="1" applyFont="1">
      <alignment horizontal="center" readingOrder="0" shrinkToFit="0" vertical="center" wrapText="1"/>
    </xf>
    <xf borderId="4" fillId="10" fontId="7" numFmtId="0" xfId="0" applyAlignment="1" applyBorder="1" applyFill="1" applyFont="1">
      <alignment horizontal="center" readingOrder="0" vertical="center"/>
    </xf>
    <xf borderId="4" fillId="3" fontId="13" numFmtId="0" xfId="0" applyAlignment="1" applyBorder="1" applyFill="1" applyFont="1">
      <alignment horizontal="center" readingOrder="0"/>
    </xf>
    <xf borderId="4" fillId="5" fontId="11" numFmtId="0" xfId="0" applyAlignment="1" applyBorder="1" applyFill="1" applyFont="1">
      <alignment horizontal="center" readingOrder="0" shrinkToFit="0" vertical="center" wrapText="1"/>
    </xf>
    <xf borderId="4" fillId="3" fontId="9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vertical="center"/>
    </xf>
    <xf borderId="4" fillId="3" fontId="2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7" numFmtId="166" xfId="0" applyAlignment="1" applyBorder="1" applyFont="1" applyNumberForma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shrinkToFit="0" vertical="top" wrapText="1"/>
    </xf>
    <xf borderId="4" fillId="5" fontId="11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4" fillId="12" fontId="11" numFmtId="166" xfId="0" applyAlignment="1" applyBorder="1" applyFill="1" applyFont="1" applyNumberFormat="1">
      <alignment horizontal="center" readingOrder="0" shrinkToFit="0" vertical="center" wrapText="1"/>
    </xf>
    <xf borderId="4" fillId="12" fontId="13" numFmtId="0" xfId="0" applyAlignment="1" applyBorder="1" applyFill="1" applyFont="1">
      <alignment horizontal="center" readingOrder="0" shrinkToFit="0" vertical="center" wrapText="1"/>
    </xf>
    <xf borderId="4" fillId="12" fontId="13" numFmtId="0" xfId="0" applyAlignment="1" applyBorder="1" applyFill="1" applyFont="1">
      <alignment horizontal="center" shrinkToFit="0" vertical="center" wrapText="1"/>
    </xf>
    <xf borderId="4" fillId="12" fontId="7" numFmtId="0" xfId="0" applyAlignment="1" applyBorder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/>
    </xf>
    <xf borderId="4" fillId="12" fontId="12" numFmtId="0" xfId="0" applyAlignment="1" applyBorder="1" applyFill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vertical="center"/>
    </xf>
    <xf borderId="4" fillId="12" fontId="5" numFmtId="0" xfId="0" applyAlignment="1" applyBorder="1" applyFill="1" applyFont="1">
      <alignment horizontal="center" readingOrder="0" shrinkToFit="0" vertical="top" wrapText="1"/>
    </xf>
    <xf borderId="4" fillId="0" fontId="2" numFmtId="165" xfId="0" applyAlignment="1" applyBorder="1" applyFont="1" applyNumberFormat="1">
      <alignment horizontal="center" readingOrder="0" shrinkToFit="0" vertical="center" wrapText="1"/>
    </xf>
    <xf borderId="4" fillId="12" fontId="1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4" fillId="13" fontId="1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4" fillId="5" fontId="13" numFmtId="49" xfId="0" applyAlignment="1" applyBorder="1" applyFill="1" applyFont="1" applyNumberFormat="1">
      <alignment horizontal="center" readingOrder="0" shrinkToFit="0" vertical="center" wrapText="1"/>
    </xf>
    <xf borderId="4" fillId="5" fontId="13" numFmtId="2" xfId="0" applyAlignment="1" applyBorder="1" applyFill="1" applyFont="1" applyNumberFormat="1">
      <alignment horizontal="center" readingOrder="0" shrinkToFit="0" vertical="center" wrapText="1"/>
    </xf>
    <xf borderId="0" fillId="5" fontId="8" numFmtId="0" xfId="0" applyAlignment="1" applyFill="1" applyFont="1">
      <alignment vertical="top"/>
    </xf>
    <xf borderId="4" fillId="5" fontId="13" numFmtId="1" xfId="0" applyAlignment="1" applyBorder="1" applyFill="1" applyFont="1" applyNumberFormat="1">
      <alignment horizontal="center" readingOrder="0" shrinkToFit="0" vertical="center" wrapText="1"/>
    </xf>
    <xf borderId="4" fillId="8" fontId="5" numFmtId="49" xfId="0" applyAlignment="1" applyBorder="1" applyFill="1" applyFont="1" applyNumberFormat="1">
      <alignment horizontal="center" shrinkToFit="0" vertical="top" wrapText="1"/>
    </xf>
    <xf borderId="0" fillId="5" fontId="5" numFmtId="0" xfId="0" applyAlignment="1" applyFill="1" applyFont="1">
      <alignment horizontal="center" vertical="top"/>
    </xf>
    <xf borderId="4" fillId="8" fontId="8" numFmtId="0" xfId="0" applyAlignment="1" applyBorder="1" applyFill="1" applyFont="1">
      <alignment vertical="top"/>
    </xf>
    <xf borderId="0" fillId="5" fontId="14" numFmtId="0" xfId="0" applyFill="1" applyFont="1"/>
    <xf borderId="4" fillId="12" fontId="5" numFmtId="166" xfId="0" applyAlignment="1" applyBorder="1" applyFill="1" applyFont="1" applyNumberFormat="1">
      <alignment horizontal="center" vertical="top"/>
    </xf>
    <xf borderId="4" fillId="12" fontId="5" numFmtId="0" xfId="0" applyAlignment="1" applyBorder="1" applyFill="1" applyFont="1">
      <alignment horizontal="center" vertical="top"/>
    </xf>
    <xf borderId="4" fillId="12" fontId="5" numFmtId="0" xfId="0" applyAlignment="1" applyBorder="1" applyFill="1" applyFont="1">
      <alignment horizontal="center"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12" fontId="8" numFmtId="166" xfId="0" applyAlignment="1" applyBorder="1" applyFill="1" applyFont="1" applyNumberFormat="1">
      <alignment vertical="top"/>
    </xf>
    <xf borderId="4" fillId="12" fontId="8" numFmtId="0" xfId="0" applyAlignment="1" applyBorder="1" applyFill="1" applyFont="1">
      <alignment vertical="top"/>
    </xf>
    <xf borderId="4" fillId="5" fontId="5" numFmtId="0" xfId="0" applyAlignment="1" applyBorder="1" applyFill="1" applyFont="1">
      <alignment horizontal="center" shrinkToFit="0" vertical="center" wrapText="1"/>
    </xf>
    <xf borderId="0" fillId="5" fontId="11" numFmtId="166" xfId="0" applyAlignment="1" applyFill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readingOrder="0" vertical="top"/>
    </xf>
    <xf borderId="0" fillId="0" fontId="13" numFmtId="0" xfId="0" applyAlignment="1" applyFont="1">
      <alignment readingOrder="0" vertical="top"/>
    </xf>
    <xf borderId="4" fillId="0" fontId="13" numFmtId="0" xfId="0" applyAlignment="1" applyBorder="1" applyFont="1">
      <alignment horizontal="left" readingOrder="0" vertical="top"/>
    </xf>
    <xf borderId="0" fillId="5" fontId="12" numFmtId="0" xfId="0" applyAlignment="1" applyFill="1" applyFon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shrinkToFit="0" vertical="center" wrapText="1"/>
    </xf>
    <xf borderId="4" fillId="0" fontId="13" numFmtId="0" xfId="0" applyAlignment="1" applyBorder="1" applyFont="1">
      <alignment horizontal="left" vertical="top"/>
    </xf>
    <xf borderId="0" fillId="0" fontId="13" numFmtId="0" xfId="0" applyAlignment="1" applyFont="1">
      <alignment horizontal="left" readingOrder="0" vertical="top"/>
    </xf>
    <xf borderId="4" fillId="8" fontId="5" numFmtId="169" xfId="0" applyAlignment="1" applyBorder="1" applyFill="1" applyFont="1" applyNumberFormat="1">
      <alignment horizontal="center" shrinkToFit="0" vertical="top" wrapText="1"/>
    </xf>
    <xf borderId="1" fillId="2" fontId="11" numFmtId="166" xfId="0" applyAlignment="1" applyBorder="1" applyFill="1" applyFont="1" applyNumberFormat="1">
      <alignment horizontal="center" readingOrder="0" shrinkToFit="0" vertical="center" wrapText="1"/>
    </xf>
    <xf borderId="1" fillId="0" fontId="11" numFmtId="170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4" fillId="9" fontId="11" numFmtId="10" xfId="0" applyAlignment="1" applyBorder="1" applyFill="1" applyFont="1" applyNumberFormat="1">
      <alignment horizontal="center" readingOrder="0" shrinkToFit="0" vertical="center" wrapText="1"/>
    </xf>
    <xf borderId="4" fillId="6" fontId="11" numFmtId="10" xfId="0" applyAlignment="1" applyBorder="1" applyFill="1" applyFont="1" applyNumberFormat="1">
      <alignment horizontal="center" shrinkToFit="0" vertical="center" wrapText="1"/>
    </xf>
    <xf borderId="4" fillId="5" fontId="11" numFmtId="10" xfId="0" applyAlignment="1" applyBorder="1" applyFill="1" applyFont="1" applyNumberFormat="1">
      <alignment horizontal="center" readingOrder="0" shrinkToFit="0" vertical="center" wrapText="1"/>
    </xf>
    <xf borderId="4" fillId="5" fontId="11" numFmtId="171" xfId="0" applyAlignment="1" applyBorder="1" applyFill="1" applyFont="1" applyNumberForma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textRotation="0" vertical="center" wrapText="1"/>
    </xf>
    <xf borderId="4" fillId="12" fontId="5" numFmtId="0" xfId="0" applyAlignment="1" applyBorder="1" applyFill="1" applyFont="1">
      <alignment horizontal="center" vertical="top"/>
    </xf>
    <xf borderId="4" fillId="11" fontId="11" numFmtId="166" xfId="0" applyAlignment="1" applyBorder="1" applyFill="1" applyFont="1" applyNumberFormat="1">
      <alignment horizontal="center" readingOrder="0" shrinkToFit="0" vertical="center" wrapText="1"/>
    </xf>
    <xf borderId="4" fillId="11" fontId="7" numFmtId="0" xfId="0" applyAlignment="1" applyBorder="1" applyFill="1" applyFont="1">
      <alignment horizontal="center" readingOrder="0" shrinkToFit="0" textRotation="0" vertical="center" wrapText="1"/>
    </xf>
    <xf borderId="4" fillId="11" fontId="7" numFmtId="0" xfId="0" applyAlignment="1" applyBorder="1" applyFill="1" applyFont="1">
      <alignment horizontal="center" readingOrder="0" shrinkToFit="0" vertical="center" wrapText="1"/>
    </xf>
    <xf borderId="4" fillId="14" fontId="7" numFmtId="0" xfId="0" applyAlignment="1" applyBorder="1" applyFill="1" applyFont="1">
      <alignment horizontal="center" readingOrder="0" shrinkToFit="0" textRotation="0" vertical="center" wrapText="1"/>
    </xf>
    <xf borderId="4" fillId="14" fontId="7" numFmtId="0" xfId="0" applyAlignment="1" applyBorder="1" applyFill="1" applyFont="1">
      <alignment horizontal="center" readingOrder="0" shrinkToFit="0" vertical="center" wrapText="1"/>
    </xf>
    <xf borderId="4" fillId="14" fontId="11" numFmtId="0" xfId="0" applyAlignment="1" applyBorder="1" applyFill="1" applyFont="1">
      <alignment horizontal="center" readingOrder="0" shrinkToFit="0" vertical="center" wrapText="1"/>
    </xf>
    <xf borderId="4" fillId="14" fontId="11" numFmtId="171" xfId="0" applyAlignment="1" applyBorder="1" applyFill="1" applyFont="1" applyNumberFormat="1">
      <alignment horizontal="center" readingOrder="0" shrinkToFit="0" vertical="center" wrapText="1"/>
    </xf>
    <xf borderId="4" fillId="11" fontId="15" numFmtId="0" xfId="0" applyAlignment="1" applyBorder="1" applyFill="1" applyFont="1">
      <alignment horizontal="center" readingOrder="0" shrinkToFit="0" wrapText="0"/>
    </xf>
    <xf borderId="4" fillId="8" fontId="8" numFmtId="49" xfId="0" applyAlignment="1" applyBorder="1" applyFill="1" applyFont="1" applyNumberFormat="1">
      <alignment vertical="top"/>
    </xf>
    <xf borderId="4" fillId="12" fontId="5" numFmtId="172" xfId="0" applyAlignment="1" applyBorder="1" applyFill="1" applyFont="1" applyNumberFormat="1">
      <alignment horizontal="center" vertical="top"/>
    </xf>
    <xf borderId="4" fillId="12" fontId="5" numFmtId="49" xfId="0" applyAlignment="1" applyBorder="1" applyFill="1" applyFont="1" applyNumberFormat="1">
      <alignment horizontal="center" shrinkToFit="0" vertical="top" wrapText="1"/>
    </xf>
    <xf borderId="4" fillId="12" fontId="5" numFmtId="0" xfId="0" applyAlignment="1" applyBorder="1" applyFill="1" applyFont="1">
      <alignment horizontal="center" shrinkToFit="0" vertical="top" wrapText="1"/>
    </xf>
    <xf borderId="4" fillId="12" fontId="8" numFmtId="49" xfId="0" applyAlignment="1" applyBorder="1" applyFill="1" applyFont="1" applyNumberFormat="1">
      <alignment vertical="top"/>
    </xf>
    <xf borderId="4" fillId="5" fontId="9" numFmtId="0" xfId="0" applyAlignment="1" applyBorder="1" applyFill="1" applyFont="1">
      <alignment horizontal="center" shrinkToFit="0" vertical="center" wrapText="1"/>
    </xf>
    <xf borderId="4" fillId="15" fontId="7" numFmtId="0" xfId="0" applyAlignment="1" applyBorder="1" applyFill="1" applyFont="1">
      <alignment horizontal="center" readingOrder="0" shrinkToFit="0" vertical="center" wrapText="1"/>
    </xf>
    <xf borderId="4" fillId="5" fontId="2" numFmtId="10" xfId="0" applyAlignment="1" applyBorder="1" applyFill="1" applyFont="1" applyNumberFormat="1">
      <alignment horizontal="center" readingOrder="0" shrinkToFit="0" vertical="center" wrapText="1"/>
    </xf>
    <xf borderId="4" fillId="14" fontId="7" numFmtId="166" xfId="0" applyAlignment="1" applyBorder="1" applyFill="1" applyFont="1" applyNumberFormat="1">
      <alignment horizontal="center" readingOrder="0" shrinkToFit="0" vertical="center" wrapText="1"/>
    </xf>
    <xf borderId="6" fillId="5" fontId="7" numFmtId="0" xfId="0" applyAlignment="1" applyBorder="1" applyFill="1" applyFont="1">
      <alignment horizontal="center" readingOrder="0" shrinkToFit="0" vertical="center" wrapText="1"/>
    </xf>
    <xf borderId="0" fillId="11" fontId="11" numFmtId="0" xfId="0" applyAlignment="1" applyFill="1" applyFont="1">
      <alignment horizontal="center" readingOrder="0" shrinkToFit="0" vertical="center" wrapText="1"/>
    </xf>
    <xf borderId="7" fillId="11" fontId="7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vertical="bottom"/>
    </xf>
    <xf borderId="4" fillId="2" fontId="11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0" fillId="0" fontId="17" numFmtId="0" xfId="0" applyFont="1"/>
    <xf borderId="7" fillId="16" fontId="18" numFmtId="0" xfId="0" applyAlignment="1" applyBorder="1" applyFill="1" applyFont="1">
      <alignment horizontal="center" vertical="center"/>
    </xf>
    <xf borderId="1" fillId="16" fontId="18" numFmtId="0" xfId="0" applyAlignment="1" applyBorder="1" applyFill="1" applyFont="1">
      <alignment horizontal="center" vertical="center"/>
    </xf>
    <xf borderId="1" fillId="16" fontId="18" numFmtId="0" xfId="0" applyAlignment="1" applyBorder="1" applyFill="1" applyFont="1">
      <alignment horizontal="center" readingOrder="0" vertical="center"/>
    </xf>
    <xf borderId="7" fillId="16" fontId="18" numFmtId="0" xfId="0" applyAlignment="1" applyBorder="1" applyFill="1" applyFont="1">
      <alignment horizontal="center" shrinkToFit="0" vertical="center" wrapText="1"/>
    </xf>
    <xf borderId="7" fillId="17" fontId="18" numFmtId="0" xfId="0" applyAlignment="1" applyBorder="1" applyFill="1" applyFont="1">
      <alignment horizontal="center" shrinkToFit="0" vertical="center" wrapText="1"/>
    </xf>
    <xf borderId="7" fillId="17" fontId="18" numFmtId="0" xfId="0" applyAlignment="1" applyBorder="1" applyFill="1" applyFont="1">
      <alignment horizontal="center" readingOrder="0" shrinkToFit="0" vertical="center" wrapText="1"/>
    </xf>
    <xf borderId="7" fillId="17" fontId="18" numFmtId="0" xfId="0" applyAlignment="1" applyBorder="1" applyFill="1" applyFont="1">
      <alignment horizontal="center" readingOrder="0" vertical="center"/>
    </xf>
    <xf borderId="7" fillId="18" fontId="18" numFmtId="0" xfId="0" applyAlignment="1" applyBorder="1" applyFill="1" applyFont="1">
      <alignment horizontal="center" shrinkToFit="0" vertical="center" wrapText="1"/>
    </xf>
    <xf borderId="9" fillId="0" fontId="4" numFmtId="0" xfId="0" applyBorder="1" applyFont="1"/>
    <xf borderId="4" fillId="16" fontId="18" numFmtId="0" xfId="0" applyAlignment="1" applyBorder="1" applyFill="1" applyFont="1">
      <alignment horizontal="center" vertical="center"/>
    </xf>
    <xf borderId="4" fillId="14" fontId="19" numFmtId="0" xfId="0" applyAlignment="1" applyBorder="1" applyFill="1" applyFont="1">
      <alignment horizontal="center" vertical="center"/>
    </xf>
    <xf borderId="4" fillId="14" fontId="19" numFmtId="0" xfId="0" applyAlignment="1" applyBorder="1" applyFill="1" applyFont="1">
      <alignment horizontal="center" readingOrder="0" shrinkToFit="0" vertical="center" wrapText="0"/>
    </xf>
    <xf borderId="4" fillId="5" fontId="20" numFmtId="0" xfId="0" applyAlignment="1" applyBorder="1" applyFill="1" applyFont="1">
      <alignment horizontal="center" readingOrder="0" shrinkToFit="0" vertical="center" wrapText="0"/>
    </xf>
    <xf borderId="4" fillId="5" fontId="19" numFmtId="0" xfId="0" applyAlignment="1" applyBorder="1" applyFill="1" applyFont="1">
      <alignment horizontal="center" readingOrder="0" shrinkToFit="0" vertical="center" wrapText="0"/>
    </xf>
    <xf borderId="0" fillId="14" fontId="17" numFmtId="0" xfId="0" applyFill="1" applyFont="1"/>
    <xf borderId="7" fillId="5" fontId="9" numFmtId="0" xfId="0" applyAlignment="1" applyBorder="1" applyFill="1" applyFont="1">
      <alignment horizontal="center" readingOrder="0" shrinkToFit="0" vertical="center" wrapText="1"/>
    </xf>
    <xf borderId="9" fillId="5" fontId="7" numFmtId="0" xfId="0" applyAlignment="1" applyBorder="1" applyFill="1" applyFont="1">
      <alignment horizontal="center" readingOrder="0" shrinkToFit="0" vertical="center" wrapText="1"/>
    </xf>
    <xf borderId="9" fillId="11" fontId="7" numFmtId="0" xfId="0" applyAlignment="1" applyBorder="1" applyFill="1" applyFont="1">
      <alignment horizontal="center" readingOrder="0" shrinkToFit="0" vertical="center" wrapText="1"/>
    </xf>
    <xf borderId="1" fillId="2" fontId="21" numFmtId="165" xfId="0" applyAlignment="1" applyBorder="1" applyFill="1" applyFont="1" applyNumberFormat="1">
      <alignment horizontal="center" readingOrder="0" vertical="bottom"/>
    </xf>
    <xf borderId="2" fillId="5" fontId="22" numFmtId="0" xfId="0" applyAlignment="1" applyBorder="1" applyFill="1" applyFont="1">
      <alignment horizontal="center" vertical="center"/>
    </xf>
    <xf borderId="2" fillId="5" fontId="22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ill="1" applyFont="1">
      <alignment vertical="bottom"/>
    </xf>
    <xf borderId="0" fillId="5" fontId="8" numFmtId="0" xfId="0" applyAlignment="1" applyFill="1" applyFont="1">
      <alignment vertical="bottom"/>
    </xf>
    <xf borderId="4" fillId="15" fontId="7" numFmtId="0" xfId="0" applyAlignment="1" applyBorder="1" applyFill="1" applyFont="1">
      <alignment horizontal="center" readingOrder="0" shrinkToFit="0" vertical="center" wrapText="0"/>
    </xf>
    <xf borderId="4" fillId="15" fontId="7" numFmtId="0" xfId="0" applyAlignment="1" applyBorder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3" fontId="23" numFmtId="0" xfId="0" applyAlignment="1" applyBorder="1" applyFill="1" applyFont="1">
      <alignment horizontal="center" readingOrder="0" shrinkToFit="0" vertical="center" wrapText="0"/>
    </xf>
    <xf borderId="4" fillId="5" fontId="7" numFmtId="0" xfId="0" applyAlignment="1" applyBorder="1" applyFill="1" applyFont="1">
      <alignment horizontal="center" readingOrder="0" vertical="center"/>
    </xf>
    <xf borderId="4" fillId="3" fontId="23" numFmtId="0" xfId="0" applyAlignment="1" applyBorder="1" applyFill="1" applyFont="1">
      <alignment horizontal="center" readingOrder="0" vertical="center"/>
    </xf>
    <xf borderId="4" fillId="3" fontId="23" numFmtId="0" xfId="0" applyAlignment="1" applyBorder="1" applyFill="1" applyFont="1">
      <alignment horizontal="center" readingOrder="0" shrinkToFit="0" vertical="center" wrapText="1"/>
    </xf>
    <xf borderId="4" fillId="3" fontId="11" numFmtId="0" xfId="0" applyAlignment="1" applyBorder="1" applyFill="1" applyFont="1">
      <alignment horizontal="center" readingOrder="0" shrinkToFit="0" vertical="center" wrapText="1"/>
    </xf>
    <xf borderId="0" fillId="3" fontId="7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5" fontId="23" numFmtId="0" xfId="0" applyAlignment="1" applyBorder="1" applyFill="1" applyFont="1">
      <alignment horizontal="center" readingOrder="0" shrinkToFit="0" vertical="center" wrapText="0"/>
    </xf>
    <xf borderId="4" fillId="5" fontId="23" numFmtId="0" xfId="0" applyAlignment="1" applyBorder="1" applyFill="1" applyFont="1">
      <alignment horizontal="center" readingOrder="0" vertical="center"/>
    </xf>
    <xf borderId="4" fillId="5" fontId="23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shrinkToFit="0" vertical="center" wrapText="1"/>
    </xf>
    <xf borderId="0" fillId="5" fontId="24" numFmtId="0" xfId="0" applyAlignment="1" applyFill="1" applyFont="1">
      <alignment horizontal="center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4" fillId="3" fontId="23" numFmtId="0" xfId="0" applyAlignment="1" applyBorder="1" applyFill="1" applyFont="1">
      <alignment horizontal="center" shrinkToFit="0" vertical="center" wrapText="0"/>
    </xf>
    <xf borderId="4" fillId="5" fontId="23" numFmtId="0" xfId="0" applyAlignment="1" applyBorder="1" applyFill="1" applyFont="1">
      <alignment horizontal="center" shrinkToFit="0" vertical="center" wrapText="0"/>
    </xf>
    <xf borderId="4" fillId="11" fontId="9" numFmtId="0" xfId="0" applyAlignment="1" applyBorder="1" applyFill="1" applyFont="1">
      <alignment horizontal="center" readingOrder="0" shrinkToFit="0" vertical="center" wrapText="1"/>
    </xf>
    <xf borderId="4" fillId="3" fontId="17" numFmtId="0" xfId="0" applyAlignment="1" applyBorder="1" applyFill="1" applyFont="1">
      <alignment horizontal="center" readingOrder="0" shrinkToFit="0" vertical="center" wrapText="0"/>
    </xf>
    <xf borderId="7" fillId="11" fontId="9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shrinkToFit="0" vertical="center" wrapText="0"/>
    </xf>
    <xf borderId="4" fillId="0" fontId="19" numFmtId="0" xfId="0" applyAlignment="1" applyBorder="1" applyFont="1">
      <alignment horizontal="center" vertical="center"/>
    </xf>
    <xf borderId="4" fillId="0" fontId="19" numFmtId="0" xfId="0" applyAlignment="1" applyBorder="1" applyFont="1">
      <alignment horizontal="center" readingOrder="0" shrinkToFit="0" vertical="center" wrapText="0"/>
    </xf>
    <xf borderId="4" fillId="5" fontId="7" numFmtId="0" xfId="0" applyAlignment="1" applyBorder="1" applyFill="1" applyFont="1">
      <alignment horizontal="center" readingOrder="0" shrinkToFit="0" vertical="center" wrapText="0"/>
    </xf>
    <xf borderId="4" fillId="5" fontId="11" numFmtId="0" xfId="0" applyAlignment="1" applyBorder="1" applyFill="1" applyFont="1">
      <alignment horizontal="center" readingOrder="0" shrinkToFit="0" vertical="center" wrapText="0"/>
    </xf>
    <xf borderId="4" fillId="5" fontId="11" numFmtId="0" xfId="0" applyAlignment="1" applyBorder="1" applyFill="1" applyFont="1">
      <alignment horizontal="center" readingOrder="0" vertical="center"/>
    </xf>
    <xf borderId="4" fillId="0" fontId="20" numFmtId="0" xfId="0" applyAlignment="1" applyBorder="1" applyFont="1">
      <alignment horizontal="center" readingOrder="0" shrinkToFit="0" vertical="center" wrapText="0"/>
    </xf>
    <xf borderId="4" fillId="11" fontId="2" numFmtId="0" xfId="0" applyAlignment="1" applyBorder="1" applyFill="1" applyFont="1">
      <alignment horizontal="center" readingOrder="0" shrinkToFit="0" vertical="center" wrapText="1"/>
    </xf>
    <xf borderId="4" fillId="14" fontId="5" numFmtId="166" xfId="0" applyAlignment="1" applyBorder="1" applyFill="1" applyFont="1" applyNumberForma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8" numFmtId="166" xfId="0" applyAlignment="1" applyBorder="1" applyFill="1" applyFont="1" applyNumberForma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shrinkToFit="0" vertical="center" wrapText="0"/>
    </xf>
    <xf borderId="4" fillId="14" fontId="5" numFmtId="49" xfId="0" applyAlignment="1" applyBorder="1" applyFill="1" applyFont="1" applyNumberFormat="1">
      <alignment horizontal="center" shrinkToFit="0" vertical="center" wrapText="1"/>
    </xf>
    <xf borderId="4" fillId="14" fontId="5" numFmtId="0" xfId="0" applyAlignment="1" applyBorder="1" applyFill="1" applyFont="1">
      <alignment horizontal="center" shrinkToFit="0" vertical="center" wrapText="1"/>
    </xf>
    <xf borderId="4" fillId="14" fontId="25" numFmtId="0" xfId="0" applyAlignment="1" applyBorder="1" applyFill="1" applyFont="1">
      <alignment horizontal="center" shrinkToFit="0" vertical="center" wrapText="1"/>
    </xf>
    <xf borderId="4" fillId="14" fontId="8" numFmtId="49" xfId="0" applyAlignment="1" applyBorder="1" applyFill="1" applyFont="1" applyNumberFormat="1">
      <alignment horizontal="center" shrinkToFit="0" vertical="center" wrapText="1"/>
    </xf>
    <xf borderId="4" fillId="3" fontId="11" numFmtId="0" xfId="0" applyAlignment="1" applyBorder="1" applyFill="1" applyFont="1">
      <alignment horizontal="center" readingOrder="0" shrinkToFit="0" vertical="center" wrapText="0"/>
    </xf>
    <xf borderId="4" fillId="14" fontId="8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ill="1" applyFont="1">
      <alignment horizontal="center" readingOrder="0" vertical="center"/>
    </xf>
    <xf borderId="4" fillId="3" fontId="7" numFmtId="0" xfId="0" applyAlignment="1" applyBorder="1" applyFill="1" applyFont="1">
      <alignment horizontal="center" readingOrder="0" shrinkToFit="0" vertical="center" wrapText="1"/>
    </xf>
    <xf borderId="4" fillId="3" fontId="11" numFmtId="0" xfId="0" applyAlignment="1" applyBorder="1" applyFill="1" applyFont="1">
      <alignment horizontal="center" readingOrder="0" vertical="center"/>
    </xf>
    <xf borderId="4" fillId="5" fontId="5" numFmtId="166" xfId="0" applyAlignment="1" applyBorder="1" applyFill="1" applyFont="1" applyNumberFormat="1">
      <alignment horizontal="center" vertical="top"/>
    </xf>
    <xf borderId="4" fillId="5" fontId="5" numFmtId="0" xfId="0" applyAlignment="1" applyBorder="1" applyFill="1" applyFont="1">
      <alignment horizontal="center" vertical="top"/>
    </xf>
    <xf borderId="4" fillId="5" fontId="5" numFmtId="0" xfId="0" applyAlignment="1" applyBorder="1" applyFill="1" applyFont="1">
      <alignment horizontal="center" shrinkToFit="0" vertical="top" wrapText="1"/>
    </xf>
    <xf borderId="4" fillId="5" fontId="8" numFmtId="166" xfId="0" applyAlignment="1" applyBorder="1" applyFill="1" applyFont="1" applyNumberFormat="1">
      <alignment vertical="top"/>
    </xf>
    <xf borderId="4" fillId="5" fontId="8" numFmtId="49" xfId="0" applyAlignment="1" applyBorder="1" applyFill="1" applyFont="1" applyNumberFormat="1">
      <alignment vertical="top"/>
    </xf>
    <xf borderId="4" fillId="5" fontId="8" numFmtId="0" xfId="0" applyAlignment="1" applyBorder="1" applyFill="1" applyFont="1">
      <alignment vertical="top"/>
    </xf>
    <xf borderId="4" fillId="5" fontId="5" numFmtId="0" xfId="0" applyAlignment="1" applyBorder="1" applyFill="1" applyFont="1">
      <alignment horizontal="center" readingOrder="0" vertical="top"/>
    </xf>
    <xf borderId="4" fillId="5" fontId="5" numFmtId="49" xfId="0" applyAlignment="1" applyBorder="1" applyFill="1" applyFont="1" applyNumberFormat="1">
      <alignment horizontal="center" shrinkToFit="0" vertical="top" wrapText="1"/>
    </xf>
    <xf borderId="4" fillId="11" fontId="5" numFmtId="166" xfId="0" applyAlignment="1" applyBorder="1" applyFill="1" applyFont="1" applyNumberFormat="1">
      <alignment horizontal="center" shrinkToFit="0" wrapText="1"/>
    </xf>
    <xf borderId="4" fillId="11" fontId="5" numFmtId="0" xfId="0" applyAlignment="1" applyBorder="1" applyFill="1" applyFont="1">
      <alignment horizontal="center" shrinkToFit="0" wrapText="1"/>
    </xf>
    <xf borderId="4" fillId="11" fontId="5" numFmtId="49" xfId="0" applyAlignment="1" applyBorder="1" applyFill="1" applyFont="1" applyNumberFormat="1">
      <alignment horizontal="center" shrinkToFit="0" wrapText="1"/>
    </xf>
    <xf borderId="4" fillId="11" fontId="8" numFmtId="166" xfId="0" applyBorder="1" applyFill="1" applyFont="1" applyNumberFormat="1"/>
    <xf borderId="4" fillId="11" fontId="5" numFmtId="172" xfId="0" applyAlignment="1" applyBorder="1" applyFill="1" applyFont="1" applyNumberFormat="1">
      <alignment horizontal="center" shrinkToFit="0" wrapText="1"/>
    </xf>
    <xf borderId="4" fillId="0" fontId="19" numFmtId="0" xfId="0" applyAlignment="1" applyBorder="1" applyFont="1">
      <alignment horizontal="center" readingOrder="0" vertical="center"/>
    </xf>
    <xf borderId="9" fillId="11" fontId="5" numFmtId="166" xfId="0" applyAlignment="1" applyBorder="1" applyFill="1" applyFont="1" applyNumberFormat="1">
      <alignment horizontal="center" shrinkToFit="0" wrapText="1"/>
    </xf>
    <xf borderId="4" fillId="11" fontId="8" numFmtId="0" xfId="0" applyBorder="1" applyFill="1" applyFont="1"/>
    <xf borderId="4" fillId="11" fontId="8" numFmtId="49" xfId="0" applyBorder="1" applyFill="1" applyFont="1" applyNumberFormat="1"/>
    <xf borderId="4" fillId="5" fontId="19" numFmtId="0" xfId="0" applyAlignment="1" applyBorder="1" applyFill="1" applyFont="1">
      <alignment horizontal="center" readingOrder="0" vertical="center"/>
    </xf>
    <xf borderId="4" fillId="3" fontId="17" numFmtId="0" xfId="0" applyAlignment="1" applyBorder="1" applyFill="1" applyFont="1">
      <alignment horizontal="center" readingOrder="0" vertical="center"/>
    </xf>
    <xf borderId="4" fillId="5" fontId="17" numFmtId="0" xfId="0" applyAlignment="1" applyBorder="1" applyFill="1" applyFont="1">
      <alignment horizontal="center" readingOrder="0" vertical="center"/>
    </xf>
    <xf borderId="0" fillId="5" fontId="17" numFmtId="0" xfId="0" applyFill="1" applyFont="1"/>
    <xf borderId="4" fillId="14" fontId="19" numFmtId="0" xfId="0" applyAlignment="1" applyBorder="1" applyFill="1" applyFont="1">
      <alignment horizontal="center" readingOrder="0" vertical="center"/>
    </xf>
    <xf borderId="4" fillId="5" fontId="17" numFmtId="0" xfId="0" applyAlignment="1" applyBorder="1" applyFill="1" applyFont="1">
      <alignment horizontal="center" vertical="center"/>
    </xf>
    <xf borderId="0" fillId="5" fontId="7" numFmtId="0" xfId="0" applyAlignment="1" applyFill="1" applyFont="1">
      <alignment horizontal="center" readingOrder="0" shrinkToFit="0" vertical="center" wrapText="0"/>
    </xf>
    <xf borderId="0" fillId="3" fontId="7" numFmtId="0" xfId="0" applyAlignment="1" applyFill="1" applyFont="1">
      <alignment horizontal="center" readingOrder="0" shrinkToFit="0" vertical="center" wrapText="0"/>
    </xf>
    <xf borderId="10" fillId="19" fontId="19" numFmtId="0" xfId="0" applyAlignment="1" applyBorder="1" applyFill="1" applyFont="1">
      <alignment horizontal="center" vertical="center"/>
    </xf>
    <xf borderId="5" fillId="0" fontId="4" numFmtId="0" xfId="0" applyBorder="1" applyFont="1"/>
    <xf borderId="7" fillId="5" fontId="7" numFmtId="0" xfId="0" applyAlignment="1" applyBorder="1" applyFill="1" applyFont="1">
      <alignment horizontal="center" readingOrder="0" shrinkToFit="0" vertical="center" wrapText="1"/>
    </xf>
    <xf borderId="4" fillId="19" fontId="19" numFmtId="0" xfId="0" applyAlignment="1" applyBorder="1" applyFill="1" applyFont="1">
      <alignment horizontal="center" readingOrder="0" shrinkToFit="0" vertical="center" wrapText="0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readingOrder="0"/>
    </xf>
    <xf borderId="0" fillId="0" fontId="17" numFmtId="0" xfId="0" applyAlignment="1" applyFont="1">
      <alignment vertical="center"/>
    </xf>
    <xf borderId="0" fillId="0" fontId="20" numFmtId="0" xfId="0" applyAlignment="1" applyFont="1">
      <alignment horizontal="center" readingOrder="0" shrinkToFit="0" vertical="center" wrapText="0"/>
    </xf>
    <xf borderId="0" fillId="0" fontId="11" numFmtId="0" xfId="0" applyFont="1"/>
    <xf borderId="7" fillId="5" fontId="11" numFmtId="0" xfId="0" applyAlignment="1" applyBorder="1" applyFill="1" applyFont="1">
      <alignment horizontal="center" readingOrder="0" shrinkToFit="0" vertical="center" wrapText="1"/>
    </xf>
    <xf borderId="0" fillId="0" fontId="13" numFmtId="165" xfId="0" applyAlignment="1" applyFont="1" applyNumberFormat="1">
      <alignment horizontal="center" readingOrder="0"/>
    </xf>
    <xf borderId="0" fillId="5" fontId="13" numFmtId="0" xfId="0" applyAlignment="1" applyFill="1" applyFont="1">
      <alignment horizontal="center" readingOrder="0" shrinkToFit="0" vertical="center" wrapText="0"/>
    </xf>
    <xf borderId="0" fillId="5" fontId="13" numFmtId="0" xfId="0" applyAlignment="1" applyFill="1" applyFont="1">
      <alignment horizontal="center" readingOrder="0" vertical="center"/>
    </xf>
    <xf borderId="0" fillId="5" fontId="13" numFmtId="0" xfId="0" applyAlignment="1" applyFill="1" applyFont="1">
      <alignment horizontal="center" readingOrder="0" shrinkToFit="0" vertical="center" wrapText="1"/>
    </xf>
    <xf borderId="0" fillId="5" fontId="26" numFmtId="0" xfId="0" applyAlignment="1" applyFill="1" applyFont="1">
      <alignment horizontal="center" readingOrder="0" vertical="bottom"/>
    </xf>
    <xf borderId="0" fillId="3" fontId="13" numFmtId="0" xfId="0" applyAlignment="1" applyFill="1" applyFont="1">
      <alignment horizontal="center" readingOrder="0" shrinkToFit="0" vertical="center" wrapText="0"/>
    </xf>
    <xf borderId="0" fillId="3" fontId="13" numFmtId="0" xfId="0" applyAlignment="1" applyFill="1" applyFont="1">
      <alignment horizontal="center" readingOrder="0" vertical="center"/>
    </xf>
    <xf borderId="0" fillId="3" fontId="13" numFmtId="0" xfId="0" applyAlignment="1" applyFill="1" applyFont="1">
      <alignment horizontal="center" readingOrder="0" shrinkToFit="0" vertical="center" wrapText="1"/>
    </xf>
    <xf borderId="0" fillId="3" fontId="26" numFmtId="0" xfId="0" applyAlignment="1" applyFill="1" applyFont="1">
      <alignment horizontal="center" readingOrder="0" vertical="bottom"/>
    </xf>
    <xf borderId="4" fillId="13" fontId="7" numFmtId="166" xfId="0" applyAlignment="1" applyBorder="1" applyFill="1" applyFont="1" applyNumberFormat="1">
      <alignment horizontal="center" readingOrder="0" shrinkToFit="0" vertical="center" wrapText="1"/>
    </xf>
    <xf borderId="4" fillId="13" fontId="7" numFmtId="0" xfId="0" applyAlignment="1" applyBorder="1" applyFill="1" applyFont="1">
      <alignment horizontal="center" readingOrder="0" shrinkToFit="0" vertical="center" wrapText="1"/>
    </xf>
    <xf borderId="4" fillId="14" fontId="7" numFmtId="0" xfId="0" applyAlignment="1" applyBorder="1" applyFill="1" applyFont="1">
      <alignment horizontal="center" readingOrder="0" shrinkToFit="0" vertical="center" wrapText="1"/>
    </xf>
    <xf borderId="4" fillId="11" fontId="7" numFmtId="166" xfId="0" applyAlignment="1" applyBorder="1" applyFill="1" applyFont="1" applyNumberFormat="1">
      <alignment horizontal="center" readingOrder="0" shrinkToFit="0" vertical="center" wrapText="1"/>
    </xf>
    <xf borderId="4" fillId="5" fontId="7" numFmtId="166" xfId="0" applyAlignment="1" applyBorder="1" applyFill="1" applyFont="1" applyNumberForma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readingOrder="0" shrinkToFit="0" vertical="center" wrapText="1"/>
    </xf>
    <xf borderId="5" fillId="11" fontId="7" numFmtId="0" xfId="0" applyAlignment="1" applyBorder="1" applyFill="1" applyFont="1">
      <alignment horizontal="center" readingOrder="0" shrinkToFit="0" vertical="center" wrapText="1"/>
    </xf>
    <xf borderId="4" fillId="11" fontId="15" numFmtId="0" xfId="0" applyAlignment="1" applyBorder="1" applyFill="1" applyFont="1">
      <alignment horizontal="center" readingOrder="0" shrinkToFit="0" vertical="center" wrapText="1"/>
    </xf>
    <xf borderId="4" fillId="5" fontId="15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7E075"/>
          <bgColor rgb="FF97E075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WO-style">
      <tableStyleElement dxfId="1" type="firstRowStripe"/>
      <tableStyleElement dxfId="2" type="secondRowStripe"/>
    </tableStyle>
    <tableStyle count="3" pivot="0" name="WO-style 2">
      <tableStyleElement dxfId="3" type="headerRow"/>
      <tableStyleElement dxfId="2" type="firstRowStripe"/>
      <tableStyleElement dxfId="4" type="secondRowStripe"/>
    </tableStyle>
    <tableStyle count="2" pivot="0" name="WO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BIN ON-DUTY" id="{b9e70a7a-33f2-452b-82b6-71b7549963fe}" providerId="google-sheets"/>
  <x18tc:person displayName="Lasino" id="{169a5f05-3039-4bb4-8732-2de5d75ddcc2}" providerId="google-sheets"/>
</x18tc:personList>
</file>

<file path=xl/tables/table1.xml><?xml version="1.0" encoding="utf-8"?>
<table xmlns="http://schemas.openxmlformats.org/spreadsheetml/2006/main" headerRowCount="0" ref="H2:P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WO-style" showColumnStripes="0" showFirstColumn="1" showLastColumn="1" showRowStripes="1"/>
</table>
</file>

<file path=xl/tables/table2.xml><?xml version="1.0" encoding="utf-8"?>
<table xmlns="http://schemas.openxmlformats.org/spreadsheetml/2006/main" headerRowCount="0" ref="D3:G154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W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H3:P154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W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169a5f05-3039-4bb4-8732-2de5d75ddcc2}" id="{bd4daf7d-d9cf-414e-911a-38f7f300f32b}" done="1">
    <x18tc:text xml:space="preserve">NIL PART AT BPN</x18tc:text>
  </x18tc:threadedComment>
  <x18tc:threadedComment ref="A1" dT="2025-11-09T11:13:47.00" personId="{b9e70a7a-33f2-452b-82b6-71b7549963fe}" id="{bd1db803-141b-40ab-87cb-5f8006733a3e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95.5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4">
        <v>46287.0</v>
      </c>
      <c r="B1" s="15"/>
      <c r="C1" s="9"/>
      <c r="D1" s="18"/>
      <c r="E1" s="7" t="s">
        <v>22</v>
      </c>
      <c r="F1" s="9"/>
      <c r="G1" s="9"/>
      <c r="H1" s="9"/>
      <c r="I1" s="9"/>
      <c r="J1" s="9"/>
      <c r="K1" s="10"/>
      <c r="L1" s="24"/>
      <c r="M1" s="24"/>
      <c r="N1" s="27"/>
      <c r="O1" s="29"/>
      <c r="P1" s="31"/>
    </row>
    <row r="2" ht="33.75" customHeight="1">
      <c r="A2" s="39" t="s">
        <v>3</v>
      </c>
      <c r="B2" s="38" t="s">
        <v>4</v>
      </c>
      <c r="C2" s="38" t="s">
        <v>5</v>
      </c>
      <c r="D2" s="38" t="s">
        <v>53</v>
      </c>
      <c r="E2" s="44" t="s">
        <v>55</v>
      </c>
      <c r="F2" s="38" t="s">
        <v>68</v>
      </c>
      <c r="G2" s="39" t="s">
        <v>69</v>
      </c>
      <c r="H2" s="39" t="s">
        <v>70</v>
      </c>
      <c r="I2" s="39" t="s">
        <v>45</v>
      </c>
      <c r="J2" s="39" t="s">
        <v>16</v>
      </c>
      <c r="K2" s="47" t="s">
        <v>17</v>
      </c>
      <c r="L2" s="39" t="s">
        <v>76</v>
      </c>
      <c r="M2" s="39" t="s">
        <v>23</v>
      </c>
      <c r="N2" s="39" t="s">
        <v>20</v>
      </c>
      <c r="O2" s="50" t="s">
        <v>26</v>
      </c>
      <c r="P2" s="50" t="s">
        <v>28</v>
      </c>
    </row>
    <row r="3">
      <c r="A3" s="32">
        <v>46287.0</v>
      </c>
      <c r="B3" s="51" t="s">
        <v>87</v>
      </c>
      <c r="C3" s="51" t="s">
        <v>92</v>
      </c>
      <c r="D3" s="51">
        <v>2300075.0</v>
      </c>
      <c r="E3" s="51" t="s">
        <v>95</v>
      </c>
      <c r="F3" s="51" t="s">
        <v>96</v>
      </c>
      <c r="G3" s="51" t="s">
        <v>101</v>
      </c>
      <c r="H3" s="53"/>
      <c r="I3" s="51" t="s">
        <v>106</v>
      </c>
      <c r="J3" s="51" t="s">
        <v>107</v>
      </c>
      <c r="K3" s="51" t="s">
        <v>108</v>
      </c>
      <c r="L3" s="53"/>
      <c r="M3" s="55"/>
      <c r="N3" s="60" t="s">
        <v>56</v>
      </c>
      <c r="O3" s="65"/>
      <c r="P3" s="65"/>
    </row>
    <row r="4">
      <c r="A4" s="32">
        <v>46287.0</v>
      </c>
      <c r="B4" s="51" t="s">
        <v>87</v>
      </c>
      <c r="C4" s="51" t="s">
        <v>92</v>
      </c>
      <c r="D4" s="51">
        <v>2301695.0</v>
      </c>
      <c r="E4" s="51" t="s">
        <v>115</v>
      </c>
      <c r="F4" s="51" t="s">
        <v>117</v>
      </c>
      <c r="G4" s="51" t="s">
        <v>101</v>
      </c>
      <c r="H4" s="53"/>
      <c r="I4" s="51" t="s">
        <v>106</v>
      </c>
      <c r="J4" s="51" t="s">
        <v>107</v>
      </c>
      <c r="K4" s="51" t="s">
        <v>108</v>
      </c>
      <c r="L4" s="53"/>
      <c r="M4" s="55"/>
      <c r="N4" s="60" t="s">
        <v>56</v>
      </c>
      <c r="O4" s="65"/>
      <c r="P4" s="72"/>
    </row>
    <row r="5">
      <c r="A5" s="74">
        <v>46287.0</v>
      </c>
      <c r="B5" s="75" t="s">
        <v>122</v>
      </c>
      <c r="C5" s="75" t="s">
        <v>123</v>
      </c>
      <c r="D5" s="75">
        <v>2319706.0</v>
      </c>
      <c r="E5" s="75" t="s">
        <v>115</v>
      </c>
      <c r="F5" s="75" t="s">
        <v>117</v>
      </c>
      <c r="G5" s="75" t="s">
        <v>101</v>
      </c>
      <c r="H5" s="76"/>
      <c r="I5" s="75" t="s">
        <v>106</v>
      </c>
      <c r="J5" s="75" t="s">
        <v>107</v>
      </c>
      <c r="K5" s="75" t="s">
        <v>127</v>
      </c>
      <c r="L5" s="76"/>
      <c r="M5" s="77"/>
      <c r="N5" s="79" t="s">
        <v>47</v>
      </c>
      <c r="O5" s="81" t="s">
        <v>131</v>
      </c>
      <c r="P5" s="83" t="s">
        <v>132</v>
      </c>
    </row>
    <row r="6">
      <c r="A6" s="32">
        <v>46287.0</v>
      </c>
      <c r="B6" s="51" t="s">
        <v>133</v>
      </c>
      <c r="C6" s="51" t="s">
        <v>134</v>
      </c>
      <c r="D6" s="51">
        <v>2041836.0</v>
      </c>
      <c r="E6" s="51" t="s">
        <v>135</v>
      </c>
      <c r="F6" s="51" t="s">
        <v>136</v>
      </c>
      <c r="G6" s="51" t="s">
        <v>101</v>
      </c>
      <c r="H6" s="51" t="s">
        <v>137</v>
      </c>
      <c r="I6" s="51" t="s">
        <v>50</v>
      </c>
      <c r="J6" s="51" t="s">
        <v>51</v>
      </c>
      <c r="K6" s="51" t="s">
        <v>43</v>
      </c>
      <c r="L6" s="53"/>
      <c r="M6" s="55"/>
      <c r="N6" s="60" t="s">
        <v>56</v>
      </c>
      <c r="O6" s="65"/>
      <c r="P6" s="65"/>
    </row>
    <row r="7">
      <c r="A7" s="32">
        <v>46287.0</v>
      </c>
      <c r="B7" s="51" t="s">
        <v>138</v>
      </c>
      <c r="C7" s="51" t="s">
        <v>139</v>
      </c>
      <c r="D7" s="51">
        <v>1920378.0</v>
      </c>
      <c r="E7" s="51" t="s">
        <v>135</v>
      </c>
      <c r="F7" s="51" t="s">
        <v>140</v>
      </c>
      <c r="G7" s="51" t="s">
        <v>101</v>
      </c>
      <c r="H7" s="51" t="s">
        <v>141</v>
      </c>
      <c r="I7" s="51" t="s">
        <v>142</v>
      </c>
      <c r="J7" s="51" t="s">
        <v>143</v>
      </c>
      <c r="K7" s="51" t="s">
        <v>43</v>
      </c>
      <c r="L7" s="51" t="s">
        <v>144</v>
      </c>
      <c r="M7" s="55"/>
      <c r="N7" s="60" t="s">
        <v>56</v>
      </c>
      <c r="O7" s="85"/>
      <c r="P7" s="65"/>
    </row>
    <row r="8">
      <c r="A8" s="32">
        <v>46287.0</v>
      </c>
      <c r="B8" s="51" t="s">
        <v>138</v>
      </c>
      <c r="C8" s="51" t="s">
        <v>139</v>
      </c>
      <c r="D8" s="87" t="s">
        <v>145</v>
      </c>
      <c r="E8" s="51" t="s">
        <v>135</v>
      </c>
      <c r="F8" s="51" t="s">
        <v>146</v>
      </c>
      <c r="G8" s="51" t="s">
        <v>101</v>
      </c>
      <c r="H8" s="51" t="s">
        <v>147</v>
      </c>
      <c r="I8" s="51" t="s">
        <v>142</v>
      </c>
      <c r="J8" s="51" t="s">
        <v>143</v>
      </c>
      <c r="K8" s="51" t="s">
        <v>43</v>
      </c>
      <c r="L8" s="51" t="s">
        <v>144</v>
      </c>
      <c r="M8" s="55"/>
      <c r="N8" s="60" t="s">
        <v>56</v>
      </c>
      <c r="O8" s="65"/>
      <c r="P8" s="65"/>
    </row>
    <row r="9">
      <c r="A9" s="32">
        <v>46287.0</v>
      </c>
      <c r="B9" s="51" t="s">
        <v>138</v>
      </c>
      <c r="C9" s="51" t="s">
        <v>139</v>
      </c>
      <c r="D9" s="87" t="s">
        <v>149</v>
      </c>
      <c r="E9" s="51" t="s">
        <v>150</v>
      </c>
      <c r="F9" s="51" t="s">
        <v>151</v>
      </c>
      <c r="G9" s="51" t="s">
        <v>152</v>
      </c>
      <c r="H9" s="88" t="s">
        <v>147</v>
      </c>
      <c r="I9" s="51" t="s">
        <v>142</v>
      </c>
      <c r="J9" s="51" t="s">
        <v>143</v>
      </c>
      <c r="K9" s="51" t="s">
        <v>43</v>
      </c>
      <c r="L9" s="51" t="s">
        <v>153</v>
      </c>
      <c r="M9" s="55"/>
      <c r="N9" s="60" t="s">
        <v>47</v>
      </c>
      <c r="O9" s="65" t="s">
        <v>154</v>
      </c>
      <c r="P9" s="65"/>
    </row>
    <row r="10">
      <c r="A10" s="32">
        <v>46287.0</v>
      </c>
      <c r="B10" s="51" t="s">
        <v>138</v>
      </c>
      <c r="C10" s="51" t="s">
        <v>139</v>
      </c>
      <c r="D10" s="90">
        <v>2336145.0</v>
      </c>
      <c r="E10" s="51" t="s">
        <v>135</v>
      </c>
      <c r="F10" s="51" t="s">
        <v>136</v>
      </c>
      <c r="G10" s="51" t="s">
        <v>101</v>
      </c>
      <c r="H10" s="88" t="s">
        <v>156</v>
      </c>
      <c r="I10" s="51" t="s">
        <v>142</v>
      </c>
      <c r="J10" s="51" t="s">
        <v>143</v>
      </c>
      <c r="K10" s="51" t="s">
        <v>43</v>
      </c>
      <c r="L10" s="51" t="s">
        <v>144</v>
      </c>
      <c r="M10" s="55"/>
      <c r="N10" s="60" t="s">
        <v>56</v>
      </c>
      <c r="O10" s="65"/>
      <c r="P10" s="65"/>
    </row>
    <row r="11">
      <c r="A11" s="32">
        <v>46287.0</v>
      </c>
      <c r="B11" s="51" t="s">
        <v>138</v>
      </c>
      <c r="C11" s="51" t="s">
        <v>163</v>
      </c>
      <c r="D11" s="87" t="s">
        <v>164</v>
      </c>
      <c r="E11" s="51" t="s">
        <v>150</v>
      </c>
      <c r="F11" s="51" t="s">
        <v>165</v>
      </c>
      <c r="G11" s="51" t="s">
        <v>101</v>
      </c>
      <c r="H11" s="88" t="s">
        <v>137</v>
      </c>
      <c r="I11" s="51" t="s">
        <v>142</v>
      </c>
      <c r="J11" s="51" t="s">
        <v>143</v>
      </c>
      <c r="K11" s="51" t="s">
        <v>43</v>
      </c>
      <c r="L11" s="51" t="s">
        <v>167</v>
      </c>
      <c r="M11" s="55"/>
      <c r="N11" s="60" t="s">
        <v>56</v>
      </c>
      <c r="O11" s="65"/>
      <c r="P11" s="65"/>
    </row>
    <row r="12">
      <c r="A12" s="32">
        <v>46287.0</v>
      </c>
      <c r="B12" s="51" t="s">
        <v>138</v>
      </c>
      <c r="C12" s="51" t="s">
        <v>168</v>
      </c>
      <c r="D12" s="90">
        <v>2326570.0</v>
      </c>
      <c r="E12" s="51" t="s">
        <v>169</v>
      </c>
      <c r="F12" s="51" t="s">
        <v>170</v>
      </c>
      <c r="G12" s="51" t="s">
        <v>101</v>
      </c>
      <c r="H12" s="88" t="s">
        <v>147</v>
      </c>
      <c r="I12" s="51" t="s">
        <v>142</v>
      </c>
      <c r="J12" s="51" t="s">
        <v>143</v>
      </c>
      <c r="K12" s="51" t="s">
        <v>43</v>
      </c>
      <c r="L12" s="53"/>
      <c r="M12" s="55"/>
      <c r="N12" s="60" t="s">
        <v>47</v>
      </c>
      <c r="O12" s="65" t="s">
        <v>171</v>
      </c>
      <c r="P12" s="65" t="s">
        <v>172</v>
      </c>
    </row>
    <row r="13">
      <c r="A13" s="32">
        <v>46287.0</v>
      </c>
      <c r="B13" s="51" t="s">
        <v>173</v>
      </c>
      <c r="C13" s="51" t="s">
        <v>174</v>
      </c>
      <c r="D13" s="51">
        <v>2329571.0</v>
      </c>
      <c r="E13" s="51" t="s">
        <v>169</v>
      </c>
      <c r="F13" s="51" t="s">
        <v>170</v>
      </c>
      <c r="G13" s="51" t="s">
        <v>101</v>
      </c>
      <c r="H13" s="51" t="s">
        <v>147</v>
      </c>
      <c r="I13" s="51" t="s">
        <v>142</v>
      </c>
      <c r="J13" s="51" t="s">
        <v>143</v>
      </c>
      <c r="K13" s="51" t="s">
        <v>43</v>
      </c>
      <c r="L13" s="53"/>
      <c r="M13" s="55"/>
      <c r="N13" s="60" t="s">
        <v>56</v>
      </c>
      <c r="O13" s="65"/>
      <c r="P13" s="65"/>
    </row>
    <row r="14">
      <c r="A14" s="32">
        <v>46287.0</v>
      </c>
      <c r="B14" s="51" t="s">
        <v>175</v>
      </c>
      <c r="C14" s="51" t="s">
        <v>176</v>
      </c>
      <c r="D14" s="51">
        <v>1588265.0</v>
      </c>
      <c r="E14" s="51" t="s">
        <v>135</v>
      </c>
      <c r="F14" s="51" t="s">
        <v>177</v>
      </c>
      <c r="G14" s="51" t="s">
        <v>101</v>
      </c>
      <c r="H14" s="51" t="s">
        <v>137</v>
      </c>
      <c r="I14" s="51" t="s">
        <v>178</v>
      </c>
      <c r="J14" s="51" t="s">
        <v>51</v>
      </c>
      <c r="K14" s="51" t="s">
        <v>43</v>
      </c>
      <c r="L14" s="53"/>
      <c r="M14" s="55"/>
      <c r="N14" s="60" t="s">
        <v>47</v>
      </c>
      <c r="O14" s="65" t="s">
        <v>179</v>
      </c>
      <c r="P14" s="65"/>
    </row>
    <row r="15">
      <c r="A15" s="32">
        <v>46287.0</v>
      </c>
      <c r="B15" s="51" t="s">
        <v>180</v>
      </c>
      <c r="C15" s="51" t="s">
        <v>181</v>
      </c>
      <c r="D15" s="51">
        <v>2177271.0</v>
      </c>
      <c r="E15" s="51" t="s">
        <v>150</v>
      </c>
      <c r="F15" s="51" t="s">
        <v>182</v>
      </c>
      <c r="G15" s="51" t="s">
        <v>101</v>
      </c>
      <c r="H15" s="51" t="s">
        <v>147</v>
      </c>
      <c r="I15" s="51" t="s">
        <v>178</v>
      </c>
      <c r="J15" s="51" t="s">
        <v>143</v>
      </c>
      <c r="K15" s="51" t="s">
        <v>43</v>
      </c>
      <c r="L15" s="53"/>
      <c r="M15" s="55"/>
      <c r="N15" s="60" t="s">
        <v>56</v>
      </c>
      <c r="O15" s="65"/>
      <c r="P15" s="65"/>
    </row>
    <row r="16">
      <c r="A16" s="32">
        <v>46287.0</v>
      </c>
      <c r="B16" s="51" t="s">
        <v>183</v>
      </c>
      <c r="C16" s="51" t="s">
        <v>184</v>
      </c>
      <c r="D16" s="51">
        <v>2223138.0</v>
      </c>
      <c r="E16" s="51" t="s">
        <v>169</v>
      </c>
      <c r="F16" s="51" t="s">
        <v>185</v>
      </c>
      <c r="G16" s="51" t="s">
        <v>101</v>
      </c>
      <c r="H16" s="51" t="s">
        <v>137</v>
      </c>
      <c r="I16" s="51" t="s">
        <v>50</v>
      </c>
      <c r="J16" s="51" t="s">
        <v>186</v>
      </c>
      <c r="K16" s="51" t="s">
        <v>43</v>
      </c>
      <c r="L16" s="51" t="s">
        <v>187</v>
      </c>
      <c r="M16" s="55"/>
      <c r="N16" s="60" t="s">
        <v>56</v>
      </c>
      <c r="O16" s="65"/>
      <c r="P16" s="65"/>
    </row>
    <row r="17">
      <c r="A17" s="32">
        <v>46287.0</v>
      </c>
      <c r="B17" s="51" t="s">
        <v>138</v>
      </c>
      <c r="C17" s="51" t="s">
        <v>188</v>
      </c>
      <c r="D17" s="51">
        <v>1834654.0</v>
      </c>
      <c r="E17" s="51" t="s">
        <v>13</v>
      </c>
      <c r="F17" s="51" t="s">
        <v>189</v>
      </c>
      <c r="G17" s="51" t="s">
        <v>101</v>
      </c>
      <c r="H17" s="51" t="s">
        <v>137</v>
      </c>
      <c r="I17" s="51" t="s">
        <v>142</v>
      </c>
      <c r="J17" s="51" t="s">
        <v>143</v>
      </c>
      <c r="K17" s="51" t="s">
        <v>43</v>
      </c>
      <c r="L17" s="51" t="s">
        <v>190</v>
      </c>
      <c r="M17" s="55"/>
      <c r="N17" s="60" t="s">
        <v>56</v>
      </c>
      <c r="O17" s="65"/>
      <c r="P17" s="65"/>
    </row>
    <row r="18">
      <c r="A18" s="32">
        <v>46287.0</v>
      </c>
      <c r="B18" s="51" t="s">
        <v>138</v>
      </c>
      <c r="C18" s="51" t="s">
        <v>118</v>
      </c>
      <c r="D18" s="87" t="s">
        <v>191</v>
      </c>
      <c r="E18" s="51" t="s">
        <v>169</v>
      </c>
      <c r="F18" s="51" t="s">
        <v>192</v>
      </c>
      <c r="G18" s="51" t="s">
        <v>101</v>
      </c>
      <c r="H18" s="51" t="s">
        <v>137</v>
      </c>
      <c r="I18" s="51" t="s">
        <v>142</v>
      </c>
      <c r="J18" s="51" t="s">
        <v>143</v>
      </c>
      <c r="K18" s="51" t="s">
        <v>43</v>
      </c>
      <c r="L18" s="51" t="s">
        <v>193</v>
      </c>
      <c r="M18" s="55"/>
      <c r="N18" s="60" t="s">
        <v>47</v>
      </c>
      <c r="O18" s="65" t="s">
        <v>194</v>
      </c>
      <c r="P18" s="65" t="s">
        <v>195</v>
      </c>
    </row>
    <row r="19">
      <c r="A19" s="32">
        <v>46287.0</v>
      </c>
      <c r="B19" s="51" t="s">
        <v>138</v>
      </c>
      <c r="C19" s="51" t="s">
        <v>163</v>
      </c>
      <c r="D19" s="51">
        <v>2290004.0</v>
      </c>
      <c r="E19" s="51" t="s">
        <v>196</v>
      </c>
      <c r="F19" s="51" t="s">
        <v>146</v>
      </c>
      <c r="G19" s="51" t="s">
        <v>101</v>
      </c>
      <c r="H19" s="51" t="s">
        <v>147</v>
      </c>
      <c r="I19" s="51" t="s">
        <v>142</v>
      </c>
      <c r="J19" s="51" t="s">
        <v>143</v>
      </c>
      <c r="K19" s="51" t="s">
        <v>43</v>
      </c>
      <c r="L19" s="53"/>
      <c r="M19" s="55"/>
      <c r="N19" s="60" t="s">
        <v>56</v>
      </c>
      <c r="O19" s="65"/>
      <c r="P19" s="65"/>
    </row>
    <row r="20">
      <c r="A20" s="32">
        <v>46287.0</v>
      </c>
      <c r="B20" s="51" t="s">
        <v>138</v>
      </c>
      <c r="C20" s="51" t="s">
        <v>118</v>
      </c>
      <c r="D20" s="87" t="s">
        <v>201</v>
      </c>
      <c r="E20" s="51" t="s">
        <v>196</v>
      </c>
      <c r="F20" s="51" t="s">
        <v>146</v>
      </c>
      <c r="G20" s="51" t="s">
        <v>101</v>
      </c>
      <c r="H20" s="88" t="s">
        <v>147</v>
      </c>
      <c r="I20" s="51" t="s">
        <v>142</v>
      </c>
      <c r="J20" s="51" t="s">
        <v>143</v>
      </c>
      <c r="K20" s="51" t="s">
        <v>43</v>
      </c>
      <c r="L20" s="53"/>
      <c r="M20" s="55"/>
      <c r="N20" s="60" t="s">
        <v>56</v>
      </c>
      <c r="O20" s="65"/>
      <c r="P20" s="65"/>
    </row>
    <row r="21">
      <c r="A21" s="32">
        <v>46287.0</v>
      </c>
      <c r="B21" s="51" t="s">
        <v>173</v>
      </c>
      <c r="C21" s="51" t="s">
        <v>174</v>
      </c>
      <c r="D21" s="51">
        <v>2307007.0</v>
      </c>
      <c r="E21" s="51" t="s">
        <v>196</v>
      </c>
      <c r="F21" s="51" t="s">
        <v>146</v>
      </c>
      <c r="G21" s="51" t="s">
        <v>101</v>
      </c>
      <c r="H21" s="51" t="s">
        <v>147</v>
      </c>
      <c r="I21" s="51" t="s">
        <v>142</v>
      </c>
      <c r="J21" s="51" t="s">
        <v>143</v>
      </c>
      <c r="K21" s="51" t="s">
        <v>43</v>
      </c>
      <c r="L21" s="53"/>
      <c r="M21" s="55"/>
      <c r="N21" s="60" t="s">
        <v>56</v>
      </c>
      <c r="O21" s="65"/>
      <c r="P21" s="65"/>
    </row>
    <row r="22">
      <c r="A22" s="32">
        <v>46287.0</v>
      </c>
      <c r="B22" s="51" t="s">
        <v>203</v>
      </c>
      <c r="C22" s="51" t="s">
        <v>204</v>
      </c>
      <c r="D22" s="51">
        <v>2270611.0</v>
      </c>
      <c r="E22" s="51" t="s">
        <v>169</v>
      </c>
      <c r="F22" s="51" t="s">
        <v>205</v>
      </c>
      <c r="G22" s="51" t="s">
        <v>101</v>
      </c>
      <c r="H22" s="51" t="s">
        <v>156</v>
      </c>
      <c r="I22" s="51" t="s">
        <v>178</v>
      </c>
      <c r="J22" s="51" t="s">
        <v>143</v>
      </c>
      <c r="K22" s="51" t="s">
        <v>43</v>
      </c>
      <c r="L22" s="51" t="s">
        <v>206</v>
      </c>
      <c r="M22" s="55"/>
      <c r="N22" s="60" t="s">
        <v>47</v>
      </c>
      <c r="O22" s="65" t="s">
        <v>194</v>
      </c>
      <c r="P22" s="65" t="s">
        <v>195</v>
      </c>
    </row>
    <row r="23">
      <c r="A23" s="32">
        <v>46287.0</v>
      </c>
      <c r="B23" s="51" t="s">
        <v>173</v>
      </c>
      <c r="C23" s="51" t="s">
        <v>207</v>
      </c>
      <c r="D23" s="51">
        <v>2308139.0</v>
      </c>
      <c r="E23" s="51" t="s">
        <v>196</v>
      </c>
      <c r="F23" s="51" t="s">
        <v>146</v>
      </c>
      <c r="G23" s="51" t="s">
        <v>101</v>
      </c>
      <c r="H23" s="51" t="s">
        <v>147</v>
      </c>
      <c r="I23" s="51" t="s">
        <v>142</v>
      </c>
      <c r="J23" s="51" t="s">
        <v>143</v>
      </c>
      <c r="K23" s="51" t="s">
        <v>43</v>
      </c>
      <c r="L23" s="53"/>
      <c r="M23" s="55"/>
      <c r="N23" s="60" t="s">
        <v>56</v>
      </c>
      <c r="O23" s="65"/>
      <c r="P23" s="65"/>
    </row>
    <row r="24">
      <c r="A24" s="32">
        <v>46287.0</v>
      </c>
      <c r="B24" s="51" t="s">
        <v>138</v>
      </c>
      <c r="C24" s="51" t="s">
        <v>208</v>
      </c>
      <c r="D24" s="51">
        <v>2309867.0</v>
      </c>
      <c r="E24" s="51" t="s">
        <v>196</v>
      </c>
      <c r="F24" s="51" t="s">
        <v>146</v>
      </c>
      <c r="G24" s="51" t="s">
        <v>101</v>
      </c>
      <c r="H24" s="51" t="s">
        <v>147</v>
      </c>
      <c r="I24" s="51" t="s">
        <v>142</v>
      </c>
      <c r="J24" s="51" t="s">
        <v>143</v>
      </c>
      <c r="K24" s="51" t="s">
        <v>43</v>
      </c>
      <c r="L24" s="53"/>
      <c r="M24" s="55"/>
      <c r="N24" s="60" t="s">
        <v>56</v>
      </c>
      <c r="O24" s="65"/>
      <c r="P24" s="72"/>
    </row>
    <row r="25">
      <c r="A25" s="32">
        <v>46287.0</v>
      </c>
      <c r="B25" s="51" t="s">
        <v>173</v>
      </c>
      <c r="C25" s="51" t="s">
        <v>188</v>
      </c>
      <c r="D25" s="51">
        <v>2309866.0</v>
      </c>
      <c r="E25" s="51" t="s">
        <v>196</v>
      </c>
      <c r="F25" s="51" t="s">
        <v>146</v>
      </c>
      <c r="G25" s="51" t="s">
        <v>101</v>
      </c>
      <c r="H25" s="51" t="s">
        <v>147</v>
      </c>
      <c r="I25" s="51" t="s">
        <v>142</v>
      </c>
      <c r="J25" s="51" t="s">
        <v>143</v>
      </c>
      <c r="K25" s="51" t="s">
        <v>43</v>
      </c>
      <c r="L25" s="53"/>
      <c r="M25" s="55"/>
      <c r="N25" s="60" t="s">
        <v>56</v>
      </c>
      <c r="O25" s="65"/>
      <c r="P25" s="65"/>
    </row>
    <row r="26">
      <c r="A26" s="32">
        <v>46287.0</v>
      </c>
      <c r="B26" s="51" t="s">
        <v>180</v>
      </c>
      <c r="C26" s="51" t="s">
        <v>181</v>
      </c>
      <c r="D26" s="51">
        <v>1688802.0</v>
      </c>
      <c r="E26" s="51" t="s">
        <v>169</v>
      </c>
      <c r="F26" s="51" t="s">
        <v>205</v>
      </c>
      <c r="G26" s="51" t="s">
        <v>209</v>
      </c>
      <c r="H26" s="51" t="s">
        <v>156</v>
      </c>
      <c r="I26" s="51" t="s">
        <v>178</v>
      </c>
      <c r="J26" s="51" t="s">
        <v>143</v>
      </c>
      <c r="K26" s="51" t="s">
        <v>43</v>
      </c>
      <c r="L26" s="51" t="s">
        <v>210</v>
      </c>
      <c r="M26" s="55"/>
      <c r="N26" s="60" t="s">
        <v>47</v>
      </c>
      <c r="O26" s="65" t="s">
        <v>194</v>
      </c>
      <c r="P26" s="65" t="s">
        <v>195</v>
      </c>
    </row>
    <row r="27">
      <c r="A27" s="32">
        <v>46287.0</v>
      </c>
      <c r="B27" s="51" t="s">
        <v>173</v>
      </c>
      <c r="C27" s="51" t="s">
        <v>37</v>
      </c>
      <c r="D27" s="51">
        <v>2315810.0</v>
      </c>
      <c r="E27" s="51" t="s">
        <v>169</v>
      </c>
      <c r="F27" s="51" t="s">
        <v>170</v>
      </c>
      <c r="G27" s="51" t="s">
        <v>101</v>
      </c>
      <c r="H27" s="51" t="s">
        <v>147</v>
      </c>
      <c r="I27" s="51" t="s">
        <v>142</v>
      </c>
      <c r="J27" s="51" t="s">
        <v>143</v>
      </c>
      <c r="K27" s="51" t="s">
        <v>43</v>
      </c>
      <c r="L27" s="53"/>
      <c r="M27" s="55"/>
      <c r="N27" s="60" t="s">
        <v>56</v>
      </c>
      <c r="O27" s="65"/>
      <c r="P27" s="65"/>
    </row>
    <row r="28">
      <c r="A28" s="32">
        <v>46287.0</v>
      </c>
      <c r="B28" s="51" t="s">
        <v>183</v>
      </c>
      <c r="C28" s="51" t="s">
        <v>184</v>
      </c>
      <c r="D28" s="51">
        <v>2283474.0</v>
      </c>
      <c r="E28" s="51" t="s">
        <v>169</v>
      </c>
      <c r="F28" s="51" t="s">
        <v>214</v>
      </c>
      <c r="G28" s="51" t="s">
        <v>101</v>
      </c>
      <c r="H28" s="51" t="s">
        <v>156</v>
      </c>
      <c r="I28" s="51" t="s">
        <v>50</v>
      </c>
      <c r="J28" s="51" t="s">
        <v>186</v>
      </c>
      <c r="K28" s="51" t="s">
        <v>43</v>
      </c>
      <c r="L28" s="53"/>
      <c r="M28" s="55"/>
      <c r="N28" s="60" t="s">
        <v>56</v>
      </c>
      <c r="O28" s="65"/>
      <c r="P28" s="65"/>
    </row>
    <row r="29">
      <c r="A29" s="32">
        <v>46287.0</v>
      </c>
      <c r="B29" s="51" t="s">
        <v>183</v>
      </c>
      <c r="C29" s="51" t="s">
        <v>217</v>
      </c>
      <c r="D29" s="51">
        <v>2283475.0</v>
      </c>
      <c r="E29" s="51" t="s">
        <v>169</v>
      </c>
      <c r="F29" s="51" t="s">
        <v>214</v>
      </c>
      <c r="G29" s="51" t="s">
        <v>101</v>
      </c>
      <c r="H29" s="51" t="s">
        <v>156</v>
      </c>
      <c r="I29" s="51" t="s">
        <v>50</v>
      </c>
      <c r="J29" s="51" t="s">
        <v>186</v>
      </c>
      <c r="K29" s="51" t="s">
        <v>43</v>
      </c>
      <c r="L29" s="53"/>
      <c r="M29" s="55"/>
      <c r="N29" s="60" t="s">
        <v>47</v>
      </c>
      <c r="O29" s="65" t="s">
        <v>218</v>
      </c>
      <c r="P29" s="65" t="s">
        <v>195</v>
      </c>
    </row>
    <row r="30">
      <c r="A30" s="32">
        <v>46287.0</v>
      </c>
      <c r="B30" s="51" t="s">
        <v>173</v>
      </c>
      <c r="C30" s="51" t="s">
        <v>37</v>
      </c>
      <c r="D30" s="51">
        <v>2312065.0</v>
      </c>
      <c r="E30" s="51" t="s">
        <v>196</v>
      </c>
      <c r="F30" s="51" t="s">
        <v>146</v>
      </c>
      <c r="G30" s="51" t="s">
        <v>101</v>
      </c>
      <c r="H30" s="51" t="s">
        <v>147</v>
      </c>
      <c r="I30" s="51" t="s">
        <v>142</v>
      </c>
      <c r="J30" s="51" t="s">
        <v>143</v>
      </c>
      <c r="K30" s="51" t="s">
        <v>43</v>
      </c>
      <c r="L30" s="53"/>
      <c r="M30" s="55"/>
      <c r="N30" s="60" t="s">
        <v>56</v>
      </c>
      <c r="O30" s="65"/>
      <c r="P30" s="65"/>
    </row>
    <row r="31">
      <c r="A31" s="32">
        <v>46287.0</v>
      </c>
      <c r="B31" s="51" t="s">
        <v>183</v>
      </c>
      <c r="C31" s="51" t="s">
        <v>217</v>
      </c>
      <c r="D31" s="51">
        <v>2283481.0</v>
      </c>
      <c r="E31" s="51" t="s">
        <v>169</v>
      </c>
      <c r="F31" s="51" t="s">
        <v>219</v>
      </c>
      <c r="G31" s="51" t="s">
        <v>101</v>
      </c>
      <c r="H31" s="51">
        <v>1.0</v>
      </c>
      <c r="I31" s="51" t="s">
        <v>50</v>
      </c>
      <c r="J31" s="51" t="s">
        <v>186</v>
      </c>
      <c r="K31" s="51" t="s">
        <v>43</v>
      </c>
      <c r="L31" s="51" t="s">
        <v>220</v>
      </c>
      <c r="M31" s="55"/>
      <c r="N31" s="60" t="s">
        <v>47</v>
      </c>
      <c r="O31" s="65" t="s">
        <v>218</v>
      </c>
      <c r="P31" s="65" t="s">
        <v>195</v>
      </c>
    </row>
    <row r="32">
      <c r="A32" s="32">
        <v>46287.0</v>
      </c>
      <c r="B32" s="51" t="s">
        <v>175</v>
      </c>
      <c r="C32" s="51" t="s">
        <v>221</v>
      </c>
      <c r="D32" s="51">
        <v>2336098.0</v>
      </c>
      <c r="E32" s="51" t="s">
        <v>150</v>
      </c>
      <c r="F32" s="51" t="s">
        <v>222</v>
      </c>
      <c r="G32" s="51" t="s">
        <v>101</v>
      </c>
      <c r="H32" s="51" t="s">
        <v>223</v>
      </c>
      <c r="I32" s="51" t="s">
        <v>178</v>
      </c>
      <c r="J32" s="51" t="s">
        <v>51</v>
      </c>
      <c r="K32" s="51" t="s">
        <v>43</v>
      </c>
      <c r="L32" s="53"/>
      <c r="M32" s="55"/>
      <c r="N32" s="60" t="s">
        <v>56</v>
      </c>
      <c r="O32" s="65"/>
      <c r="P32" s="65"/>
    </row>
    <row r="33">
      <c r="A33" s="32">
        <v>46287.0</v>
      </c>
      <c r="B33" s="51" t="s">
        <v>138</v>
      </c>
      <c r="C33" s="51" t="s">
        <v>168</v>
      </c>
      <c r="D33" s="51">
        <v>2319590.0</v>
      </c>
      <c r="E33" s="51" t="s">
        <v>196</v>
      </c>
      <c r="F33" s="51" t="s">
        <v>146</v>
      </c>
      <c r="G33" s="51" t="s">
        <v>101</v>
      </c>
      <c r="H33" s="51" t="s">
        <v>147</v>
      </c>
      <c r="I33" s="51" t="s">
        <v>142</v>
      </c>
      <c r="J33" s="51" t="s">
        <v>143</v>
      </c>
      <c r="K33" s="51" t="s">
        <v>43</v>
      </c>
      <c r="L33" s="53"/>
      <c r="M33" s="55"/>
      <c r="N33" s="60" t="s">
        <v>47</v>
      </c>
      <c r="O33" s="65" t="s">
        <v>171</v>
      </c>
      <c r="P33" s="65" t="s">
        <v>172</v>
      </c>
    </row>
    <row r="34">
      <c r="A34" s="32">
        <v>46287.0</v>
      </c>
      <c r="B34" s="51" t="s">
        <v>203</v>
      </c>
      <c r="C34" s="51" t="s">
        <v>211</v>
      </c>
      <c r="D34" s="51">
        <v>2290331.0</v>
      </c>
      <c r="E34" s="51" t="s">
        <v>150</v>
      </c>
      <c r="F34" s="51" t="s">
        <v>224</v>
      </c>
      <c r="G34" s="51" t="s">
        <v>101</v>
      </c>
      <c r="H34" s="51" t="s">
        <v>147</v>
      </c>
      <c r="I34" s="51" t="s">
        <v>178</v>
      </c>
      <c r="J34" s="51" t="s">
        <v>143</v>
      </c>
      <c r="K34" s="51" t="s">
        <v>43</v>
      </c>
      <c r="L34" s="51" t="s">
        <v>225</v>
      </c>
      <c r="M34" s="55"/>
      <c r="N34" s="60" t="s">
        <v>56</v>
      </c>
      <c r="O34" s="65"/>
      <c r="P34" s="72"/>
    </row>
    <row r="35">
      <c r="A35" s="32">
        <v>46287.0</v>
      </c>
      <c r="B35" s="51" t="s">
        <v>138</v>
      </c>
      <c r="C35" s="51" t="s">
        <v>226</v>
      </c>
      <c r="D35" s="51">
        <v>2327591.0</v>
      </c>
      <c r="E35" s="51" t="s">
        <v>169</v>
      </c>
      <c r="F35" s="51" t="s">
        <v>170</v>
      </c>
      <c r="G35" s="51" t="s">
        <v>101</v>
      </c>
      <c r="H35" s="51" t="s">
        <v>147</v>
      </c>
      <c r="I35" s="51" t="s">
        <v>142</v>
      </c>
      <c r="J35" s="51" t="s">
        <v>143</v>
      </c>
      <c r="K35" s="51" t="s">
        <v>227</v>
      </c>
      <c r="L35" s="53"/>
      <c r="M35" s="55"/>
      <c r="N35" s="60" t="s">
        <v>56</v>
      </c>
      <c r="O35" s="65"/>
      <c r="P35" s="65"/>
    </row>
    <row r="36">
      <c r="A36" s="32">
        <v>46287.0</v>
      </c>
      <c r="B36" s="51" t="s">
        <v>180</v>
      </c>
      <c r="C36" s="51" t="s">
        <v>228</v>
      </c>
      <c r="D36" s="51">
        <v>1983973.0</v>
      </c>
      <c r="E36" s="51" t="s">
        <v>13</v>
      </c>
      <c r="F36" s="51" t="s">
        <v>229</v>
      </c>
      <c r="G36" s="51" t="s">
        <v>101</v>
      </c>
      <c r="H36" s="51" t="s">
        <v>137</v>
      </c>
      <c r="I36" s="51" t="s">
        <v>178</v>
      </c>
      <c r="J36" s="51" t="s">
        <v>143</v>
      </c>
      <c r="K36" s="51" t="s">
        <v>230</v>
      </c>
      <c r="L36" s="53"/>
      <c r="M36" s="55"/>
      <c r="N36" s="60" t="s">
        <v>47</v>
      </c>
      <c r="O36" s="98" t="s">
        <v>234</v>
      </c>
      <c r="P36" s="65" t="s">
        <v>195</v>
      </c>
    </row>
    <row r="37">
      <c r="A37" s="32">
        <v>46287.0</v>
      </c>
      <c r="B37" s="51" t="s">
        <v>180</v>
      </c>
      <c r="C37" s="51" t="s">
        <v>228</v>
      </c>
      <c r="D37" s="51">
        <v>2311657.0</v>
      </c>
      <c r="E37" s="51" t="s">
        <v>196</v>
      </c>
      <c r="F37" s="51" t="s">
        <v>146</v>
      </c>
      <c r="G37" s="51" t="s">
        <v>101</v>
      </c>
      <c r="H37" s="51" t="s">
        <v>147</v>
      </c>
      <c r="I37" s="51" t="s">
        <v>178</v>
      </c>
      <c r="J37" s="51" t="s">
        <v>143</v>
      </c>
      <c r="K37" s="51" t="s">
        <v>230</v>
      </c>
      <c r="L37" s="53"/>
      <c r="M37" s="55"/>
      <c r="N37" s="60" t="s">
        <v>56</v>
      </c>
      <c r="O37" s="65"/>
      <c r="P37" s="72"/>
    </row>
    <row r="38">
      <c r="A38" s="32">
        <v>46287.0</v>
      </c>
      <c r="B38" s="51" t="s">
        <v>87</v>
      </c>
      <c r="C38" s="51" t="s">
        <v>235</v>
      </c>
      <c r="D38" s="51">
        <v>2302695.0</v>
      </c>
      <c r="E38" s="51" t="s">
        <v>95</v>
      </c>
      <c r="F38" s="51" t="s">
        <v>96</v>
      </c>
      <c r="G38" s="51" t="s">
        <v>101</v>
      </c>
      <c r="H38" s="53"/>
      <c r="I38" s="51" t="s">
        <v>106</v>
      </c>
      <c r="J38" s="51" t="s">
        <v>107</v>
      </c>
      <c r="K38" s="51" t="s">
        <v>236</v>
      </c>
      <c r="L38" s="53"/>
      <c r="M38" s="55"/>
      <c r="N38" s="60" t="s">
        <v>56</v>
      </c>
      <c r="O38" s="65"/>
      <c r="P38" s="72"/>
    </row>
    <row r="39">
      <c r="A39" s="32">
        <v>46287.0</v>
      </c>
      <c r="B39" s="51" t="s">
        <v>87</v>
      </c>
      <c r="C39" s="51" t="s">
        <v>235</v>
      </c>
      <c r="D39" s="51">
        <v>2302708.0</v>
      </c>
      <c r="E39" s="51" t="s">
        <v>115</v>
      </c>
      <c r="F39" s="51" t="s">
        <v>117</v>
      </c>
      <c r="G39" s="51" t="s">
        <v>101</v>
      </c>
      <c r="H39" s="53"/>
      <c r="I39" s="51" t="s">
        <v>106</v>
      </c>
      <c r="J39" s="51" t="s">
        <v>107</v>
      </c>
      <c r="K39" s="51" t="s">
        <v>236</v>
      </c>
      <c r="L39" s="53"/>
      <c r="M39" s="55"/>
      <c r="N39" s="60" t="s">
        <v>56</v>
      </c>
      <c r="O39" s="65"/>
      <c r="P39" s="72"/>
    </row>
    <row r="40">
      <c r="A40" s="32">
        <v>46287.0</v>
      </c>
      <c r="B40" s="51" t="s">
        <v>138</v>
      </c>
      <c r="C40" s="51" t="s">
        <v>237</v>
      </c>
      <c r="D40" s="51">
        <v>2329590.0</v>
      </c>
      <c r="E40" s="51" t="s">
        <v>169</v>
      </c>
      <c r="F40" s="51" t="s">
        <v>170</v>
      </c>
      <c r="G40" s="51" t="s">
        <v>101</v>
      </c>
      <c r="H40" s="51" t="s">
        <v>147</v>
      </c>
      <c r="I40" s="51" t="s">
        <v>142</v>
      </c>
      <c r="J40" s="51" t="s">
        <v>143</v>
      </c>
      <c r="K40" s="51" t="s">
        <v>52</v>
      </c>
      <c r="L40" s="53"/>
      <c r="M40" s="55"/>
      <c r="N40" s="60" t="s">
        <v>56</v>
      </c>
      <c r="O40" s="65"/>
      <c r="P40" s="72"/>
    </row>
    <row r="41">
      <c r="A41" s="32">
        <v>46287.0</v>
      </c>
      <c r="B41" s="51" t="s">
        <v>183</v>
      </c>
      <c r="C41" s="51" t="s">
        <v>238</v>
      </c>
      <c r="D41" s="51">
        <v>2283450.0</v>
      </c>
      <c r="E41" s="51" t="s">
        <v>169</v>
      </c>
      <c r="F41" s="51" t="s">
        <v>219</v>
      </c>
      <c r="G41" s="51" t="s">
        <v>101</v>
      </c>
      <c r="H41" s="51">
        <v>1.0</v>
      </c>
      <c r="I41" s="51" t="s">
        <v>50</v>
      </c>
      <c r="J41" s="51" t="s">
        <v>186</v>
      </c>
      <c r="K41" s="51" t="s">
        <v>52</v>
      </c>
      <c r="L41" s="51" t="s">
        <v>239</v>
      </c>
      <c r="M41" s="55"/>
      <c r="N41" s="60" t="s">
        <v>56</v>
      </c>
      <c r="O41" s="65"/>
      <c r="P41" s="72"/>
    </row>
    <row r="42">
      <c r="A42" s="32">
        <v>46287.0</v>
      </c>
      <c r="B42" s="51" t="s">
        <v>183</v>
      </c>
      <c r="C42" s="51" t="s">
        <v>238</v>
      </c>
      <c r="D42" s="51">
        <v>2283472.0</v>
      </c>
      <c r="E42" s="51" t="s">
        <v>169</v>
      </c>
      <c r="F42" s="51" t="s">
        <v>214</v>
      </c>
      <c r="G42" s="51" t="s">
        <v>101</v>
      </c>
      <c r="H42" s="51" t="s">
        <v>156</v>
      </c>
      <c r="I42" s="51" t="s">
        <v>50</v>
      </c>
      <c r="J42" s="51" t="s">
        <v>186</v>
      </c>
      <c r="K42" s="51" t="s">
        <v>52</v>
      </c>
      <c r="L42" s="51" t="s">
        <v>240</v>
      </c>
      <c r="M42" s="55"/>
      <c r="N42" s="60" t="s">
        <v>56</v>
      </c>
      <c r="O42" s="65"/>
      <c r="P42" s="72"/>
    </row>
    <row r="43">
      <c r="A43" s="32">
        <v>46287.0</v>
      </c>
      <c r="B43" s="51" t="s">
        <v>155</v>
      </c>
      <c r="C43" s="51" t="s">
        <v>241</v>
      </c>
      <c r="D43" s="51">
        <v>2329645.0</v>
      </c>
      <c r="E43" s="51" t="s">
        <v>150</v>
      </c>
      <c r="F43" s="51" t="s">
        <v>242</v>
      </c>
      <c r="G43" s="51" t="s">
        <v>101</v>
      </c>
      <c r="H43" s="51" t="s">
        <v>156</v>
      </c>
      <c r="I43" s="51" t="s">
        <v>50</v>
      </c>
      <c r="J43" s="51" t="s">
        <v>51</v>
      </c>
      <c r="K43" s="51" t="s">
        <v>52</v>
      </c>
      <c r="L43" s="51" t="s">
        <v>243</v>
      </c>
      <c r="M43" s="55"/>
      <c r="N43" s="60" t="s">
        <v>47</v>
      </c>
      <c r="O43" s="65" t="s">
        <v>244</v>
      </c>
      <c r="P43" s="65" t="s">
        <v>245</v>
      </c>
    </row>
    <row r="44">
      <c r="A44" s="32">
        <v>46287.0</v>
      </c>
      <c r="B44" s="51" t="s">
        <v>180</v>
      </c>
      <c r="C44" s="51" t="s">
        <v>246</v>
      </c>
      <c r="D44" s="51">
        <v>2317337.0</v>
      </c>
      <c r="E44" s="51" t="s">
        <v>196</v>
      </c>
      <c r="F44" s="51" t="s">
        <v>146</v>
      </c>
      <c r="G44" s="51" t="s">
        <v>101</v>
      </c>
      <c r="H44" s="51" t="s">
        <v>147</v>
      </c>
      <c r="I44" s="51" t="s">
        <v>178</v>
      </c>
      <c r="J44" s="51" t="s">
        <v>143</v>
      </c>
      <c r="K44" s="51" t="s">
        <v>52</v>
      </c>
      <c r="L44" s="53"/>
      <c r="M44" s="55"/>
      <c r="N44" s="60" t="s">
        <v>56</v>
      </c>
      <c r="O44" s="65"/>
      <c r="P44" s="72"/>
    </row>
    <row r="45">
      <c r="A45" s="32">
        <v>46287.0</v>
      </c>
      <c r="B45" s="51" t="s">
        <v>180</v>
      </c>
      <c r="C45" s="51" t="s">
        <v>247</v>
      </c>
      <c r="D45" s="51">
        <v>2311654.0</v>
      </c>
      <c r="E45" s="51" t="s">
        <v>196</v>
      </c>
      <c r="F45" s="51" t="s">
        <v>146</v>
      </c>
      <c r="G45" s="51" t="s">
        <v>101</v>
      </c>
      <c r="H45" s="51" t="s">
        <v>147</v>
      </c>
      <c r="I45" s="51" t="s">
        <v>178</v>
      </c>
      <c r="J45" s="51" t="s">
        <v>143</v>
      </c>
      <c r="K45" s="51" t="s">
        <v>52</v>
      </c>
      <c r="L45" s="53"/>
      <c r="M45" s="55"/>
      <c r="N45" s="60" t="s">
        <v>56</v>
      </c>
      <c r="O45" s="65"/>
      <c r="P45" s="72"/>
    </row>
    <row r="46">
      <c r="A46" s="32">
        <v>46287.0</v>
      </c>
      <c r="B46" s="51" t="s">
        <v>180</v>
      </c>
      <c r="C46" s="51" t="s">
        <v>247</v>
      </c>
      <c r="D46" s="51">
        <v>2328398.0</v>
      </c>
      <c r="E46" s="51" t="s">
        <v>150</v>
      </c>
      <c r="F46" s="51" t="s">
        <v>248</v>
      </c>
      <c r="G46" s="51" t="s">
        <v>101</v>
      </c>
      <c r="H46" s="51" t="s">
        <v>223</v>
      </c>
      <c r="I46" s="51" t="s">
        <v>178</v>
      </c>
      <c r="J46" s="51" t="s">
        <v>143</v>
      </c>
      <c r="K46" s="51" t="s">
        <v>52</v>
      </c>
      <c r="L46" s="53"/>
      <c r="M46" s="55"/>
      <c r="N46" s="60" t="s">
        <v>56</v>
      </c>
      <c r="O46" s="65"/>
      <c r="P46" s="72"/>
    </row>
    <row r="47">
      <c r="A47" s="32">
        <v>46287.0</v>
      </c>
      <c r="B47" s="51" t="s">
        <v>203</v>
      </c>
      <c r="C47" s="51" t="s">
        <v>250</v>
      </c>
      <c r="D47" s="51">
        <v>2328421.0</v>
      </c>
      <c r="E47" s="51" t="s">
        <v>150</v>
      </c>
      <c r="F47" s="51" t="s">
        <v>252</v>
      </c>
      <c r="G47" s="51" t="s">
        <v>101</v>
      </c>
      <c r="H47" s="51" t="s">
        <v>223</v>
      </c>
      <c r="I47" s="51" t="s">
        <v>178</v>
      </c>
      <c r="J47" s="51" t="s">
        <v>143</v>
      </c>
      <c r="K47" s="51" t="s">
        <v>52</v>
      </c>
      <c r="L47" s="53"/>
      <c r="M47" s="55"/>
      <c r="N47" s="60" t="s">
        <v>56</v>
      </c>
      <c r="O47" s="65"/>
      <c r="P47" s="65"/>
    </row>
    <row r="48">
      <c r="A48" s="32">
        <v>46287.0</v>
      </c>
      <c r="B48" s="51" t="s">
        <v>133</v>
      </c>
      <c r="C48" s="51" t="s">
        <v>33</v>
      </c>
      <c r="D48" s="51">
        <v>2232787.0</v>
      </c>
      <c r="E48" s="51" t="s">
        <v>196</v>
      </c>
      <c r="F48" s="51" t="s">
        <v>256</v>
      </c>
      <c r="G48" s="51" t="s">
        <v>101</v>
      </c>
      <c r="H48" s="51" t="s">
        <v>137</v>
      </c>
      <c r="I48" s="51" t="s">
        <v>50</v>
      </c>
      <c r="J48" s="51" t="s">
        <v>51</v>
      </c>
      <c r="K48" s="51" t="s">
        <v>52</v>
      </c>
      <c r="L48" s="53"/>
      <c r="M48" s="55"/>
      <c r="N48" s="60" t="s">
        <v>56</v>
      </c>
      <c r="O48" s="65"/>
      <c r="P48" s="72"/>
    </row>
    <row r="49">
      <c r="A49" s="32">
        <v>46287.0</v>
      </c>
      <c r="B49" s="51" t="s">
        <v>180</v>
      </c>
      <c r="C49" s="51" t="s">
        <v>257</v>
      </c>
      <c r="D49" s="51">
        <v>2232308.0</v>
      </c>
      <c r="E49" s="51" t="s">
        <v>196</v>
      </c>
      <c r="F49" s="51" t="s">
        <v>258</v>
      </c>
      <c r="G49" s="51" t="s">
        <v>101</v>
      </c>
      <c r="H49" s="51" t="s">
        <v>156</v>
      </c>
      <c r="I49" s="51" t="s">
        <v>178</v>
      </c>
      <c r="J49" s="51" t="s">
        <v>143</v>
      </c>
      <c r="K49" s="51" t="s">
        <v>75</v>
      </c>
      <c r="L49" s="53"/>
      <c r="M49" s="55"/>
      <c r="N49" s="60" t="s">
        <v>56</v>
      </c>
      <c r="O49" s="65"/>
      <c r="P49" s="72"/>
    </row>
    <row r="50">
      <c r="A50" s="32">
        <v>46287.0</v>
      </c>
      <c r="B50" s="51" t="s">
        <v>32</v>
      </c>
      <c r="C50" s="51" t="s">
        <v>259</v>
      </c>
      <c r="D50" s="51">
        <v>2275891.0</v>
      </c>
      <c r="E50" s="51" t="s">
        <v>150</v>
      </c>
      <c r="F50" s="51" t="s">
        <v>260</v>
      </c>
      <c r="G50" s="51" t="s">
        <v>101</v>
      </c>
      <c r="H50" s="51" t="s">
        <v>147</v>
      </c>
      <c r="I50" s="51" t="s">
        <v>50</v>
      </c>
      <c r="J50" s="51" t="s">
        <v>51</v>
      </c>
      <c r="K50" s="51" t="s">
        <v>75</v>
      </c>
      <c r="L50" s="51" t="s">
        <v>261</v>
      </c>
      <c r="M50" s="55"/>
      <c r="N50" s="60" t="s">
        <v>47</v>
      </c>
      <c r="O50" s="65" t="s">
        <v>262</v>
      </c>
      <c r="P50" s="65" t="s">
        <v>263</v>
      </c>
    </row>
    <row r="51">
      <c r="A51" s="32">
        <v>46287.0</v>
      </c>
      <c r="B51" s="51" t="s">
        <v>203</v>
      </c>
      <c r="C51" s="51" t="s">
        <v>264</v>
      </c>
      <c r="D51" s="51">
        <v>2320311.0</v>
      </c>
      <c r="E51" s="51" t="s">
        <v>150</v>
      </c>
      <c r="F51" s="51" t="s">
        <v>265</v>
      </c>
      <c r="G51" s="51" t="s">
        <v>101</v>
      </c>
      <c r="H51" s="51" t="s">
        <v>223</v>
      </c>
      <c r="I51" s="51" t="s">
        <v>178</v>
      </c>
      <c r="J51" s="51" t="s">
        <v>143</v>
      </c>
      <c r="K51" s="51" t="s">
        <v>75</v>
      </c>
      <c r="L51" s="51" t="s">
        <v>266</v>
      </c>
      <c r="M51" s="55"/>
      <c r="N51" s="60" t="s">
        <v>47</v>
      </c>
      <c r="O51" s="65" t="s">
        <v>267</v>
      </c>
      <c r="P51" s="65" t="s">
        <v>172</v>
      </c>
    </row>
    <row r="52">
      <c r="A52" s="32">
        <v>46287.0</v>
      </c>
      <c r="B52" s="51" t="s">
        <v>138</v>
      </c>
      <c r="C52" s="51" t="s">
        <v>268</v>
      </c>
      <c r="D52" s="51">
        <v>2320735.0</v>
      </c>
      <c r="E52" s="51" t="s">
        <v>196</v>
      </c>
      <c r="F52" s="51" t="s">
        <v>146</v>
      </c>
      <c r="G52" s="51" t="s">
        <v>101</v>
      </c>
      <c r="H52" s="51" t="s">
        <v>147</v>
      </c>
      <c r="I52" s="51" t="s">
        <v>142</v>
      </c>
      <c r="J52" s="51" t="s">
        <v>143</v>
      </c>
      <c r="K52" s="51" t="s">
        <v>75</v>
      </c>
      <c r="L52" s="53"/>
      <c r="M52" s="55"/>
      <c r="N52" s="60" t="s">
        <v>56</v>
      </c>
      <c r="O52" s="65"/>
      <c r="P52" s="72"/>
    </row>
    <row r="53">
      <c r="A53" s="32">
        <v>46287.0</v>
      </c>
      <c r="B53" s="51" t="s">
        <v>32</v>
      </c>
      <c r="C53" s="51" t="s">
        <v>259</v>
      </c>
      <c r="D53" s="51">
        <v>2275898.0</v>
      </c>
      <c r="E53" s="51" t="s">
        <v>150</v>
      </c>
      <c r="F53" s="51" t="s">
        <v>260</v>
      </c>
      <c r="G53" s="51" t="s">
        <v>101</v>
      </c>
      <c r="H53" s="51" t="s">
        <v>147</v>
      </c>
      <c r="I53" s="51" t="s">
        <v>50</v>
      </c>
      <c r="J53" s="51" t="s">
        <v>51</v>
      </c>
      <c r="K53" s="51" t="s">
        <v>75</v>
      </c>
      <c r="L53" s="53"/>
      <c r="M53" s="55"/>
      <c r="N53" s="60" t="s">
        <v>47</v>
      </c>
      <c r="O53" s="65" t="s">
        <v>262</v>
      </c>
      <c r="P53" s="65" t="s">
        <v>263</v>
      </c>
    </row>
    <row r="54">
      <c r="A54" s="32">
        <v>46287.0</v>
      </c>
      <c r="B54" s="51" t="s">
        <v>180</v>
      </c>
      <c r="C54" s="51" t="s">
        <v>257</v>
      </c>
      <c r="D54" s="51">
        <v>2317330.0</v>
      </c>
      <c r="E54" s="51" t="s">
        <v>196</v>
      </c>
      <c r="F54" s="51" t="s">
        <v>146</v>
      </c>
      <c r="G54" s="51" t="s">
        <v>101</v>
      </c>
      <c r="H54" s="51" t="s">
        <v>147</v>
      </c>
      <c r="I54" s="51" t="s">
        <v>178</v>
      </c>
      <c r="J54" s="51" t="s">
        <v>143</v>
      </c>
      <c r="K54" s="51" t="s">
        <v>75</v>
      </c>
      <c r="L54" s="53"/>
      <c r="M54" s="55"/>
      <c r="N54" s="60" t="s">
        <v>56</v>
      </c>
      <c r="O54" s="65"/>
      <c r="P54" s="72"/>
    </row>
    <row r="55">
      <c r="A55" s="32">
        <v>46287.0</v>
      </c>
      <c r="B55" s="51" t="s">
        <v>32</v>
      </c>
      <c r="C55" s="51" t="s">
        <v>259</v>
      </c>
      <c r="D55" s="51">
        <v>2328613.0</v>
      </c>
      <c r="E55" s="51" t="s">
        <v>150</v>
      </c>
      <c r="F55" s="51" t="s">
        <v>269</v>
      </c>
      <c r="G55" s="51" t="s">
        <v>101</v>
      </c>
      <c r="H55" s="51" t="s">
        <v>137</v>
      </c>
      <c r="I55" s="51" t="s">
        <v>50</v>
      </c>
      <c r="J55" s="51" t="s">
        <v>51</v>
      </c>
      <c r="K55" s="51" t="s">
        <v>75</v>
      </c>
      <c r="L55" s="53"/>
      <c r="M55" s="51"/>
      <c r="N55" s="60" t="s">
        <v>56</v>
      </c>
      <c r="O55" s="65"/>
      <c r="P55" s="101"/>
    </row>
    <row r="56">
      <c r="A56" s="32">
        <v>46287.0</v>
      </c>
      <c r="B56" s="51" t="s">
        <v>32</v>
      </c>
      <c r="C56" s="51" t="s">
        <v>259</v>
      </c>
      <c r="D56" s="51">
        <v>2328613.0</v>
      </c>
      <c r="E56" s="51" t="s">
        <v>150</v>
      </c>
      <c r="F56" s="51" t="s">
        <v>274</v>
      </c>
      <c r="G56" s="51" t="s">
        <v>101</v>
      </c>
      <c r="H56" s="51" t="s">
        <v>223</v>
      </c>
      <c r="I56" s="51" t="s">
        <v>50</v>
      </c>
      <c r="J56" s="51" t="s">
        <v>51</v>
      </c>
      <c r="K56" s="51" t="s">
        <v>75</v>
      </c>
      <c r="L56" s="53"/>
      <c r="M56" s="51"/>
      <c r="N56" s="60" t="s">
        <v>56</v>
      </c>
      <c r="O56" s="65"/>
      <c r="P56" s="101"/>
    </row>
    <row r="57">
      <c r="A57" s="102"/>
      <c r="B57" s="103"/>
      <c r="C57" s="103"/>
      <c r="D57" s="103"/>
      <c r="E57" s="103"/>
      <c r="F57" s="103"/>
      <c r="G57" s="104"/>
      <c r="H57" s="103"/>
      <c r="I57" s="103"/>
      <c r="J57" s="103"/>
      <c r="K57" s="103"/>
      <c r="L57" s="105"/>
      <c r="M57" s="103"/>
      <c r="N57" s="106"/>
      <c r="O57" s="107"/>
      <c r="P57" s="108"/>
    </row>
    <row r="58">
      <c r="A58" s="102"/>
      <c r="B58" s="103"/>
      <c r="C58" s="103"/>
      <c r="D58" s="103"/>
      <c r="E58" s="103"/>
      <c r="F58" s="103"/>
      <c r="G58" s="104"/>
      <c r="H58" s="103"/>
      <c r="I58" s="103"/>
      <c r="J58" s="103"/>
      <c r="K58" s="103"/>
      <c r="L58" s="109"/>
      <c r="M58" s="103"/>
      <c r="N58" s="106"/>
      <c r="O58" s="107"/>
      <c r="P58" s="108"/>
    </row>
    <row r="59">
      <c r="A59" s="102"/>
      <c r="B59" s="103"/>
      <c r="C59" s="103"/>
      <c r="D59" s="103"/>
      <c r="E59" s="103"/>
      <c r="F59" s="103"/>
      <c r="G59" s="104"/>
      <c r="H59" s="103"/>
      <c r="I59" s="103"/>
      <c r="J59" s="103"/>
      <c r="K59" s="103"/>
      <c r="L59" s="109"/>
      <c r="M59" s="103"/>
      <c r="N59" s="106"/>
      <c r="O59" s="107"/>
      <c r="P59" s="108"/>
    </row>
    <row r="60">
      <c r="A60" s="102"/>
      <c r="B60" s="103"/>
      <c r="C60" s="103"/>
      <c r="D60" s="103"/>
      <c r="E60" s="103"/>
      <c r="F60" s="103"/>
      <c r="G60" s="104"/>
      <c r="H60" s="103"/>
      <c r="I60" s="103"/>
      <c r="J60" s="103"/>
      <c r="K60" s="103"/>
      <c r="L60" s="109"/>
      <c r="M60" s="103"/>
      <c r="N60" s="106"/>
      <c r="O60" s="107"/>
      <c r="P60" s="108"/>
    </row>
    <row r="61">
      <c r="A61" s="102"/>
      <c r="B61" s="103"/>
      <c r="C61" s="103"/>
      <c r="D61" s="103"/>
      <c r="E61" s="103"/>
      <c r="F61" s="103"/>
      <c r="G61" s="104"/>
      <c r="H61" s="103"/>
      <c r="I61" s="103"/>
      <c r="J61" s="103"/>
      <c r="K61" s="103"/>
      <c r="L61" s="109"/>
      <c r="M61" s="103"/>
      <c r="N61" s="106"/>
      <c r="O61" s="107"/>
      <c r="P61" s="108"/>
    </row>
    <row r="62">
      <c r="A62" s="102"/>
      <c r="B62" s="103"/>
      <c r="C62" s="103"/>
      <c r="D62" s="103"/>
      <c r="E62" s="103"/>
      <c r="F62" s="103"/>
      <c r="G62" s="104"/>
      <c r="H62" s="103"/>
      <c r="I62" s="103"/>
      <c r="J62" s="103"/>
      <c r="K62" s="103"/>
      <c r="L62" s="109"/>
      <c r="M62" s="103"/>
      <c r="N62" s="106"/>
      <c r="O62" s="107"/>
      <c r="P62" s="108"/>
    </row>
    <row r="63">
      <c r="A63" s="102"/>
      <c r="B63" s="103"/>
      <c r="C63" s="103"/>
      <c r="D63" s="103"/>
      <c r="E63" s="103"/>
      <c r="F63" s="103"/>
      <c r="G63" s="104"/>
      <c r="H63" s="103"/>
      <c r="I63" s="103"/>
      <c r="J63" s="103"/>
      <c r="K63" s="103"/>
      <c r="L63" s="110"/>
      <c r="M63" s="103"/>
      <c r="N63" s="106"/>
      <c r="O63" s="107"/>
      <c r="P63" s="108"/>
    </row>
    <row r="64">
      <c r="A64" s="102"/>
      <c r="B64" s="103"/>
      <c r="C64" s="103"/>
      <c r="D64" s="103"/>
      <c r="E64" s="103"/>
      <c r="F64" s="103"/>
      <c r="G64" s="104"/>
      <c r="H64" s="103"/>
      <c r="I64" s="103"/>
      <c r="J64" s="103"/>
      <c r="K64" s="103"/>
      <c r="L64" s="110"/>
      <c r="M64" s="103"/>
      <c r="N64" s="106"/>
      <c r="O64" s="107"/>
      <c r="P64" s="108"/>
    </row>
    <row r="65">
      <c r="A65" s="102"/>
      <c r="B65" s="103"/>
      <c r="C65" s="103"/>
      <c r="D65" s="103"/>
      <c r="E65" s="103"/>
      <c r="F65" s="103"/>
      <c r="G65" s="104"/>
      <c r="H65" s="103"/>
      <c r="I65" s="103"/>
      <c r="J65" s="103"/>
      <c r="K65" s="103"/>
      <c r="L65" s="110"/>
      <c r="M65" s="103"/>
      <c r="N65" s="106"/>
      <c r="O65" s="107"/>
      <c r="P65" s="108"/>
    </row>
    <row r="66">
      <c r="A66" s="102"/>
      <c r="B66" s="103"/>
      <c r="C66" s="103"/>
      <c r="D66" s="103"/>
      <c r="E66" s="103"/>
      <c r="F66" s="103"/>
      <c r="G66" s="104"/>
      <c r="H66" s="103"/>
      <c r="I66" s="103"/>
      <c r="J66" s="103"/>
      <c r="K66" s="103"/>
      <c r="L66" s="110"/>
      <c r="M66" s="103"/>
      <c r="N66" s="106"/>
      <c r="O66" s="107"/>
      <c r="P66" s="108"/>
    </row>
    <row r="67">
      <c r="A67" s="102"/>
      <c r="B67" s="103"/>
      <c r="C67" s="103"/>
      <c r="D67" s="103"/>
      <c r="E67" s="103"/>
      <c r="F67" s="103"/>
      <c r="G67" s="104"/>
      <c r="H67" s="103"/>
      <c r="I67" s="103"/>
      <c r="J67" s="103"/>
      <c r="K67" s="103"/>
      <c r="L67" s="110"/>
      <c r="M67" s="103"/>
      <c r="N67" s="106"/>
      <c r="O67" s="107"/>
      <c r="P67" s="108"/>
    </row>
    <row r="68">
      <c r="A68" s="102"/>
      <c r="B68" s="103"/>
      <c r="C68" s="103"/>
      <c r="D68" s="103"/>
      <c r="E68" s="103"/>
      <c r="F68" s="103"/>
      <c r="G68" s="104"/>
      <c r="H68" s="103"/>
      <c r="I68" s="103"/>
      <c r="J68" s="103"/>
      <c r="K68" s="103"/>
      <c r="L68" s="110"/>
      <c r="M68" s="103"/>
      <c r="N68" s="106"/>
      <c r="O68" s="107"/>
      <c r="P68" s="108"/>
    </row>
    <row r="69">
      <c r="A69" s="102"/>
      <c r="B69" s="103"/>
      <c r="C69" s="103"/>
      <c r="D69" s="103"/>
      <c r="E69" s="103"/>
      <c r="F69" s="103"/>
      <c r="G69" s="104"/>
      <c r="H69" s="103"/>
      <c r="I69" s="103"/>
      <c r="J69" s="103"/>
      <c r="K69" s="103"/>
      <c r="L69" s="110"/>
      <c r="M69" s="103"/>
      <c r="N69" s="106"/>
      <c r="O69" s="107"/>
      <c r="P69" s="108"/>
    </row>
    <row r="70">
      <c r="A70" s="102"/>
      <c r="B70" s="103"/>
      <c r="C70" s="103"/>
      <c r="D70" s="103"/>
      <c r="E70" s="103"/>
      <c r="F70" s="103"/>
      <c r="G70" s="104"/>
      <c r="H70" s="103"/>
      <c r="I70" s="103"/>
      <c r="J70" s="103"/>
      <c r="K70" s="103"/>
      <c r="L70" s="110"/>
      <c r="M70" s="103"/>
      <c r="N70" s="106"/>
      <c r="O70" s="107"/>
      <c r="P70" s="108"/>
    </row>
    <row r="71">
      <c r="A71" s="102"/>
      <c r="B71" s="103"/>
      <c r="C71" s="103"/>
      <c r="D71" s="103"/>
      <c r="E71" s="103"/>
      <c r="F71" s="103"/>
      <c r="G71" s="104"/>
      <c r="H71" s="103"/>
      <c r="I71" s="103"/>
      <c r="J71" s="103"/>
      <c r="K71" s="103"/>
      <c r="L71" s="110"/>
      <c r="M71" s="103"/>
      <c r="N71" s="106"/>
      <c r="O71" s="107"/>
      <c r="P71" s="108"/>
    </row>
    <row r="72">
      <c r="A72" s="102"/>
      <c r="B72" s="103"/>
      <c r="C72" s="103"/>
      <c r="D72" s="103"/>
      <c r="E72" s="103"/>
      <c r="F72" s="103"/>
      <c r="G72" s="104"/>
      <c r="H72" s="103"/>
      <c r="I72" s="103"/>
      <c r="J72" s="103"/>
      <c r="K72" s="103"/>
      <c r="L72" s="110"/>
      <c r="M72" s="103"/>
      <c r="N72" s="106"/>
      <c r="O72" s="107"/>
      <c r="P72" s="108"/>
    </row>
    <row r="73">
      <c r="A73" s="102"/>
      <c r="B73" s="103"/>
      <c r="C73" s="103"/>
      <c r="D73" s="103"/>
      <c r="E73" s="103"/>
      <c r="F73" s="103"/>
      <c r="G73" s="104"/>
      <c r="H73" s="103"/>
      <c r="I73" s="103"/>
      <c r="J73" s="103"/>
      <c r="K73" s="103"/>
      <c r="L73" s="110"/>
      <c r="M73" s="103"/>
      <c r="N73" s="106"/>
      <c r="O73" s="107"/>
      <c r="P73" s="108"/>
    </row>
    <row r="74">
      <c r="A74" s="102"/>
      <c r="B74" s="103"/>
      <c r="C74" s="103"/>
      <c r="D74" s="103"/>
      <c r="E74" s="103"/>
      <c r="F74" s="103"/>
      <c r="G74" s="104"/>
      <c r="H74" s="103"/>
      <c r="I74" s="103"/>
      <c r="J74" s="103"/>
      <c r="K74" s="103"/>
      <c r="L74" s="110"/>
      <c r="M74" s="103"/>
      <c r="N74" s="106"/>
      <c r="O74" s="107"/>
      <c r="P74" s="108"/>
    </row>
    <row r="75">
      <c r="A75" s="102"/>
      <c r="B75" s="103"/>
      <c r="C75" s="103"/>
      <c r="D75" s="103"/>
      <c r="E75" s="103"/>
      <c r="F75" s="103"/>
      <c r="G75" s="104"/>
      <c r="H75" s="103"/>
      <c r="I75" s="103"/>
      <c r="J75" s="103"/>
      <c r="K75" s="103"/>
      <c r="L75" s="110"/>
      <c r="M75" s="103"/>
      <c r="N75" s="106"/>
      <c r="O75" s="107"/>
      <c r="P75" s="108"/>
    </row>
    <row r="76">
      <c r="A76" s="102"/>
      <c r="B76" s="103"/>
      <c r="C76" s="103"/>
      <c r="D76" s="103"/>
      <c r="E76" s="103"/>
      <c r="F76" s="103"/>
      <c r="G76" s="104"/>
      <c r="H76" s="103"/>
      <c r="I76" s="103"/>
      <c r="J76" s="103"/>
      <c r="K76" s="103"/>
      <c r="L76" s="110"/>
      <c r="M76" s="103"/>
      <c r="N76" s="106"/>
      <c r="O76" s="107"/>
      <c r="P76" s="108"/>
    </row>
    <row r="77">
      <c r="A77" s="102"/>
      <c r="B77" s="103"/>
      <c r="C77" s="103"/>
      <c r="D77" s="103"/>
      <c r="E77" s="103"/>
      <c r="F77" s="103"/>
      <c r="G77" s="104"/>
      <c r="H77" s="103"/>
      <c r="I77" s="103"/>
      <c r="J77" s="103"/>
      <c r="K77" s="103"/>
      <c r="L77" s="110"/>
      <c r="M77" s="103"/>
      <c r="N77" s="106"/>
      <c r="O77" s="107"/>
      <c r="P77" s="108"/>
    </row>
    <row r="78">
      <c r="A78" s="102"/>
      <c r="B78" s="103"/>
      <c r="C78" s="103"/>
      <c r="D78" s="103"/>
      <c r="E78" s="103"/>
      <c r="F78" s="103"/>
      <c r="G78" s="104"/>
      <c r="H78" s="103"/>
      <c r="I78" s="103"/>
      <c r="J78" s="103"/>
      <c r="K78" s="103"/>
      <c r="L78" s="110"/>
      <c r="M78" s="103"/>
      <c r="N78" s="106"/>
      <c r="O78" s="107"/>
      <c r="P78" s="108"/>
    </row>
    <row r="79">
      <c r="A79" s="102"/>
      <c r="B79" s="103"/>
      <c r="C79" s="103"/>
      <c r="D79" s="103"/>
      <c r="E79" s="103"/>
      <c r="F79" s="103"/>
      <c r="G79" s="104"/>
      <c r="H79" s="103"/>
      <c r="I79" s="103"/>
      <c r="J79" s="103"/>
      <c r="K79" s="103"/>
      <c r="L79" s="110"/>
      <c r="M79" s="103"/>
      <c r="N79" s="106"/>
      <c r="O79" s="107"/>
      <c r="P79" s="108"/>
    </row>
    <row r="80">
      <c r="A80" s="102"/>
      <c r="B80" s="103"/>
      <c r="C80" s="103"/>
      <c r="D80" s="103"/>
      <c r="E80" s="103"/>
      <c r="F80" s="103"/>
      <c r="G80" s="104"/>
      <c r="H80" s="103"/>
      <c r="I80" s="103"/>
      <c r="J80" s="103"/>
      <c r="K80" s="103"/>
      <c r="L80" s="110"/>
      <c r="M80" s="103"/>
      <c r="N80" s="106"/>
      <c r="O80" s="107"/>
      <c r="P80" s="108"/>
    </row>
    <row r="81">
      <c r="A81" s="102"/>
      <c r="B81" s="103"/>
      <c r="C81" s="103"/>
      <c r="D81" s="103"/>
      <c r="E81" s="103"/>
      <c r="F81" s="103"/>
      <c r="G81" s="104"/>
      <c r="H81" s="103"/>
      <c r="I81" s="103"/>
      <c r="J81" s="103"/>
      <c r="K81" s="103"/>
      <c r="L81" s="110"/>
      <c r="M81" s="103"/>
      <c r="N81" s="106"/>
      <c r="O81" s="107"/>
      <c r="P81" s="108"/>
    </row>
    <row r="82">
      <c r="A82" s="102"/>
      <c r="B82" s="103"/>
      <c r="C82" s="103"/>
      <c r="D82" s="103"/>
      <c r="E82" s="103"/>
      <c r="F82" s="103"/>
      <c r="G82" s="104"/>
      <c r="H82" s="103"/>
      <c r="I82" s="103"/>
      <c r="J82" s="103"/>
      <c r="K82" s="103"/>
      <c r="L82" s="110"/>
      <c r="M82" s="103"/>
      <c r="N82" s="106"/>
      <c r="O82" s="107"/>
      <c r="P82" s="108"/>
    </row>
    <row r="83">
      <c r="A83" s="102"/>
      <c r="B83" s="103"/>
      <c r="C83" s="103"/>
      <c r="D83" s="103"/>
      <c r="E83" s="103"/>
      <c r="F83" s="103"/>
      <c r="G83" s="104"/>
      <c r="H83" s="103"/>
      <c r="I83" s="103"/>
      <c r="J83" s="103"/>
      <c r="K83" s="103"/>
      <c r="L83" s="110"/>
      <c r="M83" s="103"/>
      <c r="N83" s="106"/>
      <c r="O83" s="107"/>
      <c r="P83" s="108"/>
    </row>
    <row r="84">
      <c r="A84" s="102"/>
      <c r="B84" s="103"/>
      <c r="C84" s="103"/>
      <c r="D84" s="103"/>
      <c r="E84" s="103"/>
      <c r="F84" s="103"/>
      <c r="G84" s="104"/>
      <c r="H84" s="103"/>
      <c r="I84" s="103"/>
      <c r="J84" s="103"/>
      <c r="K84" s="103"/>
      <c r="L84" s="110"/>
      <c r="M84" s="103"/>
      <c r="N84" s="106"/>
      <c r="O84" s="107"/>
      <c r="P84" s="108"/>
    </row>
    <row r="85">
      <c r="A85" s="102"/>
      <c r="B85" s="103"/>
      <c r="C85" s="103"/>
      <c r="D85" s="103"/>
      <c r="E85" s="103"/>
      <c r="F85" s="103"/>
      <c r="G85" s="104"/>
      <c r="H85" s="103"/>
      <c r="I85" s="103"/>
      <c r="J85" s="103"/>
      <c r="K85" s="103"/>
      <c r="L85" s="110"/>
      <c r="M85" s="103"/>
      <c r="N85" s="106"/>
      <c r="O85" s="107"/>
      <c r="P85" s="108"/>
    </row>
    <row r="86">
      <c r="A86" s="102"/>
      <c r="B86" s="103"/>
      <c r="C86" s="103"/>
      <c r="D86" s="103"/>
      <c r="E86" s="103"/>
      <c r="F86" s="103"/>
      <c r="G86" s="104"/>
      <c r="H86" s="103"/>
      <c r="I86" s="103"/>
      <c r="J86" s="103"/>
      <c r="K86" s="103"/>
      <c r="L86" s="110"/>
      <c r="M86" s="103"/>
      <c r="N86" s="106"/>
      <c r="O86" s="107"/>
      <c r="P86" s="108"/>
    </row>
    <row r="87">
      <c r="A87" s="102"/>
      <c r="B87" s="103"/>
      <c r="C87" s="103"/>
      <c r="D87" s="103"/>
      <c r="E87" s="103"/>
      <c r="F87" s="103"/>
      <c r="G87" s="104"/>
      <c r="H87" s="103"/>
      <c r="I87" s="103"/>
      <c r="J87" s="103"/>
      <c r="K87" s="103"/>
      <c r="L87" s="110"/>
      <c r="M87" s="103"/>
      <c r="N87" s="106"/>
      <c r="O87" s="107"/>
      <c r="P87" s="108"/>
    </row>
    <row r="88">
      <c r="A88" s="102"/>
      <c r="B88" s="103"/>
      <c r="C88" s="103"/>
      <c r="D88" s="103"/>
      <c r="E88" s="103"/>
      <c r="F88" s="103"/>
      <c r="G88" s="104"/>
      <c r="H88" s="103"/>
      <c r="I88" s="103"/>
      <c r="J88" s="103"/>
      <c r="K88" s="103"/>
      <c r="L88" s="110"/>
      <c r="M88" s="103"/>
      <c r="N88" s="106"/>
      <c r="O88" s="107"/>
      <c r="P88" s="108"/>
    </row>
    <row r="89">
      <c r="A89" s="102"/>
      <c r="B89" s="103"/>
      <c r="C89" s="103"/>
      <c r="D89" s="103"/>
      <c r="E89" s="103"/>
      <c r="F89" s="103"/>
      <c r="G89" s="104"/>
      <c r="H89" s="103"/>
      <c r="I89" s="103"/>
      <c r="J89" s="103"/>
      <c r="K89" s="103"/>
      <c r="L89" s="110"/>
      <c r="M89" s="103"/>
      <c r="N89" s="106"/>
      <c r="O89" s="107"/>
      <c r="P89" s="108"/>
    </row>
    <row r="90">
      <c r="A90" s="102"/>
      <c r="B90" s="103"/>
      <c r="C90" s="103"/>
      <c r="D90" s="103"/>
      <c r="E90" s="103"/>
      <c r="F90" s="103"/>
      <c r="G90" s="104"/>
      <c r="H90" s="103"/>
      <c r="I90" s="103"/>
      <c r="J90" s="103"/>
      <c r="K90" s="103"/>
      <c r="L90" s="110"/>
      <c r="M90" s="103"/>
      <c r="N90" s="106"/>
      <c r="O90" s="107"/>
      <c r="P90" s="108"/>
    </row>
    <row r="91">
      <c r="A91" s="102"/>
      <c r="B91" s="103"/>
      <c r="C91" s="103"/>
      <c r="D91" s="103"/>
      <c r="E91" s="103"/>
      <c r="F91" s="103"/>
      <c r="G91" s="104"/>
      <c r="H91" s="103"/>
      <c r="I91" s="103"/>
      <c r="J91" s="103"/>
      <c r="K91" s="103"/>
      <c r="L91" s="110"/>
      <c r="M91" s="103"/>
      <c r="N91" s="106"/>
      <c r="O91" s="107"/>
      <c r="P91" s="108"/>
    </row>
    <row r="92">
      <c r="A92" s="102"/>
      <c r="B92" s="103"/>
      <c r="C92" s="103"/>
      <c r="D92" s="103"/>
      <c r="E92" s="103"/>
      <c r="F92" s="103"/>
      <c r="G92" s="104"/>
      <c r="H92" s="103"/>
      <c r="I92" s="103"/>
      <c r="J92" s="103"/>
      <c r="K92" s="103"/>
      <c r="L92" s="110"/>
      <c r="M92" s="103"/>
      <c r="N92" s="106"/>
      <c r="O92" s="107"/>
      <c r="P92" s="108"/>
    </row>
    <row r="93">
      <c r="A93" s="102"/>
      <c r="B93" s="103"/>
      <c r="C93" s="103"/>
      <c r="D93" s="103"/>
      <c r="E93" s="103"/>
      <c r="F93" s="103"/>
      <c r="G93" s="104"/>
      <c r="H93" s="103"/>
      <c r="I93" s="103"/>
      <c r="J93" s="103"/>
      <c r="K93" s="103"/>
      <c r="L93" s="110"/>
      <c r="M93" s="103"/>
      <c r="N93" s="106"/>
      <c r="O93" s="107"/>
      <c r="P93" s="108"/>
    </row>
    <row r="94">
      <c r="A94" s="102"/>
      <c r="B94" s="103"/>
      <c r="C94" s="103"/>
      <c r="D94" s="103"/>
      <c r="E94" s="103"/>
      <c r="F94" s="103"/>
      <c r="G94" s="104"/>
      <c r="H94" s="103"/>
      <c r="I94" s="103"/>
      <c r="J94" s="103"/>
      <c r="K94" s="103"/>
      <c r="L94" s="110"/>
      <c r="M94" s="103"/>
      <c r="N94" s="106"/>
      <c r="O94" s="107"/>
      <c r="P94" s="108"/>
    </row>
    <row r="95">
      <c r="A95" s="102"/>
      <c r="B95" s="103"/>
      <c r="C95" s="103"/>
      <c r="D95" s="103"/>
      <c r="E95" s="103"/>
      <c r="F95" s="103"/>
      <c r="G95" s="104"/>
      <c r="H95" s="103"/>
      <c r="I95" s="103"/>
      <c r="J95" s="103"/>
      <c r="K95" s="103"/>
      <c r="L95" s="110"/>
      <c r="M95" s="103"/>
      <c r="N95" s="106"/>
      <c r="O95" s="107"/>
      <c r="P95" s="108"/>
    </row>
    <row r="96">
      <c r="A96" s="102"/>
      <c r="B96" s="103"/>
      <c r="C96" s="103"/>
      <c r="D96" s="103"/>
      <c r="E96" s="103"/>
      <c r="F96" s="103"/>
      <c r="G96" s="104"/>
      <c r="H96" s="103"/>
      <c r="I96" s="103"/>
      <c r="J96" s="103"/>
      <c r="K96" s="103"/>
      <c r="L96" s="110"/>
      <c r="M96" s="103"/>
      <c r="N96" s="106"/>
      <c r="O96" s="107"/>
      <c r="P96" s="108"/>
    </row>
    <row r="97">
      <c r="A97" s="102"/>
      <c r="B97" s="103"/>
      <c r="C97" s="103"/>
      <c r="D97" s="103"/>
      <c r="E97" s="103"/>
      <c r="F97" s="103"/>
      <c r="G97" s="104"/>
      <c r="H97" s="103"/>
      <c r="I97" s="103"/>
      <c r="J97" s="103"/>
      <c r="K97" s="103"/>
      <c r="L97" s="110"/>
      <c r="M97" s="103"/>
      <c r="N97" s="106"/>
      <c r="O97" s="107"/>
      <c r="P97" s="108"/>
    </row>
    <row r="98">
      <c r="A98" s="102"/>
      <c r="B98" s="103"/>
      <c r="C98" s="103"/>
      <c r="D98" s="103"/>
      <c r="E98" s="103"/>
      <c r="F98" s="103"/>
      <c r="G98" s="104"/>
      <c r="H98" s="103"/>
      <c r="I98" s="103"/>
      <c r="J98" s="103"/>
      <c r="K98" s="103"/>
      <c r="L98" s="110"/>
      <c r="M98" s="103"/>
      <c r="N98" s="106"/>
      <c r="O98" s="107"/>
      <c r="P98" s="108"/>
    </row>
    <row r="99">
      <c r="A99" s="102"/>
      <c r="B99" s="103"/>
      <c r="C99" s="103"/>
      <c r="D99" s="103"/>
      <c r="E99" s="103"/>
      <c r="F99" s="103"/>
      <c r="G99" s="104"/>
      <c r="H99" s="103"/>
      <c r="I99" s="103"/>
      <c r="J99" s="103"/>
      <c r="K99" s="103"/>
      <c r="L99" s="110"/>
      <c r="M99" s="103"/>
      <c r="N99" s="106"/>
      <c r="O99" s="107"/>
      <c r="P99" s="108"/>
    </row>
    <row r="100">
      <c r="A100" s="102"/>
      <c r="B100" s="103"/>
      <c r="C100" s="103"/>
      <c r="D100" s="103"/>
      <c r="E100" s="103"/>
      <c r="F100" s="103"/>
      <c r="G100" s="104"/>
      <c r="H100" s="103"/>
      <c r="I100" s="103"/>
      <c r="J100" s="103"/>
      <c r="K100" s="103"/>
      <c r="L100" s="110"/>
      <c r="M100" s="103"/>
      <c r="N100" s="106"/>
      <c r="O100" s="107"/>
      <c r="P100" s="108"/>
    </row>
    <row r="101">
      <c r="A101" s="102"/>
      <c r="B101" s="103"/>
      <c r="C101" s="103"/>
      <c r="D101" s="103"/>
      <c r="E101" s="103"/>
      <c r="F101" s="103"/>
      <c r="G101" s="104"/>
      <c r="H101" s="103"/>
      <c r="I101" s="103"/>
      <c r="J101" s="103"/>
      <c r="K101" s="103"/>
      <c r="L101" s="110"/>
      <c r="M101" s="103"/>
      <c r="N101" s="106"/>
      <c r="O101" s="107"/>
      <c r="P101" s="108"/>
    </row>
    <row r="102">
      <c r="A102" s="102"/>
      <c r="B102" s="103"/>
      <c r="C102" s="103"/>
      <c r="D102" s="103"/>
      <c r="E102" s="103"/>
      <c r="F102" s="103"/>
      <c r="G102" s="104"/>
      <c r="H102" s="103"/>
      <c r="I102" s="103"/>
      <c r="J102" s="103"/>
      <c r="K102" s="103"/>
      <c r="L102" s="110"/>
      <c r="M102" s="103"/>
      <c r="N102" s="106"/>
      <c r="O102" s="107"/>
      <c r="P102" s="108"/>
    </row>
    <row r="103">
      <c r="A103" s="102"/>
      <c r="B103" s="103"/>
      <c r="C103" s="103"/>
      <c r="D103" s="103"/>
      <c r="E103" s="103"/>
      <c r="F103" s="103"/>
      <c r="G103" s="104"/>
      <c r="H103" s="103"/>
      <c r="I103" s="103"/>
      <c r="J103" s="103"/>
      <c r="K103" s="103"/>
      <c r="L103" s="110"/>
      <c r="M103" s="103"/>
      <c r="N103" s="106"/>
      <c r="O103" s="107"/>
      <c r="P103" s="108"/>
    </row>
    <row r="104">
      <c r="A104" s="102"/>
      <c r="B104" s="103"/>
      <c r="C104" s="103"/>
      <c r="D104" s="103"/>
      <c r="E104" s="103"/>
      <c r="F104" s="103"/>
      <c r="G104" s="104"/>
      <c r="H104" s="103"/>
      <c r="I104" s="103"/>
      <c r="J104" s="103"/>
      <c r="K104" s="103"/>
      <c r="L104" s="110"/>
      <c r="M104" s="103"/>
      <c r="N104" s="106"/>
      <c r="O104" s="107"/>
      <c r="P104" s="108"/>
    </row>
    <row r="105">
      <c r="A105" s="102"/>
      <c r="B105" s="103"/>
      <c r="C105" s="103"/>
      <c r="D105" s="103"/>
      <c r="E105" s="103"/>
      <c r="F105" s="103"/>
      <c r="G105" s="104"/>
      <c r="H105" s="103"/>
      <c r="I105" s="103"/>
      <c r="J105" s="103"/>
      <c r="K105" s="103"/>
      <c r="L105" s="110"/>
      <c r="M105" s="103"/>
      <c r="N105" s="106"/>
      <c r="O105" s="107"/>
      <c r="P105" s="108"/>
    </row>
    <row r="106">
      <c r="A106" s="102"/>
      <c r="B106" s="103"/>
      <c r="C106" s="103"/>
      <c r="D106" s="103"/>
      <c r="E106" s="103"/>
      <c r="F106" s="103"/>
      <c r="G106" s="104"/>
      <c r="H106" s="103"/>
      <c r="I106" s="103"/>
      <c r="J106" s="103"/>
      <c r="K106" s="103"/>
      <c r="L106" s="110"/>
      <c r="M106" s="103"/>
      <c r="N106" s="106"/>
      <c r="O106" s="107"/>
      <c r="P106" s="108"/>
    </row>
    <row r="107">
      <c r="A107" s="102"/>
      <c r="B107" s="103"/>
      <c r="C107" s="103"/>
      <c r="D107" s="103"/>
      <c r="E107" s="103"/>
      <c r="F107" s="103"/>
      <c r="G107" s="104"/>
      <c r="H107" s="103"/>
      <c r="I107" s="103"/>
      <c r="J107" s="103"/>
      <c r="K107" s="103"/>
      <c r="L107" s="110"/>
      <c r="M107" s="103"/>
      <c r="N107" s="106"/>
      <c r="O107" s="107"/>
      <c r="P107" s="108"/>
    </row>
    <row r="108">
      <c r="A108" s="102"/>
      <c r="B108" s="103"/>
      <c r="C108" s="103"/>
      <c r="D108" s="103"/>
      <c r="E108" s="103"/>
      <c r="F108" s="103"/>
      <c r="G108" s="104"/>
      <c r="H108" s="103"/>
      <c r="I108" s="103"/>
      <c r="J108" s="103"/>
      <c r="K108" s="103"/>
      <c r="L108" s="110"/>
      <c r="M108" s="103"/>
      <c r="N108" s="106"/>
      <c r="O108" s="107"/>
      <c r="P108" s="108"/>
    </row>
    <row r="109">
      <c r="A109" s="102"/>
      <c r="B109" s="103"/>
      <c r="C109" s="103"/>
      <c r="D109" s="103"/>
      <c r="E109" s="103"/>
      <c r="F109" s="103"/>
      <c r="G109" s="104"/>
      <c r="H109" s="103"/>
      <c r="I109" s="103"/>
      <c r="J109" s="103"/>
      <c r="K109" s="103"/>
      <c r="L109" s="110"/>
      <c r="M109" s="103"/>
      <c r="N109" s="106"/>
      <c r="O109" s="107"/>
      <c r="P109" s="108"/>
    </row>
    <row r="110">
      <c r="A110" s="102"/>
      <c r="B110" s="103"/>
      <c r="C110" s="103"/>
      <c r="D110" s="103"/>
      <c r="E110" s="103"/>
      <c r="F110" s="103"/>
      <c r="G110" s="104"/>
      <c r="H110" s="103"/>
      <c r="I110" s="103"/>
      <c r="J110" s="103"/>
      <c r="K110" s="103"/>
      <c r="L110" s="110"/>
      <c r="M110" s="103"/>
      <c r="N110" s="106"/>
      <c r="O110" s="107"/>
      <c r="P110" s="108"/>
    </row>
    <row r="111">
      <c r="A111" s="102"/>
      <c r="B111" s="103"/>
      <c r="C111" s="103"/>
      <c r="D111" s="103"/>
      <c r="E111" s="103"/>
      <c r="F111" s="103"/>
      <c r="G111" s="104"/>
      <c r="H111" s="103"/>
      <c r="I111" s="103"/>
      <c r="J111" s="103"/>
      <c r="K111" s="103"/>
      <c r="L111" s="110"/>
      <c r="M111" s="103"/>
      <c r="N111" s="106"/>
      <c r="O111" s="107"/>
      <c r="P111" s="108"/>
    </row>
    <row r="112">
      <c r="A112" s="102"/>
      <c r="B112" s="103"/>
      <c r="C112" s="103"/>
      <c r="D112" s="103"/>
      <c r="E112" s="103"/>
      <c r="F112" s="103"/>
      <c r="G112" s="104"/>
      <c r="H112" s="103"/>
      <c r="I112" s="103"/>
      <c r="J112" s="103"/>
      <c r="K112" s="103"/>
      <c r="L112" s="110"/>
      <c r="M112" s="103"/>
      <c r="N112" s="106"/>
      <c r="O112" s="107"/>
      <c r="P112" s="108"/>
    </row>
    <row r="113">
      <c r="A113" s="102"/>
      <c r="B113" s="103"/>
      <c r="C113" s="103"/>
      <c r="D113" s="103"/>
      <c r="E113" s="103"/>
      <c r="F113" s="103"/>
      <c r="G113" s="104"/>
      <c r="H113" s="103"/>
      <c r="I113" s="103"/>
      <c r="J113" s="103"/>
      <c r="K113" s="103"/>
      <c r="L113" s="110"/>
      <c r="M113" s="103"/>
      <c r="N113" s="106"/>
      <c r="O113" s="107"/>
      <c r="P113" s="108"/>
    </row>
    <row r="114">
      <c r="A114" s="102"/>
      <c r="B114" s="103"/>
      <c r="C114" s="103"/>
      <c r="D114" s="103"/>
      <c r="E114" s="103"/>
      <c r="F114" s="103"/>
      <c r="G114" s="104"/>
      <c r="H114" s="103"/>
      <c r="I114" s="103"/>
      <c r="J114" s="103"/>
      <c r="K114" s="103"/>
      <c r="L114" s="110"/>
      <c r="M114" s="103"/>
      <c r="N114" s="106"/>
      <c r="O114" s="107"/>
      <c r="P114" s="108"/>
    </row>
    <row r="115">
      <c r="A115" s="102"/>
      <c r="B115" s="103"/>
      <c r="C115" s="103"/>
      <c r="D115" s="103"/>
      <c r="E115" s="103"/>
      <c r="F115" s="103"/>
      <c r="G115" s="104"/>
      <c r="H115" s="103"/>
      <c r="I115" s="103"/>
      <c r="J115" s="103"/>
      <c r="K115" s="103"/>
      <c r="L115" s="110"/>
      <c r="M115" s="103"/>
      <c r="N115" s="106"/>
      <c r="O115" s="107"/>
      <c r="P115" s="108"/>
    </row>
    <row r="116">
      <c r="A116" s="102"/>
      <c r="B116" s="103"/>
      <c r="C116" s="103"/>
      <c r="D116" s="103"/>
      <c r="E116" s="103"/>
      <c r="F116" s="103"/>
      <c r="G116" s="104"/>
      <c r="H116" s="103"/>
      <c r="I116" s="103"/>
      <c r="J116" s="103"/>
      <c r="K116" s="103"/>
      <c r="L116" s="110"/>
      <c r="M116" s="103"/>
      <c r="N116" s="106"/>
      <c r="O116" s="107"/>
      <c r="P116" s="108"/>
    </row>
    <row r="117">
      <c r="A117" s="102"/>
      <c r="B117" s="103"/>
      <c r="C117" s="103"/>
      <c r="D117" s="103"/>
      <c r="E117" s="103"/>
      <c r="F117" s="103"/>
      <c r="G117" s="104"/>
      <c r="H117" s="103"/>
      <c r="I117" s="103"/>
      <c r="J117" s="103"/>
      <c r="K117" s="103"/>
      <c r="L117" s="110"/>
      <c r="M117" s="103"/>
      <c r="N117" s="106"/>
      <c r="O117" s="107"/>
      <c r="P117" s="108"/>
    </row>
    <row r="118">
      <c r="A118" s="102"/>
      <c r="B118" s="103"/>
      <c r="C118" s="103"/>
      <c r="D118" s="103"/>
      <c r="E118" s="103"/>
      <c r="F118" s="103"/>
      <c r="G118" s="104"/>
      <c r="H118" s="103"/>
      <c r="I118" s="103"/>
      <c r="J118" s="103"/>
      <c r="K118" s="103"/>
      <c r="L118" s="110"/>
      <c r="M118" s="103"/>
      <c r="N118" s="106"/>
      <c r="O118" s="107"/>
      <c r="P118" s="108"/>
    </row>
    <row r="119">
      <c r="A119" s="102"/>
      <c r="B119" s="103"/>
      <c r="C119" s="103"/>
      <c r="D119" s="103"/>
      <c r="E119" s="103"/>
      <c r="F119" s="103"/>
      <c r="G119" s="104"/>
      <c r="H119" s="103"/>
      <c r="I119" s="103"/>
      <c r="J119" s="103"/>
      <c r="K119" s="103"/>
      <c r="L119" s="110"/>
      <c r="M119" s="103"/>
      <c r="N119" s="106"/>
      <c r="O119" s="107"/>
      <c r="P119" s="108"/>
    </row>
    <row r="120">
      <c r="A120" s="102"/>
      <c r="B120" s="103"/>
      <c r="C120" s="103"/>
      <c r="D120" s="103"/>
      <c r="E120" s="103"/>
      <c r="F120" s="103"/>
      <c r="G120" s="104"/>
      <c r="H120" s="103"/>
      <c r="I120" s="103"/>
      <c r="J120" s="103"/>
      <c r="K120" s="103"/>
      <c r="L120" s="110"/>
      <c r="M120" s="103"/>
      <c r="N120" s="106"/>
      <c r="O120" s="107"/>
      <c r="P120" s="108"/>
    </row>
    <row r="121">
      <c r="A121" s="102"/>
      <c r="B121" s="103"/>
      <c r="C121" s="103"/>
      <c r="D121" s="103"/>
      <c r="E121" s="103"/>
      <c r="F121" s="103"/>
      <c r="G121" s="104"/>
      <c r="H121" s="103"/>
      <c r="I121" s="103"/>
      <c r="J121" s="103"/>
      <c r="K121" s="103"/>
      <c r="L121" s="110"/>
      <c r="M121" s="103"/>
      <c r="N121" s="106"/>
      <c r="O121" s="107"/>
      <c r="P121" s="108"/>
    </row>
    <row r="122">
      <c r="A122" s="102"/>
      <c r="B122" s="103"/>
      <c r="C122" s="103"/>
      <c r="D122" s="103"/>
      <c r="E122" s="103"/>
      <c r="F122" s="103"/>
      <c r="G122" s="104"/>
      <c r="H122" s="103"/>
      <c r="I122" s="103"/>
      <c r="J122" s="103"/>
      <c r="K122" s="103"/>
      <c r="L122" s="110"/>
      <c r="M122" s="103"/>
      <c r="N122" s="106"/>
      <c r="O122" s="107"/>
      <c r="P122" s="108"/>
    </row>
    <row r="123">
      <c r="A123" s="102"/>
      <c r="B123" s="103"/>
      <c r="C123" s="103"/>
      <c r="D123" s="103"/>
      <c r="E123" s="103"/>
      <c r="F123" s="103"/>
      <c r="G123" s="104"/>
      <c r="H123" s="103"/>
      <c r="I123" s="103"/>
      <c r="J123" s="103"/>
      <c r="K123" s="103"/>
      <c r="L123" s="110"/>
      <c r="M123" s="103"/>
      <c r="N123" s="106"/>
      <c r="O123" s="107"/>
      <c r="P123" s="108"/>
    </row>
    <row r="124">
      <c r="A124" s="102"/>
      <c r="B124" s="103"/>
      <c r="C124" s="103"/>
      <c r="D124" s="103"/>
      <c r="E124" s="103"/>
      <c r="F124" s="103"/>
      <c r="G124" s="104"/>
      <c r="H124" s="103"/>
      <c r="I124" s="103"/>
      <c r="J124" s="103"/>
      <c r="K124" s="103"/>
      <c r="L124" s="110"/>
      <c r="M124" s="103"/>
      <c r="N124" s="106"/>
      <c r="O124" s="107"/>
      <c r="P124" s="108"/>
    </row>
    <row r="125">
      <c r="A125" s="102"/>
      <c r="B125" s="103"/>
      <c r="C125" s="103"/>
      <c r="D125" s="103"/>
      <c r="E125" s="103"/>
      <c r="F125" s="103"/>
      <c r="G125" s="104"/>
      <c r="H125" s="103"/>
      <c r="I125" s="103"/>
      <c r="J125" s="103"/>
      <c r="K125" s="103"/>
      <c r="L125" s="110"/>
      <c r="M125" s="103"/>
      <c r="N125" s="106"/>
      <c r="O125" s="107"/>
      <c r="P125" s="108"/>
    </row>
    <row r="126">
      <c r="A126" s="102"/>
      <c r="B126" s="103"/>
      <c r="C126" s="103"/>
      <c r="D126" s="103"/>
      <c r="E126" s="103"/>
      <c r="F126" s="103"/>
      <c r="G126" s="104"/>
      <c r="H126" s="103"/>
      <c r="I126" s="103"/>
      <c r="J126" s="103"/>
      <c r="K126" s="103"/>
      <c r="L126" s="110"/>
      <c r="M126" s="103"/>
      <c r="N126" s="106"/>
      <c r="O126" s="107"/>
      <c r="P126" s="108"/>
    </row>
    <row r="127">
      <c r="A127" s="102"/>
      <c r="B127" s="103"/>
      <c r="C127" s="103"/>
      <c r="D127" s="103"/>
      <c r="E127" s="103"/>
      <c r="F127" s="103"/>
      <c r="G127" s="104"/>
      <c r="H127" s="103"/>
      <c r="I127" s="103"/>
      <c r="J127" s="103"/>
      <c r="K127" s="103"/>
      <c r="L127" s="110"/>
      <c r="M127" s="103"/>
      <c r="N127" s="106"/>
      <c r="O127" s="107"/>
      <c r="P127" s="108"/>
    </row>
    <row r="128">
      <c r="A128" s="102"/>
      <c r="B128" s="103"/>
      <c r="C128" s="103"/>
      <c r="D128" s="103"/>
      <c r="E128" s="103"/>
      <c r="F128" s="103"/>
      <c r="G128" s="104"/>
      <c r="H128" s="103"/>
      <c r="I128" s="103"/>
      <c r="J128" s="103"/>
      <c r="K128" s="103"/>
      <c r="L128" s="110"/>
      <c r="M128" s="103"/>
      <c r="N128" s="106"/>
      <c r="O128" s="107"/>
      <c r="P128" s="108"/>
    </row>
    <row r="129">
      <c r="A129" s="102"/>
      <c r="B129" s="103"/>
      <c r="C129" s="103"/>
      <c r="D129" s="103"/>
      <c r="E129" s="103"/>
      <c r="F129" s="103"/>
      <c r="G129" s="104"/>
      <c r="H129" s="103"/>
      <c r="I129" s="103"/>
      <c r="J129" s="103"/>
      <c r="K129" s="103"/>
      <c r="L129" s="110"/>
      <c r="M129" s="103"/>
      <c r="N129" s="106"/>
      <c r="O129" s="107"/>
      <c r="P129" s="108"/>
    </row>
    <row r="130">
      <c r="A130" s="102"/>
      <c r="B130" s="103"/>
      <c r="C130" s="103"/>
      <c r="D130" s="103"/>
      <c r="E130" s="103"/>
      <c r="F130" s="103"/>
      <c r="G130" s="104"/>
      <c r="H130" s="103"/>
      <c r="I130" s="103"/>
      <c r="J130" s="103"/>
      <c r="K130" s="103"/>
      <c r="L130" s="110"/>
      <c r="M130" s="103"/>
      <c r="N130" s="106"/>
      <c r="O130" s="107"/>
      <c r="P130" s="108"/>
    </row>
    <row r="131">
      <c r="A131" s="102"/>
      <c r="B131" s="103"/>
      <c r="C131" s="103"/>
      <c r="D131" s="103"/>
      <c r="E131" s="103"/>
      <c r="F131" s="103"/>
      <c r="G131" s="104"/>
      <c r="H131" s="103"/>
      <c r="I131" s="103"/>
      <c r="J131" s="103"/>
      <c r="K131" s="103"/>
      <c r="L131" s="110"/>
      <c r="M131" s="103"/>
      <c r="N131" s="106"/>
      <c r="O131" s="107"/>
      <c r="P131" s="108"/>
    </row>
    <row r="132">
      <c r="A132" s="102"/>
      <c r="B132" s="103"/>
      <c r="C132" s="103"/>
      <c r="D132" s="103"/>
      <c r="E132" s="103"/>
      <c r="F132" s="103"/>
      <c r="G132" s="104"/>
      <c r="H132" s="103"/>
      <c r="I132" s="103"/>
      <c r="J132" s="103"/>
      <c r="K132" s="103"/>
      <c r="L132" s="110"/>
      <c r="M132" s="103"/>
      <c r="N132" s="106"/>
      <c r="O132" s="107"/>
      <c r="P132" s="108"/>
    </row>
    <row r="133">
      <c r="A133" s="102"/>
      <c r="B133" s="103"/>
      <c r="C133" s="103"/>
      <c r="D133" s="103"/>
      <c r="E133" s="103"/>
      <c r="F133" s="103"/>
      <c r="G133" s="104"/>
      <c r="H133" s="103"/>
      <c r="I133" s="103"/>
      <c r="J133" s="103"/>
      <c r="K133" s="103"/>
      <c r="L133" s="110"/>
      <c r="M133" s="103"/>
      <c r="N133" s="106"/>
      <c r="O133" s="107"/>
      <c r="P133" s="108"/>
    </row>
    <row r="134">
      <c r="A134" s="102"/>
      <c r="B134" s="103"/>
      <c r="C134" s="103"/>
      <c r="D134" s="103"/>
      <c r="E134" s="103"/>
      <c r="F134" s="103"/>
      <c r="G134" s="104"/>
      <c r="H134" s="103"/>
      <c r="I134" s="103"/>
      <c r="J134" s="103"/>
      <c r="K134" s="103"/>
      <c r="L134" s="110"/>
      <c r="M134" s="103"/>
      <c r="N134" s="106"/>
      <c r="O134" s="107"/>
      <c r="P134" s="108"/>
    </row>
    <row r="135">
      <c r="A135" s="102"/>
      <c r="B135" s="103"/>
      <c r="C135" s="103"/>
      <c r="D135" s="103"/>
      <c r="E135" s="103"/>
      <c r="F135" s="103"/>
      <c r="G135" s="104"/>
      <c r="H135" s="103"/>
      <c r="I135" s="103"/>
      <c r="J135" s="103"/>
      <c r="K135" s="103"/>
      <c r="L135" s="110"/>
      <c r="M135" s="103"/>
      <c r="N135" s="106"/>
      <c r="O135" s="107"/>
      <c r="P135" s="108"/>
    </row>
    <row r="136">
      <c r="A136" s="102"/>
      <c r="B136" s="103"/>
      <c r="C136" s="103"/>
      <c r="D136" s="103"/>
      <c r="E136" s="103"/>
      <c r="F136" s="103"/>
      <c r="G136" s="104"/>
      <c r="H136" s="103"/>
      <c r="I136" s="103"/>
      <c r="J136" s="103"/>
      <c r="K136" s="103"/>
      <c r="L136" s="110"/>
      <c r="M136" s="103"/>
      <c r="N136" s="106"/>
      <c r="O136" s="107"/>
      <c r="P136" s="108"/>
    </row>
    <row r="137">
      <c r="A137" s="102"/>
      <c r="B137" s="103"/>
      <c r="C137" s="103"/>
      <c r="D137" s="103"/>
      <c r="E137" s="103"/>
      <c r="F137" s="103"/>
      <c r="G137" s="104"/>
      <c r="H137" s="103"/>
      <c r="I137" s="103"/>
      <c r="J137" s="103"/>
      <c r="K137" s="103"/>
      <c r="L137" s="110"/>
      <c r="M137" s="103"/>
      <c r="N137" s="106"/>
      <c r="O137" s="107"/>
      <c r="P137" s="108"/>
    </row>
    <row r="138">
      <c r="A138" s="102"/>
      <c r="B138" s="103"/>
      <c r="C138" s="103"/>
      <c r="D138" s="103"/>
      <c r="E138" s="103"/>
      <c r="F138" s="103"/>
      <c r="G138" s="104"/>
      <c r="H138" s="103"/>
      <c r="I138" s="103"/>
      <c r="J138" s="103"/>
      <c r="K138" s="103"/>
      <c r="L138" s="110"/>
      <c r="M138" s="103"/>
      <c r="N138" s="106"/>
      <c r="O138" s="107"/>
      <c r="P138" s="108"/>
    </row>
    <row r="139">
      <c r="A139" s="102"/>
      <c r="B139" s="103"/>
      <c r="C139" s="103"/>
      <c r="D139" s="103"/>
      <c r="E139" s="103"/>
      <c r="F139" s="103"/>
      <c r="G139" s="104"/>
      <c r="H139" s="103"/>
      <c r="I139" s="103"/>
      <c r="J139" s="103"/>
      <c r="K139" s="103"/>
      <c r="L139" s="110"/>
      <c r="M139" s="103"/>
      <c r="N139" s="106"/>
      <c r="O139" s="107"/>
      <c r="P139" s="108"/>
    </row>
    <row r="140">
      <c r="A140" s="102"/>
      <c r="B140" s="103"/>
      <c r="C140" s="103"/>
      <c r="D140" s="103"/>
      <c r="E140" s="103"/>
      <c r="F140" s="103"/>
      <c r="G140" s="104"/>
      <c r="H140" s="103"/>
      <c r="I140" s="103"/>
      <c r="J140" s="103"/>
      <c r="K140" s="103"/>
      <c r="L140" s="110"/>
      <c r="M140" s="103"/>
      <c r="N140" s="106"/>
      <c r="O140" s="107"/>
      <c r="P140" s="108"/>
    </row>
    <row r="141">
      <c r="A141" s="102"/>
      <c r="B141" s="103"/>
      <c r="C141" s="103"/>
      <c r="D141" s="103"/>
      <c r="E141" s="103"/>
      <c r="F141" s="103"/>
      <c r="G141" s="104"/>
      <c r="H141" s="103"/>
      <c r="I141" s="103"/>
      <c r="J141" s="103"/>
      <c r="K141" s="103"/>
      <c r="L141" s="110"/>
      <c r="M141" s="103"/>
      <c r="N141" s="106"/>
      <c r="O141" s="107"/>
      <c r="P141" s="108"/>
    </row>
    <row r="142">
      <c r="A142" s="102"/>
      <c r="B142" s="103"/>
      <c r="C142" s="103"/>
      <c r="D142" s="103"/>
      <c r="E142" s="103"/>
      <c r="F142" s="103"/>
      <c r="G142" s="104"/>
      <c r="H142" s="103"/>
      <c r="I142" s="103"/>
      <c r="J142" s="103"/>
      <c r="K142" s="103"/>
      <c r="L142" s="110"/>
      <c r="M142" s="103"/>
      <c r="N142" s="106"/>
      <c r="O142" s="107"/>
      <c r="P142" s="108"/>
    </row>
    <row r="143">
      <c r="A143" s="102"/>
      <c r="B143" s="103"/>
      <c r="C143" s="103"/>
      <c r="D143" s="103"/>
      <c r="E143" s="103"/>
      <c r="F143" s="103"/>
      <c r="G143" s="104"/>
      <c r="H143" s="103"/>
      <c r="I143" s="103"/>
      <c r="J143" s="103"/>
      <c r="K143" s="103"/>
      <c r="L143" s="110"/>
      <c r="M143" s="103"/>
      <c r="N143" s="106"/>
      <c r="O143" s="107"/>
      <c r="P143" s="108"/>
    </row>
    <row r="144">
      <c r="A144" s="102"/>
      <c r="B144" s="103"/>
      <c r="C144" s="103"/>
      <c r="D144" s="103"/>
      <c r="E144" s="103"/>
      <c r="F144" s="103"/>
      <c r="G144" s="104"/>
      <c r="H144" s="103"/>
      <c r="I144" s="103"/>
      <c r="J144" s="103"/>
      <c r="K144" s="103"/>
      <c r="L144" s="110"/>
      <c r="M144" s="103"/>
      <c r="N144" s="106"/>
      <c r="O144" s="107"/>
      <c r="P144" s="108"/>
    </row>
    <row r="145">
      <c r="A145" s="102"/>
      <c r="B145" s="103"/>
      <c r="C145" s="103"/>
      <c r="D145" s="103"/>
      <c r="E145" s="103"/>
      <c r="F145" s="103"/>
      <c r="G145" s="104"/>
      <c r="H145" s="103"/>
      <c r="I145" s="103"/>
      <c r="J145" s="103"/>
      <c r="K145" s="103"/>
      <c r="L145" s="110"/>
      <c r="M145" s="103"/>
      <c r="N145" s="106"/>
      <c r="O145" s="107"/>
      <c r="P145" s="108"/>
    </row>
    <row r="146">
      <c r="A146" s="102"/>
      <c r="B146" s="103"/>
      <c r="C146" s="103"/>
      <c r="D146" s="103"/>
      <c r="E146" s="103"/>
      <c r="F146" s="103"/>
      <c r="G146" s="104"/>
      <c r="H146" s="103"/>
      <c r="I146" s="103"/>
      <c r="J146" s="103"/>
      <c r="K146" s="103"/>
      <c r="L146" s="110"/>
      <c r="M146" s="103"/>
      <c r="N146" s="106"/>
      <c r="O146" s="107"/>
      <c r="P146" s="108"/>
    </row>
    <row r="147">
      <c r="A147" s="102"/>
      <c r="B147" s="103"/>
      <c r="C147" s="103"/>
      <c r="D147" s="103"/>
      <c r="E147" s="103"/>
      <c r="F147" s="103"/>
      <c r="G147" s="104"/>
      <c r="H147" s="103"/>
      <c r="I147" s="103"/>
      <c r="J147" s="103"/>
      <c r="K147" s="103"/>
      <c r="L147" s="110"/>
      <c r="M147" s="103"/>
      <c r="N147" s="106"/>
      <c r="O147" s="107"/>
      <c r="P147" s="108"/>
    </row>
    <row r="148">
      <c r="A148" s="102"/>
      <c r="B148" s="103"/>
      <c r="C148" s="103"/>
      <c r="D148" s="103"/>
      <c r="E148" s="103"/>
      <c r="F148" s="103"/>
      <c r="G148" s="104"/>
      <c r="H148" s="103"/>
      <c r="I148" s="103"/>
      <c r="J148" s="103"/>
      <c r="K148" s="103"/>
      <c r="L148" s="110"/>
      <c r="M148" s="103"/>
      <c r="N148" s="106"/>
      <c r="O148" s="107"/>
      <c r="P148" s="108"/>
    </row>
    <row r="149">
      <c r="A149" s="102"/>
      <c r="B149" s="103"/>
      <c r="C149" s="103"/>
      <c r="D149" s="103"/>
      <c r="E149" s="103"/>
      <c r="F149" s="103"/>
      <c r="G149" s="104"/>
      <c r="H149" s="103"/>
      <c r="I149" s="103"/>
      <c r="J149" s="103"/>
      <c r="K149" s="103"/>
      <c r="L149" s="110"/>
      <c r="M149" s="103"/>
      <c r="N149" s="106"/>
      <c r="O149" s="107"/>
      <c r="P149" s="108"/>
    </row>
    <row r="150">
      <c r="A150" s="102"/>
      <c r="B150" s="103"/>
      <c r="C150" s="103"/>
      <c r="D150" s="103"/>
      <c r="E150" s="103"/>
      <c r="F150" s="103"/>
      <c r="G150" s="104"/>
      <c r="H150" s="103"/>
      <c r="I150" s="103"/>
      <c r="J150" s="103"/>
      <c r="K150" s="103"/>
      <c r="L150" s="110"/>
      <c r="M150" s="103"/>
      <c r="N150" s="106"/>
      <c r="O150" s="107"/>
      <c r="P150" s="108"/>
    </row>
    <row r="151">
      <c r="A151" s="102"/>
      <c r="B151" s="103"/>
      <c r="C151" s="103"/>
      <c r="D151" s="103"/>
      <c r="E151" s="103"/>
      <c r="F151" s="103"/>
      <c r="G151" s="104"/>
      <c r="H151" s="103"/>
      <c r="I151" s="103"/>
      <c r="J151" s="103"/>
      <c r="K151" s="103"/>
      <c r="L151" s="110"/>
      <c r="M151" s="103"/>
      <c r="N151" s="106"/>
      <c r="O151" s="107"/>
      <c r="P151" s="108"/>
    </row>
    <row r="152">
      <c r="A152" s="102"/>
      <c r="B152" s="103"/>
      <c r="C152" s="103"/>
      <c r="D152" s="103"/>
      <c r="E152" s="103"/>
      <c r="F152" s="103"/>
      <c r="G152" s="104"/>
      <c r="H152" s="103"/>
      <c r="I152" s="103"/>
      <c r="J152" s="103"/>
      <c r="K152" s="103"/>
      <c r="L152" s="110"/>
      <c r="M152" s="103"/>
      <c r="N152" s="106"/>
      <c r="O152" s="107"/>
      <c r="P152" s="108"/>
    </row>
    <row r="153">
      <c r="A153" s="102"/>
      <c r="B153" s="103"/>
      <c r="C153" s="103"/>
      <c r="D153" s="103"/>
      <c r="E153" s="103"/>
      <c r="F153" s="103"/>
      <c r="G153" s="104"/>
      <c r="H153" s="103"/>
      <c r="I153" s="103"/>
      <c r="J153" s="103"/>
      <c r="K153" s="103"/>
      <c r="L153" s="110"/>
      <c r="M153" s="103"/>
      <c r="N153" s="106"/>
      <c r="O153" s="107"/>
      <c r="P153" s="108"/>
    </row>
    <row r="154">
      <c r="A154" s="102"/>
      <c r="B154" s="103"/>
      <c r="C154" s="103"/>
      <c r="D154" s="103"/>
      <c r="E154" s="103"/>
      <c r="F154" s="103"/>
      <c r="G154" s="104"/>
      <c r="H154" s="103"/>
      <c r="I154" s="103"/>
      <c r="J154" s="103"/>
      <c r="K154" s="103"/>
      <c r="L154" s="110"/>
      <c r="M154" s="103"/>
      <c r="N154" s="106"/>
      <c r="O154" s="107"/>
      <c r="P154" s="108"/>
    </row>
  </sheetData>
  <customSheetViews>
    <customSheetView guid="{1985F42F-042F-4FDC-89D9-E7B4D8530F25}" filter="1" showAutoFilter="1">
      <autoFilter ref="$A$1:$O$62">
        <filterColumn colId="10">
          <filters>
            <filter val="AMQ"/>
            <filter val="CGK"/>
            <filter val="HLP"/>
          </filters>
        </filterColumn>
      </autoFilter>
    </customSheetView>
    <customSheetView guid="{7F51FDF6-4C52-486F-AB5A-B2B6A6311D91}" filter="1" showAutoFilter="1">
      <autoFilter ref="$A$1:$O$62"/>
    </customSheetView>
  </customSheetViews>
  <mergeCells count="2">
    <mergeCell ref="A1:C1"/>
    <mergeCell ref="E1:K1"/>
  </mergeCells>
  <conditionalFormatting sqref="A3:A154">
    <cfRule type="expression" dxfId="9" priority="1">
      <formula>$H9="OPEN"</formula>
    </cfRule>
  </conditionalFormatting>
  <conditionalFormatting sqref="A3:A154">
    <cfRule type="expression" dxfId="10" priority="2">
      <formula>$H9="CLOSED"</formula>
    </cfRule>
  </conditionalFormatting>
  <conditionalFormatting sqref="A11">
    <cfRule type="expression" dxfId="9" priority="3">
      <formula>$H17="OPEN"</formula>
    </cfRule>
  </conditionalFormatting>
  <conditionalFormatting sqref="A11">
    <cfRule type="expression" dxfId="10" priority="4">
      <formula>$H17="CLOSED"</formula>
    </cfRule>
  </conditionalFormatting>
  <conditionalFormatting sqref="A1">
    <cfRule type="expression" dxfId="5" priority="5">
      <formula>$P1="CLOSED"</formula>
    </cfRule>
  </conditionalFormatting>
  <conditionalFormatting sqref="A1">
    <cfRule type="expression" dxfId="6" priority="6">
      <formula>$P1="OPEN"</formula>
    </cfRule>
  </conditionalFormatting>
  <conditionalFormatting sqref="A1">
    <cfRule type="expression" dxfId="7" priority="7">
      <formula>$P1="OPEN"</formula>
    </cfRule>
  </conditionalFormatting>
  <conditionalFormatting sqref="A1">
    <cfRule type="expression" dxfId="8" priority="8">
      <formula>$P1="CLOSED"</formula>
    </cfRule>
  </conditionalFormatting>
  <conditionalFormatting sqref="A1">
    <cfRule type="expression" dxfId="9" priority="9">
      <formula>$P1="OPEN"</formula>
    </cfRule>
  </conditionalFormatting>
  <conditionalFormatting sqref="A1">
    <cfRule type="expression" dxfId="10" priority="10">
      <formula>$P1="CLOSED"</formula>
    </cfRule>
  </conditionalFormatting>
  <conditionalFormatting sqref="A1 A3:A154">
    <cfRule type="expression" dxfId="11" priority="11">
      <formula>#REF!="OPEN"</formula>
    </cfRule>
  </conditionalFormatting>
  <conditionalFormatting sqref="A3:A154">
    <cfRule type="expression" dxfId="7" priority="12">
      <formula>$T3="OPEN"</formula>
    </cfRule>
  </conditionalFormatting>
  <conditionalFormatting sqref="A3:A154">
    <cfRule type="expression" dxfId="8" priority="13">
      <formula>$T3="CLOSED"</formula>
    </cfRule>
  </conditionalFormatting>
  <conditionalFormatting sqref="A3:A154">
    <cfRule type="expression" dxfId="5" priority="14">
      <formula>$S3="CLOSED"</formula>
    </cfRule>
  </conditionalFormatting>
  <conditionalFormatting sqref="A3:A154">
    <cfRule type="expression" dxfId="6" priority="15">
      <formula>$S3="OPEN"</formula>
    </cfRule>
  </conditionalFormatting>
  <conditionalFormatting sqref="A3:A154">
    <cfRule type="expression" dxfId="9" priority="16">
      <formula>$T3="OPEN"</formula>
    </cfRule>
  </conditionalFormatting>
  <conditionalFormatting sqref="A3:A154">
    <cfRule type="expression" dxfId="10" priority="17">
      <formula>$T3="CLOSED"</formula>
    </cfRule>
  </conditionalFormatting>
  <conditionalFormatting sqref="A3:A154">
    <cfRule type="expression" dxfId="9" priority="18">
      <formula>$T3="OPEN"</formula>
    </cfRule>
  </conditionalFormatting>
  <conditionalFormatting sqref="A3:A154">
    <cfRule type="expression" dxfId="10" priority="19">
      <formula>$T3="CLOSED"</formula>
    </cfRule>
  </conditionalFormatting>
  <conditionalFormatting sqref="A1 A3:A154">
    <cfRule type="expression" dxfId="10" priority="20">
      <formula>$L1="CLOSED"</formula>
    </cfRule>
  </conditionalFormatting>
  <conditionalFormatting sqref="A1 A3:A154">
    <cfRule type="expression" dxfId="11" priority="21">
      <formula>$L1="OPEN"</formula>
    </cfRule>
  </conditionalFormatting>
  <conditionalFormatting sqref="A3:A154">
    <cfRule type="expression" dxfId="10" priority="22">
      <formula>$L3="CLOSED"</formula>
    </cfRule>
  </conditionalFormatting>
  <conditionalFormatting sqref="A3:A154">
    <cfRule type="expression" dxfId="11" priority="23">
      <formula>$L3="OPEN"</formula>
    </cfRule>
  </conditionalFormatting>
  <conditionalFormatting sqref="A1 A3:A154">
    <cfRule type="expression" dxfId="7" priority="24">
      <formula>$S1="OPEN"</formula>
    </cfRule>
  </conditionalFormatting>
  <conditionalFormatting sqref="A1 A3:A154">
    <cfRule type="expression" dxfId="8" priority="25">
      <formula>$S1="CLOSED"</formula>
    </cfRule>
  </conditionalFormatting>
  <conditionalFormatting sqref="A1 A3:A154">
    <cfRule type="expression" dxfId="5" priority="26">
      <formula>$R1="CLOSED"</formula>
    </cfRule>
  </conditionalFormatting>
  <conditionalFormatting sqref="A1 A3:A154">
    <cfRule type="expression" dxfId="6" priority="27">
      <formula>$R1="OPEN"</formula>
    </cfRule>
  </conditionalFormatting>
  <conditionalFormatting sqref="A1 A3:A154">
    <cfRule type="expression" dxfId="9" priority="28">
      <formula>$S1="OPEN"</formula>
    </cfRule>
  </conditionalFormatting>
  <conditionalFormatting sqref="A1 A3:A154">
    <cfRule type="expression" dxfId="10" priority="29">
      <formula>$S1="CLOSED"</formula>
    </cfRule>
  </conditionalFormatting>
  <conditionalFormatting sqref="A3:A154">
    <cfRule type="expression" dxfId="9" priority="30">
      <formula>$S3="OPEN"</formula>
    </cfRule>
  </conditionalFormatting>
  <conditionalFormatting sqref="A3:A154">
    <cfRule type="expression" dxfId="10" priority="31">
      <formula>$S3="CLOSED"</formula>
    </cfRule>
  </conditionalFormatting>
  <conditionalFormatting sqref="A1 A3:A154">
    <cfRule type="expression" dxfId="10" priority="32">
      <formula>$K1="CLOSED"</formula>
    </cfRule>
  </conditionalFormatting>
  <conditionalFormatting sqref="A1 A3:A154">
    <cfRule type="expression" dxfId="11" priority="33">
      <formula>$K1="OPEN"</formula>
    </cfRule>
  </conditionalFormatting>
  <conditionalFormatting sqref="A3:A154">
    <cfRule type="expression" dxfId="10" priority="34">
      <formula>$K3="CLOSED"</formula>
    </cfRule>
  </conditionalFormatting>
  <conditionalFormatting sqref="A3:A154">
    <cfRule type="expression" dxfId="11" priority="35">
      <formula>$K3="OPEN"</formula>
    </cfRule>
  </conditionalFormatting>
  <conditionalFormatting sqref="A1 A3:A154">
    <cfRule type="expression" dxfId="7" priority="36">
      <formula>$R1="OPEN"</formula>
    </cfRule>
  </conditionalFormatting>
  <conditionalFormatting sqref="A1 A3:A154">
    <cfRule type="expression" dxfId="8" priority="37">
      <formula>$R1="CLOSED"</formula>
    </cfRule>
  </conditionalFormatting>
  <conditionalFormatting sqref="A1 A3:A154">
    <cfRule type="expression" dxfId="5" priority="38">
      <formula>$Q1="CLOSED"</formula>
    </cfRule>
  </conditionalFormatting>
  <conditionalFormatting sqref="A1 A3:A154">
    <cfRule type="expression" dxfId="6" priority="39">
      <formula>$Q1="OPEN"</formula>
    </cfRule>
  </conditionalFormatting>
  <conditionalFormatting sqref="A1 A3:A154">
    <cfRule type="expression" dxfId="9" priority="40">
      <formula>$R1="OPEN"</formula>
    </cfRule>
  </conditionalFormatting>
  <conditionalFormatting sqref="A1 A3:A154">
    <cfRule type="expression" dxfId="10" priority="41">
      <formula>$R1="CLOSED"</formula>
    </cfRule>
  </conditionalFormatting>
  <conditionalFormatting sqref="A3:A154">
    <cfRule type="expression" dxfId="9" priority="42">
      <formula>$R3="OPEN"</formula>
    </cfRule>
  </conditionalFormatting>
  <conditionalFormatting sqref="A3:A154">
    <cfRule type="expression" dxfId="10" priority="43">
      <formula>$R3="CLOSED"</formula>
    </cfRule>
  </conditionalFormatting>
  <conditionalFormatting sqref="A1 A3:A154">
    <cfRule type="expression" dxfId="7" priority="44">
      <formula>$Q1="OPEN"</formula>
    </cfRule>
  </conditionalFormatting>
  <conditionalFormatting sqref="A1 A3:A154">
    <cfRule type="expression" dxfId="8" priority="45">
      <formula>$Q1="CLOSED"</formula>
    </cfRule>
  </conditionalFormatting>
  <conditionalFormatting sqref="A1 A3:A154">
    <cfRule type="expression" dxfId="9" priority="46">
      <formula>$Q1="OPEN"</formula>
    </cfRule>
  </conditionalFormatting>
  <conditionalFormatting sqref="A1 A3:A154">
    <cfRule type="expression" dxfId="10" priority="47">
      <formula>$Q1="CLOSED"</formula>
    </cfRule>
  </conditionalFormatting>
  <conditionalFormatting sqref="A1 A3:A154">
    <cfRule type="expression" dxfId="9" priority="48">
      <formula>$K1="OPEN"</formula>
    </cfRule>
  </conditionalFormatting>
  <conditionalFormatting sqref="A1 A3:A154">
    <cfRule type="expression" dxfId="10" priority="49">
      <formula>$K1="CLOSED"</formula>
    </cfRule>
  </conditionalFormatting>
  <conditionalFormatting sqref="A1:A154">
    <cfRule type="expression" dxfId="7" priority="50">
      <formula>#REF!="OPEN"</formula>
    </cfRule>
  </conditionalFormatting>
  <conditionalFormatting sqref="A1:A154">
    <cfRule type="expression" dxfId="8" priority="51">
      <formula>#REF!="CLOSED"</formula>
    </cfRule>
  </conditionalFormatting>
  <conditionalFormatting sqref="A1:A154">
    <cfRule type="expression" dxfId="5" priority="52">
      <formula>#REF!="CLOSED"</formula>
    </cfRule>
  </conditionalFormatting>
  <conditionalFormatting sqref="A1:A154">
    <cfRule type="expression" dxfId="6" priority="53">
      <formula>#REF!="OPEN"</formula>
    </cfRule>
  </conditionalFormatting>
  <conditionalFormatting sqref="A1:A154">
    <cfRule type="expression" dxfId="9" priority="54">
      <formula>#REF!="OPEN"</formula>
    </cfRule>
  </conditionalFormatting>
  <conditionalFormatting sqref="A1:A154">
    <cfRule type="expression" dxfId="10" priority="55">
      <formula>#REF!="CLOSED"</formula>
    </cfRule>
  </conditionalFormatting>
  <conditionalFormatting sqref="A2">
    <cfRule type="expression" dxfId="9" priority="56">
      <formula>#REF!="OPEN"</formula>
    </cfRule>
  </conditionalFormatting>
  <conditionalFormatting sqref="A2">
    <cfRule type="expression" dxfId="10" priority="57">
      <formula>#REF!="CLOSED"</formula>
    </cfRule>
  </conditionalFormatting>
  <conditionalFormatting sqref="A1:A154">
    <cfRule type="expression" dxfId="10" priority="58">
      <formula>#REF!="CLOSED"</formula>
    </cfRule>
  </conditionalFormatting>
  <conditionalFormatting sqref="A1:A154">
    <cfRule type="expression" dxfId="11" priority="59">
      <formula>#REF!="OPEN"</formula>
    </cfRule>
  </conditionalFormatting>
  <conditionalFormatting sqref="A2">
    <cfRule type="expression" dxfId="10" priority="60">
      <formula>#REF!="CLOSED"</formula>
    </cfRule>
  </conditionalFormatting>
  <conditionalFormatting sqref="A2">
    <cfRule type="expression" dxfId="11" priority="61">
      <formula>#REF!="OPEN"</formula>
    </cfRule>
  </conditionalFormatting>
  <conditionalFormatting sqref="A2">
    <cfRule type="expression" dxfId="7" priority="62">
      <formula>#REF!="OPEN"</formula>
    </cfRule>
  </conditionalFormatting>
  <conditionalFormatting sqref="A2">
    <cfRule type="expression" dxfId="8" priority="63">
      <formula>#REF!="CLOSED"</formula>
    </cfRule>
  </conditionalFormatting>
  <conditionalFormatting sqref="A2">
    <cfRule type="expression" dxfId="5" priority="64">
      <formula>#REF!="CLOSED"</formula>
    </cfRule>
  </conditionalFormatting>
  <conditionalFormatting sqref="A2">
    <cfRule type="expression" dxfId="6" priority="65">
      <formula>#REF!="OPEN"</formula>
    </cfRule>
  </conditionalFormatting>
  <conditionalFormatting sqref="A2">
    <cfRule type="expression" dxfId="9" priority="66">
      <formula>#REF!="OPEN"</formula>
    </cfRule>
  </conditionalFormatting>
  <conditionalFormatting sqref="A2">
    <cfRule type="expression" dxfId="10" priority="67">
      <formula>#REF!="CLOSED"</formula>
    </cfRule>
  </conditionalFormatting>
  <conditionalFormatting sqref="A2">
    <cfRule type="expression" dxfId="9" priority="68">
      <formula>#REF!="OPEN"</formula>
    </cfRule>
  </conditionalFormatting>
  <conditionalFormatting sqref="A2">
    <cfRule type="expression" dxfId="10" priority="69">
      <formula>#REF!="CLOSED"</formula>
    </cfRule>
  </conditionalFormatting>
  <conditionalFormatting sqref="A1:A154">
    <cfRule type="expression" dxfId="9" priority="70">
      <formula>$L1="OPEN"</formula>
    </cfRule>
  </conditionalFormatting>
  <conditionalFormatting sqref="A1:A154">
    <cfRule type="expression" dxfId="10" priority="71">
      <formula>$L1="CLOSED"</formula>
    </cfRule>
  </conditionalFormatting>
  <conditionalFormatting sqref="A2">
    <cfRule type="expression" dxfId="10" priority="72">
      <formula>#REF!="CLOSED"</formula>
    </cfRule>
  </conditionalFormatting>
  <conditionalFormatting sqref="A2">
    <cfRule type="expression" dxfId="11" priority="73">
      <formula>#REF!="OPEN"</formula>
    </cfRule>
  </conditionalFormatting>
  <conditionalFormatting sqref="A2">
    <cfRule type="expression" dxfId="10" priority="74">
      <formula>#REF!="CLOSED"</formula>
    </cfRule>
  </conditionalFormatting>
  <conditionalFormatting sqref="A2">
    <cfRule type="expression" dxfId="11" priority="75">
      <formula>#REF!="OPEN"</formula>
    </cfRule>
  </conditionalFormatting>
  <conditionalFormatting sqref="A2">
    <cfRule type="expression" dxfId="9" priority="76">
      <formula>#REF!="OPEN"</formula>
    </cfRule>
  </conditionalFormatting>
  <conditionalFormatting sqref="A2">
    <cfRule type="expression" dxfId="10" priority="77">
      <formula>#REF!="CLOSED"</formula>
    </cfRule>
  </conditionalFormatting>
  <conditionalFormatting sqref="A1:A154">
    <cfRule type="expression" dxfId="5" priority="78">
      <formula>$L1="CLOSED"</formula>
    </cfRule>
  </conditionalFormatting>
  <conditionalFormatting sqref="A1:A154">
    <cfRule type="expression" dxfId="6" priority="79">
      <formula>$L1="OPEN"</formula>
    </cfRule>
  </conditionalFormatting>
  <conditionalFormatting sqref="A2">
    <cfRule type="expression" dxfId="5" priority="80">
      <formula>#REF!="CLOSED"</formula>
    </cfRule>
  </conditionalFormatting>
  <conditionalFormatting sqref="A2">
    <cfRule type="expression" dxfId="6" priority="81">
      <formula>#REF!="OPEN"</formula>
    </cfRule>
  </conditionalFormatting>
  <conditionalFormatting sqref="A1:A154">
    <cfRule type="expression" dxfId="11" priority="82">
      <formula>$I1="OPEN"</formula>
    </cfRule>
  </conditionalFormatting>
  <conditionalFormatting sqref="A1:A154">
    <cfRule type="expression" dxfId="10" priority="83">
      <formula>$J1="CLOSED"</formula>
    </cfRule>
  </conditionalFormatting>
  <conditionalFormatting sqref="A1:A154">
    <cfRule type="expression" dxfId="11" priority="84">
      <formula>$J1="OPEN"</formula>
    </cfRule>
  </conditionalFormatting>
  <conditionalFormatting sqref="A1:A154">
    <cfRule type="expression" dxfId="9" priority="85">
      <formula>$J1="OPEN"</formula>
    </cfRule>
  </conditionalFormatting>
  <conditionalFormatting sqref="A1:A154">
    <cfRule type="expression" dxfId="10" priority="86">
      <formula>$J1="CLOSED"</formula>
    </cfRule>
  </conditionalFormatting>
  <conditionalFormatting sqref="A2">
    <cfRule type="expression" dxfId="9" priority="87">
      <formula>$J2="OPEN"</formula>
    </cfRule>
  </conditionalFormatting>
  <conditionalFormatting sqref="A2">
    <cfRule type="expression" dxfId="10" priority="88">
      <formula>$J2="CLOSED"</formula>
    </cfRule>
  </conditionalFormatting>
  <conditionalFormatting sqref="A2">
    <cfRule type="expression" dxfId="9" priority="89">
      <formula>$J2="OPEN"</formula>
    </cfRule>
  </conditionalFormatting>
  <conditionalFormatting sqref="A2">
    <cfRule type="expression" dxfId="10" priority="90">
      <formula>$J2="CLOSED"</formula>
    </cfRule>
  </conditionalFormatting>
  <conditionalFormatting sqref="A1:A154">
    <cfRule type="expression" dxfId="5" priority="91">
      <formula>$K1="CLOSED"</formula>
    </cfRule>
  </conditionalFormatting>
  <conditionalFormatting sqref="A1:A154">
    <cfRule type="expression" dxfId="6" priority="92">
      <formula>$K1="OPEN"</formula>
    </cfRule>
  </conditionalFormatting>
  <conditionalFormatting sqref="A2:A154">
    <cfRule type="expression" dxfId="9" priority="93">
      <formula>#REF!="OPEN"</formula>
    </cfRule>
  </conditionalFormatting>
  <conditionalFormatting sqref="A2:A154">
    <cfRule type="expression" dxfId="10" priority="94">
      <formula>#REF!="CLOSED"</formula>
    </cfRule>
  </conditionalFormatting>
  <conditionalFormatting sqref="A1:A154">
    <cfRule type="expression" dxfId="7" priority="95">
      <formula>$M1="OPEN"</formula>
    </cfRule>
  </conditionalFormatting>
  <conditionalFormatting sqref="A1:A154">
    <cfRule type="expression" dxfId="8" priority="96">
      <formula>$M1="CLOSED"</formula>
    </cfRule>
  </conditionalFormatting>
  <conditionalFormatting sqref="A2:A154">
    <cfRule type="expression" dxfId="7" priority="97">
      <formula>#REF!="OPEN"</formula>
    </cfRule>
  </conditionalFormatting>
  <conditionalFormatting sqref="A2:A154">
    <cfRule type="expression" dxfId="8" priority="98">
      <formula>#REF!="CLOSED"</formula>
    </cfRule>
  </conditionalFormatting>
  <conditionalFormatting sqref="A2:A154">
    <cfRule type="expression" dxfId="7" priority="99">
      <formula>#REF!="OPEN"</formula>
    </cfRule>
  </conditionalFormatting>
  <conditionalFormatting sqref="A2:A154">
    <cfRule type="expression" dxfId="8" priority="100">
      <formula>#REF!="CLOSED"</formula>
    </cfRule>
  </conditionalFormatting>
  <conditionalFormatting sqref="A2:A154">
    <cfRule type="expression" dxfId="7" priority="101">
      <formula>#REF!="OPEN"</formula>
    </cfRule>
  </conditionalFormatting>
  <conditionalFormatting sqref="A2:A154">
    <cfRule type="expression" dxfId="8" priority="102">
      <formula>#REF!="CLOSED"</formula>
    </cfRule>
  </conditionalFormatting>
  <conditionalFormatting sqref="A2:A154">
    <cfRule type="expression" dxfId="7" priority="103">
      <formula>#REF!="OPEN"</formula>
    </cfRule>
  </conditionalFormatting>
  <conditionalFormatting sqref="A2:A154">
    <cfRule type="expression" dxfId="8" priority="104">
      <formula>#REF!="CLOSED"</formula>
    </cfRule>
  </conditionalFormatting>
  <conditionalFormatting sqref="A1:A154">
    <cfRule type="expression" dxfId="5" priority="105">
      <formula>$O1="CLOSED"</formula>
    </cfRule>
  </conditionalFormatting>
  <conditionalFormatting sqref="A1:A154">
    <cfRule type="expression" dxfId="6" priority="106">
      <formula>$O1="OPEN"</formula>
    </cfRule>
  </conditionalFormatting>
  <conditionalFormatting sqref="A2:A154">
    <cfRule type="expression" dxfId="9" priority="107">
      <formula>#REF!="OPEN"</formula>
    </cfRule>
  </conditionalFormatting>
  <conditionalFormatting sqref="A2:A154">
    <cfRule type="expression" dxfId="10" priority="108">
      <formula>#REF!="CLOSED"</formula>
    </cfRule>
  </conditionalFormatting>
  <conditionalFormatting sqref="A2:A154">
    <cfRule type="expression" dxfId="9" priority="109">
      <formula>#REF!="OPEN"</formula>
    </cfRule>
  </conditionalFormatting>
  <conditionalFormatting sqref="A2:A154">
    <cfRule type="expression" dxfId="10" priority="110">
      <formula>#REF!="CLOSED"</formula>
    </cfRule>
  </conditionalFormatting>
  <conditionalFormatting sqref="A2:A154">
    <cfRule type="expression" dxfId="5" priority="111">
      <formula>#REF!="CLOSED"</formula>
    </cfRule>
  </conditionalFormatting>
  <conditionalFormatting sqref="A2:A154">
    <cfRule type="expression" dxfId="6" priority="112">
      <formula>#REF!="OPEN"</formula>
    </cfRule>
  </conditionalFormatting>
  <conditionalFormatting sqref="A1:A154">
    <cfRule type="expression" dxfId="9" priority="113">
      <formula>$M1="OPEN"</formula>
    </cfRule>
  </conditionalFormatting>
  <conditionalFormatting sqref="A1:A154">
    <cfRule type="expression" dxfId="10" priority="114">
      <formula>$M1="CLOSED"</formula>
    </cfRule>
  </conditionalFormatting>
  <conditionalFormatting sqref="A1:A154">
    <cfRule type="expression" dxfId="7" priority="115">
      <formula>$N1="OPEN"</formula>
    </cfRule>
  </conditionalFormatting>
  <conditionalFormatting sqref="A1:A154">
    <cfRule type="expression" dxfId="8" priority="116">
      <formula>$N1="CLOSED"</formula>
    </cfRule>
  </conditionalFormatting>
  <conditionalFormatting sqref="A2:A154">
    <cfRule type="expression" dxfId="5" priority="117">
      <formula>#REF!="CLOSED"</formula>
    </cfRule>
  </conditionalFormatting>
  <conditionalFormatting sqref="A2:A154">
    <cfRule type="expression" dxfId="6" priority="118">
      <formula>#REF!="OPEN"</formula>
    </cfRule>
  </conditionalFormatting>
  <conditionalFormatting sqref="A2:A154">
    <cfRule type="expression" dxfId="5" priority="119">
      <formula>#REF!="CLOSED"</formula>
    </cfRule>
  </conditionalFormatting>
  <conditionalFormatting sqref="A2:A154">
    <cfRule type="expression" dxfId="6" priority="120">
      <formula>#REF!="OPEN"</formula>
    </cfRule>
  </conditionalFormatting>
  <conditionalFormatting sqref="A2:A154">
    <cfRule type="expression" dxfId="9" priority="121">
      <formula>#REF!="OPEN"</formula>
    </cfRule>
  </conditionalFormatting>
  <conditionalFormatting sqref="A2:A154">
    <cfRule type="expression" dxfId="10" priority="122">
      <formula>#REF!="CLOSED"</formula>
    </cfRule>
  </conditionalFormatting>
  <conditionalFormatting sqref="A1:A154">
    <cfRule type="expression" dxfId="9" priority="123">
      <formula>$H1="OPEN"</formula>
    </cfRule>
  </conditionalFormatting>
  <conditionalFormatting sqref="A1:A154">
    <cfRule type="expression" dxfId="10" priority="124">
      <formula>$I1="CLOSED"</formula>
    </cfRule>
  </conditionalFormatting>
  <conditionalFormatting sqref="A1:A154">
    <cfRule type="expression" dxfId="10" priority="125">
      <formula>$H1="CLOSED"</formula>
    </cfRule>
  </conditionalFormatting>
  <conditionalFormatting sqref="A1:A154">
    <cfRule type="expression" dxfId="11" priority="126">
      <formula>$I1="OPEN"</formula>
    </cfRule>
  </conditionalFormatting>
  <conditionalFormatting sqref="A1:A154">
    <cfRule type="expression" dxfId="12" priority="127">
      <formula>#REF!="OPEN"</formula>
    </cfRule>
  </conditionalFormatting>
  <conditionalFormatting sqref="A1:A154">
    <cfRule type="expression" dxfId="13" priority="128">
      <formula>#REF!="CLOSED"</formula>
    </cfRule>
  </conditionalFormatting>
  <conditionalFormatting sqref="A2:A154">
    <cfRule type="expression" dxfId="10" priority="129">
      <formula>$I2="CLOSED"</formula>
    </cfRule>
  </conditionalFormatting>
  <conditionalFormatting sqref="A2:A154">
    <cfRule type="expression" dxfId="11" priority="130">
      <formula>$I2="OPEN"</formula>
    </cfRule>
  </conditionalFormatting>
  <conditionalFormatting sqref="A1:A154">
    <cfRule type="expression" dxfId="5" priority="131">
      <formula>$M1="CLOSED"</formula>
    </cfRule>
  </conditionalFormatting>
  <conditionalFormatting sqref="A1:A154">
    <cfRule type="expression" dxfId="6" priority="132">
      <formula>$M1="OPEN"</formula>
    </cfRule>
  </conditionalFormatting>
  <conditionalFormatting sqref="A1:A154">
    <cfRule type="expression" dxfId="9" priority="133">
      <formula>$N1="OPEN"</formula>
    </cfRule>
  </conditionalFormatting>
  <conditionalFormatting sqref="A1:A154">
    <cfRule type="expression" dxfId="10" priority="134">
      <formula>$N1="CLOSED"</formula>
    </cfRule>
  </conditionalFormatting>
  <conditionalFormatting sqref="A1:A154">
    <cfRule type="expression" dxfId="7" priority="135">
      <formula>#REF!="OPEN"</formula>
    </cfRule>
  </conditionalFormatting>
  <conditionalFormatting sqref="A1:A154">
    <cfRule type="expression" dxfId="7" priority="136">
      <formula>$O1="OPEN"</formula>
    </cfRule>
  </conditionalFormatting>
  <conditionalFormatting sqref="A1:A154">
    <cfRule type="expression" dxfId="8" priority="137">
      <formula>$O1="CLOSED"</formula>
    </cfRule>
  </conditionalFormatting>
  <conditionalFormatting sqref="A2:A154">
    <cfRule type="expression" dxfId="9" priority="138">
      <formula>$I2="OPEN"</formula>
    </cfRule>
  </conditionalFormatting>
  <conditionalFormatting sqref="A2:A154">
    <cfRule type="expression" dxfId="10" priority="139">
      <formula>$I2="CLOSED"</formula>
    </cfRule>
  </conditionalFormatting>
  <conditionalFormatting sqref="A1:A154">
    <cfRule type="expression" dxfId="9" priority="140">
      <formula>$O1="OPEN"</formula>
    </cfRule>
  </conditionalFormatting>
  <conditionalFormatting sqref="A1:A154">
    <cfRule type="expression" dxfId="10" priority="141">
      <formula>$O1="CLOSED"</formula>
    </cfRule>
  </conditionalFormatting>
  <conditionalFormatting sqref="A2:A154">
    <cfRule type="expression" dxfId="9" priority="142">
      <formula>$H2="OPEN"</formula>
    </cfRule>
  </conditionalFormatting>
  <conditionalFormatting sqref="A2:A154">
    <cfRule type="expression" dxfId="10" priority="143">
      <formula>$H2="CLOSED"</formula>
    </cfRule>
  </conditionalFormatting>
  <conditionalFormatting sqref="A3:N154 O3:O4 P3:P154 O6 O8:O154">
    <cfRule type="expression" dxfId="5" priority="144">
      <formula>$N3="CLOSED"</formula>
    </cfRule>
  </conditionalFormatting>
  <conditionalFormatting sqref="A3:N154 O3:O4 P3:P154 O6 O8:O154">
    <cfRule type="expression" dxfId="6" priority="145">
      <formula>$N3="OPEN"</formula>
    </cfRule>
  </conditionalFormatting>
  <dataValidations>
    <dataValidation type="list" allowBlank="1" sqref="N3:N154">
      <formula1>"CLOSED,OPEN"</formula1>
    </dataValidation>
    <dataValidation type="list" allowBlank="1" showErrorMessage="1" sqref="P3:P154">
      <formula1>"AUTHOR,DEFFECT,GSE,IRR,MP,NS,NT,OCT,TC,WT,WTP"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2">
        <v>46287.0</v>
      </c>
      <c r="B1" s="5"/>
      <c r="C1" s="7" t="s">
        <v>1</v>
      </c>
      <c r="D1" s="9"/>
      <c r="E1" s="9"/>
      <c r="F1" s="9"/>
      <c r="G1" s="10"/>
      <c r="H1" s="11"/>
      <c r="I1" s="11"/>
      <c r="J1" s="11"/>
      <c r="K1" s="13"/>
      <c r="L1" s="13"/>
      <c r="M1" s="13"/>
      <c r="N1" s="13"/>
      <c r="O1" s="13"/>
      <c r="P1" s="13"/>
      <c r="Q1" s="13"/>
      <c r="R1" s="13"/>
    </row>
    <row r="2" ht="26.25" customHeight="1">
      <c r="A2" s="17" t="s">
        <v>3</v>
      </c>
      <c r="B2" s="19" t="s">
        <v>15</v>
      </c>
      <c r="C2" s="19" t="s">
        <v>24</v>
      </c>
      <c r="D2" s="19" t="s">
        <v>25</v>
      </c>
      <c r="E2" s="19" t="s">
        <v>27</v>
      </c>
      <c r="F2" s="19" t="s">
        <v>29</v>
      </c>
      <c r="G2" s="19" t="s">
        <v>17</v>
      </c>
      <c r="H2" s="19" t="s">
        <v>30</v>
      </c>
      <c r="I2" s="23" t="s">
        <v>20</v>
      </c>
      <c r="J2" s="19" t="s">
        <v>31</v>
      </c>
      <c r="K2" s="30"/>
      <c r="L2" s="30"/>
      <c r="M2" s="30"/>
      <c r="N2" s="30"/>
      <c r="O2" s="30"/>
      <c r="P2" s="30"/>
      <c r="Q2" s="30"/>
      <c r="R2" s="30"/>
    </row>
    <row r="3">
      <c r="A3" s="32">
        <v>46287.0</v>
      </c>
      <c r="B3" s="34" t="s">
        <v>37</v>
      </c>
      <c r="C3" s="34" t="s">
        <v>38</v>
      </c>
      <c r="D3" s="34" t="s">
        <v>40</v>
      </c>
      <c r="E3" s="34" t="s">
        <v>41</v>
      </c>
      <c r="F3" s="34" t="s">
        <v>42</v>
      </c>
      <c r="G3" s="34" t="s">
        <v>43</v>
      </c>
      <c r="H3" s="36" t="s">
        <v>44</v>
      </c>
      <c r="I3" s="36" t="s">
        <v>47</v>
      </c>
      <c r="J3" s="41" t="s">
        <v>48</v>
      </c>
      <c r="K3" s="43"/>
      <c r="L3" s="43"/>
      <c r="M3" s="43"/>
      <c r="N3" s="43"/>
      <c r="O3" s="43"/>
      <c r="P3" s="43"/>
      <c r="Q3" s="43"/>
      <c r="R3" s="43"/>
    </row>
    <row r="4">
      <c r="A4" s="32">
        <v>46287.0</v>
      </c>
      <c r="B4" s="34" t="s">
        <v>63</v>
      </c>
      <c r="C4" s="34" t="s">
        <v>64</v>
      </c>
      <c r="D4" s="34" t="s">
        <v>65</v>
      </c>
      <c r="E4" s="45" t="s">
        <v>66</v>
      </c>
      <c r="F4" s="34" t="s">
        <v>42</v>
      </c>
      <c r="G4" s="34" t="s">
        <v>67</v>
      </c>
      <c r="H4" s="36" t="s">
        <v>44</v>
      </c>
      <c r="I4" s="36" t="s">
        <v>56</v>
      </c>
      <c r="J4" s="41"/>
      <c r="K4" s="43"/>
      <c r="L4" s="43"/>
      <c r="M4" s="43"/>
      <c r="N4" s="43"/>
      <c r="O4" s="43"/>
      <c r="P4" s="43"/>
      <c r="Q4" s="43"/>
      <c r="R4" s="43"/>
    </row>
    <row r="5">
      <c r="A5" s="32">
        <v>46287.0</v>
      </c>
      <c r="B5" s="34" t="s">
        <v>71</v>
      </c>
      <c r="C5" s="34" t="s">
        <v>72</v>
      </c>
      <c r="D5" s="34" t="s">
        <v>73</v>
      </c>
      <c r="E5" s="45" t="s">
        <v>74</v>
      </c>
      <c r="F5" s="34" t="s">
        <v>42</v>
      </c>
      <c r="G5" s="34" t="s">
        <v>75</v>
      </c>
      <c r="H5" s="36" t="s">
        <v>44</v>
      </c>
      <c r="I5" s="49" t="s">
        <v>47</v>
      </c>
      <c r="J5" s="41" t="s">
        <v>78</v>
      </c>
      <c r="K5" s="43"/>
      <c r="L5" s="43"/>
      <c r="M5" s="43"/>
      <c r="N5" s="43"/>
      <c r="O5" s="43"/>
      <c r="P5" s="43"/>
      <c r="Q5" s="43"/>
      <c r="R5" s="43"/>
    </row>
    <row r="6">
      <c r="A6" s="32">
        <v>46287.0</v>
      </c>
      <c r="B6" s="34" t="s">
        <v>79</v>
      </c>
      <c r="C6" s="34" t="s">
        <v>80</v>
      </c>
      <c r="D6" s="34" t="s">
        <v>81</v>
      </c>
      <c r="E6" s="34" t="s">
        <v>82</v>
      </c>
      <c r="F6" s="34" t="s">
        <v>83</v>
      </c>
      <c r="G6" s="34" t="s">
        <v>84</v>
      </c>
      <c r="H6" s="36" t="s">
        <v>44</v>
      </c>
      <c r="I6" s="49" t="s">
        <v>56</v>
      </c>
      <c r="J6" s="41"/>
      <c r="K6" s="43"/>
      <c r="L6" s="43"/>
      <c r="M6" s="43"/>
      <c r="N6" s="43"/>
      <c r="O6" s="43"/>
      <c r="P6" s="43"/>
      <c r="Q6" s="43"/>
      <c r="R6" s="43"/>
    </row>
    <row r="7">
      <c r="A7" s="32">
        <v>46287.0</v>
      </c>
      <c r="B7" s="34" t="s">
        <v>85</v>
      </c>
      <c r="C7" s="34" t="s">
        <v>86</v>
      </c>
      <c r="D7" s="34" t="s">
        <v>88</v>
      </c>
      <c r="E7" s="34" t="s">
        <v>90</v>
      </c>
      <c r="F7" s="34" t="s">
        <v>91</v>
      </c>
      <c r="G7" s="34" t="s">
        <v>93</v>
      </c>
      <c r="H7" s="36" t="s">
        <v>44</v>
      </c>
      <c r="I7" s="49" t="s">
        <v>47</v>
      </c>
      <c r="J7" s="41" t="s">
        <v>94</v>
      </c>
      <c r="K7" s="43"/>
      <c r="L7" s="43"/>
      <c r="M7" s="43"/>
      <c r="N7" s="43"/>
      <c r="O7" s="43"/>
      <c r="P7" s="43"/>
      <c r="Q7" s="43"/>
      <c r="R7" s="43"/>
    </row>
    <row r="8">
      <c r="A8" s="32">
        <v>46287.0</v>
      </c>
      <c r="B8" s="34" t="s">
        <v>97</v>
      </c>
      <c r="C8" s="34" t="s">
        <v>98</v>
      </c>
      <c r="D8" s="34" t="s">
        <v>99</v>
      </c>
      <c r="E8" s="34" t="s">
        <v>100</v>
      </c>
      <c r="F8" s="34" t="s">
        <v>42</v>
      </c>
      <c r="G8" s="34" t="s">
        <v>43</v>
      </c>
      <c r="H8" s="36" t="s">
        <v>44</v>
      </c>
      <c r="I8" s="49" t="s">
        <v>47</v>
      </c>
      <c r="J8" s="41" t="s">
        <v>102</v>
      </c>
      <c r="K8" s="43"/>
      <c r="L8" s="43"/>
      <c r="M8" s="43"/>
      <c r="N8" s="43"/>
      <c r="O8" s="43"/>
      <c r="P8" s="43"/>
      <c r="Q8" s="43"/>
      <c r="R8" s="43"/>
    </row>
    <row r="9">
      <c r="A9" s="32">
        <v>46287.0</v>
      </c>
      <c r="B9" s="54" t="s">
        <v>103</v>
      </c>
      <c r="C9" s="57" t="s">
        <v>109</v>
      </c>
      <c r="D9" s="34"/>
      <c r="E9" s="59" t="s">
        <v>110</v>
      </c>
      <c r="F9" s="34"/>
      <c r="G9" s="34" t="s">
        <v>43</v>
      </c>
      <c r="H9" s="36" t="s">
        <v>111</v>
      </c>
      <c r="I9" s="49" t="s">
        <v>56</v>
      </c>
      <c r="J9" s="61"/>
      <c r="K9" s="43"/>
      <c r="L9" s="43"/>
      <c r="M9" s="43"/>
      <c r="N9" s="43"/>
      <c r="O9" s="43"/>
      <c r="P9" s="43"/>
      <c r="Q9" s="43"/>
      <c r="R9" s="43"/>
    </row>
    <row r="10">
      <c r="A10" s="32">
        <v>46287.0</v>
      </c>
      <c r="B10" s="34" t="s">
        <v>79</v>
      </c>
      <c r="C10" s="63" t="s">
        <v>112</v>
      </c>
      <c r="D10" s="34"/>
      <c r="E10" s="67" t="s">
        <v>114</v>
      </c>
      <c r="F10" s="34"/>
      <c r="G10" s="34" t="s">
        <v>84</v>
      </c>
      <c r="H10" s="36" t="s">
        <v>111</v>
      </c>
      <c r="I10" s="49" t="s">
        <v>56</v>
      </c>
      <c r="J10" s="61"/>
      <c r="K10" s="43"/>
      <c r="L10" s="43"/>
      <c r="M10" s="43"/>
      <c r="N10" s="43"/>
      <c r="O10" s="43"/>
      <c r="P10" s="43"/>
      <c r="Q10" s="43"/>
      <c r="R10" s="43"/>
    </row>
    <row r="11">
      <c r="A11" s="70"/>
      <c r="B11" s="71"/>
      <c r="C11" s="34"/>
      <c r="D11" s="34"/>
      <c r="E11" s="34"/>
      <c r="F11" s="34"/>
      <c r="G11" s="34"/>
      <c r="H11" s="36"/>
      <c r="I11" s="49"/>
      <c r="J11" s="43"/>
      <c r="K11" s="43"/>
      <c r="L11" s="43"/>
      <c r="M11" s="43"/>
      <c r="N11" s="43"/>
      <c r="O11" s="43"/>
      <c r="P11" s="43"/>
      <c r="Q11" s="43"/>
      <c r="R11" s="43"/>
    </row>
    <row r="12">
      <c r="A12" s="70"/>
      <c r="B12" s="71"/>
      <c r="C12" s="34"/>
      <c r="D12" s="34"/>
      <c r="E12" s="34"/>
      <c r="F12" s="34"/>
      <c r="G12" s="34"/>
      <c r="H12" s="36"/>
      <c r="I12" s="49"/>
      <c r="J12" s="43"/>
      <c r="K12" s="43"/>
      <c r="L12" s="43"/>
      <c r="M12" s="43"/>
      <c r="N12" s="43"/>
      <c r="O12" s="43"/>
      <c r="P12" s="43"/>
      <c r="Q12" s="43"/>
      <c r="R12" s="43"/>
    </row>
    <row r="13">
      <c r="A13" s="70"/>
      <c r="B13" s="71"/>
      <c r="C13" s="34"/>
      <c r="D13" s="34"/>
      <c r="E13" s="34"/>
      <c r="F13" s="34"/>
      <c r="G13" s="34"/>
      <c r="H13" s="36"/>
      <c r="I13" s="49"/>
      <c r="J13" s="43"/>
      <c r="K13" s="43"/>
      <c r="L13" s="43"/>
      <c r="M13" s="43"/>
      <c r="N13" s="43"/>
      <c r="O13" s="43"/>
      <c r="P13" s="43"/>
      <c r="Q13" s="43"/>
      <c r="R13" s="43"/>
    </row>
    <row r="14">
      <c r="A14" s="70"/>
      <c r="B14" s="71"/>
      <c r="C14" s="34"/>
      <c r="D14" s="34"/>
      <c r="E14" s="34"/>
      <c r="F14" s="34"/>
      <c r="G14" s="34"/>
      <c r="H14" s="36"/>
      <c r="I14" s="49"/>
      <c r="J14" s="43"/>
      <c r="K14" s="43"/>
      <c r="L14" s="43"/>
      <c r="M14" s="43"/>
      <c r="N14" s="43"/>
      <c r="O14" s="43"/>
      <c r="P14" s="43"/>
      <c r="Q14" s="43"/>
      <c r="R14" s="43"/>
    </row>
    <row r="15">
      <c r="A15" s="70"/>
      <c r="B15" s="71"/>
      <c r="C15" s="73"/>
      <c r="D15" s="73"/>
      <c r="E15" s="73"/>
      <c r="F15" s="73"/>
      <c r="G15" s="73"/>
      <c r="H15" s="36"/>
      <c r="I15" s="49"/>
      <c r="J15" s="65"/>
      <c r="K15" s="43"/>
      <c r="L15" s="43"/>
      <c r="M15" s="43"/>
      <c r="N15" s="43"/>
      <c r="O15" s="43"/>
      <c r="P15" s="43"/>
      <c r="Q15" s="43"/>
      <c r="R15" s="43"/>
    </row>
    <row r="16">
      <c r="A16" s="70"/>
      <c r="B16" s="71"/>
      <c r="C16" s="73"/>
      <c r="D16" s="73"/>
      <c r="E16" s="73"/>
      <c r="F16" s="73"/>
      <c r="G16" s="73"/>
      <c r="H16" s="36"/>
      <c r="I16" s="49"/>
      <c r="J16" s="41"/>
      <c r="K16" s="43"/>
      <c r="L16" s="43"/>
      <c r="M16" s="43"/>
      <c r="N16" s="43"/>
      <c r="O16" s="43"/>
      <c r="P16" s="43"/>
      <c r="Q16" s="43"/>
      <c r="R16" s="43"/>
    </row>
    <row r="17">
      <c r="A17" s="70"/>
      <c r="B17" s="71"/>
      <c r="C17" s="73"/>
      <c r="D17" s="73"/>
      <c r="E17" s="73"/>
      <c r="F17" s="73"/>
      <c r="G17" s="73"/>
      <c r="H17" s="36"/>
      <c r="I17" s="49"/>
      <c r="J17" s="41"/>
      <c r="K17" s="43"/>
      <c r="L17" s="43"/>
      <c r="M17" s="43"/>
      <c r="N17" s="43"/>
      <c r="O17" s="43"/>
      <c r="P17" s="43"/>
      <c r="Q17" s="43"/>
      <c r="R17" s="43"/>
    </row>
    <row r="18">
      <c r="A18" s="70"/>
      <c r="B18" s="71"/>
      <c r="C18" s="73"/>
      <c r="D18" s="73"/>
      <c r="E18" s="73"/>
      <c r="F18" s="73"/>
      <c r="G18" s="73"/>
      <c r="H18" s="36"/>
      <c r="I18" s="49"/>
      <c r="J18" s="43"/>
      <c r="K18" s="43"/>
      <c r="L18" s="43"/>
      <c r="M18" s="43"/>
      <c r="N18" s="43"/>
      <c r="O18" s="43"/>
      <c r="P18" s="43"/>
      <c r="Q18" s="43"/>
      <c r="R18" s="43"/>
    </row>
    <row r="19">
      <c r="A19" s="70"/>
      <c r="B19" s="71"/>
      <c r="C19" s="73"/>
      <c r="D19" s="73"/>
      <c r="E19" s="73"/>
      <c r="F19" s="73"/>
      <c r="G19" s="73"/>
      <c r="H19" s="36"/>
      <c r="I19" s="49"/>
      <c r="J19" s="43"/>
      <c r="K19" s="43"/>
      <c r="L19" s="43"/>
      <c r="M19" s="43"/>
      <c r="N19" s="43"/>
      <c r="O19" s="43"/>
      <c r="P19" s="43"/>
      <c r="Q19" s="43"/>
      <c r="R19" s="43"/>
    </row>
    <row r="20">
      <c r="A20" s="70"/>
      <c r="B20" s="71"/>
      <c r="C20" s="73"/>
      <c r="D20" s="73"/>
      <c r="E20" s="73"/>
      <c r="F20" s="73"/>
      <c r="G20" s="73"/>
      <c r="H20" s="36"/>
      <c r="I20" s="49"/>
      <c r="J20" s="65"/>
      <c r="K20" s="43"/>
      <c r="L20" s="43"/>
      <c r="M20" s="43"/>
      <c r="N20" s="43"/>
      <c r="O20" s="43"/>
      <c r="P20" s="43"/>
      <c r="Q20" s="43"/>
      <c r="R20" s="43"/>
    </row>
    <row r="21">
      <c r="A21" s="70"/>
      <c r="B21" s="71"/>
      <c r="C21" s="73"/>
      <c r="D21" s="73"/>
      <c r="E21" s="73"/>
      <c r="F21" s="73"/>
      <c r="G21" s="73"/>
      <c r="H21" s="36"/>
      <c r="I21" s="49"/>
      <c r="J21" s="43"/>
      <c r="K21" s="43"/>
      <c r="L21" s="43"/>
      <c r="M21" s="43"/>
      <c r="N21" s="43"/>
      <c r="O21" s="43"/>
      <c r="P21" s="43"/>
      <c r="Q21" s="43"/>
      <c r="R21" s="43"/>
    </row>
    <row r="22">
      <c r="A22" s="70"/>
      <c r="B22" s="71"/>
      <c r="C22" s="73"/>
      <c r="D22" s="73"/>
      <c r="E22" s="73"/>
      <c r="F22" s="73"/>
      <c r="G22" s="73"/>
      <c r="H22" s="36"/>
      <c r="I22" s="49"/>
      <c r="J22" s="55"/>
      <c r="K22" s="43"/>
      <c r="L22" s="43"/>
      <c r="M22" s="43"/>
      <c r="N22" s="43"/>
      <c r="O22" s="43"/>
      <c r="P22" s="43"/>
      <c r="Q22" s="43"/>
      <c r="R22" s="43"/>
    </row>
    <row r="23">
      <c r="A23" s="70"/>
      <c r="B23" s="54"/>
      <c r="C23" s="54"/>
      <c r="D23" s="54"/>
      <c r="E23" s="59"/>
      <c r="F23" s="80"/>
      <c r="G23" s="34"/>
      <c r="H23" s="36"/>
      <c r="I23" s="60"/>
      <c r="J23" s="65"/>
      <c r="K23" s="43"/>
      <c r="L23" s="43"/>
      <c r="M23" s="43"/>
      <c r="N23" s="43"/>
      <c r="O23" s="43"/>
      <c r="P23" s="43"/>
      <c r="Q23" s="43"/>
      <c r="R23" s="43"/>
    </row>
    <row r="24">
      <c r="A24" s="70"/>
      <c r="B24" s="34"/>
      <c r="C24" s="34"/>
      <c r="D24" s="34"/>
      <c r="E24" s="34"/>
      <c r="F24" s="34"/>
      <c r="G24" s="34"/>
      <c r="H24" s="36"/>
      <c r="I24" s="60"/>
      <c r="J24" s="65"/>
      <c r="K24" s="43"/>
      <c r="L24" s="43"/>
      <c r="M24" s="43"/>
      <c r="N24" s="43"/>
      <c r="O24" s="43"/>
      <c r="P24" s="43"/>
      <c r="Q24" s="43"/>
      <c r="R24" s="43"/>
    </row>
    <row r="25">
      <c r="A25" s="70"/>
      <c r="B25" s="34"/>
      <c r="C25" s="34"/>
      <c r="D25" s="34"/>
      <c r="E25" s="34"/>
      <c r="F25" s="34"/>
      <c r="G25" s="34"/>
      <c r="H25" s="36"/>
      <c r="I25" s="60"/>
      <c r="J25" s="65"/>
      <c r="K25" s="43"/>
      <c r="L25" s="43"/>
      <c r="M25" s="43"/>
      <c r="N25" s="43"/>
      <c r="O25" s="43"/>
      <c r="P25" s="43"/>
      <c r="Q25" s="43"/>
      <c r="R25" s="43"/>
    </row>
    <row r="26">
      <c r="A26" s="70"/>
      <c r="B26" s="34"/>
      <c r="C26" s="34"/>
      <c r="D26" s="34"/>
      <c r="E26" s="84"/>
      <c r="F26" s="34"/>
      <c r="G26" s="34"/>
      <c r="H26" s="36"/>
      <c r="I26" s="60"/>
      <c r="J26" s="43"/>
      <c r="K26" s="43"/>
      <c r="L26" s="43"/>
      <c r="M26" s="43"/>
      <c r="N26" s="43"/>
      <c r="O26" s="43"/>
      <c r="P26" s="43"/>
      <c r="Q26" s="43"/>
      <c r="R26" s="43"/>
    </row>
    <row r="27">
      <c r="A27" s="32"/>
      <c r="B27" s="34"/>
      <c r="C27" s="34"/>
      <c r="D27" s="34"/>
      <c r="E27" s="34"/>
      <c r="F27" s="34"/>
      <c r="G27" s="34"/>
      <c r="H27" s="60"/>
      <c r="I27" s="60"/>
      <c r="J27" s="43"/>
      <c r="K27" s="43"/>
      <c r="L27" s="43"/>
      <c r="M27" s="43"/>
      <c r="N27" s="43"/>
      <c r="O27" s="43"/>
      <c r="P27" s="43"/>
      <c r="Q27" s="43"/>
      <c r="R27" s="43"/>
    </row>
    <row r="28">
      <c r="A28" s="32"/>
      <c r="B28" s="34"/>
      <c r="C28" s="34"/>
      <c r="D28" s="34"/>
      <c r="E28" s="34"/>
      <c r="F28" s="34"/>
      <c r="G28" s="34"/>
      <c r="H28" s="60"/>
      <c r="I28" s="60"/>
      <c r="J28" s="43"/>
      <c r="K28" s="43"/>
      <c r="L28" s="43"/>
      <c r="M28" s="43"/>
      <c r="N28" s="43"/>
      <c r="O28" s="43"/>
      <c r="P28" s="43"/>
      <c r="Q28" s="43"/>
      <c r="R28" s="43"/>
    </row>
    <row r="29">
      <c r="A29" s="32"/>
      <c r="B29" s="34"/>
      <c r="C29" s="34"/>
      <c r="D29" s="34"/>
      <c r="E29" s="34"/>
      <c r="F29" s="34"/>
      <c r="G29" s="34"/>
      <c r="H29" s="60"/>
      <c r="I29" s="60"/>
      <c r="J29" s="43"/>
      <c r="K29" s="43"/>
      <c r="L29" s="43"/>
      <c r="M29" s="43"/>
      <c r="N29" s="43"/>
      <c r="O29" s="43"/>
      <c r="P29" s="43"/>
      <c r="Q29" s="43"/>
      <c r="R29" s="43"/>
    </row>
    <row r="30">
      <c r="A30" s="32"/>
      <c r="B30" s="34"/>
      <c r="C30" s="34"/>
      <c r="D30" s="34"/>
      <c r="E30" s="34"/>
      <c r="F30" s="34"/>
      <c r="G30" s="34"/>
      <c r="H30" s="60"/>
      <c r="I30" s="60"/>
      <c r="J30" s="43"/>
      <c r="K30" s="43"/>
      <c r="L30" s="43"/>
      <c r="M30" s="43"/>
      <c r="N30" s="43"/>
      <c r="O30" s="43"/>
      <c r="P30" s="43"/>
      <c r="Q30" s="43"/>
      <c r="R30" s="43"/>
    </row>
    <row r="31">
      <c r="A31" s="32"/>
      <c r="B31" s="34"/>
      <c r="C31" s="86"/>
      <c r="D31" s="34"/>
      <c r="E31" s="34"/>
      <c r="F31" s="34"/>
      <c r="G31" s="34"/>
      <c r="H31" s="60"/>
      <c r="I31" s="60"/>
      <c r="J31" s="43"/>
      <c r="K31" s="43"/>
      <c r="L31" s="43"/>
      <c r="M31" s="43"/>
      <c r="N31" s="43"/>
      <c r="O31" s="43"/>
      <c r="P31" s="43"/>
      <c r="Q31" s="43"/>
      <c r="R31" s="43"/>
    </row>
    <row r="32">
      <c r="A32" s="32"/>
      <c r="B32" s="34"/>
      <c r="C32" s="34"/>
      <c r="D32" s="34"/>
      <c r="E32" s="34"/>
      <c r="F32" s="34"/>
      <c r="G32" s="34"/>
      <c r="H32" s="60"/>
      <c r="I32" s="60"/>
      <c r="J32" s="43"/>
      <c r="K32" s="43"/>
      <c r="L32" s="43"/>
      <c r="M32" s="43"/>
      <c r="N32" s="43"/>
      <c r="O32" s="43"/>
      <c r="P32" s="43"/>
      <c r="Q32" s="43"/>
      <c r="R32" s="43"/>
    </row>
    <row r="33">
      <c r="A33" s="32"/>
      <c r="B33" s="34"/>
      <c r="C33" s="34"/>
      <c r="D33" s="34"/>
      <c r="E33" s="34"/>
      <c r="F33" s="34"/>
      <c r="G33" s="34"/>
      <c r="H33" s="60"/>
      <c r="I33" s="60"/>
      <c r="J33" s="43"/>
      <c r="K33" s="43"/>
      <c r="L33" s="43"/>
      <c r="M33" s="43"/>
      <c r="N33" s="43"/>
      <c r="O33" s="43"/>
      <c r="P33" s="43"/>
      <c r="Q33" s="43"/>
      <c r="R33" s="43"/>
    </row>
    <row r="34">
      <c r="A34" s="32"/>
      <c r="B34" s="34"/>
      <c r="C34" s="34" t="s">
        <v>148</v>
      </c>
      <c r="D34" s="34"/>
      <c r="E34" s="34"/>
      <c r="F34" s="34"/>
      <c r="G34" s="34"/>
      <c r="H34" s="60"/>
      <c r="I34" s="60"/>
      <c r="J34" s="43"/>
      <c r="K34" s="43"/>
      <c r="L34" s="43"/>
      <c r="M34" s="43"/>
      <c r="N34" s="43"/>
      <c r="O34" s="43"/>
      <c r="P34" s="43"/>
      <c r="Q34" s="43"/>
      <c r="R34" s="43"/>
    </row>
    <row r="35">
      <c r="A35" s="32"/>
      <c r="B35" s="34"/>
      <c r="C35" s="34"/>
      <c r="D35" s="34"/>
      <c r="E35" s="34"/>
      <c r="F35" s="34"/>
      <c r="G35" s="34"/>
      <c r="H35" s="60"/>
      <c r="I35" s="60"/>
      <c r="J35" s="43"/>
      <c r="K35" s="43"/>
      <c r="L35" s="43"/>
      <c r="M35" s="43"/>
      <c r="N35" s="43"/>
      <c r="O35" s="43"/>
      <c r="P35" s="43"/>
      <c r="Q35" s="43"/>
      <c r="R35" s="43"/>
    </row>
    <row r="36">
      <c r="A36" s="32"/>
      <c r="B36" s="34"/>
      <c r="C36" s="34"/>
      <c r="D36" s="34"/>
      <c r="E36" s="34"/>
      <c r="F36" s="34"/>
      <c r="G36" s="34"/>
      <c r="H36" s="60"/>
      <c r="I36" s="60"/>
      <c r="J36" s="43"/>
      <c r="K36" s="43"/>
      <c r="L36" s="43"/>
      <c r="M36" s="43"/>
      <c r="N36" s="43"/>
      <c r="O36" s="43"/>
      <c r="P36" s="43"/>
      <c r="Q36" s="43"/>
      <c r="R36" s="43"/>
    </row>
    <row r="37">
      <c r="A37" s="32"/>
      <c r="B37" s="34"/>
      <c r="C37" s="34"/>
      <c r="D37" s="34"/>
      <c r="E37" s="34"/>
      <c r="F37" s="34"/>
      <c r="G37" s="34"/>
      <c r="H37" s="60"/>
      <c r="I37" s="60"/>
      <c r="J37" s="43"/>
      <c r="K37" s="43"/>
      <c r="L37" s="43"/>
      <c r="M37" s="43"/>
      <c r="N37" s="43"/>
      <c r="O37" s="43"/>
      <c r="P37" s="43"/>
      <c r="Q37" s="43"/>
      <c r="R37" s="43"/>
    </row>
    <row r="38">
      <c r="A38" s="32"/>
      <c r="B38" s="34"/>
      <c r="C38" s="34"/>
      <c r="D38" s="34"/>
      <c r="E38" s="34"/>
      <c r="F38" s="34"/>
      <c r="G38" s="34"/>
      <c r="H38" s="60"/>
      <c r="I38" s="60"/>
      <c r="J38" s="43"/>
      <c r="K38" s="43"/>
      <c r="L38" s="43"/>
      <c r="M38" s="43"/>
      <c r="N38" s="43"/>
      <c r="O38" s="43"/>
      <c r="P38" s="43"/>
      <c r="Q38" s="43"/>
      <c r="R38" s="43"/>
    </row>
    <row r="39">
      <c r="A39" s="32"/>
      <c r="B39" s="34"/>
      <c r="C39" s="34"/>
      <c r="D39" s="34"/>
      <c r="E39" s="34"/>
      <c r="F39" s="34"/>
      <c r="G39" s="34"/>
      <c r="H39" s="60"/>
      <c r="I39" s="60"/>
      <c r="J39" s="43"/>
      <c r="K39" s="43"/>
      <c r="L39" s="43"/>
      <c r="M39" s="43"/>
      <c r="N39" s="43"/>
      <c r="O39" s="43"/>
      <c r="P39" s="43"/>
      <c r="Q39" s="43"/>
      <c r="R39" s="43"/>
    </row>
    <row r="40">
      <c r="A40" s="32"/>
      <c r="B40" s="34"/>
      <c r="C40" s="34"/>
      <c r="D40" s="34"/>
      <c r="E40" s="34"/>
      <c r="F40" s="34"/>
      <c r="G40" s="34"/>
      <c r="H40" s="60"/>
      <c r="I40" s="60"/>
      <c r="J40" s="43"/>
      <c r="K40" s="43"/>
      <c r="L40" s="43"/>
      <c r="M40" s="43"/>
      <c r="N40" s="43"/>
      <c r="O40" s="43"/>
      <c r="P40" s="43"/>
      <c r="Q40" s="43"/>
      <c r="R40" s="43"/>
    </row>
    <row r="41">
      <c r="A41" s="32"/>
      <c r="B41" s="34"/>
      <c r="C41" s="34"/>
      <c r="D41" s="34"/>
      <c r="E41" s="34"/>
      <c r="F41" s="34"/>
      <c r="G41" s="34"/>
      <c r="H41" s="60"/>
      <c r="I41" s="60"/>
      <c r="J41" s="43"/>
      <c r="K41" s="43"/>
      <c r="L41" s="43"/>
      <c r="M41" s="43"/>
      <c r="N41" s="43"/>
      <c r="O41" s="43"/>
      <c r="P41" s="43"/>
      <c r="Q41" s="43"/>
      <c r="R41" s="43"/>
    </row>
    <row r="42">
      <c r="A42" s="32"/>
      <c r="B42" s="34"/>
      <c r="C42" s="34"/>
      <c r="D42" s="34"/>
      <c r="E42" s="34"/>
      <c r="F42" s="34"/>
      <c r="G42" s="34"/>
      <c r="H42" s="60"/>
      <c r="I42" s="60"/>
      <c r="J42" s="43"/>
      <c r="K42" s="43"/>
      <c r="L42" s="43"/>
      <c r="M42" s="43"/>
      <c r="N42" s="43"/>
      <c r="O42" s="43"/>
      <c r="P42" s="43"/>
      <c r="Q42" s="43"/>
      <c r="R42" s="43"/>
    </row>
    <row r="43">
      <c r="A43" s="32"/>
      <c r="B43" s="34"/>
      <c r="C43" s="34"/>
      <c r="D43" s="34"/>
      <c r="E43" s="34"/>
      <c r="F43" s="34"/>
      <c r="G43" s="34"/>
      <c r="H43" s="60"/>
      <c r="I43" s="60"/>
      <c r="J43" s="43"/>
      <c r="K43" s="43"/>
      <c r="L43" s="43"/>
      <c r="M43" s="43"/>
      <c r="N43" s="43"/>
      <c r="O43" s="43"/>
      <c r="P43" s="43"/>
      <c r="Q43" s="43"/>
      <c r="R43" s="43"/>
    </row>
    <row r="44">
      <c r="A44" s="32"/>
      <c r="B44" s="34"/>
      <c r="C44" s="34"/>
      <c r="D44" s="34"/>
      <c r="E44" s="34"/>
      <c r="F44" s="34"/>
      <c r="G44" s="34"/>
      <c r="H44" s="60"/>
      <c r="I44" s="60"/>
      <c r="J44" s="43"/>
      <c r="K44" s="43"/>
      <c r="L44" s="43"/>
      <c r="M44" s="43"/>
      <c r="N44" s="43"/>
      <c r="O44" s="43"/>
      <c r="P44" s="43"/>
      <c r="Q44" s="43"/>
      <c r="R44" s="43"/>
    </row>
    <row r="45">
      <c r="A45" s="32"/>
      <c r="B45" s="34"/>
      <c r="C45" s="34"/>
      <c r="D45" s="34"/>
      <c r="E45" s="34"/>
      <c r="F45" s="34"/>
      <c r="G45" s="34"/>
      <c r="H45" s="60"/>
      <c r="I45" s="60"/>
      <c r="J45" s="43"/>
      <c r="K45" s="43"/>
      <c r="L45" s="43"/>
      <c r="M45" s="43"/>
      <c r="N45" s="43"/>
      <c r="O45" s="43"/>
      <c r="P45" s="43"/>
      <c r="Q45" s="43"/>
      <c r="R45" s="43"/>
    </row>
    <row r="46">
      <c r="A46" s="32"/>
      <c r="B46" s="34"/>
      <c r="C46" s="34"/>
      <c r="D46" s="34"/>
      <c r="E46" s="34"/>
      <c r="F46" s="34"/>
      <c r="G46" s="34"/>
      <c r="H46" s="60"/>
      <c r="I46" s="60"/>
      <c r="J46" s="43"/>
      <c r="K46" s="43"/>
      <c r="L46" s="43"/>
      <c r="M46" s="43"/>
      <c r="N46" s="43"/>
      <c r="O46" s="43"/>
      <c r="P46" s="43"/>
      <c r="Q46" s="43"/>
      <c r="R46" s="43"/>
    </row>
    <row r="47">
      <c r="A47" s="32"/>
      <c r="B47" s="34"/>
      <c r="C47" s="34"/>
      <c r="D47" s="34"/>
      <c r="E47" s="34"/>
      <c r="F47" s="34"/>
      <c r="G47" s="34"/>
      <c r="H47" s="60"/>
      <c r="I47" s="60"/>
      <c r="J47" s="43"/>
      <c r="K47" s="43"/>
      <c r="L47" s="43"/>
      <c r="M47" s="43"/>
      <c r="N47" s="43"/>
      <c r="O47" s="43"/>
      <c r="P47" s="43"/>
      <c r="Q47" s="43"/>
      <c r="R47" s="43"/>
    </row>
    <row r="48">
      <c r="A48" s="32"/>
      <c r="B48" s="34"/>
      <c r="C48" s="34"/>
      <c r="D48" s="34"/>
      <c r="E48" s="34"/>
      <c r="F48" s="34"/>
      <c r="G48" s="34"/>
      <c r="H48" s="60"/>
      <c r="I48" s="60"/>
      <c r="J48" s="43"/>
      <c r="K48" s="43"/>
      <c r="L48" s="43"/>
      <c r="M48" s="43"/>
      <c r="N48" s="43"/>
      <c r="O48" s="43"/>
      <c r="P48" s="43"/>
      <c r="Q48" s="43"/>
      <c r="R48" s="43"/>
    </row>
    <row r="49">
      <c r="A49" s="32"/>
      <c r="B49" s="34"/>
      <c r="C49" s="34"/>
      <c r="D49" s="34"/>
      <c r="E49" s="34"/>
      <c r="F49" s="34"/>
      <c r="G49" s="34"/>
      <c r="H49" s="60"/>
      <c r="I49" s="60"/>
      <c r="J49" s="43"/>
      <c r="K49" s="43"/>
      <c r="L49" s="43"/>
      <c r="M49" s="43"/>
      <c r="N49" s="43"/>
      <c r="O49" s="43"/>
      <c r="P49" s="43"/>
      <c r="Q49" s="43"/>
      <c r="R49" s="43"/>
    </row>
    <row r="50">
      <c r="A50" s="32"/>
      <c r="B50" s="34"/>
      <c r="C50" s="34"/>
      <c r="D50" s="34"/>
      <c r="E50" s="34"/>
      <c r="F50" s="34"/>
      <c r="G50" s="34"/>
      <c r="H50" s="60"/>
      <c r="I50" s="60"/>
      <c r="J50" s="43"/>
      <c r="K50" s="43"/>
      <c r="L50" s="43"/>
      <c r="M50" s="43"/>
      <c r="N50" s="43"/>
      <c r="O50" s="43"/>
      <c r="P50" s="43"/>
      <c r="Q50" s="43"/>
      <c r="R50" s="43"/>
    </row>
    <row r="51">
      <c r="A51" s="32"/>
      <c r="B51" s="34"/>
      <c r="C51" s="34"/>
      <c r="D51" s="34"/>
      <c r="E51" s="34"/>
      <c r="F51" s="34"/>
      <c r="G51" s="34"/>
      <c r="H51" s="60"/>
      <c r="I51" s="60"/>
      <c r="J51" s="43"/>
      <c r="K51" s="43"/>
      <c r="L51" s="43"/>
      <c r="M51" s="43"/>
      <c r="N51" s="43"/>
      <c r="O51" s="43"/>
      <c r="P51" s="43"/>
      <c r="Q51" s="43"/>
      <c r="R51" s="43"/>
    </row>
    <row r="52">
      <c r="A52" s="32"/>
      <c r="B52" s="34"/>
      <c r="C52" s="34"/>
      <c r="D52" s="34"/>
      <c r="E52" s="34"/>
      <c r="F52" s="34"/>
      <c r="G52" s="34"/>
      <c r="H52" s="60"/>
      <c r="I52" s="60"/>
      <c r="J52" s="43"/>
      <c r="K52" s="43"/>
      <c r="L52" s="43"/>
      <c r="M52" s="43"/>
      <c r="N52" s="43"/>
      <c r="O52" s="43"/>
      <c r="P52" s="43"/>
      <c r="Q52" s="43"/>
      <c r="R52" s="43"/>
    </row>
    <row r="53">
      <c r="A53" s="32"/>
      <c r="B53" s="34"/>
      <c r="C53" s="34"/>
      <c r="D53" s="34"/>
      <c r="E53" s="34"/>
      <c r="F53" s="34"/>
      <c r="G53" s="34"/>
      <c r="H53" s="60"/>
      <c r="I53" s="60"/>
      <c r="J53" s="43"/>
      <c r="K53" s="43"/>
      <c r="L53" s="43"/>
      <c r="M53" s="43"/>
      <c r="N53" s="43"/>
      <c r="O53" s="43"/>
      <c r="P53" s="43"/>
      <c r="Q53" s="43"/>
      <c r="R53" s="43"/>
    </row>
    <row r="54">
      <c r="A54" s="32"/>
      <c r="B54" s="34"/>
      <c r="C54" s="34"/>
      <c r="D54" s="34"/>
      <c r="E54" s="34"/>
      <c r="F54" s="34"/>
      <c r="G54" s="34"/>
      <c r="H54" s="60"/>
      <c r="I54" s="60"/>
      <c r="J54" s="43"/>
      <c r="K54" s="43"/>
      <c r="L54" s="43"/>
      <c r="M54" s="43"/>
      <c r="N54" s="43"/>
      <c r="O54" s="43"/>
      <c r="P54" s="43"/>
      <c r="Q54" s="43"/>
      <c r="R54" s="43"/>
    </row>
    <row r="55">
      <c r="A55" s="32"/>
      <c r="B55" s="34"/>
      <c r="C55" s="34"/>
      <c r="D55" s="34"/>
      <c r="E55" s="34"/>
      <c r="F55" s="34"/>
      <c r="G55" s="34"/>
      <c r="H55" s="60"/>
      <c r="I55" s="60"/>
      <c r="J55" s="43"/>
      <c r="K55" s="43"/>
      <c r="L55" s="43"/>
      <c r="M55" s="43"/>
      <c r="N55" s="43"/>
      <c r="O55" s="43"/>
      <c r="P55" s="43"/>
      <c r="Q55" s="43"/>
      <c r="R55" s="43"/>
    </row>
    <row r="56">
      <c r="A56" s="32"/>
      <c r="B56" s="34"/>
      <c r="C56" s="34"/>
      <c r="D56" s="34"/>
      <c r="E56" s="34"/>
      <c r="F56" s="34"/>
      <c r="G56" s="34"/>
      <c r="H56" s="60"/>
      <c r="I56" s="60"/>
      <c r="J56" s="43"/>
      <c r="K56" s="43"/>
      <c r="L56" s="43"/>
      <c r="M56" s="43"/>
      <c r="N56" s="43"/>
      <c r="O56" s="43"/>
      <c r="P56" s="43"/>
      <c r="Q56" s="43"/>
      <c r="R56" s="43"/>
    </row>
    <row r="57">
      <c r="A57" s="32"/>
      <c r="B57" s="34"/>
      <c r="C57" s="34"/>
      <c r="D57" s="34"/>
      <c r="E57" s="34"/>
      <c r="F57" s="34"/>
      <c r="G57" s="34"/>
      <c r="H57" s="60"/>
      <c r="I57" s="60"/>
      <c r="J57" s="43"/>
      <c r="K57" s="43"/>
      <c r="L57" s="43"/>
      <c r="M57" s="43"/>
      <c r="N57" s="43"/>
      <c r="O57" s="43"/>
      <c r="P57" s="43"/>
      <c r="Q57" s="43"/>
      <c r="R57" s="43"/>
    </row>
    <row r="58">
      <c r="A58" s="32"/>
      <c r="B58" s="34"/>
      <c r="C58" s="34"/>
      <c r="D58" s="34"/>
      <c r="E58" s="34"/>
      <c r="F58" s="34"/>
      <c r="G58" s="34"/>
      <c r="H58" s="60"/>
      <c r="I58" s="60"/>
      <c r="J58" s="43"/>
      <c r="K58" s="43"/>
      <c r="L58" s="43"/>
      <c r="M58" s="43"/>
      <c r="N58" s="43"/>
      <c r="O58" s="43"/>
      <c r="P58" s="43"/>
      <c r="Q58" s="43"/>
      <c r="R58" s="43"/>
    </row>
    <row r="59">
      <c r="A59" s="32"/>
      <c r="B59" s="34"/>
      <c r="C59" s="34"/>
      <c r="D59" s="34"/>
      <c r="E59" s="34"/>
      <c r="F59" s="34"/>
      <c r="G59" s="34"/>
      <c r="H59" s="60"/>
      <c r="I59" s="60"/>
      <c r="J59" s="43"/>
      <c r="K59" s="43"/>
      <c r="L59" s="43"/>
      <c r="M59" s="43"/>
      <c r="N59" s="43"/>
      <c r="O59" s="43"/>
      <c r="P59" s="43"/>
      <c r="Q59" s="43"/>
      <c r="R59" s="43"/>
    </row>
    <row r="60">
      <c r="A60" s="32"/>
      <c r="B60" s="34"/>
      <c r="C60" s="34"/>
      <c r="D60" s="34"/>
      <c r="E60" s="34"/>
      <c r="F60" s="34"/>
      <c r="G60" s="34"/>
      <c r="H60" s="60"/>
      <c r="I60" s="60"/>
      <c r="J60" s="43"/>
      <c r="K60" s="43"/>
      <c r="L60" s="43"/>
      <c r="M60" s="43"/>
      <c r="N60" s="43"/>
      <c r="O60" s="43"/>
      <c r="P60" s="43"/>
      <c r="Q60" s="43"/>
      <c r="R60" s="43"/>
    </row>
    <row r="61">
      <c r="A61" s="32"/>
      <c r="B61" s="34"/>
      <c r="C61" s="34"/>
      <c r="D61" s="34"/>
      <c r="E61" s="34"/>
      <c r="F61" s="34"/>
      <c r="G61" s="34"/>
      <c r="H61" s="60"/>
      <c r="I61" s="60"/>
      <c r="J61" s="43"/>
      <c r="K61" s="43"/>
      <c r="L61" s="43"/>
      <c r="M61" s="43"/>
      <c r="N61" s="43"/>
      <c r="O61" s="43"/>
      <c r="P61" s="43"/>
      <c r="Q61" s="43"/>
      <c r="R61" s="43"/>
    </row>
    <row r="62">
      <c r="A62" s="32"/>
      <c r="B62" s="34"/>
      <c r="C62" s="34"/>
      <c r="D62" s="34"/>
      <c r="E62" s="34"/>
      <c r="F62" s="34"/>
      <c r="G62" s="34"/>
      <c r="H62" s="60"/>
      <c r="I62" s="60"/>
      <c r="J62" s="43"/>
      <c r="K62" s="43"/>
      <c r="L62" s="43"/>
      <c r="M62" s="43"/>
      <c r="N62" s="43"/>
      <c r="O62" s="43"/>
      <c r="P62" s="43"/>
      <c r="Q62" s="43"/>
      <c r="R62" s="43"/>
    </row>
    <row r="63">
      <c r="A63" s="32"/>
      <c r="B63" s="34"/>
      <c r="C63" s="34"/>
      <c r="D63" s="34"/>
      <c r="E63" s="34"/>
      <c r="F63" s="34"/>
      <c r="G63" s="34"/>
      <c r="H63" s="60"/>
      <c r="I63" s="60"/>
      <c r="J63" s="43"/>
      <c r="K63" s="43"/>
      <c r="L63" s="43"/>
      <c r="M63" s="43"/>
      <c r="N63" s="43"/>
      <c r="O63" s="43"/>
      <c r="P63" s="43"/>
      <c r="Q63" s="43"/>
      <c r="R63" s="43"/>
    </row>
    <row r="64">
      <c r="A64" s="32"/>
      <c r="B64" s="34"/>
      <c r="C64" s="34"/>
      <c r="D64" s="34"/>
      <c r="E64" s="34"/>
      <c r="F64" s="34"/>
      <c r="G64" s="34"/>
      <c r="H64" s="60"/>
      <c r="I64" s="60"/>
      <c r="J64" s="43"/>
      <c r="K64" s="43"/>
      <c r="L64" s="43"/>
      <c r="M64" s="43"/>
      <c r="N64" s="43"/>
      <c r="O64" s="43"/>
      <c r="P64" s="43"/>
      <c r="Q64" s="43"/>
      <c r="R64" s="43"/>
    </row>
    <row r="65">
      <c r="A65" s="32"/>
      <c r="B65" s="34"/>
      <c r="C65" s="34"/>
      <c r="D65" s="34"/>
      <c r="E65" s="34"/>
      <c r="F65" s="34"/>
      <c r="G65" s="34"/>
      <c r="H65" s="60"/>
      <c r="I65" s="60"/>
      <c r="J65" s="43"/>
      <c r="K65" s="43"/>
      <c r="L65" s="43"/>
      <c r="M65" s="43"/>
      <c r="N65" s="43"/>
      <c r="O65" s="43"/>
      <c r="P65" s="43"/>
      <c r="Q65" s="43"/>
      <c r="R65" s="43"/>
    </row>
    <row r="66">
      <c r="A66" s="32"/>
      <c r="B66" s="34"/>
      <c r="C66" s="34"/>
      <c r="D66" s="34"/>
      <c r="E66" s="34"/>
      <c r="F66" s="34"/>
      <c r="G66" s="34"/>
      <c r="H66" s="60"/>
      <c r="I66" s="60"/>
      <c r="J66" s="43"/>
      <c r="K66" s="43"/>
      <c r="L66" s="43"/>
      <c r="M66" s="43"/>
      <c r="N66" s="43"/>
      <c r="O66" s="43"/>
      <c r="P66" s="43"/>
      <c r="Q66" s="43"/>
      <c r="R66" s="43"/>
    </row>
    <row r="67">
      <c r="A67" s="32"/>
      <c r="B67" s="34"/>
      <c r="C67" s="34"/>
      <c r="D67" s="34"/>
      <c r="E67" s="34"/>
      <c r="F67" s="34"/>
      <c r="G67" s="34"/>
      <c r="H67" s="60"/>
      <c r="I67" s="60"/>
      <c r="J67" s="43"/>
      <c r="K67" s="43"/>
      <c r="L67" s="43"/>
      <c r="M67" s="43"/>
      <c r="N67" s="43"/>
      <c r="O67" s="43"/>
      <c r="P67" s="43"/>
      <c r="Q67" s="43"/>
      <c r="R67" s="43"/>
    </row>
    <row r="68">
      <c r="A68" s="32"/>
      <c r="B68" s="34"/>
      <c r="C68" s="34"/>
      <c r="D68" s="34"/>
      <c r="E68" s="34"/>
      <c r="F68" s="34"/>
      <c r="G68" s="34"/>
      <c r="H68" s="60"/>
      <c r="I68" s="60"/>
      <c r="J68" s="43"/>
      <c r="K68" s="43"/>
      <c r="L68" s="43"/>
      <c r="M68" s="43"/>
      <c r="N68" s="43"/>
      <c r="O68" s="43"/>
      <c r="P68" s="43"/>
      <c r="Q68" s="43"/>
      <c r="R68" s="43"/>
    </row>
    <row r="69">
      <c r="A69" s="32"/>
      <c r="B69" s="34"/>
      <c r="C69" s="34"/>
      <c r="D69" s="34"/>
      <c r="E69" s="34"/>
      <c r="F69" s="34"/>
      <c r="G69" s="34"/>
      <c r="H69" s="60"/>
      <c r="I69" s="60"/>
      <c r="J69" s="43"/>
      <c r="K69" s="43"/>
      <c r="L69" s="43"/>
      <c r="M69" s="43"/>
      <c r="N69" s="43"/>
      <c r="O69" s="43"/>
      <c r="P69" s="43"/>
      <c r="Q69" s="43"/>
      <c r="R69" s="43"/>
    </row>
    <row r="70">
      <c r="A70" s="32"/>
      <c r="B70" s="34"/>
      <c r="C70" s="34"/>
      <c r="D70" s="34"/>
      <c r="E70" s="34"/>
      <c r="F70" s="34"/>
      <c r="G70" s="34"/>
      <c r="H70" s="60"/>
      <c r="I70" s="60"/>
      <c r="J70" s="43"/>
      <c r="K70" s="43"/>
      <c r="L70" s="43"/>
      <c r="M70" s="43"/>
      <c r="N70" s="43"/>
      <c r="O70" s="43"/>
      <c r="P70" s="43"/>
      <c r="Q70" s="43"/>
      <c r="R70" s="43"/>
    </row>
    <row r="71">
      <c r="A71" s="32"/>
      <c r="B71" s="34"/>
      <c r="C71" s="34"/>
      <c r="D71" s="34"/>
      <c r="E71" s="34"/>
      <c r="F71" s="34"/>
      <c r="G71" s="34"/>
      <c r="H71" s="60"/>
      <c r="I71" s="60"/>
      <c r="J71" s="43"/>
      <c r="K71" s="43"/>
      <c r="L71" s="43"/>
      <c r="M71" s="43"/>
      <c r="N71" s="43"/>
      <c r="O71" s="43"/>
      <c r="P71" s="43"/>
      <c r="Q71" s="43"/>
      <c r="R71" s="43"/>
    </row>
    <row r="72">
      <c r="A72" s="32"/>
      <c r="B72" s="34"/>
      <c r="C72" s="34"/>
      <c r="D72" s="34"/>
      <c r="E72" s="34"/>
      <c r="F72" s="34"/>
      <c r="G72" s="34"/>
      <c r="H72" s="60"/>
      <c r="I72" s="60"/>
      <c r="J72" s="43"/>
      <c r="K72" s="43"/>
      <c r="L72" s="43"/>
      <c r="M72" s="43"/>
      <c r="N72" s="43"/>
      <c r="O72" s="43"/>
      <c r="P72" s="43"/>
      <c r="Q72" s="43"/>
      <c r="R72" s="43"/>
    </row>
    <row r="73">
      <c r="A73" s="32"/>
      <c r="B73" s="34"/>
      <c r="C73" s="34"/>
      <c r="D73" s="34"/>
      <c r="E73" s="34"/>
      <c r="F73" s="34"/>
      <c r="G73" s="34"/>
      <c r="H73" s="60"/>
      <c r="I73" s="60"/>
      <c r="J73" s="43"/>
      <c r="K73" s="43"/>
      <c r="L73" s="43"/>
      <c r="M73" s="43"/>
      <c r="N73" s="43"/>
      <c r="O73" s="43"/>
      <c r="P73" s="43"/>
      <c r="Q73" s="43"/>
      <c r="R73" s="43"/>
    </row>
    <row r="74">
      <c r="A74" s="32"/>
      <c r="B74" s="34"/>
      <c r="C74" s="34"/>
      <c r="D74" s="34"/>
      <c r="E74" s="34"/>
      <c r="F74" s="34"/>
      <c r="G74" s="34"/>
      <c r="H74" s="60"/>
      <c r="I74" s="60"/>
      <c r="J74" s="43"/>
      <c r="K74" s="43"/>
      <c r="L74" s="43"/>
      <c r="M74" s="43"/>
      <c r="N74" s="43"/>
      <c r="O74" s="43"/>
      <c r="P74" s="43"/>
      <c r="Q74" s="43"/>
      <c r="R74" s="43"/>
    </row>
    <row r="75">
      <c r="A75" s="32"/>
      <c r="B75" s="34"/>
      <c r="C75" s="34"/>
      <c r="D75" s="34"/>
      <c r="E75" s="34"/>
      <c r="F75" s="34"/>
      <c r="G75" s="34"/>
      <c r="H75" s="60"/>
      <c r="I75" s="60"/>
      <c r="J75" s="43"/>
      <c r="K75" s="43"/>
      <c r="L75" s="43"/>
      <c r="M75" s="43"/>
      <c r="N75" s="43"/>
      <c r="O75" s="43"/>
      <c r="P75" s="43"/>
      <c r="Q75" s="43"/>
      <c r="R75" s="43"/>
    </row>
    <row r="76">
      <c r="A76" s="32"/>
      <c r="B76" s="34"/>
      <c r="C76" s="34"/>
      <c r="D76" s="34"/>
      <c r="E76" s="34"/>
      <c r="F76" s="34"/>
      <c r="G76" s="34"/>
      <c r="H76" s="60"/>
      <c r="I76" s="60"/>
      <c r="J76" s="43"/>
      <c r="K76" s="43"/>
      <c r="L76" s="43"/>
      <c r="M76" s="43"/>
      <c r="N76" s="43"/>
      <c r="O76" s="43"/>
      <c r="P76" s="43"/>
      <c r="Q76" s="43"/>
      <c r="R76" s="43"/>
    </row>
    <row r="77">
      <c r="A77" s="32"/>
      <c r="B77" s="34"/>
      <c r="C77" s="34"/>
      <c r="D77" s="34"/>
      <c r="E77" s="34"/>
      <c r="F77" s="34"/>
      <c r="G77" s="34"/>
      <c r="H77" s="60"/>
      <c r="I77" s="60"/>
      <c r="J77" s="43"/>
      <c r="K77" s="43"/>
      <c r="L77" s="43"/>
      <c r="M77" s="43"/>
      <c r="N77" s="43"/>
      <c r="O77" s="43"/>
      <c r="P77" s="43"/>
      <c r="Q77" s="43"/>
      <c r="R77" s="43"/>
    </row>
    <row r="78">
      <c r="A78" s="32"/>
      <c r="B78" s="34"/>
      <c r="C78" s="34"/>
      <c r="D78" s="34"/>
      <c r="E78" s="34"/>
      <c r="F78" s="34"/>
      <c r="G78" s="34"/>
      <c r="H78" s="60"/>
      <c r="I78" s="60"/>
      <c r="J78" s="43"/>
      <c r="K78" s="43"/>
      <c r="L78" s="43"/>
      <c r="M78" s="43"/>
      <c r="N78" s="43"/>
      <c r="O78" s="43"/>
      <c r="P78" s="43"/>
      <c r="Q78" s="43"/>
      <c r="R78" s="43"/>
    </row>
    <row r="79">
      <c r="A79" s="32"/>
      <c r="B79" s="34"/>
      <c r="C79" s="34"/>
      <c r="D79" s="34"/>
      <c r="E79" s="34"/>
      <c r="F79" s="34"/>
      <c r="G79" s="34"/>
      <c r="H79" s="60"/>
      <c r="I79" s="60"/>
      <c r="J79" s="43"/>
      <c r="K79" s="43"/>
      <c r="L79" s="43"/>
      <c r="M79" s="43"/>
      <c r="N79" s="43"/>
      <c r="O79" s="43"/>
      <c r="P79" s="43"/>
      <c r="Q79" s="43"/>
      <c r="R79" s="43"/>
    </row>
    <row r="80">
      <c r="A80" s="32"/>
      <c r="B80" s="34"/>
      <c r="C80" s="34"/>
      <c r="D80" s="34"/>
      <c r="E80" s="34"/>
      <c r="F80" s="34"/>
      <c r="G80" s="34"/>
      <c r="H80" s="60"/>
      <c r="I80" s="60"/>
      <c r="J80" s="43"/>
      <c r="K80" s="43"/>
      <c r="L80" s="43"/>
      <c r="M80" s="43"/>
      <c r="N80" s="43"/>
      <c r="O80" s="43"/>
      <c r="P80" s="43"/>
      <c r="Q80" s="43"/>
      <c r="R80" s="43"/>
    </row>
    <row r="81">
      <c r="A81" s="32"/>
      <c r="B81" s="34"/>
      <c r="C81" s="34"/>
      <c r="D81" s="34"/>
      <c r="E81" s="34"/>
      <c r="F81" s="34"/>
      <c r="G81" s="34"/>
      <c r="H81" s="60"/>
      <c r="I81" s="60"/>
      <c r="J81" s="43"/>
      <c r="K81" s="43"/>
      <c r="L81" s="43"/>
      <c r="M81" s="43"/>
      <c r="N81" s="43"/>
      <c r="O81" s="43"/>
      <c r="P81" s="43"/>
      <c r="Q81" s="43"/>
      <c r="R81" s="43"/>
    </row>
    <row r="82">
      <c r="A82" s="32"/>
      <c r="B82" s="34"/>
      <c r="C82" s="34"/>
      <c r="D82" s="34"/>
      <c r="E82" s="34"/>
      <c r="F82" s="34"/>
      <c r="G82" s="34"/>
      <c r="H82" s="60"/>
      <c r="I82" s="60"/>
      <c r="J82" s="43"/>
      <c r="K82" s="43"/>
      <c r="L82" s="43"/>
      <c r="M82" s="43"/>
      <c r="N82" s="43"/>
      <c r="O82" s="43"/>
      <c r="P82" s="43"/>
      <c r="Q82" s="43"/>
      <c r="R82" s="43"/>
    </row>
    <row r="83">
      <c r="A83" s="32"/>
      <c r="B83" s="34"/>
      <c r="C83" s="34"/>
      <c r="D83" s="34"/>
      <c r="E83" s="34"/>
      <c r="F83" s="34"/>
      <c r="G83" s="34"/>
      <c r="H83" s="60"/>
      <c r="I83" s="60"/>
      <c r="J83" s="43"/>
      <c r="K83" s="43"/>
      <c r="L83" s="43"/>
      <c r="M83" s="43"/>
      <c r="N83" s="43"/>
      <c r="O83" s="43"/>
      <c r="P83" s="43"/>
      <c r="Q83" s="43"/>
      <c r="R83" s="43"/>
    </row>
    <row r="84">
      <c r="A84" s="32"/>
      <c r="B84" s="34"/>
      <c r="C84" s="34"/>
      <c r="D84" s="34"/>
      <c r="E84" s="34"/>
      <c r="F84" s="34"/>
      <c r="G84" s="34"/>
      <c r="H84" s="60"/>
      <c r="I84" s="60"/>
      <c r="J84" s="43"/>
      <c r="K84" s="43"/>
      <c r="L84" s="43"/>
      <c r="M84" s="43"/>
      <c r="N84" s="43"/>
      <c r="O84" s="43"/>
      <c r="P84" s="43"/>
      <c r="Q84" s="43"/>
      <c r="R84" s="43"/>
    </row>
    <row r="85">
      <c r="A85" s="32"/>
      <c r="B85" s="34"/>
      <c r="C85" s="34"/>
      <c r="D85" s="34"/>
      <c r="E85" s="34"/>
      <c r="F85" s="34"/>
      <c r="G85" s="34"/>
      <c r="H85" s="60"/>
      <c r="I85" s="60"/>
      <c r="J85" s="43"/>
      <c r="K85" s="43"/>
      <c r="L85" s="43"/>
      <c r="M85" s="43"/>
      <c r="N85" s="43"/>
      <c r="O85" s="43"/>
      <c r="P85" s="43"/>
      <c r="Q85" s="43"/>
      <c r="R85" s="43"/>
    </row>
    <row r="86">
      <c r="A86" s="32"/>
      <c r="B86" s="34"/>
      <c r="C86" s="34"/>
      <c r="D86" s="34"/>
      <c r="E86" s="34"/>
      <c r="F86" s="34"/>
      <c r="G86" s="34"/>
      <c r="H86" s="60"/>
      <c r="I86" s="60"/>
      <c r="J86" s="43"/>
      <c r="K86" s="43"/>
      <c r="L86" s="43"/>
      <c r="M86" s="43"/>
      <c r="N86" s="43"/>
      <c r="O86" s="43"/>
      <c r="P86" s="43"/>
      <c r="Q86" s="43"/>
      <c r="R86" s="43"/>
    </row>
    <row r="87">
      <c r="A87" s="32"/>
      <c r="B87" s="34"/>
      <c r="C87" s="34"/>
      <c r="D87" s="34"/>
      <c r="E87" s="34"/>
      <c r="F87" s="34"/>
      <c r="G87" s="34"/>
      <c r="H87" s="60"/>
      <c r="I87" s="60"/>
      <c r="J87" s="43"/>
      <c r="K87" s="43"/>
      <c r="L87" s="43"/>
      <c r="M87" s="43"/>
      <c r="N87" s="43"/>
      <c r="O87" s="43"/>
      <c r="P87" s="43"/>
      <c r="Q87" s="43"/>
      <c r="R87" s="43"/>
    </row>
    <row r="88">
      <c r="A88" s="32"/>
      <c r="B88" s="34"/>
      <c r="C88" s="34"/>
      <c r="D88" s="34"/>
      <c r="E88" s="34"/>
      <c r="F88" s="34"/>
      <c r="G88" s="34"/>
      <c r="H88" s="60"/>
      <c r="I88" s="60"/>
      <c r="J88" s="43"/>
      <c r="K88" s="43"/>
      <c r="L88" s="43"/>
      <c r="M88" s="43"/>
      <c r="N88" s="43"/>
      <c r="O88" s="43"/>
      <c r="P88" s="43"/>
      <c r="Q88" s="43"/>
      <c r="R88" s="43"/>
    </row>
    <row r="89">
      <c r="A89" s="32"/>
      <c r="B89" s="34"/>
      <c r="C89" s="34"/>
      <c r="D89" s="34"/>
      <c r="E89" s="34"/>
      <c r="F89" s="34"/>
      <c r="G89" s="34"/>
      <c r="H89" s="60"/>
      <c r="I89" s="60"/>
      <c r="J89" s="43"/>
      <c r="K89" s="43"/>
      <c r="L89" s="43"/>
      <c r="M89" s="43"/>
      <c r="N89" s="43"/>
      <c r="O89" s="43"/>
      <c r="P89" s="43"/>
      <c r="Q89" s="43"/>
      <c r="R89" s="43"/>
    </row>
    <row r="90">
      <c r="A90" s="32"/>
      <c r="B90" s="34"/>
      <c r="C90" s="34"/>
      <c r="D90" s="34"/>
      <c r="E90" s="34"/>
      <c r="F90" s="34"/>
      <c r="G90" s="34"/>
      <c r="H90" s="60"/>
      <c r="I90" s="60"/>
      <c r="J90" s="43"/>
      <c r="K90" s="43"/>
      <c r="L90" s="43"/>
      <c r="M90" s="43"/>
      <c r="N90" s="43"/>
      <c r="O90" s="43"/>
      <c r="P90" s="43"/>
      <c r="Q90" s="43"/>
      <c r="R90" s="43"/>
    </row>
    <row r="91">
      <c r="A91" s="32"/>
      <c r="B91" s="34"/>
      <c r="C91" s="34"/>
      <c r="D91" s="34"/>
      <c r="E91" s="34"/>
      <c r="F91" s="34"/>
      <c r="G91" s="34"/>
      <c r="H91" s="60"/>
      <c r="I91" s="60"/>
      <c r="J91" s="43"/>
      <c r="K91" s="43"/>
      <c r="L91" s="43"/>
      <c r="M91" s="43"/>
      <c r="N91" s="43"/>
      <c r="O91" s="43"/>
      <c r="P91" s="43"/>
      <c r="Q91" s="43"/>
      <c r="R91" s="43"/>
    </row>
    <row r="92">
      <c r="A92" s="32"/>
      <c r="B92" s="34"/>
      <c r="C92" s="34"/>
      <c r="D92" s="34"/>
      <c r="E92" s="34"/>
      <c r="F92" s="34"/>
      <c r="G92" s="34"/>
      <c r="H92" s="60"/>
      <c r="I92" s="60"/>
      <c r="J92" s="43"/>
      <c r="K92" s="43"/>
      <c r="L92" s="43"/>
      <c r="M92" s="43"/>
      <c r="N92" s="43"/>
      <c r="O92" s="43"/>
      <c r="P92" s="43"/>
      <c r="Q92" s="43"/>
      <c r="R92" s="43"/>
    </row>
    <row r="93">
      <c r="A93" s="32"/>
      <c r="B93" s="34"/>
      <c r="C93" s="34"/>
      <c r="D93" s="34"/>
      <c r="E93" s="34"/>
      <c r="F93" s="34"/>
      <c r="G93" s="34"/>
      <c r="H93" s="60"/>
      <c r="I93" s="60"/>
      <c r="J93" s="43"/>
      <c r="K93" s="43"/>
      <c r="L93" s="43"/>
      <c r="M93" s="43"/>
      <c r="N93" s="43"/>
      <c r="O93" s="43"/>
      <c r="P93" s="43"/>
      <c r="Q93" s="43"/>
      <c r="R93" s="43"/>
    </row>
    <row r="94">
      <c r="A94" s="32"/>
      <c r="B94" s="34"/>
      <c r="C94" s="34"/>
      <c r="D94" s="34"/>
      <c r="E94" s="34"/>
      <c r="F94" s="34"/>
      <c r="G94" s="34"/>
      <c r="H94" s="60"/>
      <c r="I94" s="60"/>
      <c r="J94" s="43"/>
      <c r="K94" s="43"/>
      <c r="L94" s="43"/>
      <c r="M94" s="43"/>
      <c r="N94" s="43"/>
      <c r="O94" s="43"/>
      <c r="P94" s="43"/>
      <c r="Q94" s="43"/>
      <c r="R94" s="43"/>
    </row>
    <row r="95">
      <c r="A95" s="32"/>
      <c r="B95" s="34"/>
      <c r="C95" s="34"/>
      <c r="D95" s="34"/>
      <c r="E95" s="34"/>
      <c r="F95" s="34"/>
      <c r="G95" s="34"/>
      <c r="H95" s="60"/>
      <c r="I95" s="60"/>
      <c r="J95" s="43"/>
      <c r="K95" s="43"/>
      <c r="L95" s="43"/>
      <c r="M95" s="43"/>
      <c r="N95" s="43"/>
      <c r="O95" s="43"/>
      <c r="P95" s="43"/>
      <c r="Q95" s="43"/>
      <c r="R95" s="43"/>
    </row>
    <row r="96">
      <c r="A96" s="32"/>
      <c r="B96" s="34"/>
      <c r="C96" s="34"/>
      <c r="D96" s="34"/>
      <c r="E96" s="34"/>
      <c r="F96" s="34"/>
      <c r="G96" s="34"/>
      <c r="H96" s="60"/>
      <c r="I96" s="60"/>
      <c r="J96" s="43"/>
      <c r="K96" s="43"/>
      <c r="L96" s="43"/>
      <c r="M96" s="43"/>
      <c r="N96" s="43"/>
      <c r="O96" s="43"/>
      <c r="P96" s="43"/>
      <c r="Q96" s="43"/>
      <c r="R96" s="43"/>
    </row>
    <row r="97">
      <c r="A97" s="32"/>
      <c r="B97" s="34"/>
      <c r="C97" s="34"/>
      <c r="D97" s="34"/>
      <c r="E97" s="34"/>
      <c r="F97" s="34"/>
      <c r="G97" s="34"/>
      <c r="H97" s="60"/>
      <c r="I97" s="60"/>
      <c r="J97" s="43"/>
      <c r="K97" s="43"/>
      <c r="L97" s="43"/>
      <c r="M97" s="43"/>
      <c r="N97" s="43"/>
      <c r="O97" s="43"/>
      <c r="P97" s="43"/>
      <c r="Q97" s="43"/>
      <c r="R97" s="43"/>
    </row>
    <row r="98">
      <c r="A98" s="32"/>
      <c r="B98" s="34"/>
      <c r="C98" s="34"/>
      <c r="D98" s="34"/>
      <c r="E98" s="34"/>
      <c r="F98" s="34"/>
      <c r="G98" s="34"/>
      <c r="H98" s="60"/>
      <c r="I98" s="60"/>
      <c r="J98" s="43"/>
      <c r="K98" s="43"/>
      <c r="L98" s="43"/>
      <c r="M98" s="43"/>
      <c r="N98" s="43"/>
      <c r="O98" s="43"/>
      <c r="P98" s="43"/>
      <c r="Q98" s="43"/>
      <c r="R98" s="43"/>
    </row>
    <row r="99">
      <c r="A99" s="32"/>
      <c r="B99" s="34"/>
      <c r="C99" s="34"/>
      <c r="D99" s="34"/>
      <c r="E99" s="34"/>
      <c r="F99" s="34"/>
      <c r="G99" s="34"/>
      <c r="H99" s="60"/>
      <c r="I99" s="60"/>
      <c r="J99" s="43"/>
      <c r="K99" s="43"/>
      <c r="L99" s="43"/>
      <c r="M99" s="43"/>
      <c r="N99" s="43"/>
      <c r="O99" s="43"/>
      <c r="P99" s="43"/>
      <c r="Q99" s="43"/>
      <c r="R99" s="43"/>
    </row>
    <row r="100">
      <c r="A100" s="32"/>
      <c r="B100" s="34"/>
      <c r="C100" s="34"/>
      <c r="D100" s="34"/>
      <c r="E100" s="34"/>
      <c r="F100" s="34"/>
      <c r="G100" s="34"/>
      <c r="H100" s="60"/>
      <c r="I100" s="60"/>
      <c r="J100" s="43"/>
      <c r="K100" s="43"/>
      <c r="L100" s="43"/>
      <c r="M100" s="43"/>
      <c r="N100" s="43"/>
      <c r="O100" s="43"/>
      <c r="P100" s="43"/>
      <c r="Q100" s="43"/>
      <c r="R100" s="43"/>
    </row>
    <row r="101">
      <c r="A101" s="32"/>
      <c r="B101" s="34"/>
      <c r="C101" s="34"/>
      <c r="D101" s="34"/>
      <c r="E101" s="34"/>
      <c r="F101" s="34"/>
      <c r="G101" s="34"/>
      <c r="H101" s="60"/>
      <c r="I101" s="60"/>
      <c r="J101" s="43"/>
      <c r="K101" s="43"/>
      <c r="L101" s="43"/>
      <c r="M101" s="43"/>
      <c r="N101" s="43"/>
      <c r="O101" s="43"/>
      <c r="P101" s="43"/>
      <c r="Q101" s="43"/>
      <c r="R101" s="43"/>
    </row>
    <row r="102">
      <c r="A102" s="32"/>
      <c r="B102" s="34"/>
      <c r="C102" s="34"/>
      <c r="D102" s="34"/>
      <c r="E102" s="34"/>
      <c r="F102" s="34"/>
      <c r="G102" s="34"/>
      <c r="H102" s="60"/>
      <c r="I102" s="60"/>
      <c r="J102" s="43"/>
      <c r="K102" s="43"/>
      <c r="L102" s="43"/>
      <c r="M102" s="43"/>
      <c r="N102" s="43"/>
      <c r="O102" s="43"/>
      <c r="P102" s="43"/>
      <c r="Q102" s="43"/>
      <c r="R102" s="43"/>
    </row>
    <row r="103">
      <c r="A103" s="32"/>
      <c r="B103" s="34"/>
      <c r="C103" s="34"/>
      <c r="D103" s="34"/>
      <c r="E103" s="34"/>
      <c r="F103" s="34"/>
      <c r="G103" s="34"/>
      <c r="H103" s="60"/>
      <c r="I103" s="60"/>
      <c r="J103" s="43"/>
      <c r="K103" s="43"/>
      <c r="L103" s="43"/>
      <c r="M103" s="43"/>
      <c r="N103" s="43"/>
      <c r="O103" s="43"/>
      <c r="P103" s="43"/>
      <c r="Q103" s="43"/>
      <c r="R103" s="43"/>
    </row>
    <row r="104">
      <c r="A104" s="32"/>
      <c r="B104" s="34"/>
      <c r="C104" s="34"/>
      <c r="D104" s="34"/>
      <c r="E104" s="34"/>
      <c r="F104" s="34"/>
      <c r="G104" s="34"/>
      <c r="H104" s="60"/>
      <c r="I104" s="60"/>
      <c r="J104" s="43"/>
      <c r="K104" s="43"/>
      <c r="L104" s="43"/>
      <c r="M104" s="43"/>
      <c r="N104" s="43"/>
      <c r="O104" s="43"/>
      <c r="P104" s="43"/>
      <c r="Q104" s="43"/>
      <c r="R104" s="43"/>
    </row>
    <row r="105">
      <c r="A105" s="32"/>
      <c r="B105" s="34"/>
      <c r="C105" s="34"/>
      <c r="D105" s="34"/>
      <c r="E105" s="34"/>
      <c r="F105" s="34"/>
      <c r="G105" s="34"/>
      <c r="H105" s="60"/>
      <c r="I105" s="60"/>
      <c r="J105" s="43"/>
      <c r="K105" s="43"/>
      <c r="L105" s="43"/>
      <c r="M105" s="43"/>
      <c r="N105" s="43"/>
      <c r="O105" s="43"/>
      <c r="P105" s="43"/>
      <c r="Q105" s="43"/>
      <c r="R105" s="43"/>
    </row>
    <row r="106">
      <c r="A106" s="32"/>
      <c r="B106" s="34"/>
      <c r="C106" s="34"/>
      <c r="D106" s="34"/>
      <c r="E106" s="34"/>
      <c r="F106" s="34"/>
      <c r="G106" s="34"/>
      <c r="H106" s="60"/>
      <c r="I106" s="60"/>
      <c r="J106" s="43"/>
      <c r="K106" s="43"/>
      <c r="L106" s="43"/>
      <c r="M106" s="43"/>
      <c r="N106" s="43"/>
      <c r="O106" s="43"/>
      <c r="P106" s="43"/>
      <c r="Q106" s="43"/>
      <c r="R106" s="43"/>
    </row>
    <row r="107">
      <c r="A107" s="32"/>
      <c r="B107" s="34"/>
      <c r="C107" s="34"/>
      <c r="D107" s="34"/>
      <c r="E107" s="34"/>
      <c r="F107" s="34"/>
      <c r="G107" s="34"/>
      <c r="H107" s="60"/>
      <c r="I107" s="60"/>
      <c r="J107" s="43"/>
      <c r="K107" s="43"/>
      <c r="L107" s="43"/>
      <c r="M107" s="43"/>
      <c r="N107" s="43"/>
      <c r="O107" s="43"/>
      <c r="P107" s="43"/>
      <c r="Q107" s="43"/>
      <c r="R107" s="43"/>
    </row>
    <row r="108">
      <c r="A108" s="32"/>
      <c r="B108" s="34"/>
      <c r="C108" s="34"/>
      <c r="D108" s="34"/>
      <c r="E108" s="34"/>
      <c r="F108" s="34"/>
      <c r="G108" s="34"/>
      <c r="H108" s="60"/>
      <c r="I108" s="60"/>
      <c r="J108" s="43"/>
      <c r="K108" s="43"/>
      <c r="L108" s="43"/>
      <c r="M108" s="43"/>
      <c r="N108" s="43"/>
      <c r="O108" s="43"/>
      <c r="P108" s="43"/>
      <c r="Q108" s="43"/>
      <c r="R108" s="43"/>
    </row>
    <row r="109">
      <c r="A109" s="32"/>
      <c r="B109" s="34"/>
      <c r="C109" s="34"/>
      <c r="D109" s="34"/>
      <c r="E109" s="34"/>
      <c r="F109" s="34"/>
      <c r="G109" s="34"/>
      <c r="H109" s="60"/>
      <c r="I109" s="60"/>
      <c r="J109" s="43"/>
      <c r="K109" s="43"/>
      <c r="L109" s="43"/>
      <c r="M109" s="43"/>
      <c r="N109" s="43"/>
      <c r="O109" s="43"/>
      <c r="P109" s="43"/>
      <c r="Q109" s="43"/>
      <c r="R109" s="43"/>
    </row>
    <row r="110">
      <c r="A110" s="32"/>
      <c r="B110" s="34"/>
      <c r="C110" s="34"/>
      <c r="D110" s="34"/>
      <c r="E110" s="34"/>
      <c r="F110" s="34"/>
      <c r="G110" s="34"/>
      <c r="H110" s="60"/>
      <c r="I110" s="60"/>
      <c r="J110" s="43"/>
      <c r="K110" s="43"/>
      <c r="L110" s="43"/>
      <c r="M110" s="43"/>
      <c r="N110" s="43"/>
      <c r="O110" s="43"/>
      <c r="P110" s="43"/>
      <c r="Q110" s="43"/>
      <c r="R110" s="43"/>
    </row>
    <row r="111">
      <c r="A111" s="32"/>
      <c r="B111" s="34"/>
      <c r="C111" s="34"/>
      <c r="D111" s="34"/>
      <c r="E111" s="34"/>
      <c r="F111" s="34"/>
      <c r="G111" s="34"/>
      <c r="H111" s="60"/>
      <c r="I111" s="60"/>
      <c r="J111" s="43"/>
      <c r="K111" s="43"/>
      <c r="L111" s="43"/>
      <c r="M111" s="43"/>
      <c r="N111" s="43"/>
      <c r="O111" s="43"/>
      <c r="P111" s="43"/>
      <c r="Q111" s="43"/>
      <c r="R111" s="43"/>
    </row>
    <row r="112">
      <c r="A112" s="32"/>
      <c r="B112" s="34"/>
      <c r="C112" s="34"/>
      <c r="D112" s="34"/>
      <c r="E112" s="34"/>
      <c r="F112" s="34"/>
      <c r="G112" s="34"/>
      <c r="H112" s="60"/>
      <c r="I112" s="60"/>
      <c r="J112" s="43"/>
      <c r="K112" s="43"/>
      <c r="L112" s="43"/>
      <c r="M112" s="43"/>
      <c r="N112" s="43"/>
      <c r="O112" s="43"/>
      <c r="P112" s="43"/>
      <c r="Q112" s="43"/>
      <c r="R112" s="43"/>
    </row>
    <row r="113">
      <c r="A113" s="32"/>
      <c r="B113" s="34"/>
      <c r="C113" s="34"/>
      <c r="D113" s="34"/>
      <c r="E113" s="34"/>
      <c r="F113" s="34"/>
      <c r="G113" s="34"/>
      <c r="H113" s="60"/>
      <c r="I113" s="60"/>
      <c r="J113" s="43"/>
      <c r="K113" s="43"/>
      <c r="L113" s="43"/>
      <c r="M113" s="43"/>
      <c r="N113" s="43"/>
      <c r="O113" s="43"/>
      <c r="P113" s="43"/>
      <c r="Q113" s="43"/>
      <c r="R113" s="43"/>
    </row>
    <row r="114">
      <c r="A114" s="32"/>
      <c r="B114" s="34"/>
      <c r="C114" s="34"/>
      <c r="D114" s="34"/>
      <c r="E114" s="34"/>
      <c r="F114" s="34"/>
      <c r="G114" s="34"/>
      <c r="H114" s="60"/>
      <c r="I114" s="60"/>
      <c r="J114" s="43"/>
      <c r="K114" s="43"/>
      <c r="L114" s="43"/>
      <c r="M114" s="43"/>
      <c r="N114" s="43"/>
      <c r="O114" s="43"/>
      <c r="P114" s="43"/>
      <c r="Q114" s="43"/>
      <c r="R114" s="43"/>
    </row>
    <row r="115">
      <c r="A115" s="32"/>
      <c r="B115" s="34"/>
      <c r="C115" s="34"/>
      <c r="D115" s="34"/>
      <c r="E115" s="34"/>
      <c r="F115" s="34"/>
      <c r="G115" s="34"/>
      <c r="H115" s="60"/>
      <c r="I115" s="60"/>
      <c r="J115" s="43"/>
      <c r="K115" s="43"/>
      <c r="L115" s="43"/>
      <c r="M115" s="43"/>
      <c r="N115" s="43"/>
      <c r="O115" s="43"/>
      <c r="P115" s="43"/>
      <c r="Q115" s="43"/>
      <c r="R115" s="43"/>
    </row>
    <row r="116">
      <c r="A116" s="32"/>
      <c r="B116" s="34"/>
      <c r="C116" s="34"/>
      <c r="D116" s="34"/>
      <c r="E116" s="34"/>
      <c r="F116" s="34"/>
      <c r="G116" s="34"/>
      <c r="H116" s="60"/>
      <c r="I116" s="60"/>
      <c r="J116" s="43"/>
      <c r="K116" s="43"/>
      <c r="L116" s="43"/>
      <c r="M116" s="43"/>
      <c r="N116" s="43"/>
      <c r="O116" s="43"/>
      <c r="P116" s="43"/>
      <c r="Q116" s="43"/>
      <c r="R116" s="43"/>
    </row>
    <row r="117">
      <c r="A117" s="32"/>
      <c r="B117" s="34"/>
      <c r="C117" s="34"/>
      <c r="D117" s="34"/>
      <c r="E117" s="34"/>
      <c r="F117" s="34"/>
      <c r="G117" s="34"/>
      <c r="H117" s="60"/>
      <c r="I117" s="60"/>
      <c r="J117" s="43"/>
      <c r="K117" s="43"/>
      <c r="L117" s="43"/>
      <c r="M117" s="43"/>
      <c r="N117" s="43"/>
      <c r="O117" s="43"/>
      <c r="P117" s="43"/>
      <c r="Q117" s="43"/>
      <c r="R117" s="43"/>
    </row>
    <row r="118">
      <c r="A118" s="32"/>
      <c r="B118" s="34"/>
      <c r="C118" s="34"/>
      <c r="D118" s="34"/>
      <c r="E118" s="34"/>
      <c r="F118" s="34"/>
      <c r="G118" s="34"/>
      <c r="H118" s="60"/>
      <c r="I118" s="60"/>
      <c r="J118" s="43"/>
      <c r="K118" s="43"/>
      <c r="L118" s="43"/>
      <c r="M118" s="43"/>
      <c r="N118" s="43"/>
      <c r="O118" s="43"/>
      <c r="P118" s="43"/>
      <c r="Q118" s="43"/>
      <c r="R118" s="43"/>
    </row>
    <row r="119">
      <c r="A119" s="32"/>
      <c r="B119" s="34"/>
      <c r="C119" s="34"/>
      <c r="D119" s="34"/>
      <c r="E119" s="34"/>
      <c r="F119" s="34"/>
      <c r="G119" s="34"/>
      <c r="H119" s="60"/>
      <c r="I119" s="60"/>
      <c r="J119" s="43"/>
      <c r="K119" s="43"/>
      <c r="L119" s="43"/>
      <c r="M119" s="43"/>
      <c r="N119" s="43"/>
      <c r="O119" s="43"/>
      <c r="P119" s="43"/>
      <c r="Q119" s="43"/>
      <c r="R119" s="43"/>
    </row>
    <row r="120">
      <c r="A120" s="32"/>
      <c r="B120" s="34"/>
      <c r="C120" s="34"/>
      <c r="D120" s="34"/>
      <c r="E120" s="34"/>
      <c r="F120" s="34"/>
      <c r="G120" s="34"/>
      <c r="H120" s="60"/>
      <c r="I120" s="60"/>
      <c r="J120" s="43"/>
      <c r="K120" s="43"/>
      <c r="L120" s="43"/>
      <c r="M120" s="43"/>
      <c r="N120" s="43"/>
      <c r="O120" s="43"/>
      <c r="P120" s="43"/>
      <c r="Q120" s="43"/>
      <c r="R120" s="43"/>
    </row>
    <row r="121">
      <c r="A121" s="32"/>
      <c r="B121" s="34"/>
      <c r="C121" s="34"/>
      <c r="D121" s="34"/>
      <c r="E121" s="34"/>
      <c r="F121" s="34"/>
      <c r="G121" s="34"/>
      <c r="H121" s="60"/>
      <c r="I121" s="60"/>
      <c r="J121" s="43"/>
      <c r="K121" s="43"/>
      <c r="L121" s="43"/>
      <c r="M121" s="43"/>
      <c r="N121" s="43"/>
      <c r="O121" s="43"/>
      <c r="P121" s="43"/>
      <c r="Q121" s="43"/>
      <c r="R121" s="43"/>
    </row>
    <row r="122">
      <c r="A122" s="32"/>
      <c r="B122" s="34"/>
      <c r="C122" s="34"/>
      <c r="D122" s="34"/>
      <c r="E122" s="34"/>
      <c r="F122" s="34"/>
      <c r="G122" s="34"/>
      <c r="H122" s="60"/>
      <c r="I122" s="60"/>
      <c r="J122" s="43"/>
      <c r="K122" s="43"/>
      <c r="L122" s="43"/>
      <c r="M122" s="43"/>
      <c r="N122" s="43"/>
      <c r="O122" s="43"/>
      <c r="P122" s="43"/>
      <c r="Q122" s="43"/>
      <c r="R122" s="43"/>
    </row>
    <row r="123">
      <c r="A123" s="32"/>
      <c r="B123" s="34"/>
      <c r="C123" s="34"/>
      <c r="D123" s="34"/>
      <c r="E123" s="34"/>
      <c r="F123" s="34"/>
      <c r="G123" s="34"/>
      <c r="H123" s="60"/>
      <c r="I123" s="60"/>
      <c r="J123" s="43"/>
      <c r="K123" s="43"/>
      <c r="L123" s="43"/>
      <c r="M123" s="43"/>
      <c r="N123" s="43"/>
      <c r="O123" s="43"/>
      <c r="P123" s="43"/>
      <c r="Q123" s="43"/>
      <c r="R123" s="43"/>
    </row>
    <row r="124">
      <c r="A124" s="32"/>
      <c r="B124" s="34"/>
      <c r="C124" s="34"/>
      <c r="D124" s="34"/>
      <c r="E124" s="34"/>
      <c r="F124" s="34"/>
      <c r="G124" s="34"/>
      <c r="H124" s="60"/>
      <c r="I124" s="60"/>
      <c r="J124" s="43"/>
      <c r="K124" s="43"/>
      <c r="L124" s="43"/>
      <c r="M124" s="43"/>
      <c r="N124" s="43"/>
      <c r="O124" s="43"/>
      <c r="P124" s="43"/>
      <c r="Q124" s="43"/>
      <c r="R124" s="43"/>
    </row>
    <row r="125">
      <c r="A125" s="32"/>
      <c r="B125" s="34"/>
      <c r="C125" s="34"/>
      <c r="D125" s="34"/>
      <c r="E125" s="34"/>
      <c r="F125" s="34"/>
      <c r="G125" s="34"/>
      <c r="H125" s="60"/>
      <c r="I125" s="60"/>
      <c r="J125" s="43"/>
      <c r="K125" s="43"/>
      <c r="L125" s="43"/>
      <c r="M125" s="43"/>
      <c r="N125" s="43"/>
      <c r="O125" s="43"/>
      <c r="P125" s="43"/>
      <c r="Q125" s="43"/>
      <c r="R125" s="43"/>
    </row>
    <row r="126">
      <c r="A126" s="32"/>
      <c r="B126" s="34"/>
      <c r="C126" s="34"/>
      <c r="D126" s="34"/>
      <c r="E126" s="34"/>
      <c r="F126" s="34"/>
      <c r="G126" s="34"/>
      <c r="H126" s="60"/>
      <c r="I126" s="60"/>
      <c r="J126" s="43"/>
      <c r="K126" s="43"/>
      <c r="L126" s="43"/>
      <c r="M126" s="43"/>
      <c r="N126" s="43"/>
      <c r="O126" s="43"/>
      <c r="P126" s="43"/>
      <c r="Q126" s="43"/>
      <c r="R126" s="43"/>
    </row>
    <row r="127">
      <c r="A127" s="32"/>
      <c r="B127" s="34"/>
      <c r="C127" s="34"/>
      <c r="D127" s="34"/>
      <c r="E127" s="34"/>
      <c r="F127" s="34"/>
      <c r="G127" s="34"/>
      <c r="H127" s="60"/>
      <c r="I127" s="60"/>
      <c r="J127" s="43"/>
      <c r="K127" s="43"/>
      <c r="L127" s="43"/>
      <c r="M127" s="43"/>
      <c r="N127" s="43"/>
      <c r="O127" s="43"/>
      <c r="P127" s="43"/>
      <c r="Q127" s="43"/>
      <c r="R127" s="43"/>
    </row>
    <row r="128">
      <c r="A128" s="32"/>
      <c r="B128" s="34"/>
      <c r="C128" s="34"/>
      <c r="D128" s="34"/>
      <c r="E128" s="34"/>
      <c r="F128" s="34"/>
      <c r="G128" s="34"/>
      <c r="H128" s="60"/>
      <c r="I128" s="60"/>
      <c r="J128" s="43"/>
      <c r="K128" s="43"/>
      <c r="L128" s="43"/>
      <c r="M128" s="43"/>
      <c r="N128" s="43"/>
      <c r="O128" s="43"/>
      <c r="P128" s="43"/>
      <c r="Q128" s="43"/>
      <c r="R128" s="43"/>
    </row>
    <row r="129">
      <c r="A129" s="32"/>
      <c r="B129" s="34"/>
      <c r="C129" s="34"/>
      <c r="D129" s="34"/>
      <c r="E129" s="34"/>
      <c r="F129" s="34"/>
      <c r="G129" s="34"/>
      <c r="H129" s="60"/>
      <c r="I129" s="60"/>
      <c r="J129" s="43"/>
      <c r="K129" s="43"/>
      <c r="L129" s="43"/>
      <c r="M129" s="43"/>
      <c r="N129" s="43"/>
      <c r="O129" s="43"/>
      <c r="P129" s="43"/>
      <c r="Q129" s="43"/>
      <c r="R129" s="43"/>
    </row>
    <row r="130">
      <c r="A130" s="32"/>
      <c r="B130" s="34"/>
      <c r="C130" s="34"/>
      <c r="D130" s="34"/>
      <c r="E130" s="34"/>
      <c r="F130" s="34"/>
      <c r="G130" s="34"/>
      <c r="H130" s="60"/>
      <c r="I130" s="60"/>
      <c r="J130" s="43"/>
      <c r="K130" s="43"/>
      <c r="L130" s="43"/>
      <c r="M130" s="43"/>
      <c r="N130" s="43"/>
      <c r="O130" s="43"/>
      <c r="P130" s="43"/>
      <c r="Q130" s="43"/>
      <c r="R130" s="43"/>
    </row>
    <row r="131">
      <c r="A131" s="32"/>
      <c r="B131" s="34"/>
      <c r="C131" s="34"/>
      <c r="D131" s="34"/>
      <c r="E131" s="34"/>
      <c r="F131" s="34"/>
      <c r="G131" s="34"/>
      <c r="H131" s="60"/>
      <c r="I131" s="60"/>
      <c r="J131" s="43"/>
      <c r="K131" s="43"/>
      <c r="L131" s="43"/>
      <c r="M131" s="43"/>
      <c r="N131" s="43"/>
      <c r="O131" s="43"/>
      <c r="P131" s="43"/>
      <c r="Q131" s="43"/>
      <c r="R131" s="43"/>
    </row>
    <row r="132">
      <c r="A132" s="32"/>
      <c r="B132" s="34"/>
      <c r="C132" s="34"/>
      <c r="D132" s="34"/>
      <c r="E132" s="34"/>
      <c r="F132" s="34"/>
      <c r="G132" s="34"/>
      <c r="H132" s="60"/>
      <c r="I132" s="60"/>
      <c r="J132" s="43"/>
      <c r="K132" s="43"/>
      <c r="L132" s="43"/>
      <c r="M132" s="43"/>
      <c r="N132" s="43"/>
      <c r="O132" s="43"/>
      <c r="P132" s="43"/>
      <c r="Q132" s="43"/>
      <c r="R132" s="43"/>
    </row>
    <row r="133">
      <c r="A133" s="32"/>
      <c r="B133" s="34"/>
      <c r="C133" s="34"/>
      <c r="D133" s="34"/>
      <c r="E133" s="34"/>
      <c r="F133" s="34"/>
      <c r="G133" s="34"/>
      <c r="H133" s="60"/>
      <c r="I133" s="60"/>
      <c r="J133" s="43"/>
      <c r="K133" s="43"/>
      <c r="L133" s="43"/>
      <c r="M133" s="43"/>
      <c r="N133" s="43"/>
      <c r="O133" s="43"/>
      <c r="P133" s="43"/>
      <c r="Q133" s="43"/>
      <c r="R133" s="43"/>
    </row>
    <row r="134">
      <c r="A134" s="32"/>
      <c r="B134" s="34"/>
      <c r="C134" s="34"/>
      <c r="D134" s="34"/>
      <c r="E134" s="34"/>
      <c r="F134" s="34"/>
      <c r="G134" s="34"/>
      <c r="H134" s="60"/>
      <c r="I134" s="60"/>
      <c r="J134" s="43"/>
      <c r="K134" s="43"/>
      <c r="L134" s="43"/>
      <c r="M134" s="43"/>
      <c r="N134" s="43"/>
      <c r="O134" s="43"/>
      <c r="P134" s="43"/>
      <c r="Q134" s="43"/>
      <c r="R134" s="43"/>
    </row>
    <row r="135">
      <c r="A135" s="32"/>
      <c r="B135" s="34"/>
      <c r="C135" s="34"/>
      <c r="D135" s="34"/>
      <c r="E135" s="34"/>
      <c r="F135" s="34"/>
      <c r="G135" s="34"/>
      <c r="H135" s="60"/>
      <c r="I135" s="60"/>
      <c r="J135" s="43"/>
      <c r="K135" s="43"/>
      <c r="L135" s="43"/>
      <c r="M135" s="43"/>
      <c r="N135" s="43"/>
      <c r="O135" s="43"/>
      <c r="P135" s="43"/>
      <c r="Q135" s="43"/>
      <c r="R135" s="43"/>
    </row>
    <row r="136">
      <c r="A136" s="32"/>
      <c r="B136" s="34"/>
      <c r="C136" s="34"/>
      <c r="D136" s="34"/>
      <c r="E136" s="34"/>
      <c r="F136" s="34"/>
      <c r="G136" s="34"/>
      <c r="H136" s="60"/>
      <c r="I136" s="60"/>
      <c r="J136" s="43"/>
      <c r="K136" s="43"/>
      <c r="L136" s="43"/>
      <c r="M136" s="43"/>
      <c r="N136" s="43"/>
      <c r="O136" s="43"/>
      <c r="P136" s="43"/>
      <c r="Q136" s="43"/>
      <c r="R136" s="43"/>
    </row>
    <row r="137">
      <c r="A137" s="32"/>
      <c r="B137" s="34"/>
      <c r="C137" s="34"/>
      <c r="D137" s="34"/>
      <c r="E137" s="34"/>
      <c r="F137" s="34"/>
      <c r="G137" s="34"/>
      <c r="H137" s="60"/>
      <c r="I137" s="60"/>
      <c r="J137" s="43"/>
      <c r="K137" s="43"/>
      <c r="L137" s="43"/>
      <c r="M137" s="43"/>
      <c r="N137" s="43"/>
      <c r="O137" s="43"/>
      <c r="P137" s="43"/>
      <c r="Q137" s="43"/>
      <c r="R137" s="43"/>
    </row>
    <row r="138">
      <c r="A138" s="32"/>
      <c r="B138" s="34"/>
      <c r="C138" s="34"/>
      <c r="D138" s="34"/>
      <c r="E138" s="34"/>
      <c r="F138" s="34"/>
      <c r="G138" s="34"/>
      <c r="H138" s="60"/>
      <c r="I138" s="60"/>
      <c r="J138" s="43"/>
      <c r="K138" s="43"/>
      <c r="L138" s="43"/>
      <c r="M138" s="43"/>
      <c r="N138" s="43"/>
      <c r="O138" s="43"/>
      <c r="P138" s="43"/>
      <c r="Q138" s="43"/>
      <c r="R138" s="43"/>
    </row>
    <row r="139">
      <c r="A139" s="32"/>
      <c r="B139" s="34"/>
      <c r="C139" s="34"/>
      <c r="D139" s="34"/>
      <c r="E139" s="34"/>
      <c r="F139" s="34"/>
      <c r="G139" s="34"/>
      <c r="H139" s="60"/>
      <c r="I139" s="60"/>
      <c r="J139" s="43"/>
      <c r="K139" s="43"/>
      <c r="L139" s="43"/>
      <c r="M139" s="43"/>
      <c r="N139" s="43"/>
      <c r="O139" s="43"/>
      <c r="P139" s="43"/>
      <c r="Q139" s="43"/>
      <c r="R139" s="43"/>
    </row>
    <row r="140">
      <c r="A140" s="32"/>
      <c r="B140" s="34"/>
      <c r="C140" s="34"/>
      <c r="D140" s="34"/>
      <c r="E140" s="34"/>
      <c r="F140" s="34"/>
      <c r="G140" s="34"/>
      <c r="H140" s="60"/>
      <c r="I140" s="60"/>
      <c r="J140" s="43"/>
      <c r="K140" s="43"/>
      <c r="L140" s="43"/>
      <c r="M140" s="43"/>
      <c r="N140" s="43"/>
      <c r="O140" s="43"/>
      <c r="P140" s="43"/>
      <c r="Q140" s="43"/>
      <c r="R140" s="43"/>
    </row>
    <row r="141">
      <c r="A141" s="32"/>
      <c r="B141" s="34"/>
      <c r="C141" s="34"/>
      <c r="D141" s="34"/>
      <c r="E141" s="34"/>
      <c r="F141" s="34"/>
      <c r="G141" s="34"/>
      <c r="H141" s="60"/>
      <c r="I141" s="60"/>
      <c r="J141" s="43"/>
      <c r="K141" s="43"/>
      <c r="L141" s="43"/>
      <c r="M141" s="43"/>
      <c r="N141" s="43"/>
      <c r="O141" s="43"/>
      <c r="P141" s="43"/>
      <c r="Q141" s="43"/>
      <c r="R141" s="43"/>
    </row>
    <row r="142">
      <c r="A142" s="32"/>
      <c r="B142" s="34"/>
      <c r="C142" s="34"/>
      <c r="D142" s="34"/>
      <c r="E142" s="34"/>
      <c r="F142" s="34"/>
      <c r="G142" s="34"/>
      <c r="H142" s="60"/>
      <c r="I142" s="60"/>
      <c r="J142" s="43"/>
      <c r="K142" s="43"/>
      <c r="L142" s="43"/>
      <c r="M142" s="43"/>
      <c r="N142" s="43"/>
      <c r="O142" s="43"/>
      <c r="P142" s="43"/>
      <c r="Q142" s="43"/>
      <c r="R142" s="43"/>
    </row>
    <row r="143">
      <c r="A143" s="32"/>
      <c r="B143" s="34"/>
      <c r="C143" s="34"/>
      <c r="D143" s="34"/>
      <c r="E143" s="34"/>
      <c r="F143" s="34"/>
      <c r="G143" s="34"/>
      <c r="H143" s="60"/>
      <c r="I143" s="60"/>
      <c r="J143" s="43"/>
      <c r="K143" s="43"/>
      <c r="L143" s="43"/>
      <c r="M143" s="43"/>
      <c r="N143" s="43"/>
      <c r="O143" s="43"/>
      <c r="P143" s="43"/>
      <c r="Q143" s="43"/>
      <c r="R143" s="43"/>
    </row>
    <row r="144">
      <c r="A144" s="32"/>
      <c r="B144" s="34"/>
      <c r="C144" s="34"/>
      <c r="D144" s="34"/>
      <c r="E144" s="34"/>
      <c r="F144" s="34"/>
      <c r="G144" s="34"/>
      <c r="H144" s="60"/>
      <c r="I144" s="60"/>
      <c r="J144" s="43"/>
      <c r="K144" s="43"/>
      <c r="L144" s="43"/>
      <c r="M144" s="43"/>
      <c r="N144" s="43"/>
      <c r="O144" s="43"/>
      <c r="P144" s="43"/>
      <c r="Q144" s="43"/>
      <c r="R144" s="43"/>
    </row>
    <row r="145">
      <c r="A145" s="32"/>
      <c r="B145" s="34"/>
      <c r="C145" s="34"/>
      <c r="D145" s="34"/>
      <c r="E145" s="34"/>
      <c r="F145" s="34"/>
      <c r="G145" s="34"/>
      <c r="H145" s="60"/>
      <c r="I145" s="60"/>
      <c r="J145" s="43"/>
      <c r="K145" s="43"/>
      <c r="L145" s="43"/>
      <c r="M145" s="43"/>
      <c r="N145" s="43"/>
      <c r="O145" s="43"/>
      <c r="P145" s="43"/>
      <c r="Q145" s="43"/>
      <c r="R145" s="43"/>
    </row>
    <row r="146">
      <c r="A146" s="32"/>
      <c r="B146" s="34"/>
      <c r="C146" s="34"/>
      <c r="D146" s="34"/>
      <c r="E146" s="34"/>
      <c r="F146" s="34"/>
      <c r="G146" s="34"/>
      <c r="H146" s="60"/>
      <c r="I146" s="60"/>
      <c r="J146" s="43"/>
      <c r="K146" s="43"/>
      <c r="L146" s="43"/>
      <c r="M146" s="43"/>
      <c r="N146" s="43"/>
      <c r="O146" s="43"/>
      <c r="P146" s="43"/>
      <c r="Q146" s="43"/>
      <c r="R146" s="43"/>
    </row>
    <row r="147">
      <c r="A147" s="32"/>
      <c r="B147" s="34"/>
      <c r="C147" s="34"/>
      <c r="D147" s="34"/>
      <c r="E147" s="34"/>
      <c r="F147" s="34"/>
      <c r="G147" s="34"/>
      <c r="H147" s="60"/>
      <c r="I147" s="60"/>
      <c r="J147" s="43"/>
      <c r="K147" s="43"/>
      <c r="L147" s="43"/>
      <c r="M147" s="43"/>
      <c r="N147" s="43"/>
      <c r="O147" s="43"/>
      <c r="P147" s="43"/>
      <c r="Q147" s="43"/>
      <c r="R147" s="43"/>
    </row>
    <row r="148">
      <c r="A148" s="32"/>
      <c r="B148" s="34"/>
      <c r="C148" s="34"/>
      <c r="D148" s="34"/>
      <c r="E148" s="34"/>
      <c r="F148" s="34"/>
      <c r="G148" s="34"/>
      <c r="H148" s="60"/>
      <c r="I148" s="60"/>
      <c r="J148" s="43"/>
      <c r="K148" s="43"/>
      <c r="L148" s="43"/>
      <c r="M148" s="43"/>
      <c r="N148" s="43"/>
      <c r="O148" s="43"/>
      <c r="P148" s="43"/>
      <c r="Q148" s="43"/>
      <c r="R148" s="43"/>
    </row>
    <row r="149">
      <c r="A149" s="32"/>
      <c r="B149" s="34"/>
      <c r="C149" s="34"/>
      <c r="D149" s="34"/>
      <c r="E149" s="34"/>
      <c r="F149" s="34"/>
      <c r="G149" s="34"/>
      <c r="H149" s="60"/>
      <c r="I149" s="60"/>
      <c r="J149" s="43"/>
      <c r="K149" s="43"/>
      <c r="L149" s="43"/>
      <c r="M149" s="43"/>
      <c r="N149" s="43"/>
      <c r="O149" s="43"/>
      <c r="P149" s="43"/>
      <c r="Q149" s="43"/>
      <c r="R149" s="43"/>
    </row>
    <row r="150">
      <c r="A150" s="32"/>
      <c r="B150" s="34"/>
      <c r="C150" s="34"/>
      <c r="D150" s="34"/>
      <c r="E150" s="34"/>
      <c r="F150" s="34"/>
      <c r="G150" s="34"/>
      <c r="H150" s="60"/>
      <c r="I150" s="60"/>
      <c r="J150" s="43"/>
      <c r="K150" s="43"/>
      <c r="L150" s="43"/>
      <c r="M150" s="43"/>
      <c r="N150" s="43"/>
      <c r="O150" s="43"/>
      <c r="P150" s="43"/>
      <c r="Q150" s="43"/>
      <c r="R150" s="43"/>
    </row>
    <row r="151">
      <c r="A151" s="32"/>
      <c r="B151" s="34"/>
      <c r="C151" s="34"/>
      <c r="D151" s="34"/>
      <c r="E151" s="34"/>
      <c r="F151" s="34"/>
      <c r="G151" s="34"/>
      <c r="H151" s="60"/>
      <c r="I151" s="60"/>
      <c r="J151" s="43"/>
      <c r="K151" s="43"/>
      <c r="L151" s="43"/>
      <c r="M151" s="43"/>
      <c r="N151" s="43"/>
      <c r="O151" s="43"/>
      <c r="P151" s="43"/>
      <c r="Q151" s="43"/>
      <c r="R151" s="43"/>
    </row>
    <row r="152">
      <c r="A152" s="32"/>
      <c r="B152" s="34"/>
      <c r="C152" s="34"/>
      <c r="D152" s="34"/>
      <c r="E152" s="34"/>
      <c r="F152" s="34"/>
      <c r="G152" s="34"/>
      <c r="H152" s="60"/>
      <c r="I152" s="60"/>
      <c r="J152" s="43"/>
      <c r="K152" s="43"/>
      <c r="L152" s="43"/>
      <c r="M152" s="43"/>
      <c r="N152" s="43"/>
      <c r="O152" s="43"/>
      <c r="P152" s="43"/>
      <c r="Q152" s="43"/>
      <c r="R152" s="43"/>
    </row>
    <row r="153">
      <c r="A153" s="32"/>
      <c r="B153" s="34"/>
      <c r="C153" s="34"/>
      <c r="D153" s="34"/>
      <c r="E153" s="34"/>
      <c r="F153" s="34"/>
      <c r="G153" s="34"/>
      <c r="H153" s="60"/>
      <c r="I153" s="60"/>
      <c r="J153" s="43"/>
      <c r="K153" s="43"/>
      <c r="L153" s="43"/>
      <c r="M153" s="43"/>
      <c r="N153" s="43"/>
      <c r="O153" s="43"/>
      <c r="P153" s="43"/>
      <c r="Q153" s="43"/>
      <c r="R153" s="43"/>
    </row>
    <row r="154">
      <c r="A154" s="32"/>
      <c r="B154" s="34"/>
      <c r="C154" s="34"/>
      <c r="D154" s="34"/>
      <c r="E154" s="34"/>
      <c r="F154" s="34"/>
      <c r="G154" s="34"/>
      <c r="H154" s="60"/>
      <c r="I154" s="60"/>
      <c r="J154" s="43"/>
      <c r="K154" s="43"/>
      <c r="L154" s="43"/>
      <c r="M154" s="43"/>
      <c r="N154" s="43"/>
      <c r="O154" s="43"/>
      <c r="P154" s="43"/>
      <c r="Q154" s="43"/>
      <c r="R154" s="43"/>
    </row>
    <row r="155">
      <c r="A155" s="32"/>
      <c r="B155" s="34"/>
      <c r="C155" s="34"/>
      <c r="D155" s="34"/>
      <c r="E155" s="34"/>
      <c r="F155" s="34"/>
      <c r="G155" s="34"/>
      <c r="H155" s="60"/>
      <c r="I155" s="60"/>
      <c r="J155" s="43"/>
      <c r="K155" s="43"/>
      <c r="L155" s="43"/>
      <c r="M155" s="43"/>
      <c r="N155" s="43"/>
      <c r="O155" s="43"/>
      <c r="P155" s="43"/>
      <c r="Q155" s="43"/>
      <c r="R155" s="43"/>
    </row>
    <row r="156">
      <c r="A156" s="32"/>
      <c r="B156" s="34"/>
      <c r="C156" s="34"/>
      <c r="D156" s="34"/>
      <c r="E156" s="34"/>
      <c r="F156" s="34"/>
      <c r="G156" s="34"/>
      <c r="H156" s="60"/>
      <c r="I156" s="60"/>
      <c r="J156" s="43"/>
      <c r="K156" s="43"/>
      <c r="L156" s="43"/>
      <c r="M156" s="43"/>
      <c r="N156" s="43"/>
      <c r="O156" s="43"/>
      <c r="P156" s="43"/>
      <c r="Q156" s="43"/>
      <c r="R156" s="43"/>
    </row>
    <row r="157">
      <c r="A157" s="32"/>
      <c r="B157" s="34"/>
      <c r="C157" s="34"/>
      <c r="D157" s="34"/>
      <c r="E157" s="34"/>
      <c r="F157" s="34"/>
      <c r="G157" s="34"/>
      <c r="H157" s="60"/>
      <c r="I157" s="60"/>
      <c r="J157" s="43"/>
      <c r="K157" s="43"/>
      <c r="L157" s="43"/>
      <c r="M157" s="43"/>
      <c r="N157" s="43"/>
      <c r="O157" s="43"/>
      <c r="P157" s="43"/>
      <c r="Q157" s="43"/>
      <c r="R157" s="43"/>
    </row>
    <row r="158">
      <c r="A158" s="32"/>
      <c r="B158" s="34"/>
      <c r="C158" s="34"/>
      <c r="D158" s="34"/>
      <c r="E158" s="34"/>
      <c r="F158" s="34"/>
      <c r="G158" s="34"/>
      <c r="H158" s="60"/>
      <c r="I158" s="60"/>
      <c r="J158" s="43"/>
      <c r="K158" s="43"/>
      <c r="L158" s="43"/>
      <c r="M158" s="43"/>
      <c r="N158" s="43"/>
      <c r="O158" s="43"/>
      <c r="P158" s="43"/>
      <c r="Q158" s="43"/>
      <c r="R158" s="43"/>
    </row>
    <row r="159">
      <c r="A159" s="32"/>
      <c r="B159" s="34"/>
      <c r="C159" s="34"/>
      <c r="D159" s="34"/>
      <c r="E159" s="34"/>
      <c r="F159" s="34"/>
      <c r="G159" s="34"/>
      <c r="H159" s="60"/>
      <c r="I159" s="60"/>
      <c r="J159" s="43"/>
      <c r="K159" s="43"/>
      <c r="L159" s="43"/>
      <c r="M159" s="43"/>
      <c r="N159" s="43"/>
      <c r="O159" s="43"/>
      <c r="P159" s="43"/>
      <c r="Q159" s="43"/>
      <c r="R159" s="43"/>
    </row>
    <row r="160">
      <c r="A160" s="32"/>
      <c r="B160" s="34"/>
      <c r="C160" s="34"/>
      <c r="D160" s="34"/>
      <c r="E160" s="34"/>
      <c r="F160" s="34"/>
      <c r="G160" s="34"/>
      <c r="H160" s="60"/>
      <c r="I160" s="60"/>
      <c r="J160" s="43"/>
      <c r="K160" s="43"/>
      <c r="L160" s="43"/>
      <c r="M160" s="43"/>
      <c r="N160" s="43"/>
      <c r="O160" s="43"/>
      <c r="P160" s="43"/>
      <c r="Q160" s="43"/>
      <c r="R160" s="43"/>
    </row>
    <row r="161">
      <c r="A161" s="32"/>
      <c r="B161" s="34"/>
      <c r="C161" s="34"/>
      <c r="D161" s="34"/>
      <c r="E161" s="34"/>
      <c r="F161" s="34"/>
      <c r="G161" s="34"/>
      <c r="H161" s="60"/>
      <c r="I161" s="60"/>
      <c r="J161" s="43"/>
      <c r="K161" s="43"/>
      <c r="L161" s="43"/>
      <c r="M161" s="43"/>
      <c r="N161" s="43"/>
      <c r="O161" s="43"/>
      <c r="P161" s="43"/>
      <c r="Q161" s="43"/>
      <c r="R161" s="43"/>
    </row>
    <row r="162">
      <c r="A162" s="32"/>
      <c r="B162" s="34"/>
      <c r="C162" s="34"/>
      <c r="D162" s="34"/>
      <c r="E162" s="34"/>
      <c r="F162" s="34"/>
      <c r="G162" s="34"/>
      <c r="H162" s="60"/>
      <c r="I162" s="60"/>
      <c r="J162" s="43"/>
      <c r="K162" s="43"/>
      <c r="L162" s="43"/>
      <c r="M162" s="43"/>
      <c r="N162" s="43"/>
      <c r="O162" s="43"/>
      <c r="P162" s="43"/>
      <c r="Q162" s="43"/>
      <c r="R162" s="43"/>
    </row>
    <row r="163">
      <c r="A163" s="32"/>
      <c r="B163" s="34"/>
      <c r="C163" s="34"/>
      <c r="D163" s="34"/>
      <c r="E163" s="34"/>
      <c r="F163" s="34"/>
      <c r="G163" s="34"/>
      <c r="H163" s="60"/>
      <c r="I163" s="60"/>
      <c r="J163" s="43"/>
      <c r="K163" s="43"/>
      <c r="L163" s="43"/>
      <c r="M163" s="43"/>
      <c r="N163" s="43"/>
      <c r="O163" s="43"/>
      <c r="P163" s="43"/>
      <c r="Q163" s="43"/>
      <c r="R163" s="43"/>
    </row>
    <row r="164">
      <c r="A164" s="32"/>
      <c r="B164" s="34"/>
      <c r="C164" s="34"/>
      <c r="D164" s="34"/>
      <c r="E164" s="34"/>
      <c r="F164" s="34"/>
      <c r="G164" s="34"/>
      <c r="H164" s="60"/>
      <c r="I164" s="60"/>
      <c r="J164" s="43"/>
      <c r="K164" s="43"/>
      <c r="L164" s="43"/>
      <c r="M164" s="43"/>
      <c r="N164" s="43"/>
      <c r="O164" s="43"/>
      <c r="P164" s="43"/>
      <c r="Q164" s="43"/>
      <c r="R164" s="43"/>
    </row>
    <row r="165">
      <c r="A165" s="32"/>
      <c r="B165" s="34"/>
      <c r="C165" s="34"/>
      <c r="D165" s="34"/>
      <c r="E165" s="34"/>
      <c r="F165" s="34"/>
      <c r="G165" s="34"/>
      <c r="H165" s="60"/>
      <c r="I165" s="60"/>
      <c r="J165" s="43"/>
      <c r="K165" s="43"/>
      <c r="L165" s="43"/>
      <c r="M165" s="43"/>
      <c r="N165" s="43"/>
      <c r="O165" s="43"/>
      <c r="P165" s="43"/>
      <c r="Q165" s="43"/>
      <c r="R165" s="43"/>
    </row>
    <row r="166">
      <c r="A166" s="32"/>
      <c r="B166" s="34"/>
      <c r="C166" s="34"/>
      <c r="D166" s="34"/>
      <c r="E166" s="34"/>
      <c r="F166" s="34"/>
      <c r="G166" s="34"/>
      <c r="H166" s="60"/>
      <c r="I166" s="60"/>
      <c r="J166" s="43"/>
      <c r="K166" s="43"/>
      <c r="L166" s="43"/>
      <c r="M166" s="43"/>
      <c r="N166" s="43"/>
      <c r="O166" s="43"/>
      <c r="P166" s="43"/>
      <c r="Q166" s="43"/>
      <c r="R166" s="43"/>
    </row>
    <row r="167">
      <c r="A167" s="32"/>
      <c r="B167" s="34"/>
      <c r="C167" s="34"/>
      <c r="D167" s="34"/>
      <c r="E167" s="34"/>
      <c r="F167" s="34"/>
      <c r="G167" s="34"/>
      <c r="H167" s="60"/>
      <c r="I167" s="60"/>
      <c r="J167" s="43"/>
      <c r="K167" s="43"/>
      <c r="L167" s="43"/>
      <c r="M167" s="43"/>
      <c r="N167" s="43"/>
      <c r="O167" s="43"/>
      <c r="P167" s="43"/>
      <c r="Q167" s="43"/>
      <c r="R167" s="43"/>
    </row>
    <row r="168">
      <c r="A168" s="32"/>
      <c r="B168" s="34"/>
      <c r="C168" s="34"/>
      <c r="D168" s="34"/>
      <c r="E168" s="34"/>
      <c r="F168" s="34"/>
      <c r="G168" s="34"/>
      <c r="H168" s="60"/>
      <c r="I168" s="60"/>
      <c r="J168" s="43"/>
      <c r="K168" s="43"/>
      <c r="L168" s="43"/>
      <c r="M168" s="43"/>
      <c r="N168" s="43"/>
      <c r="O168" s="43"/>
      <c r="P168" s="43"/>
      <c r="Q168" s="43"/>
      <c r="R168" s="43"/>
    </row>
    <row r="169">
      <c r="A169" s="32"/>
      <c r="B169" s="34"/>
      <c r="C169" s="34"/>
      <c r="D169" s="34"/>
      <c r="E169" s="34"/>
      <c r="F169" s="34"/>
      <c r="G169" s="34"/>
      <c r="H169" s="60"/>
      <c r="I169" s="60"/>
      <c r="J169" s="43"/>
      <c r="K169" s="43"/>
      <c r="L169" s="43"/>
      <c r="M169" s="43"/>
      <c r="N169" s="43"/>
      <c r="O169" s="43"/>
      <c r="P169" s="43"/>
      <c r="Q169" s="43"/>
      <c r="R169" s="43"/>
    </row>
    <row r="170">
      <c r="A170" s="32"/>
      <c r="B170" s="34"/>
      <c r="C170" s="34"/>
      <c r="D170" s="34"/>
      <c r="E170" s="34"/>
      <c r="F170" s="34"/>
      <c r="G170" s="34"/>
      <c r="H170" s="60"/>
      <c r="I170" s="60"/>
      <c r="J170" s="43"/>
      <c r="K170" s="43"/>
      <c r="L170" s="43"/>
      <c r="M170" s="43"/>
      <c r="N170" s="43"/>
      <c r="O170" s="43"/>
      <c r="P170" s="43"/>
      <c r="Q170" s="43"/>
      <c r="R170" s="43"/>
    </row>
    <row r="171">
      <c r="A171" s="32"/>
      <c r="B171" s="34"/>
      <c r="C171" s="34"/>
      <c r="D171" s="34"/>
      <c r="E171" s="34"/>
      <c r="F171" s="34"/>
      <c r="G171" s="34"/>
      <c r="H171" s="60"/>
      <c r="I171" s="60"/>
      <c r="J171" s="43"/>
      <c r="K171" s="43"/>
      <c r="L171" s="43"/>
      <c r="M171" s="43"/>
      <c r="N171" s="43"/>
      <c r="O171" s="43"/>
      <c r="P171" s="43"/>
      <c r="Q171" s="43"/>
      <c r="R171" s="43"/>
    </row>
    <row r="172">
      <c r="A172" s="32"/>
      <c r="B172" s="34"/>
      <c r="C172" s="34"/>
      <c r="D172" s="34"/>
      <c r="E172" s="34"/>
      <c r="F172" s="34"/>
      <c r="G172" s="34"/>
      <c r="H172" s="60"/>
      <c r="I172" s="60"/>
      <c r="J172" s="43"/>
      <c r="K172" s="43"/>
      <c r="L172" s="43"/>
      <c r="M172" s="43"/>
      <c r="N172" s="43"/>
      <c r="O172" s="43"/>
      <c r="P172" s="43"/>
      <c r="Q172" s="43"/>
      <c r="R172" s="43"/>
    </row>
    <row r="173">
      <c r="A173" s="32"/>
      <c r="B173" s="34"/>
      <c r="C173" s="34"/>
      <c r="D173" s="34"/>
      <c r="E173" s="34"/>
      <c r="F173" s="34"/>
      <c r="G173" s="34"/>
      <c r="H173" s="60"/>
      <c r="I173" s="60"/>
      <c r="J173" s="43"/>
      <c r="K173" s="43"/>
      <c r="L173" s="43"/>
      <c r="M173" s="43"/>
      <c r="N173" s="43"/>
      <c r="O173" s="43"/>
      <c r="P173" s="43"/>
      <c r="Q173" s="43"/>
      <c r="R173" s="43"/>
    </row>
    <row r="174">
      <c r="A174" s="32"/>
      <c r="B174" s="34"/>
      <c r="C174" s="34"/>
      <c r="D174" s="34"/>
      <c r="E174" s="34"/>
      <c r="F174" s="34"/>
      <c r="G174" s="34"/>
      <c r="H174" s="60"/>
      <c r="I174" s="60"/>
      <c r="J174" s="43"/>
      <c r="K174" s="43"/>
      <c r="L174" s="43"/>
      <c r="M174" s="43"/>
      <c r="N174" s="43"/>
      <c r="O174" s="43"/>
      <c r="P174" s="43"/>
      <c r="Q174" s="43"/>
      <c r="R174" s="43"/>
    </row>
    <row r="175">
      <c r="A175" s="32"/>
      <c r="B175" s="34"/>
      <c r="C175" s="34"/>
      <c r="D175" s="34"/>
      <c r="E175" s="34"/>
      <c r="F175" s="34"/>
      <c r="G175" s="34"/>
      <c r="H175" s="60"/>
      <c r="I175" s="60"/>
      <c r="J175" s="43"/>
      <c r="K175" s="43"/>
      <c r="L175" s="43"/>
      <c r="M175" s="43"/>
      <c r="N175" s="43"/>
      <c r="O175" s="43"/>
      <c r="P175" s="43"/>
      <c r="Q175" s="43"/>
      <c r="R175" s="43"/>
    </row>
    <row r="176">
      <c r="A176" s="32"/>
      <c r="B176" s="34"/>
      <c r="C176" s="34"/>
      <c r="D176" s="34"/>
      <c r="E176" s="34"/>
      <c r="F176" s="34"/>
      <c r="G176" s="34"/>
      <c r="H176" s="60"/>
      <c r="I176" s="60"/>
      <c r="J176" s="43"/>
      <c r="K176" s="43"/>
      <c r="L176" s="43"/>
      <c r="M176" s="43"/>
      <c r="N176" s="43"/>
      <c r="O176" s="43"/>
      <c r="P176" s="43"/>
      <c r="Q176" s="43"/>
      <c r="R176" s="43"/>
    </row>
    <row r="177">
      <c r="A177" s="32"/>
      <c r="B177" s="34"/>
      <c r="C177" s="34"/>
      <c r="D177" s="34"/>
      <c r="E177" s="34"/>
      <c r="F177" s="34"/>
      <c r="G177" s="34"/>
      <c r="H177" s="60"/>
      <c r="I177" s="60"/>
      <c r="J177" s="43"/>
      <c r="K177" s="43"/>
      <c r="L177" s="43"/>
      <c r="M177" s="43"/>
      <c r="N177" s="43"/>
      <c r="O177" s="43"/>
      <c r="P177" s="43"/>
      <c r="Q177" s="43"/>
      <c r="R177" s="43"/>
    </row>
    <row r="178">
      <c r="A178" s="32"/>
      <c r="B178" s="34"/>
      <c r="C178" s="34"/>
      <c r="D178" s="34"/>
      <c r="E178" s="34"/>
      <c r="F178" s="34"/>
      <c r="G178" s="34"/>
      <c r="H178" s="60"/>
      <c r="I178" s="60"/>
      <c r="J178" s="43"/>
      <c r="K178" s="43"/>
      <c r="L178" s="43"/>
      <c r="M178" s="43"/>
      <c r="N178" s="43"/>
      <c r="O178" s="43"/>
      <c r="P178" s="43"/>
      <c r="Q178" s="43"/>
      <c r="R178" s="43"/>
    </row>
    <row r="179">
      <c r="A179" s="32"/>
      <c r="B179" s="34"/>
      <c r="C179" s="34"/>
      <c r="D179" s="34"/>
      <c r="E179" s="34"/>
      <c r="F179" s="34"/>
      <c r="G179" s="34"/>
      <c r="H179" s="60"/>
      <c r="I179" s="60"/>
      <c r="J179" s="43"/>
      <c r="K179" s="43"/>
      <c r="L179" s="43"/>
      <c r="M179" s="43"/>
      <c r="N179" s="43"/>
      <c r="O179" s="43"/>
      <c r="P179" s="43"/>
      <c r="Q179" s="43"/>
      <c r="R179" s="43"/>
    </row>
    <row r="180">
      <c r="A180" s="32"/>
      <c r="B180" s="34"/>
      <c r="C180" s="34"/>
      <c r="D180" s="34"/>
      <c r="E180" s="34"/>
      <c r="F180" s="34"/>
      <c r="G180" s="34"/>
      <c r="H180" s="60"/>
      <c r="I180" s="60"/>
      <c r="J180" s="43"/>
      <c r="K180" s="43"/>
      <c r="L180" s="43"/>
      <c r="M180" s="43"/>
      <c r="N180" s="43"/>
      <c r="O180" s="43"/>
      <c r="P180" s="43"/>
      <c r="Q180" s="43"/>
      <c r="R180" s="43"/>
    </row>
    <row r="181">
      <c r="A181" s="32"/>
      <c r="B181" s="34"/>
      <c r="C181" s="34"/>
      <c r="D181" s="34"/>
      <c r="E181" s="34"/>
      <c r="F181" s="34"/>
      <c r="G181" s="34"/>
      <c r="H181" s="60"/>
      <c r="I181" s="60"/>
      <c r="J181" s="43"/>
      <c r="K181" s="43"/>
      <c r="L181" s="43"/>
      <c r="M181" s="43"/>
      <c r="N181" s="43"/>
      <c r="O181" s="43"/>
      <c r="P181" s="43"/>
      <c r="Q181" s="43"/>
      <c r="R181" s="43"/>
    </row>
    <row r="182">
      <c r="A182" s="32"/>
      <c r="B182" s="34"/>
      <c r="C182" s="34"/>
      <c r="D182" s="34"/>
      <c r="E182" s="34"/>
      <c r="F182" s="34"/>
      <c r="G182" s="34"/>
      <c r="H182" s="60"/>
      <c r="I182" s="60"/>
      <c r="J182" s="43"/>
      <c r="K182" s="43"/>
      <c r="L182" s="43"/>
      <c r="M182" s="43"/>
      <c r="N182" s="43"/>
      <c r="O182" s="43"/>
      <c r="P182" s="43"/>
      <c r="Q182" s="43"/>
      <c r="R182" s="43"/>
    </row>
    <row r="183">
      <c r="A183" s="32"/>
      <c r="B183" s="34"/>
      <c r="C183" s="34"/>
      <c r="D183" s="34"/>
      <c r="E183" s="34"/>
      <c r="F183" s="34"/>
      <c r="G183" s="34"/>
      <c r="H183" s="60"/>
      <c r="I183" s="60"/>
      <c r="J183" s="43"/>
      <c r="K183" s="43"/>
      <c r="L183" s="43"/>
      <c r="M183" s="43"/>
      <c r="N183" s="43"/>
      <c r="O183" s="43"/>
      <c r="P183" s="43"/>
      <c r="Q183" s="43"/>
      <c r="R183" s="43"/>
    </row>
    <row r="184">
      <c r="A184" s="32"/>
      <c r="B184" s="34"/>
      <c r="C184" s="34"/>
      <c r="D184" s="34"/>
      <c r="E184" s="34"/>
      <c r="F184" s="34"/>
      <c r="G184" s="34"/>
      <c r="H184" s="60"/>
      <c r="I184" s="60"/>
      <c r="J184" s="43"/>
      <c r="K184" s="43"/>
      <c r="L184" s="43"/>
      <c r="M184" s="43"/>
      <c r="N184" s="43"/>
      <c r="O184" s="43"/>
      <c r="P184" s="43"/>
      <c r="Q184" s="43"/>
      <c r="R184" s="43"/>
    </row>
    <row r="185">
      <c r="A185" s="32"/>
      <c r="B185" s="34"/>
      <c r="C185" s="34"/>
      <c r="D185" s="34"/>
      <c r="E185" s="34"/>
      <c r="F185" s="34"/>
      <c r="G185" s="34"/>
      <c r="H185" s="60"/>
      <c r="I185" s="60"/>
      <c r="J185" s="43"/>
      <c r="K185" s="43"/>
      <c r="L185" s="43"/>
      <c r="M185" s="43"/>
      <c r="N185" s="43"/>
      <c r="O185" s="43"/>
      <c r="P185" s="43"/>
      <c r="Q185" s="43"/>
      <c r="R185" s="43"/>
    </row>
    <row r="186">
      <c r="A186" s="32"/>
      <c r="B186" s="34"/>
      <c r="C186" s="34"/>
      <c r="D186" s="34"/>
      <c r="E186" s="34"/>
      <c r="F186" s="34"/>
      <c r="G186" s="34"/>
      <c r="H186" s="60"/>
      <c r="I186" s="60"/>
      <c r="J186" s="43"/>
      <c r="K186" s="43"/>
      <c r="L186" s="43"/>
      <c r="M186" s="43"/>
      <c r="N186" s="43"/>
      <c r="O186" s="43"/>
      <c r="P186" s="43"/>
      <c r="Q186" s="43"/>
      <c r="R186" s="43"/>
    </row>
    <row r="187">
      <c r="A187" s="32"/>
      <c r="B187" s="34"/>
      <c r="C187" s="34"/>
      <c r="D187" s="34"/>
      <c r="E187" s="34"/>
      <c r="F187" s="34"/>
      <c r="G187" s="34"/>
      <c r="H187" s="60"/>
      <c r="I187" s="60"/>
      <c r="J187" s="43"/>
      <c r="K187" s="43"/>
      <c r="L187" s="43"/>
      <c r="M187" s="43"/>
      <c r="N187" s="43"/>
      <c r="O187" s="43"/>
      <c r="P187" s="43"/>
      <c r="Q187" s="43"/>
      <c r="R187" s="43"/>
    </row>
    <row r="188">
      <c r="A188" s="32"/>
      <c r="B188" s="34"/>
      <c r="C188" s="34"/>
      <c r="D188" s="34"/>
      <c r="E188" s="34"/>
      <c r="F188" s="34"/>
      <c r="G188" s="34"/>
      <c r="H188" s="60"/>
      <c r="I188" s="60"/>
      <c r="J188" s="43"/>
      <c r="K188" s="43"/>
      <c r="L188" s="43"/>
      <c r="M188" s="43"/>
      <c r="N188" s="43"/>
      <c r="O188" s="43"/>
      <c r="P188" s="43"/>
      <c r="Q188" s="43"/>
      <c r="R188" s="43"/>
    </row>
    <row r="189">
      <c r="A189" s="32"/>
      <c r="B189" s="34"/>
      <c r="C189" s="34"/>
      <c r="D189" s="34"/>
      <c r="E189" s="34"/>
      <c r="F189" s="34"/>
      <c r="G189" s="34"/>
      <c r="H189" s="60"/>
      <c r="I189" s="60"/>
      <c r="J189" s="43"/>
      <c r="K189" s="43"/>
      <c r="L189" s="43"/>
      <c r="M189" s="43"/>
      <c r="N189" s="43"/>
      <c r="O189" s="43"/>
      <c r="P189" s="43"/>
      <c r="Q189" s="43"/>
      <c r="R189" s="43"/>
    </row>
    <row r="190">
      <c r="A190" s="32"/>
      <c r="B190" s="34"/>
      <c r="C190" s="34"/>
      <c r="D190" s="34"/>
      <c r="E190" s="34"/>
      <c r="F190" s="34"/>
      <c r="G190" s="34"/>
      <c r="H190" s="60"/>
      <c r="I190" s="60"/>
      <c r="J190" s="43"/>
      <c r="K190" s="43"/>
      <c r="L190" s="43"/>
      <c r="M190" s="43"/>
      <c r="N190" s="43"/>
      <c r="O190" s="43"/>
      <c r="P190" s="43"/>
      <c r="Q190" s="43"/>
      <c r="R190" s="43"/>
    </row>
    <row r="191">
      <c r="A191" s="32"/>
      <c r="B191" s="34"/>
      <c r="C191" s="34"/>
      <c r="D191" s="34"/>
      <c r="E191" s="34"/>
      <c r="F191" s="34"/>
      <c r="G191" s="34"/>
      <c r="H191" s="60"/>
      <c r="I191" s="60"/>
      <c r="J191" s="43"/>
      <c r="K191" s="43"/>
      <c r="L191" s="43"/>
      <c r="M191" s="43"/>
      <c r="N191" s="43"/>
      <c r="O191" s="43"/>
      <c r="P191" s="43"/>
      <c r="Q191" s="43"/>
      <c r="R191" s="43"/>
    </row>
    <row r="192">
      <c r="A192" s="32"/>
      <c r="B192" s="34"/>
      <c r="C192" s="34"/>
      <c r="D192" s="34"/>
      <c r="E192" s="34"/>
      <c r="F192" s="34"/>
      <c r="G192" s="34"/>
      <c r="H192" s="60"/>
      <c r="I192" s="60"/>
      <c r="J192" s="43"/>
      <c r="K192" s="43"/>
      <c r="L192" s="43"/>
      <c r="M192" s="43"/>
      <c r="N192" s="43"/>
      <c r="O192" s="43"/>
      <c r="P192" s="43"/>
      <c r="Q192" s="43"/>
      <c r="R192" s="43"/>
    </row>
    <row r="193">
      <c r="A193" s="32"/>
      <c r="B193" s="34"/>
      <c r="C193" s="34"/>
      <c r="D193" s="34"/>
      <c r="E193" s="34"/>
      <c r="F193" s="34"/>
      <c r="G193" s="34"/>
      <c r="H193" s="60"/>
      <c r="I193" s="60"/>
      <c r="J193" s="43"/>
      <c r="K193" s="43"/>
      <c r="L193" s="43"/>
      <c r="M193" s="43"/>
      <c r="N193" s="43"/>
      <c r="O193" s="43"/>
      <c r="P193" s="43"/>
      <c r="Q193" s="43"/>
      <c r="R193" s="43"/>
    </row>
    <row r="194">
      <c r="A194" s="32"/>
      <c r="B194" s="34"/>
      <c r="C194" s="34"/>
      <c r="D194" s="34"/>
      <c r="E194" s="34"/>
      <c r="F194" s="34"/>
      <c r="G194" s="34"/>
      <c r="H194" s="60"/>
      <c r="I194" s="60"/>
      <c r="J194" s="43"/>
      <c r="K194" s="43"/>
      <c r="L194" s="43"/>
      <c r="M194" s="43"/>
      <c r="N194" s="43"/>
      <c r="O194" s="43"/>
      <c r="P194" s="43"/>
      <c r="Q194" s="43"/>
      <c r="R194" s="43"/>
    </row>
    <row r="195">
      <c r="A195" s="32"/>
      <c r="B195" s="34"/>
      <c r="C195" s="34"/>
      <c r="D195" s="34"/>
      <c r="E195" s="34"/>
      <c r="F195" s="34"/>
      <c r="G195" s="34"/>
      <c r="H195" s="60"/>
      <c r="I195" s="60"/>
      <c r="J195" s="43"/>
      <c r="K195" s="43"/>
      <c r="L195" s="43"/>
      <c r="M195" s="43"/>
      <c r="N195" s="43"/>
      <c r="O195" s="43"/>
      <c r="P195" s="43"/>
      <c r="Q195" s="43"/>
      <c r="R195" s="43"/>
    </row>
    <row r="196">
      <c r="A196" s="32"/>
      <c r="B196" s="34"/>
      <c r="C196" s="34"/>
      <c r="D196" s="34"/>
      <c r="E196" s="34"/>
      <c r="F196" s="34"/>
      <c r="G196" s="34"/>
      <c r="H196" s="60"/>
      <c r="I196" s="60"/>
      <c r="J196" s="43"/>
      <c r="K196" s="43"/>
      <c r="L196" s="43"/>
      <c r="M196" s="43"/>
      <c r="N196" s="43"/>
      <c r="O196" s="43"/>
      <c r="P196" s="43"/>
      <c r="Q196" s="43"/>
      <c r="R196" s="43"/>
    </row>
    <row r="197">
      <c r="A197" s="32"/>
      <c r="B197" s="34"/>
      <c r="C197" s="34"/>
      <c r="D197" s="34"/>
      <c r="E197" s="34"/>
      <c r="F197" s="34"/>
      <c r="G197" s="34"/>
      <c r="H197" s="60"/>
      <c r="I197" s="60"/>
      <c r="J197" s="43"/>
      <c r="K197" s="43"/>
      <c r="L197" s="43"/>
      <c r="M197" s="43"/>
      <c r="N197" s="43"/>
      <c r="O197" s="43"/>
      <c r="P197" s="43"/>
      <c r="Q197" s="43"/>
      <c r="R197" s="43"/>
    </row>
    <row r="198">
      <c r="A198" s="32"/>
      <c r="B198" s="34"/>
      <c r="C198" s="34"/>
      <c r="D198" s="34"/>
      <c r="E198" s="34"/>
      <c r="F198" s="34"/>
      <c r="G198" s="34"/>
      <c r="H198" s="60"/>
      <c r="I198" s="60"/>
      <c r="J198" s="43"/>
      <c r="K198" s="43"/>
      <c r="L198" s="43"/>
      <c r="M198" s="43"/>
      <c r="N198" s="43"/>
      <c r="O198" s="43"/>
      <c r="P198" s="43"/>
      <c r="Q198" s="43"/>
      <c r="R198" s="43"/>
    </row>
    <row r="199">
      <c r="A199" s="32"/>
      <c r="B199" s="34"/>
      <c r="C199" s="34"/>
      <c r="D199" s="34"/>
      <c r="E199" s="34"/>
      <c r="F199" s="34"/>
      <c r="G199" s="34"/>
      <c r="H199" s="60"/>
      <c r="I199" s="60"/>
      <c r="J199" s="43"/>
      <c r="K199" s="43"/>
      <c r="L199" s="43"/>
      <c r="M199" s="43"/>
      <c r="N199" s="43"/>
      <c r="O199" s="43"/>
      <c r="P199" s="43"/>
      <c r="Q199" s="43"/>
      <c r="R199" s="43"/>
    </row>
    <row r="200">
      <c r="A200" s="32"/>
      <c r="B200" s="34"/>
      <c r="C200" s="34"/>
      <c r="D200" s="34"/>
      <c r="E200" s="34"/>
      <c r="F200" s="34"/>
      <c r="G200" s="34"/>
      <c r="H200" s="60"/>
      <c r="I200" s="60"/>
      <c r="J200" s="43"/>
      <c r="K200" s="43"/>
      <c r="L200" s="43"/>
      <c r="M200" s="43"/>
      <c r="N200" s="43"/>
      <c r="O200" s="43"/>
      <c r="P200" s="43"/>
      <c r="Q200" s="43"/>
      <c r="R200" s="43"/>
    </row>
    <row r="201">
      <c r="A201" s="32"/>
      <c r="B201" s="34"/>
      <c r="C201" s="34"/>
      <c r="D201" s="34"/>
      <c r="E201" s="34"/>
      <c r="F201" s="34"/>
      <c r="G201" s="34"/>
      <c r="H201" s="60"/>
      <c r="I201" s="60"/>
      <c r="J201" s="43"/>
      <c r="K201" s="43"/>
      <c r="L201" s="43"/>
      <c r="M201" s="43"/>
      <c r="N201" s="43"/>
      <c r="O201" s="43"/>
      <c r="P201" s="43"/>
      <c r="Q201" s="43"/>
      <c r="R201" s="43"/>
    </row>
    <row r="202">
      <c r="A202" s="32"/>
      <c r="B202" s="34"/>
      <c r="C202" s="34"/>
      <c r="D202" s="34"/>
      <c r="E202" s="34"/>
      <c r="F202" s="34"/>
      <c r="G202" s="34"/>
      <c r="H202" s="60"/>
      <c r="I202" s="60"/>
      <c r="J202" s="43"/>
      <c r="K202" s="43"/>
      <c r="L202" s="43"/>
      <c r="M202" s="43"/>
      <c r="N202" s="43"/>
      <c r="O202" s="43"/>
      <c r="P202" s="43"/>
      <c r="Q202" s="43"/>
      <c r="R202" s="43"/>
    </row>
    <row r="203">
      <c r="A203" s="32"/>
      <c r="B203" s="34"/>
      <c r="C203" s="34"/>
      <c r="D203" s="34"/>
      <c r="E203" s="34"/>
      <c r="F203" s="34"/>
      <c r="G203" s="34"/>
      <c r="H203" s="60"/>
      <c r="I203" s="60"/>
      <c r="J203" s="43"/>
      <c r="K203" s="43"/>
      <c r="L203" s="43"/>
      <c r="M203" s="43"/>
      <c r="N203" s="43"/>
      <c r="O203" s="43"/>
      <c r="P203" s="43"/>
      <c r="Q203" s="43"/>
      <c r="R203" s="43"/>
    </row>
    <row r="204">
      <c r="A204" s="32"/>
      <c r="B204" s="34"/>
      <c r="C204" s="34"/>
      <c r="D204" s="34"/>
      <c r="E204" s="34"/>
      <c r="F204" s="34"/>
      <c r="G204" s="34"/>
      <c r="H204" s="60"/>
      <c r="I204" s="60"/>
      <c r="J204" s="43"/>
      <c r="K204" s="43"/>
      <c r="L204" s="43"/>
      <c r="M204" s="43"/>
      <c r="N204" s="43"/>
      <c r="O204" s="43"/>
      <c r="P204" s="43"/>
      <c r="Q204" s="43"/>
      <c r="R204" s="43"/>
    </row>
    <row r="205">
      <c r="A205" s="32"/>
      <c r="B205" s="34"/>
      <c r="C205" s="34"/>
      <c r="D205" s="34"/>
      <c r="E205" s="34"/>
      <c r="F205" s="34"/>
      <c r="G205" s="34"/>
      <c r="H205" s="60"/>
      <c r="I205" s="60"/>
      <c r="J205" s="43"/>
      <c r="K205" s="43"/>
      <c r="L205" s="43"/>
      <c r="M205" s="43"/>
      <c r="N205" s="43"/>
      <c r="O205" s="43"/>
      <c r="P205" s="43"/>
      <c r="Q205" s="43"/>
      <c r="R205" s="43"/>
    </row>
    <row r="206">
      <c r="A206" s="32"/>
      <c r="B206" s="34"/>
      <c r="C206" s="34"/>
      <c r="D206" s="34"/>
      <c r="E206" s="34"/>
      <c r="F206" s="34"/>
      <c r="G206" s="34"/>
      <c r="H206" s="60"/>
      <c r="I206" s="60"/>
      <c r="J206" s="43"/>
      <c r="K206" s="43"/>
      <c r="L206" s="43"/>
      <c r="M206" s="43"/>
      <c r="N206" s="43"/>
      <c r="O206" s="43"/>
      <c r="P206" s="43"/>
      <c r="Q206" s="43"/>
      <c r="R206" s="43"/>
    </row>
    <row r="207">
      <c r="A207" s="32"/>
      <c r="B207" s="34"/>
      <c r="C207" s="34"/>
      <c r="D207" s="34"/>
      <c r="E207" s="34"/>
      <c r="F207" s="34"/>
      <c r="G207" s="34"/>
      <c r="H207" s="60"/>
      <c r="I207" s="60"/>
      <c r="J207" s="43"/>
      <c r="K207" s="43"/>
      <c r="L207" s="43"/>
      <c r="M207" s="43"/>
      <c r="N207" s="43"/>
      <c r="O207" s="43"/>
      <c r="P207" s="43"/>
      <c r="Q207" s="43"/>
      <c r="R207" s="43"/>
    </row>
    <row r="208">
      <c r="A208" s="32"/>
      <c r="B208" s="34"/>
      <c r="C208" s="34"/>
      <c r="D208" s="34"/>
      <c r="E208" s="34"/>
      <c r="F208" s="34"/>
      <c r="G208" s="34"/>
      <c r="H208" s="60"/>
      <c r="I208" s="60"/>
      <c r="J208" s="43"/>
      <c r="K208" s="43"/>
      <c r="L208" s="43"/>
      <c r="M208" s="43"/>
      <c r="N208" s="43"/>
      <c r="O208" s="43"/>
      <c r="P208" s="43"/>
      <c r="Q208" s="43"/>
      <c r="R208" s="43"/>
    </row>
    <row r="209">
      <c r="A209" s="32"/>
      <c r="B209" s="34"/>
      <c r="C209" s="34"/>
      <c r="D209" s="34"/>
      <c r="E209" s="34"/>
      <c r="F209" s="34"/>
      <c r="G209" s="34"/>
      <c r="H209" s="60"/>
      <c r="I209" s="60"/>
      <c r="J209" s="43"/>
      <c r="K209" s="43"/>
      <c r="L209" s="43"/>
      <c r="M209" s="43"/>
      <c r="N209" s="43"/>
      <c r="O209" s="43"/>
      <c r="P209" s="43"/>
      <c r="Q209" s="43"/>
      <c r="R209" s="43"/>
    </row>
    <row r="210">
      <c r="A210" s="32"/>
      <c r="B210" s="34"/>
      <c r="C210" s="34"/>
      <c r="D210" s="34"/>
      <c r="E210" s="34"/>
      <c r="F210" s="34"/>
      <c r="G210" s="34"/>
      <c r="H210" s="60"/>
      <c r="I210" s="60"/>
      <c r="J210" s="43"/>
      <c r="K210" s="43"/>
      <c r="L210" s="43"/>
      <c r="M210" s="43"/>
      <c r="N210" s="43"/>
      <c r="O210" s="43"/>
      <c r="P210" s="43"/>
      <c r="Q210" s="43"/>
      <c r="R210" s="43"/>
    </row>
    <row r="211">
      <c r="A211" s="32"/>
      <c r="B211" s="34"/>
      <c r="C211" s="34"/>
      <c r="D211" s="34"/>
      <c r="E211" s="34"/>
      <c r="F211" s="34"/>
      <c r="G211" s="34"/>
      <c r="H211" s="60"/>
      <c r="I211" s="60"/>
      <c r="J211" s="43"/>
      <c r="K211" s="43"/>
      <c r="L211" s="43"/>
      <c r="M211" s="43"/>
      <c r="N211" s="43"/>
      <c r="O211" s="43"/>
      <c r="P211" s="43"/>
      <c r="Q211" s="43"/>
      <c r="R211" s="43"/>
    </row>
    <row r="212">
      <c r="A212" s="32"/>
      <c r="B212" s="34"/>
      <c r="C212" s="34"/>
      <c r="D212" s="34"/>
      <c r="E212" s="34"/>
      <c r="F212" s="34"/>
      <c r="G212" s="34"/>
      <c r="H212" s="60"/>
      <c r="I212" s="60"/>
      <c r="J212" s="43"/>
      <c r="K212" s="43"/>
      <c r="L212" s="43"/>
      <c r="M212" s="43"/>
      <c r="N212" s="43"/>
      <c r="O212" s="43"/>
      <c r="P212" s="43"/>
      <c r="Q212" s="43"/>
      <c r="R212" s="43"/>
    </row>
    <row r="213">
      <c r="A213" s="32"/>
      <c r="B213" s="34"/>
      <c r="C213" s="34"/>
      <c r="D213" s="34"/>
      <c r="E213" s="34"/>
      <c r="F213" s="34"/>
      <c r="G213" s="34"/>
      <c r="H213" s="60"/>
      <c r="I213" s="60"/>
      <c r="J213" s="43"/>
      <c r="K213" s="43"/>
      <c r="L213" s="43"/>
      <c r="M213" s="43"/>
      <c r="N213" s="43"/>
      <c r="O213" s="43"/>
      <c r="P213" s="43"/>
      <c r="Q213" s="43"/>
      <c r="R213" s="43"/>
    </row>
    <row r="214">
      <c r="A214" s="32"/>
      <c r="B214" s="34"/>
      <c r="C214" s="34"/>
      <c r="D214" s="34"/>
      <c r="E214" s="34"/>
      <c r="F214" s="34"/>
      <c r="G214" s="34"/>
      <c r="H214" s="60"/>
      <c r="I214" s="60"/>
      <c r="J214" s="43"/>
      <c r="K214" s="43"/>
      <c r="L214" s="43"/>
      <c r="M214" s="43"/>
      <c r="N214" s="43"/>
      <c r="O214" s="43"/>
      <c r="P214" s="43"/>
      <c r="Q214" s="43"/>
      <c r="R214" s="43"/>
    </row>
    <row r="215">
      <c r="A215" s="32"/>
      <c r="B215" s="34"/>
      <c r="C215" s="34"/>
      <c r="D215" s="34"/>
      <c r="E215" s="34"/>
      <c r="F215" s="34"/>
      <c r="G215" s="34"/>
      <c r="H215" s="60"/>
      <c r="I215" s="60"/>
      <c r="J215" s="43"/>
      <c r="K215" s="43"/>
      <c r="L215" s="43"/>
      <c r="M215" s="43"/>
      <c r="N215" s="43"/>
      <c r="O215" s="43"/>
      <c r="P215" s="43"/>
      <c r="Q215" s="43"/>
      <c r="R215" s="43"/>
    </row>
    <row r="216">
      <c r="A216" s="32"/>
      <c r="B216" s="34"/>
      <c r="C216" s="34"/>
      <c r="D216" s="34"/>
      <c r="E216" s="34"/>
      <c r="F216" s="34"/>
      <c r="G216" s="34"/>
      <c r="H216" s="60"/>
      <c r="I216" s="60"/>
      <c r="J216" s="43"/>
      <c r="K216" s="43"/>
      <c r="L216" s="43"/>
      <c r="M216" s="43"/>
      <c r="N216" s="43"/>
      <c r="O216" s="43"/>
      <c r="P216" s="43"/>
      <c r="Q216" s="43"/>
      <c r="R216" s="43"/>
    </row>
    <row r="217">
      <c r="A217" s="32"/>
      <c r="B217" s="34"/>
      <c r="C217" s="34"/>
      <c r="D217" s="34"/>
      <c r="E217" s="34"/>
      <c r="F217" s="34"/>
      <c r="G217" s="34"/>
      <c r="H217" s="60"/>
      <c r="I217" s="60"/>
      <c r="J217" s="43"/>
      <c r="K217" s="43"/>
      <c r="L217" s="43"/>
      <c r="M217" s="43"/>
      <c r="N217" s="43"/>
      <c r="O217" s="43"/>
      <c r="P217" s="43"/>
      <c r="Q217" s="43"/>
      <c r="R217" s="43"/>
    </row>
    <row r="218">
      <c r="A218" s="32"/>
      <c r="B218" s="34"/>
      <c r="C218" s="34"/>
      <c r="D218" s="34"/>
      <c r="E218" s="34"/>
      <c r="F218" s="34"/>
      <c r="G218" s="34"/>
      <c r="H218" s="60"/>
      <c r="I218" s="60"/>
      <c r="J218" s="43"/>
      <c r="K218" s="43"/>
      <c r="L218" s="43"/>
      <c r="M218" s="43"/>
      <c r="N218" s="43"/>
      <c r="O218" s="43"/>
      <c r="P218" s="43"/>
      <c r="Q218" s="43"/>
      <c r="R218" s="43"/>
    </row>
    <row r="219">
      <c r="A219" s="32"/>
      <c r="B219" s="34"/>
      <c r="C219" s="34"/>
      <c r="D219" s="34"/>
      <c r="E219" s="34"/>
      <c r="F219" s="34"/>
      <c r="G219" s="34"/>
      <c r="H219" s="60"/>
      <c r="I219" s="60"/>
      <c r="J219" s="43"/>
      <c r="K219" s="43"/>
      <c r="L219" s="43"/>
      <c r="M219" s="43"/>
      <c r="N219" s="43"/>
      <c r="O219" s="43"/>
      <c r="P219" s="43"/>
      <c r="Q219" s="43"/>
      <c r="R219" s="43"/>
    </row>
    <row r="220">
      <c r="A220" s="32"/>
      <c r="B220" s="34"/>
      <c r="C220" s="34"/>
      <c r="D220" s="34"/>
      <c r="E220" s="34"/>
      <c r="F220" s="34"/>
      <c r="G220" s="34"/>
      <c r="H220" s="60"/>
      <c r="I220" s="60"/>
      <c r="J220" s="43"/>
      <c r="K220" s="43"/>
      <c r="L220" s="43"/>
      <c r="M220" s="43"/>
      <c r="N220" s="43"/>
      <c r="O220" s="43"/>
      <c r="P220" s="43"/>
      <c r="Q220" s="43"/>
      <c r="R220" s="43"/>
    </row>
    <row r="221">
      <c r="A221" s="32"/>
      <c r="B221" s="34"/>
      <c r="C221" s="34"/>
      <c r="D221" s="34"/>
      <c r="E221" s="34"/>
      <c r="F221" s="34"/>
      <c r="G221" s="34"/>
      <c r="H221" s="60"/>
      <c r="I221" s="60"/>
      <c r="J221" s="43"/>
      <c r="K221" s="43"/>
      <c r="L221" s="43"/>
      <c r="M221" s="43"/>
      <c r="N221" s="43"/>
      <c r="O221" s="43"/>
      <c r="P221" s="43"/>
      <c r="Q221" s="43"/>
      <c r="R221" s="43"/>
    </row>
    <row r="222">
      <c r="A222" s="32"/>
      <c r="B222" s="34"/>
      <c r="C222" s="34"/>
      <c r="D222" s="34"/>
      <c r="E222" s="34"/>
      <c r="F222" s="34"/>
      <c r="G222" s="34"/>
      <c r="H222" s="60"/>
      <c r="I222" s="60"/>
      <c r="J222" s="43"/>
      <c r="K222" s="43"/>
      <c r="L222" s="43"/>
      <c r="M222" s="43"/>
      <c r="N222" s="43"/>
      <c r="O222" s="43"/>
      <c r="P222" s="43"/>
      <c r="Q222" s="43"/>
      <c r="R222" s="43"/>
    </row>
    <row r="223">
      <c r="A223" s="32"/>
      <c r="B223" s="34"/>
      <c r="C223" s="34"/>
      <c r="D223" s="34"/>
      <c r="E223" s="34"/>
      <c r="F223" s="34"/>
      <c r="G223" s="34"/>
      <c r="H223" s="60"/>
      <c r="I223" s="60"/>
      <c r="J223" s="43"/>
      <c r="K223" s="43"/>
      <c r="L223" s="43"/>
      <c r="M223" s="43"/>
      <c r="N223" s="43"/>
      <c r="O223" s="43"/>
      <c r="P223" s="43"/>
      <c r="Q223" s="43"/>
      <c r="R223" s="43"/>
    </row>
    <row r="224">
      <c r="A224" s="32"/>
      <c r="B224" s="34"/>
      <c r="C224" s="34"/>
      <c r="D224" s="34"/>
      <c r="E224" s="34"/>
      <c r="F224" s="34"/>
      <c r="G224" s="34"/>
      <c r="H224" s="60"/>
      <c r="I224" s="60"/>
      <c r="J224" s="43"/>
      <c r="K224" s="43"/>
      <c r="L224" s="43"/>
      <c r="M224" s="43"/>
      <c r="N224" s="43"/>
      <c r="O224" s="43"/>
      <c r="P224" s="43"/>
      <c r="Q224" s="43"/>
      <c r="R224" s="43"/>
    </row>
    <row r="225">
      <c r="A225" s="32"/>
      <c r="B225" s="34"/>
      <c r="C225" s="34"/>
      <c r="D225" s="34"/>
      <c r="E225" s="34"/>
      <c r="F225" s="34"/>
      <c r="G225" s="34"/>
      <c r="H225" s="60"/>
      <c r="I225" s="60"/>
      <c r="J225" s="43"/>
      <c r="K225" s="43"/>
      <c r="L225" s="43"/>
      <c r="M225" s="43"/>
      <c r="N225" s="43"/>
      <c r="O225" s="43"/>
      <c r="P225" s="43"/>
      <c r="Q225" s="43"/>
      <c r="R225" s="43"/>
    </row>
    <row r="226">
      <c r="A226" s="32"/>
      <c r="B226" s="34"/>
      <c r="C226" s="34"/>
      <c r="D226" s="34"/>
      <c r="E226" s="34"/>
      <c r="F226" s="34"/>
      <c r="G226" s="34"/>
      <c r="H226" s="60"/>
      <c r="I226" s="60"/>
      <c r="J226" s="43"/>
      <c r="K226" s="43"/>
      <c r="L226" s="43"/>
      <c r="M226" s="43"/>
      <c r="N226" s="43"/>
      <c r="O226" s="43"/>
      <c r="P226" s="43"/>
      <c r="Q226" s="43"/>
      <c r="R226" s="43"/>
    </row>
    <row r="227">
      <c r="A227" s="32"/>
      <c r="B227" s="34"/>
      <c r="C227" s="34"/>
      <c r="D227" s="34"/>
      <c r="E227" s="34"/>
      <c r="F227" s="34"/>
      <c r="G227" s="34"/>
      <c r="H227" s="60"/>
      <c r="I227" s="60"/>
      <c r="J227" s="43"/>
      <c r="K227" s="43"/>
      <c r="L227" s="43"/>
      <c r="M227" s="43"/>
      <c r="N227" s="43"/>
      <c r="O227" s="43"/>
      <c r="P227" s="43"/>
      <c r="Q227" s="43"/>
      <c r="R227" s="43"/>
    </row>
    <row r="228">
      <c r="A228" s="32"/>
      <c r="B228" s="34"/>
      <c r="C228" s="34"/>
      <c r="D228" s="34"/>
      <c r="E228" s="34"/>
      <c r="F228" s="34"/>
      <c r="G228" s="34"/>
      <c r="H228" s="60"/>
      <c r="I228" s="60"/>
      <c r="J228" s="43"/>
      <c r="K228" s="43"/>
      <c r="L228" s="43"/>
      <c r="M228" s="43"/>
      <c r="N228" s="43"/>
      <c r="O228" s="43"/>
      <c r="P228" s="43"/>
      <c r="Q228" s="43"/>
      <c r="R228" s="43"/>
    </row>
    <row r="229">
      <c r="A229" s="32"/>
      <c r="B229" s="34"/>
      <c r="C229" s="34"/>
      <c r="D229" s="34"/>
      <c r="E229" s="34"/>
      <c r="F229" s="34"/>
      <c r="G229" s="34"/>
      <c r="H229" s="60"/>
      <c r="I229" s="60"/>
      <c r="J229" s="43"/>
      <c r="K229" s="43"/>
      <c r="L229" s="43"/>
      <c r="M229" s="43"/>
      <c r="N229" s="43"/>
      <c r="O229" s="43"/>
      <c r="P229" s="43"/>
      <c r="Q229" s="43"/>
      <c r="R229" s="43"/>
    </row>
    <row r="230">
      <c r="A230" s="32"/>
      <c r="B230" s="34"/>
      <c r="C230" s="34"/>
      <c r="D230" s="34"/>
      <c r="E230" s="34"/>
      <c r="F230" s="34"/>
      <c r="G230" s="34"/>
      <c r="H230" s="60"/>
      <c r="I230" s="60"/>
      <c r="J230" s="43"/>
      <c r="K230" s="43"/>
      <c r="L230" s="43"/>
      <c r="M230" s="43"/>
      <c r="N230" s="43"/>
      <c r="O230" s="43"/>
      <c r="P230" s="43"/>
      <c r="Q230" s="43"/>
      <c r="R230" s="43"/>
    </row>
    <row r="231">
      <c r="A231" s="32"/>
      <c r="B231" s="34"/>
      <c r="C231" s="34"/>
      <c r="D231" s="34"/>
      <c r="E231" s="34"/>
      <c r="F231" s="34"/>
      <c r="G231" s="34"/>
      <c r="H231" s="60"/>
      <c r="I231" s="60"/>
      <c r="J231" s="43"/>
      <c r="K231" s="43"/>
      <c r="L231" s="43"/>
      <c r="M231" s="43"/>
      <c r="N231" s="43"/>
      <c r="O231" s="43"/>
      <c r="P231" s="43"/>
      <c r="Q231" s="43"/>
      <c r="R231" s="43"/>
    </row>
    <row r="232">
      <c r="A232" s="32"/>
      <c r="B232" s="34"/>
      <c r="C232" s="34"/>
      <c r="D232" s="34"/>
      <c r="E232" s="34"/>
      <c r="F232" s="34"/>
      <c r="G232" s="34"/>
      <c r="H232" s="60"/>
      <c r="I232" s="60"/>
      <c r="J232" s="43"/>
      <c r="K232" s="43"/>
      <c r="L232" s="43"/>
      <c r="M232" s="43"/>
      <c r="N232" s="43"/>
      <c r="O232" s="43"/>
      <c r="P232" s="43"/>
      <c r="Q232" s="43"/>
      <c r="R232" s="43"/>
    </row>
    <row r="233">
      <c r="A233" s="32"/>
      <c r="B233" s="34"/>
      <c r="C233" s="34"/>
      <c r="D233" s="34"/>
      <c r="E233" s="34"/>
      <c r="F233" s="34"/>
      <c r="G233" s="34"/>
      <c r="H233" s="60"/>
      <c r="I233" s="60"/>
      <c r="J233" s="43"/>
      <c r="K233" s="43"/>
      <c r="L233" s="43"/>
      <c r="M233" s="43"/>
      <c r="N233" s="43"/>
      <c r="O233" s="43"/>
      <c r="P233" s="43"/>
      <c r="Q233" s="43"/>
      <c r="R233" s="43"/>
    </row>
    <row r="234">
      <c r="A234" s="32"/>
      <c r="B234" s="34"/>
      <c r="C234" s="34"/>
      <c r="D234" s="34"/>
      <c r="E234" s="34"/>
      <c r="F234" s="34"/>
      <c r="G234" s="34"/>
      <c r="H234" s="60"/>
      <c r="I234" s="60"/>
      <c r="J234" s="43"/>
      <c r="K234" s="43"/>
      <c r="L234" s="43"/>
      <c r="M234" s="43"/>
      <c r="N234" s="43"/>
      <c r="O234" s="43"/>
      <c r="P234" s="43"/>
      <c r="Q234" s="43"/>
      <c r="R234" s="43"/>
    </row>
    <row r="235">
      <c r="A235" s="32"/>
      <c r="B235" s="34"/>
      <c r="C235" s="34"/>
      <c r="D235" s="34"/>
      <c r="E235" s="34"/>
      <c r="F235" s="34"/>
      <c r="G235" s="34"/>
      <c r="H235" s="60"/>
      <c r="I235" s="60"/>
      <c r="J235" s="43"/>
      <c r="K235" s="43"/>
      <c r="L235" s="43"/>
      <c r="M235" s="43"/>
      <c r="N235" s="43"/>
      <c r="O235" s="43"/>
      <c r="P235" s="43"/>
      <c r="Q235" s="43"/>
      <c r="R235" s="43"/>
    </row>
    <row r="236">
      <c r="A236" s="32"/>
      <c r="B236" s="34"/>
      <c r="C236" s="34"/>
      <c r="D236" s="34"/>
      <c r="E236" s="34"/>
      <c r="F236" s="34"/>
      <c r="G236" s="34"/>
      <c r="H236" s="60"/>
      <c r="I236" s="60"/>
      <c r="J236" s="43"/>
      <c r="K236" s="43"/>
      <c r="L236" s="43"/>
      <c r="M236" s="43"/>
      <c r="N236" s="43"/>
      <c r="O236" s="43"/>
      <c r="P236" s="43"/>
      <c r="Q236" s="43"/>
      <c r="R236" s="43"/>
    </row>
    <row r="237">
      <c r="A237" s="32"/>
      <c r="B237" s="34"/>
      <c r="C237" s="34"/>
      <c r="D237" s="34"/>
      <c r="E237" s="34"/>
      <c r="F237" s="34"/>
      <c r="G237" s="34"/>
      <c r="H237" s="60"/>
      <c r="I237" s="60"/>
      <c r="J237" s="43"/>
      <c r="K237" s="43"/>
      <c r="L237" s="43"/>
      <c r="M237" s="43"/>
      <c r="N237" s="43"/>
      <c r="O237" s="43"/>
      <c r="P237" s="43"/>
      <c r="Q237" s="43"/>
      <c r="R237" s="43"/>
    </row>
    <row r="238">
      <c r="A238" s="32"/>
      <c r="B238" s="34"/>
      <c r="C238" s="34"/>
      <c r="D238" s="34"/>
      <c r="E238" s="34"/>
      <c r="F238" s="34"/>
      <c r="G238" s="34"/>
      <c r="H238" s="60"/>
      <c r="I238" s="60"/>
      <c r="J238" s="43"/>
      <c r="K238" s="43"/>
      <c r="L238" s="43"/>
      <c r="M238" s="43"/>
      <c r="N238" s="43"/>
      <c r="O238" s="43"/>
      <c r="P238" s="43"/>
      <c r="Q238" s="43"/>
      <c r="R238" s="43"/>
    </row>
    <row r="239">
      <c r="A239" s="32"/>
      <c r="B239" s="34"/>
      <c r="C239" s="34"/>
      <c r="D239" s="34"/>
      <c r="E239" s="34"/>
      <c r="F239" s="34"/>
      <c r="G239" s="34"/>
      <c r="H239" s="60"/>
      <c r="I239" s="60"/>
      <c r="J239" s="43"/>
      <c r="K239" s="43"/>
      <c r="L239" s="43"/>
      <c r="M239" s="43"/>
      <c r="N239" s="43"/>
      <c r="O239" s="43"/>
      <c r="P239" s="43"/>
      <c r="Q239" s="43"/>
      <c r="R239" s="43"/>
    </row>
    <row r="240">
      <c r="A240" s="32"/>
      <c r="B240" s="34"/>
      <c r="C240" s="34"/>
      <c r="D240" s="34"/>
      <c r="E240" s="34"/>
      <c r="F240" s="34"/>
      <c r="G240" s="34"/>
      <c r="H240" s="60"/>
      <c r="I240" s="60"/>
      <c r="J240" s="43"/>
      <c r="K240" s="43"/>
      <c r="L240" s="43"/>
      <c r="M240" s="43"/>
      <c r="N240" s="43"/>
      <c r="O240" s="43"/>
      <c r="P240" s="43"/>
      <c r="Q240" s="43"/>
      <c r="R240" s="43"/>
    </row>
    <row r="241">
      <c r="A241" s="32"/>
      <c r="B241" s="34"/>
      <c r="C241" s="34"/>
      <c r="D241" s="34"/>
      <c r="E241" s="34"/>
      <c r="F241" s="34"/>
      <c r="G241" s="34"/>
      <c r="H241" s="60"/>
      <c r="I241" s="60"/>
      <c r="J241" s="43"/>
      <c r="K241" s="43"/>
      <c r="L241" s="43"/>
      <c r="M241" s="43"/>
      <c r="N241" s="43"/>
      <c r="O241" s="43"/>
      <c r="P241" s="43"/>
      <c r="Q241" s="43"/>
      <c r="R241" s="43"/>
    </row>
    <row r="242">
      <c r="A242" s="32"/>
      <c r="B242" s="34"/>
      <c r="C242" s="34"/>
      <c r="D242" s="34"/>
      <c r="E242" s="34"/>
      <c r="F242" s="34"/>
      <c r="G242" s="34"/>
      <c r="H242" s="60"/>
      <c r="I242" s="60"/>
      <c r="J242" s="43"/>
      <c r="K242" s="43"/>
      <c r="L242" s="43"/>
      <c r="M242" s="43"/>
      <c r="N242" s="43"/>
      <c r="O242" s="43"/>
      <c r="P242" s="43"/>
      <c r="Q242" s="43"/>
      <c r="R242" s="43"/>
    </row>
    <row r="243">
      <c r="A243" s="32"/>
      <c r="B243" s="34"/>
      <c r="C243" s="34"/>
      <c r="D243" s="34"/>
      <c r="E243" s="34"/>
      <c r="F243" s="34"/>
      <c r="G243" s="34"/>
      <c r="H243" s="60"/>
      <c r="I243" s="60"/>
      <c r="J243" s="43"/>
      <c r="K243" s="43"/>
      <c r="L243" s="43"/>
      <c r="M243" s="43"/>
      <c r="N243" s="43"/>
      <c r="O243" s="43"/>
      <c r="P243" s="43"/>
      <c r="Q243" s="43"/>
      <c r="R243" s="43"/>
    </row>
    <row r="244">
      <c r="A244" s="32"/>
      <c r="B244" s="34"/>
      <c r="C244" s="34"/>
      <c r="D244" s="34"/>
      <c r="E244" s="34"/>
      <c r="F244" s="34"/>
      <c r="G244" s="34"/>
      <c r="H244" s="60"/>
      <c r="I244" s="60"/>
      <c r="J244" s="43"/>
      <c r="K244" s="43"/>
      <c r="L244" s="43"/>
      <c r="M244" s="43"/>
      <c r="N244" s="43"/>
      <c r="O244" s="43"/>
      <c r="P244" s="43"/>
      <c r="Q244" s="43"/>
      <c r="R244" s="43"/>
    </row>
    <row r="245">
      <c r="A245" s="32"/>
      <c r="B245" s="34"/>
      <c r="C245" s="34"/>
      <c r="D245" s="34"/>
      <c r="E245" s="34"/>
      <c r="F245" s="34"/>
      <c r="G245" s="34"/>
      <c r="H245" s="60"/>
      <c r="I245" s="60"/>
      <c r="J245" s="43"/>
      <c r="K245" s="43"/>
      <c r="L245" s="43"/>
      <c r="M245" s="43"/>
      <c r="N245" s="43"/>
      <c r="O245" s="43"/>
      <c r="P245" s="43"/>
      <c r="Q245" s="43"/>
      <c r="R245" s="43"/>
    </row>
    <row r="246">
      <c r="A246" s="32"/>
      <c r="B246" s="34"/>
      <c r="C246" s="34"/>
      <c r="D246" s="34"/>
      <c r="E246" s="34"/>
      <c r="F246" s="34"/>
      <c r="G246" s="34"/>
      <c r="H246" s="60"/>
      <c r="I246" s="60"/>
      <c r="J246" s="43"/>
      <c r="K246" s="43"/>
      <c r="L246" s="43"/>
      <c r="M246" s="43"/>
      <c r="N246" s="43"/>
      <c r="O246" s="43"/>
      <c r="P246" s="43"/>
      <c r="Q246" s="43"/>
      <c r="R246" s="43"/>
    </row>
    <row r="247">
      <c r="A247" s="32"/>
      <c r="B247" s="34"/>
      <c r="C247" s="34"/>
      <c r="D247" s="34"/>
      <c r="E247" s="34"/>
      <c r="F247" s="34"/>
      <c r="G247" s="34"/>
      <c r="H247" s="60"/>
      <c r="I247" s="60"/>
      <c r="J247" s="43"/>
      <c r="K247" s="43"/>
      <c r="L247" s="43"/>
      <c r="M247" s="43"/>
      <c r="N247" s="43"/>
      <c r="O247" s="43"/>
      <c r="P247" s="43"/>
      <c r="Q247" s="43"/>
      <c r="R247" s="43"/>
    </row>
    <row r="248">
      <c r="A248" s="32"/>
      <c r="B248" s="34"/>
      <c r="C248" s="34"/>
      <c r="D248" s="34"/>
      <c r="E248" s="34"/>
      <c r="F248" s="34"/>
      <c r="G248" s="34"/>
      <c r="H248" s="60"/>
      <c r="I248" s="60"/>
      <c r="J248" s="43"/>
      <c r="K248" s="43"/>
      <c r="L248" s="43"/>
      <c r="M248" s="43"/>
      <c r="N248" s="43"/>
      <c r="O248" s="43"/>
      <c r="P248" s="43"/>
      <c r="Q248" s="43"/>
      <c r="R248" s="43"/>
    </row>
    <row r="249">
      <c r="A249" s="32"/>
      <c r="B249" s="34"/>
      <c r="C249" s="34"/>
      <c r="D249" s="34"/>
      <c r="E249" s="34"/>
      <c r="F249" s="34"/>
      <c r="G249" s="34"/>
      <c r="H249" s="60"/>
      <c r="I249" s="60"/>
      <c r="J249" s="43"/>
      <c r="K249" s="43"/>
      <c r="L249" s="43"/>
      <c r="M249" s="43"/>
      <c r="N249" s="43"/>
      <c r="O249" s="43"/>
      <c r="P249" s="43"/>
      <c r="Q249" s="43"/>
      <c r="R249" s="43"/>
    </row>
    <row r="250">
      <c r="A250" s="32"/>
      <c r="B250" s="34"/>
      <c r="C250" s="34"/>
      <c r="D250" s="34"/>
      <c r="E250" s="34"/>
      <c r="F250" s="34"/>
      <c r="G250" s="34"/>
      <c r="H250" s="60"/>
      <c r="I250" s="60"/>
      <c r="J250" s="43"/>
      <c r="K250" s="43"/>
      <c r="L250" s="43"/>
      <c r="M250" s="43"/>
      <c r="N250" s="43"/>
      <c r="O250" s="43"/>
      <c r="P250" s="43"/>
      <c r="Q250" s="43"/>
      <c r="R250" s="43"/>
    </row>
    <row r="251">
      <c r="A251" s="32"/>
      <c r="B251" s="34"/>
      <c r="C251" s="34"/>
      <c r="D251" s="34"/>
      <c r="E251" s="34"/>
      <c r="F251" s="34"/>
      <c r="G251" s="34"/>
      <c r="H251" s="60"/>
      <c r="I251" s="60"/>
      <c r="J251" s="43"/>
      <c r="K251" s="43"/>
      <c r="L251" s="43"/>
      <c r="M251" s="43"/>
      <c r="N251" s="43"/>
      <c r="O251" s="43"/>
      <c r="P251" s="43"/>
      <c r="Q251" s="43"/>
      <c r="R251" s="43"/>
    </row>
    <row r="252">
      <c r="A252" s="32"/>
      <c r="B252" s="34"/>
      <c r="C252" s="34"/>
      <c r="D252" s="34"/>
      <c r="E252" s="34"/>
      <c r="F252" s="34"/>
      <c r="G252" s="34"/>
      <c r="H252" s="60"/>
      <c r="I252" s="60"/>
      <c r="J252" s="43"/>
      <c r="K252" s="43"/>
      <c r="L252" s="43"/>
      <c r="M252" s="43"/>
      <c r="N252" s="43"/>
      <c r="O252" s="43"/>
      <c r="P252" s="43"/>
      <c r="Q252" s="43"/>
      <c r="R252" s="43"/>
    </row>
    <row r="253">
      <c r="A253" s="32"/>
      <c r="B253" s="34"/>
      <c r="C253" s="34"/>
      <c r="D253" s="34"/>
      <c r="E253" s="34"/>
      <c r="F253" s="34"/>
      <c r="G253" s="34"/>
      <c r="H253" s="60"/>
      <c r="I253" s="60"/>
      <c r="J253" s="43"/>
      <c r="K253" s="43"/>
      <c r="L253" s="43"/>
      <c r="M253" s="43"/>
      <c r="N253" s="43"/>
      <c r="O253" s="43"/>
      <c r="P253" s="43"/>
      <c r="Q253" s="43"/>
      <c r="R253" s="43"/>
    </row>
    <row r="254">
      <c r="A254" s="32"/>
      <c r="B254" s="34"/>
      <c r="C254" s="34"/>
      <c r="D254" s="34"/>
      <c r="E254" s="34"/>
      <c r="F254" s="34"/>
      <c r="G254" s="34"/>
      <c r="H254" s="60"/>
      <c r="I254" s="60"/>
      <c r="J254" s="43"/>
      <c r="K254" s="43"/>
      <c r="L254" s="43"/>
      <c r="M254" s="43"/>
      <c r="N254" s="43"/>
      <c r="O254" s="43"/>
      <c r="P254" s="43"/>
      <c r="Q254" s="43"/>
      <c r="R254" s="43"/>
    </row>
    <row r="255">
      <c r="A255" s="32"/>
      <c r="B255" s="34"/>
      <c r="C255" s="34"/>
      <c r="D255" s="34"/>
      <c r="E255" s="34"/>
      <c r="F255" s="34"/>
      <c r="G255" s="34"/>
      <c r="H255" s="60"/>
      <c r="I255" s="60"/>
      <c r="J255" s="43"/>
      <c r="K255" s="43"/>
      <c r="L255" s="43"/>
      <c r="M255" s="43"/>
      <c r="N255" s="43"/>
      <c r="O255" s="43"/>
      <c r="P255" s="43"/>
      <c r="Q255" s="43"/>
      <c r="R255" s="43"/>
    </row>
    <row r="256">
      <c r="A256" s="32"/>
      <c r="B256" s="34"/>
      <c r="C256" s="34"/>
      <c r="D256" s="34"/>
      <c r="E256" s="34"/>
      <c r="F256" s="34"/>
      <c r="G256" s="34"/>
      <c r="H256" s="60"/>
      <c r="I256" s="60"/>
      <c r="J256" s="43"/>
      <c r="K256" s="43"/>
      <c r="L256" s="43"/>
      <c r="M256" s="43"/>
      <c r="N256" s="43"/>
      <c r="O256" s="43"/>
      <c r="P256" s="43"/>
      <c r="Q256" s="43"/>
      <c r="R256" s="43"/>
    </row>
    <row r="257">
      <c r="A257" s="32"/>
      <c r="B257" s="34"/>
      <c r="C257" s="34"/>
      <c r="D257" s="34"/>
      <c r="E257" s="34"/>
      <c r="F257" s="34"/>
      <c r="G257" s="34"/>
      <c r="H257" s="60"/>
      <c r="I257" s="60"/>
      <c r="J257" s="43"/>
      <c r="K257" s="43"/>
      <c r="L257" s="43"/>
      <c r="M257" s="43"/>
      <c r="N257" s="43"/>
      <c r="O257" s="43"/>
      <c r="P257" s="43"/>
      <c r="Q257" s="43"/>
      <c r="R257" s="43"/>
    </row>
    <row r="258">
      <c r="A258" s="32"/>
      <c r="B258" s="34"/>
      <c r="C258" s="34"/>
      <c r="D258" s="34"/>
      <c r="E258" s="34"/>
      <c r="F258" s="34"/>
      <c r="G258" s="34"/>
      <c r="H258" s="60"/>
      <c r="I258" s="60"/>
      <c r="J258" s="43"/>
      <c r="K258" s="43"/>
      <c r="L258" s="43"/>
      <c r="M258" s="43"/>
      <c r="N258" s="43"/>
      <c r="O258" s="43"/>
      <c r="P258" s="43"/>
      <c r="Q258" s="43"/>
      <c r="R258" s="43"/>
    </row>
    <row r="259">
      <c r="A259" s="32"/>
      <c r="B259" s="34"/>
      <c r="C259" s="34"/>
      <c r="D259" s="34"/>
      <c r="E259" s="34"/>
      <c r="F259" s="34"/>
      <c r="G259" s="34"/>
      <c r="H259" s="60"/>
      <c r="I259" s="60"/>
      <c r="J259" s="43"/>
      <c r="K259" s="43"/>
      <c r="L259" s="43"/>
      <c r="M259" s="43"/>
      <c r="N259" s="43"/>
      <c r="O259" s="43"/>
      <c r="P259" s="43"/>
      <c r="Q259" s="43"/>
      <c r="R259" s="43"/>
    </row>
    <row r="260">
      <c r="A260" s="32"/>
      <c r="B260" s="34"/>
      <c r="C260" s="34"/>
      <c r="D260" s="34"/>
      <c r="E260" s="34"/>
      <c r="F260" s="34"/>
      <c r="G260" s="34"/>
      <c r="H260" s="60"/>
      <c r="I260" s="60"/>
      <c r="J260" s="43"/>
      <c r="K260" s="43"/>
      <c r="L260" s="43"/>
      <c r="M260" s="43"/>
      <c r="N260" s="43"/>
      <c r="O260" s="43"/>
      <c r="P260" s="43"/>
      <c r="Q260" s="43"/>
      <c r="R260" s="43"/>
    </row>
    <row r="261">
      <c r="A261" s="32"/>
      <c r="B261" s="34"/>
      <c r="C261" s="34"/>
      <c r="D261" s="34"/>
      <c r="E261" s="34"/>
      <c r="F261" s="34"/>
      <c r="G261" s="34"/>
      <c r="H261" s="60"/>
      <c r="I261" s="60"/>
      <c r="J261" s="43"/>
      <c r="K261" s="43"/>
      <c r="L261" s="43"/>
      <c r="M261" s="43"/>
      <c r="N261" s="43"/>
      <c r="O261" s="43"/>
      <c r="P261" s="43"/>
      <c r="Q261" s="43"/>
      <c r="R261" s="43"/>
    </row>
    <row r="262">
      <c r="A262" s="32"/>
      <c r="B262" s="34"/>
      <c r="C262" s="34"/>
      <c r="D262" s="34"/>
      <c r="E262" s="34"/>
      <c r="F262" s="34"/>
      <c r="G262" s="34"/>
      <c r="H262" s="60"/>
      <c r="I262" s="60"/>
      <c r="J262" s="43"/>
      <c r="K262" s="43"/>
      <c r="L262" s="43"/>
      <c r="M262" s="43"/>
      <c r="N262" s="43"/>
      <c r="O262" s="43"/>
      <c r="P262" s="43"/>
      <c r="Q262" s="43"/>
      <c r="R262" s="43"/>
    </row>
    <row r="263">
      <c r="A263" s="32"/>
      <c r="B263" s="34"/>
      <c r="C263" s="34"/>
      <c r="D263" s="34"/>
      <c r="E263" s="34"/>
      <c r="F263" s="34"/>
      <c r="G263" s="34"/>
      <c r="H263" s="60"/>
      <c r="I263" s="60"/>
      <c r="J263" s="43"/>
      <c r="K263" s="43"/>
      <c r="L263" s="43"/>
      <c r="M263" s="43"/>
      <c r="N263" s="43"/>
      <c r="O263" s="43"/>
      <c r="P263" s="43"/>
      <c r="Q263" s="43"/>
      <c r="R263" s="43"/>
    </row>
    <row r="264">
      <c r="A264" s="32"/>
      <c r="B264" s="34"/>
      <c r="C264" s="34"/>
      <c r="D264" s="34"/>
      <c r="E264" s="34"/>
      <c r="F264" s="34"/>
      <c r="G264" s="34"/>
      <c r="H264" s="60"/>
      <c r="I264" s="60"/>
      <c r="J264" s="43"/>
      <c r="K264" s="43"/>
      <c r="L264" s="43"/>
      <c r="M264" s="43"/>
      <c r="N264" s="43"/>
      <c r="O264" s="43"/>
      <c r="P264" s="43"/>
      <c r="Q264" s="43"/>
      <c r="R264" s="43"/>
    </row>
    <row r="265">
      <c r="A265" s="32"/>
      <c r="B265" s="34"/>
      <c r="C265" s="34"/>
      <c r="D265" s="34"/>
      <c r="E265" s="34"/>
      <c r="F265" s="34"/>
      <c r="G265" s="34"/>
      <c r="H265" s="60"/>
      <c r="I265" s="60"/>
      <c r="J265" s="43"/>
      <c r="K265" s="43"/>
      <c r="L265" s="43"/>
      <c r="M265" s="43"/>
      <c r="N265" s="43"/>
      <c r="O265" s="43"/>
      <c r="P265" s="43"/>
      <c r="Q265" s="43"/>
      <c r="R265" s="43"/>
    </row>
    <row r="266">
      <c r="A266" s="32"/>
      <c r="B266" s="34"/>
      <c r="C266" s="34"/>
      <c r="D266" s="34"/>
      <c r="E266" s="34"/>
      <c r="F266" s="34"/>
      <c r="G266" s="34"/>
      <c r="H266" s="60"/>
      <c r="I266" s="60"/>
      <c r="J266" s="43"/>
      <c r="K266" s="43"/>
      <c r="L266" s="43"/>
      <c r="M266" s="43"/>
      <c r="N266" s="43"/>
      <c r="O266" s="43"/>
      <c r="P266" s="43"/>
      <c r="Q266" s="43"/>
      <c r="R266" s="43"/>
    </row>
    <row r="267">
      <c r="A267" s="32"/>
      <c r="B267" s="34"/>
      <c r="C267" s="34"/>
      <c r="D267" s="34"/>
      <c r="E267" s="34"/>
      <c r="F267" s="34"/>
      <c r="G267" s="34"/>
      <c r="H267" s="60"/>
      <c r="I267" s="60"/>
      <c r="J267" s="43"/>
      <c r="K267" s="43"/>
      <c r="L267" s="43"/>
      <c r="M267" s="43"/>
      <c r="N267" s="43"/>
      <c r="O267" s="43"/>
      <c r="P267" s="43"/>
      <c r="Q267" s="43"/>
      <c r="R267" s="43"/>
    </row>
    <row r="268">
      <c r="A268" s="32"/>
      <c r="B268" s="34"/>
      <c r="C268" s="34"/>
      <c r="D268" s="34"/>
      <c r="E268" s="34"/>
      <c r="F268" s="34"/>
      <c r="G268" s="34"/>
      <c r="H268" s="60"/>
      <c r="I268" s="60"/>
      <c r="J268" s="43"/>
      <c r="K268" s="43"/>
      <c r="L268" s="43"/>
      <c r="M268" s="43"/>
      <c r="N268" s="43"/>
      <c r="O268" s="43"/>
      <c r="P268" s="43"/>
      <c r="Q268" s="43"/>
      <c r="R268" s="43"/>
    </row>
    <row r="269">
      <c r="A269" s="32"/>
      <c r="B269" s="34"/>
      <c r="C269" s="34"/>
      <c r="D269" s="34"/>
      <c r="E269" s="34"/>
      <c r="F269" s="34"/>
      <c r="G269" s="34"/>
      <c r="H269" s="60"/>
      <c r="I269" s="60"/>
      <c r="J269" s="43"/>
      <c r="K269" s="43"/>
      <c r="L269" s="43"/>
      <c r="M269" s="43"/>
      <c r="N269" s="43"/>
      <c r="O269" s="43"/>
      <c r="P269" s="43"/>
      <c r="Q269" s="43"/>
      <c r="R269" s="43"/>
    </row>
    <row r="270">
      <c r="A270" s="32"/>
      <c r="B270" s="34"/>
      <c r="C270" s="34"/>
      <c r="D270" s="34"/>
      <c r="E270" s="34"/>
      <c r="F270" s="34"/>
      <c r="G270" s="34"/>
      <c r="H270" s="60"/>
      <c r="I270" s="60"/>
      <c r="J270" s="43"/>
      <c r="K270" s="43"/>
      <c r="L270" s="43"/>
      <c r="M270" s="43"/>
      <c r="N270" s="43"/>
      <c r="O270" s="43"/>
      <c r="P270" s="43"/>
      <c r="Q270" s="43"/>
      <c r="R270" s="43"/>
    </row>
    <row r="271">
      <c r="A271" s="32"/>
      <c r="B271" s="34"/>
      <c r="C271" s="34"/>
      <c r="D271" s="34"/>
      <c r="E271" s="34"/>
      <c r="F271" s="34"/>
      <c r="G271" s="34"/>
      <c r="H271" s="60"/>
      <c r="I271" s="60"/>
      <c r="J271" s="43"/>
      <c r="K271" s="43"/>
      <c r="L271" s="43"/>
      <c r="M271" s="43"/>
      <c r="N271" s="43"/>
      <c r="O271" s="43"/>
      <c r="P271" s="43"/>
      <c r="Q271" s="43"/>
      <c r="R271" s="43"/>
    </row>
    <row r="272">
      <c r="A272" s="32"/>
      <c r="B272" s="34"/>
      <c r="C272" s="34"/>
      <c r="D272" s="34"/>
      <c r="E272" s="34"/>
      <c r="F272" s="34"/>
      <c r="G272" s="34"/>
      <c r="H272" s="60"/>
      <c r="I272" s="60"/>
      <c r="J272" s="43"/>
      <c r="K272" s="43"/>
      <c r="L272" s="43"/>
      <c r="M272" s="43"/>
      <c r="N272" s="43"/>
      <c r="O272" s="43"/>
      <c r="P272" s="43"/>
      <c r="Q272" s="43"/>
      <c r="R272" s="43"/>
    </row>
    <row r="273">
      <c r="A273" s="32"/>
      <c r="B273" s="34"/>
      <c r="C273" s="34"/>
      <c r="D273" s="34"/>
      <c r="E273" s="34"/>
      <c r="F273" s="34"/>
      <c r="G273" s="34"/>
      <c r="H273" s="60"/>
      <c r="I273" s="60"/>
      <c r="J273" s="43"/>
      <c r="K273" s="43"/>
      <c r="L273" s="43"/>
      <c r="M273" s="43"/>
      <c r="N273" s="43"/>
      <c r="O273" s="43"/>
      <c r="P273" s="43"/>
      <c r="Q273" s="43"/>
      <c r="R273" s="43"/>
    </row>
    <row r="274">
      <c r="A274" s="32"/>
      <c r="B274" s="34"/>
      <c r="C274" s="34"/>
      <c r="D274" s="34"/>
      <c r="E274" s="34"/>
      <c r="F274" s="34"/>
      <c r="G274" s="34"/>
      <c r="H274" s="60"/>
      <c r="I274" s="60"/>
      <c r="J274" s="43"/>
      <c r="K274" s="43"/>
      <c r="L274" s="43"/>
      <c r="M274" s="43"/>
      <c r="N274" s="43"/>
      <c r="O274" s="43"/>
      <c r="P274" s="43"/>
      <c r="Q274" s="43"/>
      <c r="R274" s="43"/>
    </row>
    <row r="275">
      <c r="A275" s="32"/>
      <c r="B275" s="34"/>
      <c r="C275" s="34"/>
      <c r="D275" s="34"/>
      <c r="E275" s="34"/>
      <c r="F275" s="34"/>
      <c r="G275" s="34"/>
      <c r="H275" s="60"/>
      <c r="I275" s="60"/>
      <c r="J275" s="43"/>
      <c r="K275" s="43"/>
      <c r="L275" s="43"/>
      <c r="M275" s="43"/>
      <c r="N275" s="43"/>
      <c r="O275" s="43"/>
      <c r="P275" s="43"/>
      <c r="Q275" s="43"/>
      <c r="R275" s="43"/>
    </row>
    <row r="276">
      <c r="A276" s="32"/>
      <c r="B276" s="34"/>
      <c r="C276" s="34"/>
      <c r="D276" s="34"/>
      <c r="E276" s="34"/>
      <c r="F276" s="34"/>
      <c r="G276" s="34"/>
      <c r="H276" s="60"/>
      <c r="I276" s="60"/>
      <c r="J276" s="43"/>
      <c r="K276" s="43"/>
      <c r="L276" s="43"/>
      <c r="M276" s="43"/>
      <c r="N276" s="43"/>
      <c r="O276" s="43"/>
      <c r="P276" s="43"/>
      <c r="Q276" s="43"/>
      <c r="R276" s="43"/>
    </row>
    <row r="277">
      <c r="A277" s="32"/>
      <c r="B277" s="34"/>
      <c r="C277" s="34"/>
      <c r="D277" s="34"/>
      <c r="E277" s="34"/>
      <c r="F277" s="34"/>
      <c r="G277" s="34"/>
      <c r="H277" s="60"/>
      <c r="I277" s="60"/>
      <c r="J277" s="43"/>
      <c r="K277" s="43"/>
      <c r="L277" s="43"/>
      <c r="M277" s="43"/>
      <c r="N277" s="43"/>
      <c r="O277" s="43"/>
      <c r="P277" s="43"/>
      <c r="Q277" s="43"/>
      <c r="R277" s="43"/>
    </row>
    <row r="278">
      <c r="A278" s="32"/>
      <c r="B278" s="34"/>
      <c r="C278" s="34"/>
      <c r="D278" s="34"/>
      <c r="E278" s="34"/>
      <c r="F278" s="34"/>
      <c r="G278" s="34"/>
      <c r="H278" s="60"/>
      <c r="I278" s="60"/>
      <c r="J278" s="43"/>
      <c r="K278" s="43"/>
      <c r="L278" s="43"/>
      <c r="M278" s="43"/>
      <c r="N278" s="43"/>
      <c r="O278" s="43"/>
      <c r="P278" s="43"/>
      <c r="Q278" s="43"/>
      <c r="R278" s="43"/>
    </row>
    <row r="279">
      <c r="A279" s="32"/>
      <c r="B279" s="34"/>
      <c r="C279" s="34"/>
      <c r="D279" s="34"/>
      <c r="E279" s="34"/>
      <c r="F279" s="34"/>
      <c r="G279" s="34"/>
      <c r="H279" s="60"/>
      <c r="I279" s="60"/>
      <c r="J279" s="43"/>
      <c r="K279" s="43"/>
      <c r="L279" s="43"/>
      <c r="M279" s="43"/>
      <c r="N279" s="43"/>
      <c r="O279" s="43"/>
      <c r="P279" s="43"/>
      <c r="Q279" s="43"/>
      <c r="R279" s="43"/>
    </row>
    <row r="280">
      <c r="A280" s="32"/>
      <c r="B280" s="34"/>
      <c r="C280" s="34"/>
      <c r="D280" s="34"/>
      <c r="E280" s="34"/>
      <c r="F280" s="34"/>
      <c r="G280" s="34"/>
      <c r="H280" s="60"/>
      <c r="I280" s="60"/>
      <c r="J280" s="43"/>
      <c r="K280" s="43"/>
      <c r="L280" s="43"/>
      <c r="M280" s="43"/>
      <c r="N280" s="43"/>
      <c r="O280" s="43"/>
      <c r="P280" s="43"/>
      <c r="Q280" s="43"/>
      <c r="R280" s="43"/>
    </row>
    <row r="281">
      <c r="A281" s="32"/>
      <c r="B281" s="34"/>
      <c r="C281" s="34"/>
      <c r="D281" s="34"/>
      <c r="E281" s="34"/>
      <c r="F281" s="34"/>
      <c r="G281" s="34"/>
      <c r="H281" s="60"/>
      <c r="I281" s="60"/>
      <c r="J281" s="43"/>
      <c r="K281" s="43"/>
      <c r="L281" s="43"/>
      <c r="M281" s="43"/>
      <c r="N281" s="43"/>
      <c r="O281" s="43"/>
      <c r="P281" s="43"/>
      <c r="Q281" s="43"/>
      <c r="R281" s="43"/>
    </row>
    <row r="282">
      <c r="A282" s="32"/>
      <c r="B282" s="34"/>
      <c r="C282" s="34"/>
      <c r="D282" s="34"/>
      <c r="E282" s="34"/>
      <c r="F282" s="34"/>
      <c r="G282" s="34"/>
      <c r="H282" s="60"/>
      <c r="I282" s="60"/>
      <c r="J282" s="43"/>
      <c r="K282" s="43"/>
      <c r="L282" s="43"/>
      <c r="M282" s="43"/>
      <c r="N282" s="43"/>
      <c r="O282" s="43"/>
      <c r="P282" s="43"/>
      <c r="Q282" s="43"/>
      <c r="R282" s="43"/>
    </row>
    <row r="283">
      <c r="A283" s="32"/>
      <c r="B283" s="34"/>
      <c r="C283" s="34"/>
      <c r="D283" s="34"/>
      <c r="E283" s="34"/>
      <c r="F283" s="34"/>
      <c r="G283" s="34"/>
      <c r="H283" s="60"/>
      <c r="I283" s="60"/>
      <c r="J283" s="43"/>
      <c r="K283" s="43"/>
      <c r="L283" s="43"/>
      <c r="M283" s="43"/>
      <c r="N283" s="43"/>
      <c r="O283" s="43"/>
      <c r="P283" s="43"/>
      <c r="Q283" s="43"/>
      <c r="R283" s="43"/>
    </row>
    <row r="284">
      <c r="A284" s="32"/>
      <c r="B284" s="34"/>
      <c r="C284" s="34"/>
      <c r="D284" s="34"/>
      <c r="E284" s="34"/>
      <c r="F284" s="34"/>
      <c r="G284" s="34"/>
      <c r="H284" s="60"/>
      <c r="I284" s="60"/>
      <c r="J284" s="43"/>
      <c r="K284" s="43"/>
      <c r="L284" s="43"/>
      <c r="M284" s="43"/>
      <c r="N284" s="43"/>
      <c r="O284" s="43"/>
      <c r="P284" s="43"/>
      <c r="Q284" s="43"/>
      <c r="R284" s="43"/>
    </row>
    <row r="285">
      <c r="A285" s="32"/>
      <c r="B285" s="34"/>
      <c r="C285" s="34"/>
      <c r="D285" s="34"/>
      <c r="E285" s="34"/>
      <c r="F285" s="34"/>
      <c r="G285" s="34"/>
      <c r="H285" s="60"/>
      <c r="I285" s="60"/>
      <c r="J285" s="43"/>
      <c r="K285" s="43"/>
      <c r="L285" s="43"/>
      <c r="M285" s="43"/>
      <c r="N285" s="43"/>
      <c r="O285" s="43"/>
      <c r="P285" s="43"/>
      <c r="Q285" s="43"/>
      <c r="R285" s="43"/>
    </row>
    <row r="286">
      <c r="A286" s="32"/>
      <c r="B286" s="34"/>
      <c r="C286" s="34"/>
      <c r="D286" s="34"/>
      <c r="E286" s="34"/>
      <c r="F286" s="34"/>
      <c r="G286" s="34"/>
      <c r="H286" s="60"/>
      <c r="I286" s="60"/>
      <c r="J286" s="43"/>
      <c r="K286" s="43"/>
      <c r="L286" s="43"/>
      <c r="M286" s="43"/>
      <c r="N286" s="43"/>
      <c r="O286" s="43"/>
      <c r="P286" s="43"/>
      <c r="Q286" s="43"/>
      <c r="R286" s="43"/>
    </row>
    <row r="287">
      <c r="A287" s="32"/>
      <c r="B287" s="34"/>
      <c r="C287" s="34"/>
      <c r="D287" s="34"/>
      <c r="E287" s="34"/>
      <c r="F287" s="34"/>
      <c r="G287" s="34"/>
      <c r="H287" s="60"/>
      <c r="I287" s="60"/>
      <c r="J287" s="43"/>
      <c r="K287" s="43"/>
      <c r="L287" s="43"/>
      <c r="M287" s="43"/>
      <c r="N287" s="43"/>
      <c r="O287" s="43"/>
      <c r="P287" s="43"/>
      <c r="Q287" s="43"/>
      <c r="R287" s="43"/>
    </row>
    <row r="288">
      <c r="A288" s="32"/>
      <c r="B288" s="34"/>
      <c r="C288" s="34"/>
      <c r="D288" s="34"/>
      <c r="E288" s="34"/>
      <c r="F288" s="34"/>
      <c r="G288" s="34"/>
      <c r="H288" s="60"/>
      <c r="I288" s="60"/>
      <c r="J288" s="43"/>
      <c r="K288" s="43"/>
      <c r="L288" s="43"/>
      <c r="M288" s="43"/>
      <c r="N288" s="43"/>
      <c r="O288" s="43"/>
      <c r="P288" s="43"/>
      <c r="Q288" s="43"/>
      <c r="R288" s="43"/>
    </row>
    <row r="289">
      <c r="A289" s="32"/>
      <c r="B289" s="34"/>
      <c r="C289" s="34"/>
      <c r="D289" s="34"/>
      <c r="E289" s="34"/>
      <c r="F289" s="34"/>
      <c r="G289" s="34"/>
      <c r="H289" s="60"/>
      <c r="I289" s="60"/>
      <c r="J289" s="43"/>
      <c r="K289" s="43"/>
      <c r="L289" s="43"/>
      <c r="M289" s="43"/>
      <c r="N289" s="43"/>
      <c r="O289" s="43"/>
      <c r="P289" s="43"/>
      <c r="Q289" s="43"/>
      <c r="R289" s="43"/>
    </row>
    <row r="290">
      <c r="A290" s="32"/>
      <c r="B290" s="34"/>
      <c r="C290" s="34"/>
      <c r="D290" s="34"/>
      <c r="E290" s="34"/>
      <c r="F290" s="34"/>
      <c r="G290" s="34"/>
      <c r="H290" s="60"/>
      <c r="I290" s="60"/>
      <c r="J290" s="43"/>
      <c r="K290" s="43"/>
      <c r="L290" s="43"/>
      <c r="M290" s="43"/>
      <c r="N290" s="43"/>
      <c r="O290" s="43"/>
      <c r="P290" s="43"/>
      <c r="Q290" s="43"/>
      <c r="R290" s="43"/>
    </row>
    <row r="291">
      <c r="A291" s="32"/>
      <c r="B291" s="34"/>
      <c r="C291" s="34"/>
      <c r="D291" s="34"/>
      <c r="E291" s="34"/>
      <c r="F291" s="34"/>
      <c r="G291" s="34"/>
      <c r="H291" s="60"/>
      <c r="I291" s="60"/>
      <c r="J291" s="43"/>
      <c r="K291" s="43"/>
      <c r="L291" s="43"/>
      <c r="M291" s="43"/>
      <c r="N291" s="43"/>
      <c r="O291" s="43"/>
      <c r="P291" s="43"/>
      <c r="Q291" s="43"/>
      <c r="R291" s="43"/>
    </row>
    <row r="292">
      <c r="A292" s="32"/>
      <c r="B292" s="34"/>
      <c r="C292" s="34"/>
      <c r="D292" s="34"/>
      <c r="E292" s="34"/>
      <c r="F292" s="34"/>
      <c r="G292" s="34"/>
      <c r="H292" s="60"/>
      <c r="I292" s="60"/>
      <c r="J292" s="43"/>
      <c r="K292" s="43"/>
      <c r="L292" s="43"/>
      <c r="M292" s="43"/>
      <c r="N292" s="43"/>
      <c r="O292" s="43"/>
      <c r="P292" s="43"/>
      <c r="Q292" s="43"/>
      <c r="R292" s="43"/>
    </row>
    <row r="293">
      <c r="A293" s="32"/>
      <c r="B293" s="34"/>
      <c r="C293" s="34"/>
      <c r="D293" s="34"/>
      <c r="E293" s="34"/>
      <c r="F293" s="34"/>
      <c r="G293" s="34"/>
      <c r="H293" s="60"/>
      <c r="I293" s="60"/>
      <c r="J293" s="43"/>
      <c r="K293" s="43"/>
      <c r="L293" s="43"/>
      <c r="M293" s="43"/>
      <c r="N293" s="43"/>
      <c r="O293" s="43"/>
      <c r="P293" s="43"/>
      <c r="Q293" s="43"/>
      <c r="R293" s="43"/>
    </row>
    <row r="294">
      <c r="A294" s="32"/>
      <c r="B294" s="34"/>
      <c r="C294" s="34"/>
      <c r="D294" s="34"/>
      <c r="E294" s="34"/>
      <c r="F294" s="34"/>
      <c r="G294" s="34"/>
      <c r="H294" s="60"/>
      <c r="I294" s="60"/>
      <c r="J294" s="43"/>
      <c r="K294" s="43"/>
      <c r="L294" s="43"/>
      <c r="M294" s="43"/>
      <c r="N294" s="43"/>
      <c r="O294" s="43"/>
      <c r="P294" s="43"/>
      <c r="Q294" s="43"/>
      <c r="R294" s="43"/>
    </row>
    <row r="295">
      <c r="A295" s="32"/>
      <c r="B295" s="34"/>
      <c r="C295" s="34"/>
      <c r="D295" s="34"/>
      <c r="E295" s="34"/>
      <c r="F295" s="34"/>
      <c r="G295" s="34"/>
      <c r="H295" s="60"/>
      <c r="I295" s="60"/>
      <c r="J295" s="43"/>
      <c r="K295" s="43"/>
      <c r="L295" s="43"/>
      <c r="M295" s="43"/>
      <c r="N295" s="43"/>
      <c r="O295" s="43"/>
      <c r="P295" s="43"/>
      <c r="Q295" s="43"/>
      <c r="R295" s="43"/>
    </row>
    <row r="296">
      <c r="A296" s="32"/>
      <c r="B296" s="34"/>
      <c r="C296" s="34"/>
      <c r="D296" s="34"/>
      <c r="E296" s="34"/>
      <c r="F296" s="34"/>
      <c r="G296" s="34"/>
      <c r="H296" s="60"/>
      <c r="I296" s="60"/>
      <c r="J296" s="43"/>
      <c r="K296" s="43"/>
      <c r="L296" s="43"/>
      <c r="M296" s="43"/>
      <c r="N296" s="43"/>
      <c r="O296" s="43"/>
      <c r="P296" s="43"/>
      <c r="Q296" s="43"/>
      <c r="R296" s="43"/>
    </row>
    <row r="297">
      <c r="A297" s="32"/>
      <c r="B297" s="34"/>
      <c r="C297" s="34"/>
      <c r="D297" s="34"/>
      <c r="E297" s="34"/>
      <c r="F297" s="34"/>
      <c r="G297" s="34"/>
      <c r="H297" s="60"/>
      <c r="I297" s="60"/>
      <c r="J297" s="43"/>
      <c r="K297" s="43"/>
      <c r="L297" s="43"/>
      <c r="M297" s="43"/>
      <c r="N297" s="43"/>
      <c r="O297" s="43"/>
      <c r="P297" s="43"/>
      <c r="Q297" s="43"/>
      <c r="R297" s="43"/>
    </row>
    <row r="298">
      <c r="A298" s="32"/>
      <c r="B298" s="34"/>
      <c r="C298" s="34"/>
      <c r="D298" s="34"/>
      <c r="E298" s="34"/>
      <c r="F298" s="34"/>
      <c r="G298" s="34"/>
      <c r="H298" s="60"/>
      <c r="I298" s="60"/>
      <c r="J298" s="43"/>
      <c r="K298" s="43"/>
      <c r="L298" s="43"/>
      <c r="M298" s="43"/>
      <c r="N298" s="43"/>
      <c r="O298" s="43"/>
      <c r="P298" s="43"/>
      <c r="Q298" s="43"/>
      <c r="R298" s="43"/>
    </row>
    <row r="299">
      <c r="A299" s="32"/>
      <c r="B299" s="34"/>
      <c r="C299" s="34"/>
      <c r="D299" s="34"/>
      <c r="E299" s="34"/>
      <c r="F299" s="34"/>
      <c r="G299" s="34"/>
      <c r="H299" s="60"/>
      <c r="I299" s="60"/>
      <c r="J299" s="43"/>
      <c r="K299" s="43"/>
      <c r="L299" s="43"/>
      <c r="M299" s="43"/>
      <c r="N299" s="43"/>
      <c r="O299" s="43"/>
      <c r="P299" s="43"/>
      <c r="Q299" s="43"/>
      <c r="R299" s="43"/>
    </row>
    <row r="300">
      <c r="A300" s="32"/>
      <c r="B300" s="34"/>
      <c r="C300" s="34"/>
      <c r="D300" s="34"/>
      <c r="E300" s="34"/>
      <c r="F300" s="34"/>
      <c r="G300" s="34"/>
      <c r="H300" s="60"/>
      <c r="I300" s="60"/>
      <c r="J300" s="43"/>
      <c r="K300" s="43"/>
      <c r="L300" s="43"/>
      <c r="M300" s="43"/>
      <c r="N300" s="43"/>
      <c r="O300" s="43"/>
      <c r="P300" s="43"/>
      <c r="Q300" s="43"/>
      <c r="R300" s="43"/>
    </row>
    <row r="301">
      <c r="A301" s="32"/>
      <c r="B301" s="34"/>
      <c r="C301" s="34"/>
      <c r="D301" s="34"/>
      <c r="E301" s="34"/>
      <c r="F301" s="34"/>
      <c r="G301" s="34"/>
      <c r="H301" s="60"/>
      <c r="I301" s="60"/>
      <c r="J301" s="43"/>
      <c r="K301" s="43"/>
      <c r="L301" s="43"/>
      <c r="M301" s="43"/>
      <c r="N301" s="43"/>
      <c r="O301" s="43"/>
      <c r="P301" s="43"/>
      <c r="Q301" s="43"/>
      <c r="R301" s="43"/>
    </row>
    <row r="302">
      <c r="A302" s="32"/>
      <c r="B302" s="34"/>
      <c r="C302" s="34"/>
      <c r="D302" s="34"/>
      <c r="E302" s="34"/>
      <c r="F302" s="34"/>
      <c r="G302" s="34"/>
      <c r="H302" s="60"/>
      <c r="I302" s="60"/>
      <c r="J302" s="43"/>
      <c r="K302" s="43"/>
      <c r="L302" s="43"/>
      <c r="M302" s="43"/>
      <c r="N302" s="43"/>
      <c r="O302" s="43"/>
      <c r="P302" s="43"/>
      <c r="Q302" s="43"/>
      <c r="R302" s="43"/>
    </row>
    <row r="303">
      <c r="A303" s="32"/>
      <c r="B303" s="34"/>
      <c r="C303" s="34"/>
      <c r="D303" s="34"/>
      <c r="E303" s="34"/>
      <c r="F303" s="34"/>
      <c r="G303" s="34"/>
      <c r="H303" s="60"/>
      <c r="I303" s="60"/>
      <c r="J303" s="43"/>
      <c r="K303" s="43"/>
      <c r="L303" s="43"/>
      <c r="M303" s="43"/>
      <c r="N303" s="43"/>
      <c r="O303" s="43"/>
      <c r="P303" s="43"/>
      <c r="Q303" s="43"/>
      <c r="R303" s="43"/>
    </row>
    <row r="304">
      <c r="A304" s="32"/>
      <c r="B304" s="34"/>
      <c r="C304" s="34"/>
      <c r="D304" s="34"/>
      <c r="E304" s="34"/>
      <c r="F304" s="34"/>
      <c r="G304" s="34"/>
      <c r="H304" s="60"/>
      <c r="I304" s="60"/>
      <c r="J304" s="43"/>
      <c r="K304" s="43"/>
      <c r="L304" s="43"/>
      <c r="M304" s="43"/>
      <c r="N304" s="43"/>
      <c r="O304" s="43"/>
      <c r="P304" s="43"/>
      <c r="Q304" s="43"/>
      <c r="R304" s="43"/>
    </row>
    <row r="305">
      <c r="A305" s="32"/>
      <c r="B305" s="34"/>
      <c r="C305" s="34"/>
      <c r="D305" s="34"/>
      <c r="E305" s="34"/>
      <c r="F305" s="34"/>
      <c r="G305" s="34"/>
      <c r="H305" s="60"/>
      <c r="I305" s="60"/>
      <c r="J305" s="43"/>
      <c r="K305" s="43"/>
      <c r="L305" s="43"/>
      <c r="M305" s="43"/>
      <c r="N305" s="43"/>
      <c r="O305" s="43"/>
      <c r="P305" s="43"/>
      <c r="Q305" s="43"/>
      <c r="R305" s="43"/>
    </row>
    <row r="306">
      <c r="A306" s="32"/>
      <c r="B306" s="34"/>
      <c r="C306" s="34"/>
      <c r="D306" s="34"/>
      <c r="E306" s="34"/>
      <c r="F306" s="34"/>
      <c r="G306" s="34"/>
      <c r="H306" s="60"/>
      <c r="I306" s="60"/>
      <c r="J306" s="43"/>
      <c r="K306" s="43"/>
      <c r="L306" s="43"/>
      <c r="M306" s="43"/>
      <c r="N306" s="43"/>
      <c r="O306" s="43"/>
      <c r="P306" s="43"/>
      <c r="Q306" s="43"/>
      <c r="R306" s="43"/>
    </row>
    <row r="307">
      <c r="A307" s="32"/>
      <c r="B307" s="34"/>
      <c r="C307" s="34"/>
      <c r="D307" s="34"/>
      <c r="E307" s="34"/>
      <c r="F307" s="34"/>
      <c r="G307" s="34"/>
      <c r="H307" s="60"/>
      <c r="I307" s="60"/>
      <c r="J307" s="43"/>
      <c r="K307" s="43"/>
      <c r="L307" s="43"/>
      <c r="M307" s="43"/>
      <c r="N307" s="43"/>
      <c r="O307" s="43"/>
      <c r="P307" s="43"/>
      <c r="Q307" s="43"/>
      <c r="R307" s="43"/>
    </row>
    <row r="308">
      <c r="A308" s="32"/>
      <c r="B308" s="34"/>
      <c r="C308" s="34"/>
      <c r="D308" s="34"/>
      <c r="E308" s="34"/>
      <c r="F308" s="34"/>
      <c r="G308" s="34"/>
      <c r="H308" s="60"/>
      <c r="I308" s="60"/>
      <c r="J308" s="43"/>
      <c r="K308" s="43"/>
      <c r="L308" s="43"/>
      <c r="M308" s="43"/>
      <c r="N308" s="43"/>
      <c r="O308" s="43"/>
      <c r="P308" s="43"/>
      <c r="Q308" s="43"/>
      <c r="R308" s="43"/>
    </row>
    <row r="309">
      <c r="A309" s="32"/>
      <c r="B309" s="34"/>
      <c r="C309" s="34"/>
      <c r="D309" s="34"/>
      <c r="E309" s="34"/>
      <c r="F309" s="34"/>
      <c r="G309" s="34"/>
      <c r="H309" s="60"/>
      <c r="I309" s="60"/>
      <c r="J309" s="43"/>
      <c r="K309" s="43"/>
      <c r="L309" s="43"/>
      <c r="M309" s="43"/>
      <c r="N309" s="43"/>
      <c r="O309" s="43"/>
      <c r="P309" s="43"/>
      <c r="Q309" s="43"/>
      <c r="R309" s="43"/>
    </row>
    <row r="310">
      <c r="A310" s="32"/>
      <c r="B310" s="34"/>
      <c r="C310" s="34"/>
      <c r="D310" s="34"/>
      <c r="E310" s="34"/>
      <c r="F310" s="34"/>
      <c r="G310" s="34"/>
      <c r="H310" s="60"/>
      <c r="I310" s="60"/>
      <c r="J310" s="43"/>
      <c r="K310" s="43"/>
      <c r="L310" s="43"/>
      <c r="M310" s="43"/>
      <c r="N310" s="43"/>
      <c r="O310" s="43"/>
      <c r="P310" s="43"/>
      <c r="Q310" s="43"/>
      <c r="R310" s="43"/>
    </row>
    <row r="311">
      <c r="A311" s="32"/>
      <c r="B311" s="34"/>
      <c r="C311" s="34"/>
      <c r="D311" s="34"/>
      <c r="E311" s="34"/>
      <c r="F311" s="34"/>
      <c r="G311" s="34"/>
      <c r="H311" s="60"/>
      <c r="I311" s="60"/>
      <c r="J311" s="43"/>
      <c r="K311" s="43"/>
      <c r="L311" s="43"/>
      <c r="M311" s="43"/>
      <c r="N311" s="43"/>
      <c r="O311" s="43"/>
      <c r="P311" s="43"/>
      <c r="Q311" s="43"/>
      <c r="R311" s="43"/>
    </row>
    <row r="312">
      <c r="A312" s="32"/>
      <c r="B312" s="34"/>
      <c r="C312" s="34"/>
      <c r="D312" s="34"/>
      <c r="E312" s="34"/>
      <c r="F312" s="34"/>
      <c r="G312" s="34"/>
      <c r="H312" s="60"/>
      <c r="I312" s="60"/>
      <c r="J312" s="43"/>
      <c r="K312" s="43"/>
      <c r="L312" s="43"/>
      <c r="M312" s="43"/>
      <c r="N312" s="43"/>
      <c r="O312" s="43"/>
      <c r="P312" s="43"/>
      <c r="Q312" s="43"/>
      <c r="R312" s="43"/>
    </row>
    <row r="313">
      <c r="A313" s="32"/>
      <c r="B313" s="34"/>
      <c r="C313" s="34"/>
      <c r="D313" s="34"/>
      <c r="E313" s="34"/>
      <c r="F313" s="34"/>
      <c r="G313" s="34"/>
      <c r="H313" s="60"/>
      <c r="I313" s="60"/>
      <c r="J313" s="43"/>
      <c r="K313" s="43"/>
      <c r="L313" s="43"/>
      <c r="M313" s="43"/>
      <c r="N313" s="43"/>
      <c r="O313" s="43"/>
      <c r="P313" s="43"/>
      <c r="Q313" s="43"/>
      <c r="R313" s="43"/>
    </row>
    <row r="314">
      <c r="A314" s="32"/>
      <c r="B314" s="34"/>
      <c r="C314" s="34"/>
      <c r="D314" s="34"/>
      <c r="E314" s="34"/>
      <c r="F314" s="34"/>
      <c r="G314" s="34"/>
      <c r="H314" s="60"/>
      <c r="I314" s="60"/>
      <c r="J314" s="43"/>
      <c r="K314" s="43"/>
      <c r="L314" s="43"/>
      <c r="M314" s="43"/>
      <c r="N314" s="43"/>
      <c r="O314" s="43"/>
      <c r="P314" s="43"/>
      <c r="Q314" s="43"/>
      <c r="R314" s="43"/>
    </row>
    <row r="315">
      <c r="A315" s="32"/>
      <c r="B315" s="34"/>
      <c r="C315" s="34"/>
      <c r="D315" s="34"/>
      <c r="E315" s="34"/>
      <c r="F315" s="34"/>
      <c r="G315" s="34"/>
      <c r="H315" s="60"/>
      <c r="I315" s="60"/>
      <c r="J315" s="43"/>
      <c r="K315" s="43"/>
      <c r="L315" s="43"/>
      <c r="M315" s="43"/>
      <c r="N315" s="43"/>
      <c r="O315" s="43"/>
      <c r="P315" s="43"/>
      <c r="Q315" s="43"/>
      <c r="R315" s="43"/>
    </row>
    <row r="316">
      <c r="A316" s="32"/>
      <c r="B316" s="34"/>
      <c r="C316" s="34"/>
      <c r="D316" s="34"/>
      <c r="E316" s="34"/>
      <c r="F316" s="34"/>
      <c r="G316" s="34"/>
      <c r="H316" s="60"/>
      <c r="I316" s="60"/>
      <c r="J316" s="43"/>
      <c r="K316" s="43"/>
      <c r="L316" s="43"/>
      <c r="M316" s="43"/>
      <c r="N316" s="43"/>
      <c r="O316" s="43"/>
      <c r="P316" s="43"/>
      <c r="Q316" s="43"/>
      <c r="R316" s="43"/>
    </row>
    <row r="317">
      <c r="A317" s="32"/>
      <c r="B317" s="34"/>
      <c r="C317" s="34"/>
      <c r="D317" s="34"/>
      <c r="E317" s="34"/>
      <c r="F317" s="34"/>
      <c r="G317" s="34"/>
      <c r="H317" s="60"/>
      <c r="I317" s="60"/>
      <c r="J317" s="43"/>
      <c r="K317" s="43"/>
      <c r="L317" s="43"/>
      <c r="M317" s="43"/>
      <c r="N317" s="43"/>
      <c r="O317" s="43"/>
      <c r="P317" s="43"/>
      <c r="Q317" s="43"/>
      <c r="R317" s="43"/>
    </row>
    <row r="318">
      <c r="A318" s="32"/>
      <c r="B318" s="34"/>
      <c r="C318" s="34"/>
      <c r="D318" s="34"/>
      <c r="E318" s="34"/>
      <c r="F318" s="34"/>
      <c r="G318" s="34"/>
      <c r="H318" s="60"/>
      <c r="I318" s="60"/>
      <c r="J318" s="43"/>
      <c r="K318" s="43"/>
      <c r="L318" s="43"/>
      <c r="M318" s="43"/>
      <c r="N318" s="43"/>
      <c r="O318" s="43"/>
      <c r="P318" s="43"/>
      <c r="Q318" s="43"/>
      <c r="R318" s="43"/>
    </row>
    <row r="319">
      <c r="A319" s="32"/>
      <c r="B319" s="34"/>
      <c r="C319" s="34"/>
      <c r="D319" s="34"/>
      <c r="E319" s="34"/>
      <c r="F319" s="34"/>
      <c r="G319" s="34"/>
      <c r="H319" s="60"/>
      <c r="I319" s="60"/>
      <c r="J319" s="43"/>
      <c r="K319" s="43"/>
      <c r="L319" s="43"/>
      <c r="M319" s="43"/>
      <c r="N319" s="43"/>
      <c r="O319" s="43"/>
      <c r="P319" s="43"/>
      <c r="Q319" s="43"/>
      <c r="R319" s="43"/>
    </row>
    <row r="320">
      <c r="A320" s="32"/>
      <c r="B320" s="34"/>
      <c r="C320" s="34"/>
      <c r="D320" s="34"/>
      <c r="E320" s="34"/>
      <c r="F320" s="34"/>
      <c r="G320" s="34"/>
      <c r="H320" s="60"/>
      <c r="I320" s="60"/>
      <c r="J320" s="43"/>
      <c r="K320" s="43"/>
      <c r="L320" s="43"/>
      <c r="M320" s="43"/>
      <c r="N320" s="43"/>
      <c r="O320" s="43"/>
      <c r="P320" s="43"/>
      <c r="Q320" s="43"/>
      <c r="R320" s="43"/>
    </row>
    <row r="321">
      <c r="A321" s="32"/>
      <c r="B321" s="34"/>
      <c r="C321" s="34"/>
      <c r="D321" s="34"/>
      <c r="E321" s="34"/>
      <c r="F321" s="34"/>
      <c r="G321" s="34"/>
      <c r="H321" s="60"/>
      <c r="I321" s="60"/>
      <c r="J321" s="43"/>
      <c r="K321" s="43"/>
      <c r="L321" s="43"/>
      <c r="M321" s="43"/>
      <c r="N321" s="43"/>
      <c r="O321" s="43"/>
      <c r="P321" s="43"/>
      <c r="Q321" s="43"/>
      <c r="R321" s="43"/>
    </row>
    <row r="322">
      <c r="A322" s="32"/>
      <c r="B322" s="34"/>
      <c r="C322" s="34"/>
      <c r="D322" s="34"/>
      <c r="E322" s="34"/>
      <c r="F322" s="34"/>
      <c r="G322" s="34"/>
      <c r="H322" s="60"/>
      <c r="I322" s="60"/>
      <c r="J322" s="43"/>
      <c r="K322" s="43"/>
      <c r="L322" s="43"/>
      <c r="M322" s="43"/>
      <c r="N322" s="43"/>
      <c r="O322" s="43"/>
      <c r="P322" s="43"/>
      <c r="Q322" s="43"/>
      <c r="R322" s="43"/>
    </row>
    <row r="323">
      <c r="A323" s="32"/>
      <c r="B323" s="34"/>
      <c r="C323" s="34"/>
      <c r="D323" s="34"/>
      <c r="E323" s="34"/>
      <c r="F323" s="34"/>
      <c r="G323" s="34"/>
      <c r="H323" s="60"/>
      <c r="I323" s="60"/>
      <c r="J323" s="43"/>
      <c r="K323" s="43"/>
      <c r="L323" s="43"/>
      <c r="M323" s="43"/>
      <c r="N323" s="43"/>
      <c r="O323" s="43"/>
      <c r="P323" s="43"/>
      <c r="Q323" s="43"/>
      <c r="R323" s="43"/>
    </row>
    <row r="324">
      <c r="A324" s="32"/>
      <c r="B324" s="34"/>
      <c r="C324" s="34"/>
      <c r="D324" s="34"/>
      <c r="E324" s="34"/>
      <c r="F324" s="34"/>
      <c r="G324" s="34"/>
      <c r="H324" s="60"/>
      <c r="I324" s="60"/>
      <c r="J324" s="43"/>
      <c r="K324" s="43"/>
      <c r="L324" s="43"/>
      <c r="M324" s="43"/>
      <c r="N324" s="43"/>
      <c r="O324" s="43"/>
      <c r="P324" s="43"/>
      <c r="Q324" s="43"/>
      <c r="R324" s="43"/>
    </row>
    <row r="325">
      <c r="A325" s="32"/>
      <c r="B325" s="34"/>
      <c r="C325" s="34"/>
      <c r="D325" s="34"/>
      <c r="E325" s="34"/>
      <c r="F325" s="34"/>
      <c r="G325" s="34"/>
      <c r="H325" s="60"/>
      <c r="I325" s="60"/>
      <c r="J325" s="43"/>
      <c r="K325" s="43"/>
      <c r="L325" s="43"/>
      <c r="M325" s="43"/>
      <c r="N325" s="43"/>
      <c r="O325" s="43"/>
      <c r="P325" s="43"/>
      <c r="Q325" s="43"/>
      <c r="R325" s="43"/>
    </row>
    <row r="326">
      <c r="A326" s="32"/>
      <c r="B326" s="34"/>
      <c r="C326" s="34"/>
      <c r="D326" s="34"/>
      <c r="E326" s="34"/>
      <c r="F326" s="34"/>
      <c r="G326" s="34"/>
      <c r="H326" s="60"/>
      <c r="I326" s="60"/>
      <c r="J326" s="43"/>
      <c r="K326" s="43"/>
      <c r="L326" s="43"/>
      <c r="M326" s="43"/>
      <c r="N326" s="43"/>
      <c r="O326" s="43"/>
      <c r="P326" s="43"/>
      <c r="Q326" s="43"/>
      <c r="R326" s="43"/>
    </row>
    <row r="327">
      <c r="A327" s="32"/>
      <c r="B327" s="34"/>
      <c r="C327" s="34"/>
      <c r="D327" s="34"/>
      <c r="E327" s="34"/>
      <c r="F327" s="34"/>
      <c r="G327" s="34"/>
      <c r="H327" s="60"/>
      <c r="I327" s="60"/>
      <c r="J327" s="43"/>
      <c r="K327" s="43"/>
      <c r="L327" s="43"/>
      <c r="M327" s="43"/>
      <c r="N327" s="43"/>
      <c r="O327" s="43"/>
      <c r="P327" s="43"/>
      <c r="Q327" s="43"/>
      <c r="R327" s="43"/>
    </row>
    <row r="328">
      <c r="A328" s="32"/>
      <c r="B328" s="34"/>
      <c r="C328" s="34"/>
      <c r="D328" s="34"/>
      <c r="E328" s="34"/>
      <c r="F328" s="34"/>
      <c r="G328" s="34"/>
      <c r="H328" s="60"/>
      <c r="I328" s="60"/>
      <c r="J328" s="43"/>
      <c r="K328" s="43"/>
      <c r="L328" s="43"/>
      <c r="M328" s="43"/>
      <c r="N328" s="43"/>
      <c r="O328" s="43"/>
      <c r="P328" s="43"/>
      <c r="Q328" s="43"/>
      <c r="R328" s="43"/>
    </row>
    <row r="329">
      <c r="A329" s="32"/>
      <c r="B329" s="34"/>
      <c r="C329" s="34"/>
      <c r="D329" s="34"/>
      <c r="E329" s="34"/>
      <c r="F329" s="34"/>
      <c r="G329" s="34"/>
      <c r="H329" s="60"/>
      <c r="I329" s="60"/>
      <c r="J329" s="43"/>
      <c r="K329" s="43"/>
      <c r="L329" s="43"/>
      <c r="M329" s="43"/>
      <c r="N329" s="43"/>
      <c r="O329" s="43"/>
      <c r="P329" s="43"/>
      <c r="Q329" s="43"/>
      <c r="R329" s="43"/>
    </row>
    <row r="330">
      <c r="A330" s="32"/>
      <c r="B330" s="34"/>
      <c r="C330" s="34"/>
      <c r="D330" s="34"/>
      <c r="E330" s="34"/>
      <c r="F330" s="34"/>
      <c r="G330" s="34"/>
      <c r="H330" s="60"/>
      <c r="I330" s="60"/>
      <c r="J330" s="43"/>
      <c r="K330" s="43"/>
      <c r="L330" s="43"/>
      <c r="M330" s="43"/>
      <c r="N330" s="43"/>
      <c r="O330" s="43"/>
      <c r="P330" s="43"/>
      <c r="Q330" s="43"/>
      <c r="R330" s="43"/>
    </row>
    <row r="331">
      <c r="A331" s="32"/>
      <c r="B331" s="34"/>
      <c r="C331" s="34"/>
      <c r="D331" s="34"/>
      <c r="E331" s="34"/>
      <c r="F331" s="34"/>
      <c r="G331" s="34"/>
      <c r="H331" s="60"/>
      <c r="I331" s="60"/>
      <c r="J331" s="43"/>
      <c r="K331" s="43"/>
      <c r="L331" s="43"/>
      <c r="M331" s="43"/>
      <c r="N331" s="43"/>
      <c r="O331" s="43"/>
      <c r="P331" s="43"/>
      <c r="Q331" s="43"/>
      <c r="R331" s="43"/>
    </row>
    <row r="332">
      <c r="A332" s="32"/>
      <c r="B332" s="34"/>
      <c r="C332" s="34"/>
      <c r="D332" s="34"/>
      <c r="E332" s="34"/>
      <c r="F332" s="34"/>
      <c r="G332" s="34"/>
      <c r="H332" s="60"/>
      <c r="I332" s="60"/>
      <c r="J332" s="43"/>
      <c r="K332" s="43"/>
      <c r="L332" s="43"/>
      <c r="M332" s="43"/>
      <c r="N332" s="43"/>
      <c r="O332" s="43"/>
      <c r="P332" s="43"/>
      <c r="Q332" s="43"/>
      <c r="R332" s="43"/>
    </row>
    <row r="333">
      <c r="A333" s="32"/>
      <c r="B333" s="34"/>
      <c r="C333" s="34"/>
      <c r="D333" s="34"/>
      <c r="E333" s="34"/>
      <c r="F333" s="34"/>
      <c r="G333" s="34"/>
      <c r="H333" s="60"/>
      <c r="I333" s="60"/>
      <c r="J333" s="43"/>
      <c r="K333" s="43"/>
      <c r="L333" s="43"/>
      <c r="M333" s="43"/>
      <c r="N333" s="43"/>
      <c r="O333" s="43"/>
      <c r="P333" s="43"/>
      <c r="Q333" s="43"/>
      <c r="R333" s="43"/>
    </row>
    <row r="334">
      <c r="A334" s="32"/>
      <c r="B334" s="34"/>
      <c r="C334" s="34"/>
      <c r="D334" s="34"/>
      <c r="E334" s="34"/>
      <c r="F334" s="34"/>
      <c r="G334" s="34"/>
      <c r="H334" s="60"/>
      <c r="I334" s="60"/>
      <c r="J334" s="43"/>
      <c r="K334" s="43"/>
      <c r="L334" s="43"/>
      <c r="M334" s="43"/>
      <c r="N334" s="43"/>
      <c r="O334" s="43"/>
      <c r="P334" s="43"/>
      <c r="Q334" s="43"/>
      <c r="R334" s="43"/>
    </row>
    <row r="335">
      <c r="A335" s="32"/>
      <c r="B335" s="34"/>
      <c r="C335" s="34"/>
      <c r="D335" s="34"/>
      <c r="E335" s="34"/>
      <c r="F335" s="34"/>
      <c r="G335" s="34"/>
      <c r="H335" s="60"/>
      <c r="I335" s="60"/>
      <c r="J335" s="43"/>
      <c r="K335" s="43"/>
      <c r="L335" s="43"/>
      <c r="M335" s="43"/>
      <c r="N335" s="43"/>
      <c r="O335" s="43"/>
      <c r="P335" s="43"/>
      <c r="Q335" s="43"/>
      <c r="R335" s="43"/>
    </row>
    <row r="336">
      <c r="A336" s="32"/>
      <c r="B336" s="34"/>
      <c r="C336" s="34"/>
      <c r="D336" s="34"/>
      <c r="E336" s="34"/>
      <c r="F336" s="34"/>
      <c r="G336" s="34"/>
      <c r="H336" s="60"/>
      <c r="I336" s="60"/>
      <c r="J336" s="43"/>
      <c r="K336" s="43"/>
      <c r="L336" s="43"/>
      <c r="M336" s="43"/>
      <c r="N336" s="43"/>
      <c r="O336" s="43"/>
      <c r="P336" s="43"/>
      <c r="Q336" s="43"/>
      <c r="R336" s="43"/>
    </row>
    <row r="337">
      <c r="A337" s="32"/>
      <c r="B337" s="34"/>
      <c r="C337" s="34"/>
      <c r="D337" s="34"/>
      <c r="E337" s="34"/>
      <c r="F337" s="34"/>
      <c r="G337" s="34"/>
      <c r="H337" s="60"/>
      <c r="I337" s="60"/>
      <c r="J337" s="43"/>
      <c r="K337" s="43"/>
      <c r="L337" s="43"/>
      <c r="M337" s="43"/>
      <c r="N337" s="43"/>
      <c r="O337" s="43"/>
      <c r="P337" s="43"/>
      <c r="Q337" s="43"/>
      <c r="R337" s="43"/>
    </row>
    <row r="338">
      <c r="A338" s="32"/>
      <c r="B338" s="34"/>
      <c r="C338" s="34"/>
      <c r="D338" s="34"/>
      <c r="E338" s="34"/>
      <c r="F338" s="34"/>
      <c r="G338" s="34"/>
      <c r="H338" s="60"/>
      <c r="I338" s="60"/>
      <c r="J338" s="43"/>
      <c r="K338" s="43"/>
      <c r="L338" s="43"/>
      <c r="M338" s="43"/>
      <c r="N338" s="43"/>
      <c r="O338" s="43"/>
      <c r="P338" s="43"/>
      <c r="Q338" s="43"/>
      <c r="R338" s="43"/>
    </row>
    <row r="339">
      <c r="A339" s="32"/>
      <c r="B339" s="34"/>
      <c r="C339" s="34"/>
      <c r="D339" s="34"/>
      <c r="E339" s="34"/>
      <c r="F339" s="34"/>
      <c r="G339" s="34"/>
      <c r="H339" s="60"/>
      <c r="I339" s="60"/>
      <c r="J339" s="43"/>
      <c r="K339" s="43"/>
      <c r="L339" s="43"/>
      <c r="M339" s="43"/>
      <c r="N339" s="43"/>
      <c r="O339" s="43"/>
      <c r="P339" s="43"/>
      <c r="Q339" s="43"/>
      <c r="R339" s="43"/>
    </row>
    <row r="340">
      <c r="A340" s="32"/>
      <c r="B340" s="34"/>
      <c r="C340" s="34"/>
      <c r="D340" s="34"/>
      <c r="E340" s="34"/>
      <c r="F340" s="34"/>
      <c r="G340" s="34"/>
      <c r="H340" s="60"/>
      <c r="I340" s="60"/>
      <c r="J340" s="43"/>
      <c r="K340" s="43"/>
      <c r="L340" s="43"/>
      <c r="M340" s="43"/>
      <c r="N340" s="43"/>
      <c r="O340" s="43"/>
      <c r="P340" s="43"/>
      <c r="Q340" s="43"/>
      <c r="R340" s="43"/>
    </row>
    <row r="341">
      <c r="A341" s="32"/>
      <c r="B341" s="34"/>
      <c r="C341" s="34"/>
      <c r="D341" s="34"/>
      <c r="E341" s="34"/>
      <c r="F341" s="34"/>
      <c r="G341" s="34"/>
      <c r="H341" s="60"/>
      <c r="I341" s="60"/>
      <c r="J341" s="43"/>
      <c r="K341" s="43"/>
      <c r="L341" s="43"/>
      <c r="M341" s="43"/>
      <c r="N341" s="43"/>
      <c r="O341" s="43"/>
      <c r="P341" s="43"/>
      <c r="Q341" s="43"/>
      <c r="R341" s="43"/>
    </row>
    <row r="342">
      <c r="A342" s="32"/>
      <c r="B342" s="34"/>
      <c r="C342" s="34"/>
      <c r="D342" s="34"/>
      <c r="E342" s="34"/>
      <c r="F342" s="34"/>
      <c r="G342" s="34"/>
      <c r="H342" s="60"/>
      <c r="I342" s="60"/>
      <c r="J342" s="43"/>
      <c r="K342" s="43"/>
      <c r="L342" s="43"/>
      <c r="M342" s="43"/>
      <c r="N342" s="43"/>
      <c r="O342" s="43"/>
      <c r="P342" s="43"/>
      <c r="Q342" s="43"/>
      <c r="R342" s="43"/>
    </row>
    <row r="343">
      <c r="A343" s="32"/>
      <c r="B343" s="34"/>
      <c r="C343" s="34"/>
      <c r="D343" s="34"/>
      <c r="E343" s="34"/>
      <c r="F343" s="34"/>
      <c r="G343" s="34"/>
      <c r="H343" s="60"/>
      <c r="I343" s="60"/>
      <c r="J343" s="43"/>
      <c r="K343" s="43"/>
      <c r="L343" s="43"/>
      <c r="M343" s="43"/>
      <c r="N343" s="43"/>
      <c r="O343" s="43"/>
      <c r="P343" s="43"/>
      <c r="Q343" s="43"/>
      <c r="R343" s="43"/>
    </row>
    <row r="344">
      <c r="A344" s="32"/>
      <c r="B344" s="34"/>
      <c r="C344" s="34"/>
      <c r="D344" s="34"/>
      <c r="E344" s="34"/>
      <c r="F344" s="34"/>
      <c r="G344" s="34"/>
      <c r="H344" s="60"/>
      <c r="I344" s="60"/>
      <c r="J344" s="43"/>
      <c r="K344" s="43"/>
      <c r="L344" s="43"/>
      <c r="M344" s="43"/>
      <c r="N344" s="43"/>
      <c r="O344" s="43"/>
      <c r="P344" s="43"/>
      <c r="Q344" s="43"/>
      <c r="R344" s="43"/>
    </row>
    <row r="345">
      <c r="A345" s="32"/>
      <c r="B345" s="34"/>
      <c r="C345" s="34"/>
      <c r="D345" s="34"/>
      <c r="E345" s="34"/>
      <c r="F345" s="34"/>
      <c r="G345" s="34"/>
      <c r="H345" s="60"/>
      <c r="I345" s="60"/>
      <c r="J345" s="43"/>
      <c r="K345" s="43"/>
      <c r="L345" s="43"/>
      <c r="M345" s="43"/>
      <c r="N345" s="43"/>
      <c r="O345" s="43"/>
      <c r="P345" s="43"/>
      <c r="Q345" s="43"/>
      <c r="R345" s="43"/>
    </row>
    <row r="346">
      <c r="A346" s="32"/>
      <c r="B346" s="34"/>
      <c r="C346" s="34"/>
      <c r="D346" s="34"/>
      <c r="E346" s="34"/>
      <c r="F346" s="34"/>
      <c r="G346" s="34"/>
      <c r="H346" s="60"/>
      <c r="I346" s="60"/>
      <c r="J346" s="43"/>
      <c r="K346" s="43"/>
      <c r="L346" s="43"/>
      <c r="M346" s="43"/>
      <c r="N346" s="43"/>
      <c r="O346" s="43"/>
      <c r="P346" s="43"/>
      <c r="Q346" s="43"/>
      <c r="R346" s="43"/>
    </row>
    <row r="347">
      <c r="A347" s="32"/>
      <c r="B347" s="34"/>
      <c r="C347" s="34"/>
      <c r="D347" s="34"/>
      <c r="E347" s="34"/>
      <c r="F347" s="34"/>
      <c r="G347" s="34"/>
      <c r="H347" s="60"/>
      <c r="I347" s="60"/>
      <c r="J347" s="43"/>
      <c r="K347" s="43"/>
      <c r="L347" s="43"/>
      <c r="M347" s="43"/>
      <c r="N347" s="43"/>
      <c r="O347" s="43"/>
      <c r="P347" s="43"/>
      <c r="Q347" s="43"/>
      <c r="R347" s="43"/>
    </row>
    <row r="348">
      <c r="A348" s="32"/>
      <c r="B348" s="34"/>
      <c r="C348" s="34"/>
      <c r="D348" s="34"/>
      <c r="E348" s="34"/>
      <c r="F348" s="34"/>
      <c r="G348" s="34"/>
      <c r="H348" s="60"/>
      <c r="I348" s="60"/>
      <c r="J348" s="43"/>
      <c r="K348" s="43"/>
      <c r="L348" s="43"/>
      <c r="M348" s="43"/>
      <c r="N348" s="43"/>
      <c r="O348" s="43"/>
      <c r="P348" s="43"/>
      <c r="Q348" s="43"/>
      <c r="R348" s="43"/>
    </row>
    <row r="349">
      <c r="A349" s="32"/>
      <c r="B349" s="34"/>
      <c r="C349" s="34"/>
      <c r="D349" s="34"/>
      <c r="E349" s="34"/>
      <c r="F349" s="34"/>
      <c r="G349" s="34"/>
      <c r="H349" s="60"/>
      <c r="I349" s="60"/>
      <c r="J349" s="43"/>
      <c r="K349" s="43"/>
      <c r="L349" s="43"/>
      <c r="M349" s="43"/>
      <c r="N349" s="43"/>
      <c r="O349" s="43"/>
      <c r="P349" s="43"/>
      <c r="Q349" s="43"/>
      <c r="R349" s="43"/>
    </row>
    <row r="350">
      <c r="A350" s="32"/>
      <c r="B350" s="34"/>
      <c r="C350" s="34"/>
      <c r="D350" s="34"/>
      <c r="E350" s="34"/>
      <c r="F350" s="34"/>
      <c r="G350" s="34"/>
      <c r="H350" s="60"/>
      <c r="I350" s="60"/>
      <c r="J350" s="43"/>
      <c r="K350" s="43"/>
      <c r="L350" s="43"/>
      <c r="M350" s="43"/>
      <c r="N350" s="43"/>
      <c r="O350" s="43"/>
      <c r="P350" s="43"/>
      <c r="Q350" s="43"/>
      <c r="R350" s="43"/>
    </row>
    <row r="351">
      <c r="A351" s="32"/>
      <c r="B351" s="34"/>
      <c r="C351" s="34"/>
      <c r="D351" s="34"/>
      <c r="E351" s="34"/>
      <c r="F351" s="34"/>
      <c r="G351" s="34"/>
      <c r="H351" s="60"/>
      <c r="I351" s="60"/>
      <c r="J351" s="43"/>
      <c r="K351" s="43"/>
      <c r="L351" s="43"/>
      <c r="M351" s="43"/>
      <c r="N351" s="43"/>
      <c r="O351" s="43"/>
      <c r="P351" s="43"/>
      <c r="Q351" s="43"/>
      <c r="R351" s="43"/>
    </row>
    <row r="352">
      <c r="A352" s="32"/>
      <c r="B352" s="34"/>
      <c r="C352" s="34"/>
      <c r="D352" s="34"/>
      <c r="E352" s="34"/>
      <c r="F352" s="34"/>
      <c r="G352" s="34"/>
      <c r="H352" s="60"/>
      <c r="I352" s="60"/>
      <c r="J352" s="43"/>
      <c r="K352" s="43"/>
      <c r="L352" s="43"/>
      <c r="M352" s="43"/>
      <c r="N352" s="43"/>
      <c r="O352" s="43"/>
      <c r="P352" s="43"/>
      <c r="Q352" s="43"/>
      <c r="R352" s="43"/>
    </row>
    <row r="353">
      <c r="A353" s="32"/>
      <c r="B353" s="34"/>
      <c r="C353" s="34"/>
      <c r="D353" s="34"/>
      <c r="E353" s="34"/>
      <c r="F353" s="34"/>
      <c r="G353" s="34"/>
      <c r="H353" s="60"/>
      <c r="I353" s="60"/>
      <c r="J353" s="43"/>
      <c r="K353" s="43"/>
      <c r="L353" s="43"/>
      <c r="M353" s="43"/>
      <c r="N353" s="43"/>
      <c r="O353" s="43"/>
      <c r="P353" s="43"/>
      <c r="Q353" s="43"/>
      <c r="R353" s="43"/>
    </row>
    <row r="354">
      <c r="A354" s="32"/>
      <c r="B354" s="34"/>
      <c r="C354" s="34"/>
      <c r="D354" s="34"/>
      <c r="E354" s="34"/>
      <c r="F354" s="34"/>
      <c r="G354" s="34"/>
      <c r="H354" s="60"/>
      <c r="I354" s="60"/>
      <c r="J354" s="43"/>
      <c r="K354" s="43"/>
      <c r="L354" s="43"/>
      <c r="M354" s="43"/>
      <c r="N354" s="43"/>
      <c r="O354" s="43"/>
      <c r="P354" s="43"/>
      <c r="Q354" s="43"/>
      <c r="R354" s="43"/>
    </row>
    <row r="355">
      <c r="A355" s="32"/>
      <c r="B355" s="34"/>
      <c r="C355" s="34"/>
      <c r="D355" s="34"/>
      <c r="E355" s="34"/>
      <c r="F355" s="34"/>
      <c r="G355" s="34"/>
      <c r="H355" s="60"/>
      <c r="I355" s="60"/>
      <c r="J355" s="43"/>
      <c r="K355" s="43"/>
      <c r="L355" s="43"/>
      <c r="M355" s="43"/>
      <c r="N355" s="43"/>
      <c r="O355" s="43"/>
      <c r="P355" s="43"/>
      <c r="Q355" s="43"/>
      <c r="R355" s="43"/>
    </row>
    <row r="356">
      <c r="A356" s="32"/>
      <c r="B356" s="34"/>
      <c r="C356" s="34"/>
      <c r="D356" s="34"/>
      <c r="E356" s="34"/>
      <c r="F356" s="34"/>
      <c r="G356" s="34"/>
      <c r="H356" s="60"/>
      <c r="I356" s="60"/>
      <c r="J356" s="43"/>
      <c r="K356" s="43"/>
      <c r="L356" s="43"/>
      <c r="M356" s="43"/>
      <c r="N356" s="43"/>
      <c r="O356" s="43"/>
      <c r="P356" s="43"/>
      <c r="Q356" s="43"/>
      <c r="R356" s="43"/>
    </row>
    <row r="357">
      <c r="A357" s="32"/>
      <c r="B357" s="34"/>
      <c r="C357" s="34"/>
      <c r="D357" s="34"/>
      <c r="E357" s="34"/>
      <c r="F357" s="34"/>
      <c r="G357" s="34"/>
      <c r="H357" s="60"/>
      <c r="I357" s="60"/>
      <c r="J357" s="43"/>
      <c r="K357" s="43"/>
      <c r="L357" s="43"/>
      <c r="M357" s="43"/>
      <c r="N357" s="43"/>
      <c r="O357" s="43"/>
      <c r="P357" s="43"/>
      <c r="Q357" s="43"/>
      <c r="R357" s="43"/>
    </row>
    <row r="358">
      <c r="A358" s="32"/>
      <c r="B358" s="34"/>
      <c r="C358" s="34"/>
      <c r="D358" s="34"/>
      <c r="E358" s="34"/>
      <c r="F358" s="34"/>
      <c r="G358" s="34"/>
      <c r="H358" s="60"/>
      <c r="I358" s="60"/>
      <c r="J358" s="43"/>
      <c r="K358" s="43"/>
      <c r="L358" s="43"/>
      <c r="M358" s="43"/>
      <c r="N358" s="43"/>
      <c r="O358" s="43"/>
      <c r="P358" s="43"/>
      <c r="Q358" s="43"/>
      <c r="R358" s="43"/>
    </row>
    <row r="359">
      <c r="A359" s="32"/>
      <c r="B359" s="34"/>
      <c r="C359" s="34"/>
      <c r="D359" s="34"/>
      <c r="E359" s="34"/>
      <c r="F359" s="34"/>
      <c r="G359" s="34"/>
      <c r="H359" s="60"/>
      <c r="I359" s="60"/>
      <c r="J359" s="43"/>
      <c r="K359" s="43"/>
      <c r="L359" s="43"/>
      <c r="M359" s="43"/>
      <c r="N359" s="43"/>
      <c r="O359" s="43"/>
      <c r="P359" s="43"/>
      <c r="Q359" s="43"/>
      <c r="R359" s="43"/>
    </row>
    <row r="360">
      <c r="A360" s="32"/>
      <c r="B360" s="34"/>
      <c r="C360" s="34"/>
      <c r="D360" s="34"/>
      <c r="E360" s="34"/>
      <c r="F360" s="34"/>
      <c r="G360" s="34"/>
      <c r="H360" s="60"/>
      <c r="I360" s="60"/>
      <c r="J360" s="43"/>
      <c r="K360" s="43"/>
      <c r="L360" s="43"/>
      <c r="M360" s="43"/>
      <c r="N360" s="43"/>
      <c r="O360" s="43"/>
      <c r="P360" s="43"/>
      <c r="Q360" s="43"/>
      <c r="R360" s="43"/>
    </row>
    <row r="361">
      <c r="A361" s="32"/>
      <c r="B361" s="34"/>
      <c r="C361" s="34"/>
      <c r="D361" s="34"/>
      <c r="E361" s="34"/>
      <c r="F361" s="34"/>
      <c r="G361" s="34"/>
      <c r="H361" s="60"/>
      <c r="I361" s="60"/>
      <c r="J361" s="43"/>
      <c r="K361" s="43"/>
      <c r="L361" s="43"/>
      <c r="M361" s="43"/>
      <c r="N361" s="43"/>
      <c r="O361" s="43"/>
      <c r="P361" s="43"/>
      <c r="Q361" s="43"/>
      <c r="R361" s="43"/>
    </row>
    <row r="362">
      <c r="A362" s="32"/>
      <c r="B362" s="34"/>
      <c r="C362" s="34"/>
      <c r="D362" s="34"/>
      <c r="E362" s="34"/>
      <c r="F362" s="34"/>
      <c r="G362" s="34"/>
      <c r="H362" s="60"/>
      <c r="I362" s="60"/>
      <c r="J362" s="43"/>
      <c r="K362" s="43"/>
      <c r="L362" s="43"/>
      <c r="M362" s="43"/>
      <c r="N362" s="43"/>
      <c r="O362" s="43"/>
      <c r="P362" s="43"/>
      <c r="Q362" s="43"/>
      <c r="R362" s="43"/>
    </row>
    <row r="363">
      <c r="A363" s="32"/>
      <c r="B363" s="34"/>
      <c r="C363" s="34"/>
      <c r="D363" s="34"/>
      <c r="E363" s="34"/>
      <c r="F363" s="34"/>
      <c r="G363" s="34"/>
      <c r="H363" s="60"/>
      <c r="I363" s="60"/>
      <c r="J363" s="43"/>
      <c r="K363" s="43"/>
      <c r="L363" s="43"/>
      <c r="M363" s="43"/>
      <c r="N363" s="43"/>
      <c r="O363" s="43"/>
      <c r="P363" s="43"/>
      <c r="Q363" s="43"/>
      <c r="R363" s="43"/>
    </row>
    <row r="364">
      <c r="A364" s="32"/>
      <c r="B364" s="34"/>
      <c r="C364" s="34"/>
      <c r="D364" s="34"/>
      <c r="E364" s="34"/>
      <c r="F364" s="34"/>
      <c r="G364" s="34"/>
      <c r="H364" s="60"/>
      <c r="I364" s="60"/>
      <c r="J364" s="43"/>
      <c r="K364" s="43"/>
      <c r="L364" s="43"/>
      <c r="M364" s="43"/>
      <c r="N364" s="43"/>
      <c r="O364" s="43"/>
      <c r="P364" s="43"/>
      <c r="Q364" s="43"/>
      <c r="R364" s="43"/>
    </row>
    <row r="365">
      <c r="A365" s="32"/>
      <c r="B365" s="34"/>
      <c r="C365" s="34"/>
      <c r="D365" s="34"/>
      <c r="E365" s="34"/>
      <c r="F365" s="34"/>
      <c r="G365" s="34"/>
      <c r="H365" s="60"/>
      <c r="I365" s="60"/>
      <c r="J365" s="43"/>
      <c r="K365" s="43"/>
      <c r="L365" s="43"/>
      <c r="M365" s="43"/>
      <c r="N365" s="43"/>
      <c r="O365" s="43"/>
      <c r="P365" s="43"/>
      <c r="Q365" s="43"/>
      <c r="R365" s="43"/>
    </row>
    <row r="366">
      <c r="A366" s="32"/>
      <c r="B366" s="34"/>
      <c r="C366" s="34"/>
      <c r="D366" s="34"/>
      <c r="E366" s="34"/>
      <c r="F366" s="34"/>
      <c r="G366" s="34"/>
      <c r="H366" s="60"/>
      <c r="I366" s="60"/>
      <c r="J366" s="43"/>
      <c r="K366" s="43"/>
      <c r="L366" s="43"/>
      <c r="M366" s="43"/>
      <c r="N366" s="43"/>
      <c r="O366" s="43"/>
      <c r="P366" s="43"/>
      <c r="Q366" s="43"/>
      <c r="R366" s="43"/>
    </row>
    <row r="367">
      <c r="A367" s="32"/>
      <c r="B367" s="34"/>
      <c r="C367" s="34"/>
      <c r="D367" s="34"/>
      <c r="E367" s="34"/>
      <c r="F367" s="34"/>
      <c r="G367" s="34"/>
      <c r="H367" s="60"/>
      <c r="I367" s="60"/>
      <c r="J367" s="43"/>
      <c r="K367" s="43"/>
      <c r="L367" s="43"/>
      <c r="M367" s="43"/>
      <c r="N367" s="43"/>
      <c r="O367" s="43"/>
      <c r="P367" s="43"/>
      <c r="Q367" s="43"/>
      <c r="R367" s="43"/>
    </row>
    <row r="368">
      <c r="A368" s="32"/>
      <c r="B368" s="34"/>
      <c r="C368" s="34"/>
      <c r="D368" s="34"/>
      <c r="E368" s="34"/>
      <c r="F368" s="34"/>
      <c r="G368" s="34"/>
      <c r="H368" s="60"/>
      <c r="I368" s="60"/>
      <c r="J368" s="43"/>
      <c r="K368" s="43"/>
      <c r="L368" s="43"/>
      <c r="M368" s="43"/>
      <c r="N368" s="43"/>
      <c r="O368" s="43"/>
      <c r="P368" s="43"/>
      <c r="Q368" s="43"/>
      <c r="R368" s="43"/>
    </row>
    <row r="369">
      <c r="A369" s="32"/>
      <c r="B369" s="34"/>
      <c r="C369" s="34"/>
      <c r="D369" s="34"/>
      <c r="E369" s="34"/>
      <c r="F369" s="34"/>
      <c r="G369" s="34"/>
      <c r="H369" s="60"/>
      <c r="I369" s="60"/>
      <c r="J369" s="43"/>
      <c r="K369" s="43"/>
      <c r="L369" s="43"/>
      <c r="M369" s="43"/>
      <c r="N369" s="43"/>
      <c r="O369" s="43"/>
      <c r="P369" s="43"/>
      <c r="Q369" s="43"/>
      <c r="R369" s="43"/>
    </row>
    <row r="370">
      <c r="A370" s="32"/>
      <c r="B370" s="34"/>
      <c r="C370" s="34"/>
      <c r="D370" s="34"/>
      <c r="E370" s="34"/>
      <c r="F370" s="34"/>
      <c r="G370" s="34"/>
      <c r="H370" s="60"/>
      <c r="I370" s="60"/>
      <c r="J370" s="43"/>
      <c r="K370" s="43"/>
      <c r="L370" s="43"/>
      <c r="M370" s="43"/>
      <c r="N370" s="43"/>
      <c r="O370" s="43"/>
      <c r="P370" s="43"/>
      <c r="Q370" s="43"/>
      <c r="R370" s="43"/>
    </row>
    <row r="371">
      <c r="A371" s="32"/>
      <c r="B371" s="34"/>
      <c r="C371" s="34"/>
      <c r="D371" s="34"/>
      <c r="E371" s="34"/>
      <c r="F371" s="34"/>
      <c r="G371" s="34"/>
      <c r="H371" s="60"/>
      <c r="I371" s="60"/>
      <c r="J371" s="43"/>
      <c r="K371" s="43"/>
      <c r="L371" s="43"/>
      <c r="M371" s="43"/>
      <c r="N371" s="43"/>
      <c r="O371" s="43"/>
      <c r="P371" s="43"/>
      <c r="Q371" s="43"/>
      <c r="R371" s="43"/>
    </row>
    <row r="372">
      <c r="A372" s="32"/>
      <c r="B372" s="34"/>
      <c r="C372" s="34"/>
      <c r="D372" s="34"/>
      <c r="E372" s="34"/>
      <c r="F372" s="34"/>
      <c r="G372" s="34"/>
      <c r="H372" s="60"/>
      <c r="I372" s="60"/>
      <c r="J372" s="43"/>
      <c r="K372" s="43"/>
      <c r="L372" s="43"/>
      <c r="M372" s="43"/>
      <c r="N372" s="43"/>
      <c r="O372" s="43"/>
      <c r="P372" s="43"/>
      <c r="Q372" s="43"/>
      <c r="R372" s="43"/>
    </row>
    <row r="373">
      <c r="A373" s="32"/>
      <c r="B373" s="34"/>
      <c r="C373" s="34"/>
      <c r="D373" s="34"/>
      <c r="E373" s="34"/>
      <c r="F373" s="34"/>
      <c r="G373" s="34"/>
      <c r="H373" s="60"/>
      <c r="I373" s="60"/>
      <c r="J373" s="43"/>
      <c r="K373" s="43"/>
      <c r="L373" s="43"/>
      <c r="M373" s="43"/>
      <c r="N373" s="43"/>
      <c r="O373" s="43"/>
      <c r="P373" s="43"/>
      <c r="Q373" s="43"/>
      <c r="R373" s="43"/>
    </row>
    <row r="374">
      <c r="A374" s="32"/>
      <c r="B374" s="34"/>
      <c r="C374" s="34"/>
      <c r="D374" s="34"/>
      <c r="E374" s="34"/>
      <c r="F374" s="34"/>
      <c r="G374" s="34"/>
      <c r="H374" s="60"/>
      <c r="I374" s="60"/>
      <c r="J374" s="43"/>
      <c r="K374" s="43"/>
      <c r="L374" s="43"/>
      <c r="M374" s="43"/>
      <c r="N374" s="43"/>
      <c r="O374" s="43"/>
      <c r="P374" s="43"/>
      <c r="Q374" s="43"/>
      <c r="R374" s="43"/>
    </row>
    <row r="375">
      <c r="A375" s="32"/>
      <c r="B375" s="34"/>
      <c r="C375" s="34"/>
      <c r="D375" s="34"/>
      <c r="E375" s="34"/>
      <c r="F375" s="34"/>
      <c r="G375" s="34"/>
      <c r="H375" s="60"/>
      <c r="I375" s="60"/>
      <c r="J375" s="43"/>
      <c r="K375" s="43"/>
      <c r="L375" s="43"/>
      <c r="M375" s="43"/>
      <c r="N375" s="43"/>
      <c r="O375" s="43"/>
      <c r="P375" s="43"/>
      <c r="Q375" s="43"/>
      <c r="R375" s="43"/>
    </row>
    <row r="376">
      <c r="A376" s="32"/>
      <c r="B376" s="34"/>
      <c r="C376" s="34"/>
      <c r="D376" s="34"/>
      <c r="E376" s="34"/>
      <c r="F376" s="34"/>
      <c r="G376" s="34"/>
      <c r="H376" s="60"/>
      <c r="I376" s="60"/>
      <c r="J376" s="43"/>
      <c r="K376" s="43"/>
      <c r="L376" s="43"/>
      <c r="M376" s="43"/>
      <c r="N376" s="43"/>
      <c r="O376" s="43"/>
      <c r="P376" s="43"/>
      <c r="Q376" s="43"/>
      <c r="R376" s="43"/>
    </row>
    <row r="377">
      <c r="A377" s="32"/>
      <c r="B377" s="34"/>
      <c r="C377" s="34"/>
      <c r="D377" s="34"/>
      <c r="E377" s="34"/>
      <c r="F377" s="34"/>
      <c r="G377" s="34"/>
      <c r="H377" s="60"/>
      <c r="I377" s="60"/>
      <c r="J377" s="43"/>
      <c r="K377" s="43"/>
      <c r="L377" s="43"/>
      <c r="M377" s="43"/>
      <c r="N377" s="43"/>
      <c r="O377" s="43"/>
      <c r="P377" s="43"/>
      <c r="Q377" s="43"/>
      <c r="R377" s="43"/>
    </row>
    <row r="378">
      <c r="A378" s="32"/>
      <c r="B378" s="34"/>
      <c r="C378" s="34"/>
      <c r="D378" s="34"/>
      <c r="E378" s="34"/>
      <c r="F378" s="34"/>
      <c r="G378" s="34"/>
      <c r="H378" s="60"/>
      <c r="I378" s="60"/>
      <c r="J378" s="43"/>
      <c r="K378" s="43"/>
      <c r="L378" s="43"/>
      <c r="M378" s="43"/>
      <c r="N378" s="43"/>
      <c r="O378" s="43"/>
      <c r="P378" s="43"/>
      <c r="Q378" s="43"/>
      <c r="R378" s="43"/>
    </row>
    <row r="379">
      <c r="A379" s="32"/>
      <c r="B379" s="34"/>
      <c r="C379" s="34"/>
      <c r="D379" s="34"/>
      <c r="E379" s="34"/>
      <c r="F379" s="34"/>
      <c r="G379" s="34"/>
      <c r="H379" s="60"/>
      <c r="I379" s="60"/>
      <c r="J379" s="43"/>
      <c r="K379" s="43"/>
      <c r="L379" s="43"/>
      <c r="M379" s="43"/>
      <c r="N379" s="43"/>
      <c r="O379" s="43"/>
      <c r="P379" s="43"/>
      <c r="Q379" s="43"/>
      <c r="R379" s="43"/>
    </row>
    <row r="380">
      <c r="A380" s="32"/>
      <c r="B380" s="34"/>
      <c r="C380" s="34"/>
      <c r="D380" s="34"/>
      <c r="E380" s="34"/>
      <c r="F380" s="34"/>
      <c r="G380" s="34"/>
      <c r="H380" s="60"/>
      <c r="I380" s="60"/>
      <c r="J380" s="43"/>
      <c r="K380" s="43"/>
      <c r="L380" s="43"/>
      <c r="M380" s="43"/>
      <c r="N380" s="43"/>
      <c r="O380" s="43"/>
      <c r="P380" s="43"/>
      <c r="Q380" s="43"/>
      <c r="R380" s="43"/>
    </row>
    <row r="381">
      <c r="A381" s="32"/>
      <c r="B381" s="34"/>
      <c r="C381" s="34"/>
      <c r="D381" s="34"/>
      <c r="E381" s="34"/>
      <c r="F381" s="34"/>
      <c r="G381" s="34"/>
      <c r="H381" s="60"/>
      <c r="I381" s="60"/>
      <c r="J381" s="43"/>
      <c r="K381" s="43"/>
      <c r="L381" s="43"/>
      <c r="M381" s="43"/>
      <c r="N381" s="43"/>
      <c r="O381" s="43"/>
      <c r="P381" s="43"/>
      <c r="Q381" s="43"/>
      <c r="R381" s="43"/>
    </row>
    <row r="382">
      <c r="A382" s="32"/>
      <c r="B382" s="34"/>
      <c r="C382" s="34"/>
      <c r="D382" s="34"/>
      <c r="E382" s="34"/>
      <c r="F382" s="34"/>
      <c r="G382" s="34"/>
      <c r="H382" s="60"/>
      <c r="I382" s="60"/>
      <c r="J382" s="43"/>
      <c r="K382" s="43"/>
      <c r="L382" s="43"/>
      <c r="M382" s="43"/>
      <c r="N382" s="43"/>
      <c r="O382" s="43"/>
      <c r="P382" s="43"/>
      <c r="Q382" s="43"/>
      <c r="R382" s="43"/>
    </row>
    <row r="383">
      <c r="A383" s="32"/>
      <c r="B383" s="34"/>
      <c r="C383" s="34"/>
      <c r="D383" s="34"/>
      <c r="E383" s="34"/>
      <c r="F383" s="34"/>
      <c r="G383" s="34"/>
      <c r="H383" s="60"/>
      <c r="I383" s="60"/>
      <c r="J383" s="43"/>
      <c r="K383" s="43"/>
      <c r="L383" s="43"/>
      <c r="M383" s="43"/>
      <c r="N383" s="43"/>
      <c r="O383" s="43"/>
      <c r="P383" s="43"/>
      <c r="Q383" s="43"/>
      <c r="R383" s="43"/>
    </row>
    <row r="384">
      <c r="A384" s="32"/>
      <c r="B384" s="34"/>
      <c r="C384" s="34"/>
      <c r="D384" s="34"/>
      <c r="E384" s="34"/>
      <c r="F384" s="34"/>
      <c r="G384" s="34"/>
      <c r="H384" s="60"/>
      <c r="I384" s="60"/>
      <c r="J384" s="43"/>
      <c r="K384" s="43"/>
      <c r="L384" s="43"/>
      <c r="M384" s="43"/>
      <c r="N384" s="43"/>
      <c r="O384" s="43"/>
      <c r="P384" s="43"/>
      <c r="Q384" s="43"/>
      <c r="R384" s="43"/>
    </row>
    <row r="385">
      <c r="A385" s="32"/>
      <c r="B385" s="34"/>
      <c r="C385" s="34"/>
      <c r="D385" s="34"/>
      <c r="E385" s="34"/>
      <c r="F385" s="34"/>
      <c r="G385" s="34"/>
      <c r="H385" s="60"/>
      <c r="I385" s="60"/>
      <c r="J385" s="43"/>
      <c r="K385" s="43"/>
      <c r="L385" s="43"/>
      <c r="M385" s="43"/>
      <c r="N385" s="43"/>
      <c r="O385" s="43"/>
      <c r="P385" s="43"/>
      <c r="Q385" s="43"/>
      <c r="R385" s="43"/>
    </row>
    <row r="386">
      <c r="A386" s="32"/>
      <c r="B386" s="34"/>
      <c r="C386" s="34"/>
      <c r="D386" s="34"/>
      <c r="E386" s="34"/>
      <c r="F386" s="34"/>
      <c r="G386" s="34"/>
      <c r="H386" s="60"/>
      <c r="I386" s="60"/>
      <c r="J386" s="43"/>
      <c r="K386" s="43"/>
      <c r="L386" s="43"/>
      <c r="M386" s="43"/>
      <c r="N386" s="43"/>
      <c r="O386" s="43"/>
      <c r="P386" s="43"/>
      <c r="Q386" s="43"/>
      <c r="R386" s="43"/>
    </row>
    <row r="387">
      <c r="A387" s="32"/>
      <c r="B387" s="34"/>
      <c r="C387" s="34"/>
      <c r="D387" s="34"/>
      <c r="E387" s="34"/>
      <c r="F387" s="34"/>
      <c r="G387" s="34"/>
      <c r="H387" s="60"/>
      <c r="I387" s="60"/>
      <c r="J387" s="43"/>
      <c r="K387" s="43"/>
      <c r="L387" s="43"/>
      <c r="M387" s="43"/>
      <c r="N387" s="43"/>
      <c r="O387" s="43"/>
      <c r="P387" s="43"/>
      <c r="Q387" s="43"/>
      <c r="R387" s="43"/>
    </row>
    <row r="388">
      <c r="A388" s="32"/>
      <c r="B388" s="34"/>
      <c r="C388" s="34"/>
      <c r="D388" s="34"/>
      <c r="E388" s="34"/>
      <c r="F388" s="34"/>
      <c r="G388" s="34"/>
      <c r="H388" s="60"/>
      <c r="I388" s="60"/>
      <c r="J388" s="43"/>
      <c r="K388" s="43"/>
      <c r="L388" s="43"/>
      <c r="M388" s="43"/>
      <c r="N388" s="43"/>
      <c r="O388" s="43"/>
      <c r="P388" s="43"/>
      <c r="Q388" s="43"/>
      <c r="R388" s="43"/>
    </row>
    <row r="389">
      <c r="A389" s="32"/>
      <c r="B389" s="34"/>
      <c r="C389" s="34"/>
      <c r="D389" s="34"/>
      <c r="E389" s="34"/>
      <c r="F389" s="34"/>
      <c r="G389" s="34"/>
      <c r="H389" s="60"/>
      <c r="I389" s="60"/>
      <c r="J389" s="43"/>
      <c r="K389" s="43"/>
      <c r="L389" s="43"/>
      <c r="M389" s="43"/>
      <c r="N389" s="43"/>
      <c r="O389" s="43"/>
      <c r="P389" s="43"/>
      <c r="Q389" s="43"/>
      <c r="R389" s="43"/>
    </row>
    <row r="390">
      <c r="A390" s="32"/>
      <c r="B390" s="34"/>
      <c r="C390" s="34"/>
      <c r="D390" s="34"/>
      <c r="E390" s="34"/>
      <c r="F390" s="34"/>
      <c r="G390" s="34"/>
      <c r="H390" s="60"/>
      <c r="I390" s="60"/>
      <c r="J390" s="43"/>
      <c r="K390" s="43"/>
      <c r="L390" s="43"/>
      <c r="M390" s="43"/>
      <c r="N390" s="43"/>
      <c r="O390" s="43"/>
      <c r="P390" s="43"/>
      <c r="Q390" s="43"/>
      <c r="R390" s="43"/>
    </row>
    <row r="391">
      <c r="A391" s="32"/>
      <c r="B391" s="34"/>
      <c r="C391" s="34"/>
      <c r="D391" s="34"/>
      <c r="E391" s="34"/>
      <c r="F391" s="34"/>
      <c r="G391" s="34"/>
      <c r="H391" s="60"/>
      <c r="I391" s="60"/>
      <c r="J391" s="43"/>
      <c r="K391" s="43"/>
      <c r="L391" s="43"/>
      <c r="M391" s="43"/>
      <c r="N391" s="43"/>
      <c r="O391" s="43"/>
      <c r="P391" s="43"/>
      <c r="Q391" s="43"/>
      <c r="R391" s="43"/>
    </row>
    <row r="392">
      <c r="A392" s="32"/>
      <c r="B392" s="34"/>
      <c r="C392" s="34"/>
      <c r="D392" s="34"/>
      <c r="E392" s="34"/>
      <c r="F392" s="34"/>
      <c r="G392" s="34"/>
      <c r="H392" s="60"/>
      <c r="I392" s="60"/>
      <c r="J392" s="43"/>
      <c r="K392" s="43"/>
      <c r="L392" s="43"/>
      <c r="M392" s="43"/>
      <c r="N392" s="43"/>
      <c r="O392" s="43"/>
      <c r="P392" s="43"/>
      <c r="Q392" s="43"/>
      <c r="R392" s="43"/>
    </row>
    <row r="393">
      <c r="A393" s="32"/>
      <c r="B393" s="34"/>
      <c r="C393" s="34"/>
      <c r="D393" s="34"/>
      <c r="E393" s="34"/>
      <c r="F393" s="34"/>
      <c r="G393" s="34"/>
      <c r="H393" s="60"/>
      <c r="I393" s="60"/>
      <c r="J393" s="43"/>
      <c r="K393" s="43"/>
      <c r="L393" s="43"/>
      <c r="M393" s="43"/>
      <c r="N393" s="43"/>
      <c r="O393" s="43"/>
      <c r="P393" s="43"/>
      <c r="Q393" s="43"/>
      <c r="R393" s="43"/>
    </row>
    <row r="394">
      <c r="A394" s="32"/>
      <c r="B394" s="34"/>
      <c r="C394" s="34"/>
      <c r="D394" s="34"/>
      <c r="E394" s="34"/>
      <c r="F394" s="34"/>
      <c r="G394" s="34"/>
      <c r="H394" s="60"/>
      <c r="I394" s="60"/>
      <c r="J394" s="43"/>
      <c r="K394" s="43"/>
      <c r="L394" s="43"/>
      <c r="M394" s="43"/>
      <c r="N394" s="43"/>
      <c r="O394" s="43"/>
      <c r="P394" s="43"/>
      <c r="Q394" s="43"/>
      <c r="R394" s="43"/>
    </row>
    <row r="395">
      <c r="A395" s="32"/>
      <c r="B395" s="34"/>
      <c r="C395" s="34"/>
      <c r="D395" s="34"/>
      <c r="E395" s="34"/>
      <c r="F395" s="34"/>
      <c r="G395" s="34"/>
      <c r="H395" s="60"/>
      <c r="I395" s="60"/>
      <c r="J395" s="43"/>
      <c r="K395" s="43"/>
      <c r="L395" s="43"/>
      <c r="M395" s="43"/>
      <c r="N395" s="43"/>
      <c r="O395" s="43"/>
      <c r="P395" s="43"/>
      <c r="Q395" s="43"/>
      <c r="R395" s="43"/>
    </row>
    <row r="396">
      <c r="A396" s="32"/>
      <c r="B396" s="34"/>
      <c r="C396" s="34"/>
      <c r="D396" s="34"/>
      <c r="E396" s="34"/>
      <c r="F396" s="34"/>
      <c r="G396" s="34"/>
      <c r="H396" s="60"/>
      <c r="I396" s="60"/>
      <c r="J396" s="43"/>
      <c r="K396" s="43"/>
      <c r="L396" s="43"/>
      <c r="M396" s="43"/>
      <c r="N396" s="43"/>
      <c r="O396" s="43"/>
      <c r="P396" s="43"/>
      <c r="Q396" s="43"/>
      <c r="R396" s="43"/>
    </row>
    <row r="397">
      <c r="A397" s="32"/>
      <c r="B397" s="34"/>
      <c r="C397" s="34"/>
      <c r="D397" s="34"/>
      <c r="E397" s="34"/>
      <c r="F397" s="34"/>
      <c r="G397" s="34"/>
      <c r="H397" s="60"/>
      <c r="I397" s="60"/>
      <c r="J397" s="43"/>
      <c r="K397" s="43"/>
      <c r="L397" s="43"/>
      <c r="M397" s="43"/>
      <c r="N397" s="43"/>
      <c r="O397" s="43"/>
      <c r="P397" s="43"/>
      <c r="Q397" s="43"/>
      <c r="R397" s="43"/>
    </row>
    <row r="398">
      <c r="A398" s="32"/>
      <c r="B398" s="34"/>
      <c r="C398" s="34"/>
      <c r="D398" s="34"/>
      <c r="E398" s="34"/>
      <c r="F398" s="34"/>
      <c r="G398" s="34"/>
      <c r="H398" s="60"/>
      <c r="I398" s="60"/>
      <c r="J398" s="43"/>
      <c r="K398" s="43"/>
      <c r="L398" s="43"/>
      <c r="M398" s="43"/>
      <c r="N398" s="43"/>
      <c r="O398" s="43"/>
      <c r="P398" s="43"/>
      <c r="Q398" s="43"/>
      <c r="R398" s="43"/>
    </row>
    <row r="399">
      <c r="A399" s="32"/>
      <c r="B399" s="34"/>
      <c r="C399" s="34"/>
      <c r="D399" s="34"/>
      <c r="E399" s="34"/>
      <c r="F399" s="34"/>
      <c r="G399" s="34"/>
      <c r="H399" s="60"/>
      <c r="I399" s="60"/>
      <c r="J399" s="43"/>
      <c r="K399" s="43"/>
      <c r="L399" s="43"/>
      <c r="M399" s="43"/>
      <c r="N399" s="43"/>
      <c r="O399" s="43"/>
      <c r="P399" s="43"/>
      <c r="Q399" s="43"/>
      <c r="R399" s="43"/>
    </row>
    <row r="400">
      <c r="A400" s="32"/>
      <c r="B400" s="34"/>
      <c r="C400" s="34"/>
      <c r="D400" s="34"/>
      <c r="E400" s="34"/>
      <c r="F400" s="34"/>
      <c r="G400" s="34"/>
      <c r="H400" s="60"/>
      <c r="I400" s="60"/>
      <c r="J400" s="43"/>
      <c r="K400" s="43"/>
      <c r="L400" s="43"/>
      <c r="M400" s="43"/>
      <c r="N400" s="43"/>
      <c r="O400" s="43"/>
      <c r="P400" s="43"/>
      <c r="Q400" s="43"/>
      <c r="R400" s="43"/>
    </row>
    <row r="401">
      <c r="A401" s="32"/>
      <c r="B401" s="34"/>
      <c r="C401" s="34"/>
      <c r="D401" s="34"/>
      <c r="E401" s="34"/>
      <c r="F401" s="34"/>
      <c r="G401" s="34"/>
      <c r="H401" s="60"/>
      <c r="I401" s="60"/>
      <c r="J401" s="43"/>
      <c r="K401" s="43"/>
      <c r="L401" s="43"/>
      <c r="M401" s="43"/>
      <c r="N401" s="43"/>
      <c r="O401" s="43"/>
      <c r="P401" s="43"/>
      <c r="Q401" s="43"/>
      <c r="R401" s="43"/>
    </row>
    <row r="402">
      <c r="A402" s="32"/>
      <c r="B402" s="34"/>
      <c r="C402" s="34"/>
      <c r="D402" s="34"/>
      <c r="E402" s="34"/>
      <c r="F402" s="34"/>
      <c r="G402" s="34"/>
      <c r="H402" s="60"/>
      <c r="I402" s="60"/>
      <c r="J402" s="43"/>
      <c r="K402" s="43"/>
      <c r="L402" s="43"/>
      <c r="M402" s="43"/>
      <c r="N402" s="43"/>
      <c r="O402" s="43"/>
      <c r="P402" s="43"/>
      <c r="Q402" s="43"/>
      <c r="R402" s="43"/>
    </row>
    <row r="403">
      <c r="A403" s="32"/>
      <c r="B403" s="34"/>
      <c r="C403" s="34"/>
      <c r="D403" s="34"/>
      <c r="E403" s="34"/>
      <c r="F403" s="34"/>
      <c r="G403" s="34"/>
      <c r="H403" s="60"/>
      <c r="I403" s="60"/>
      <c r="J403" s="43"/>
      <c r="K403" s="43"/>
      <c r="L403" s="43"/>
      <c r="M403" s="43"/>
      <c r="N403" s="43"/>
      <c r="O403" s="43"/>
      <c r="P403" s="43"/>
      <c r="Q403" s="43"/>
      <c r="R403" s="43"/>
    </row>
    <row r="404">
      <c r="A404" s="32"/>
      <c r="B404" s="34"/>
      <c r="C404" s="34"/>
      <c r="D404" s="34"/>
      <c r="E404" s="34"/>
      <c r="F404" s="34"/>
      <c r="G404" s="34"/>
      <c r="H404" s="60"/>
      <c r="I404" s="60"/>
      <c r="J404" s="43"/>
      <c r="K404" s="43"/>
      <c r="L404" s="43"/>
      <c r="M404" s="43"/>
      <c r="N404" s="43"/>
      <c r="O404" s="43"/>
      <c r="P404" s="43"/>
      <c r="Q404" s="43"/>
      <c r="R404" s="43"/>
    </row>
    <row r="405">
      <c r="A405" s="32"/>
      <c r="B405" s="34"/>
      <c r="C405" s="34"/>
      <c r="D405" s="34"/>
      <c r="E405" s="34"/>
      <c r="F405" s="34"/>
      <c r="G405" s="34"/>
      <c r="H405" s="60"/>
      <c r="I405" s="60"/>
      <c r="J405" s="43"/>
      <c r="K405" s="43"/>
      <c r="L405" s="43"/>
      <c r="M405" s="43"/>
      <c r="N405" s="43"/>
      <c r="O405" s="43"/>
      <c r="P405" s="43"/>
      <c r="Q405" s="43"/>
      <c r="R405" s="43"/>
    </row>
    <row r="406">
      <c r="A406" s="32"/>
      <c r="B406" s="34"/>
      <c r="C406" s="34"/>
      <c r="D406" s="34"/>
      <c r="E406" s="34"/>
      <c r="F406" s="34"/>
      <c r="G406" s="34"/>
      <c r="H406" s="60"/>
      <c r="I406" s="60"/>
      <c r="J406" s="43"/>
      <c r="K406" s="43"/>
      <c r="L406" s="43"/>
      <c r="M406" s="43"/>
      <c r="N406" s="43"/>
      <c r="O406" s="43"/>
      <c r="P406" s="43"/>
      <c r="Q406" s="43"/>
      <c r="R406" s="43"/>
    </row>
    <row r="407">
      <c r="A407" s="32"/>
      <c r="B407" s="34"/>
      <c r="C407" s="34"/>
      <c r="D407" s="34"/>
      <c r="E407" s="34"/>
      <c r="F407" s="34"/>
      <c r="G407" s="34"/>
      <c r="H407" s="60"/>
      <c r="I407" s="60"/>
      <c r="J407" s="43"/>
      <c r="K407" s="43"/>
      <c r="L407" s="43"/>
      <c r="M407" s="43"/>
      <c r="N407" s="43"/>
      <c r="O407" s="43"/>
      <c r="P407" s="43"/>
      <c r="Q407" s="43"/>
      <c r="R407" s="43"/>
    </row>
    <row r="408">
      <c r="A408" s="32"/>
      <c r="B408" s="34"/>
      <c r="C408" s="34"/>
      <c r="D408" s="34"/>
      <c r="E408" s="34"/>
      <c r="F408" s="34"/>
      <c r="G408" s="34"/>
      <c r="H408" s="60"/>
      <c r="I408" s="60"/>
      <c r="J408" s="43"/>
      <c r="K408" s="43"/>
      <c r="L408" s="43"/>
      <c r="M408" s="43"/>
      <c r="N408" s="43"/>
      <c r="O408" s="43"/>
      <c r="P408" s="43"/>
      <c r="Q408" s="43"/>
      <c r="R408" s="43"/>
    </row>
    <row r="409">
      <c r="A409" s="32"/>
      <c r="B409" s="34"/>
      <c r="C409" s="34"/>
      <c r="D409" s="34"/>
      <c r="E409" s="34"/>
      <c r="F409" s="34"/>
      <c r="G409" s="34"/>
      <c r="H409" s="60"/>
      <c r="I409" s="60"/>
      <c r="J409" s="43"/>
      <c r="K409" s="43"/>
      <c r="L409" s="43"/>
      <c r="M409" s="43"/>
      <c r="N409" s="43"/>
      <c r="O409" s="43"/>
      <c r="P409" s="43"/>
      <c r="Q409" s="43"/>
      <c r="R409" s="43"/>
    </row>
    <row r="410">
      <c r="A410" s="32"/>
      <c r="B410" s="34"/>
      <c r="C410" s="34"/>
      <c r="D410" s="34"/>
      <c r="E410" s="34"/>
      <c r="F410" s="34"/>
      <c r="G410" s="34"/>
      <c r="H410" s="60"/>
      <c r="I410" s="60"/>
      <c r="J410" s="43"/>
      <c r="K410" s="43"/>
      <c r="L410" s="43"/>
      <c r="M410" s="43"/>
      <c r="N410" s="43"/>
      <c r="O410" s="43"/>
      <c r="P410" s="43"/>
      <c r="Q410" s="43"/>
      <c r="R410" s="43"/>
    </row>
    <row r="411">
      <c r="A411" s="32"/>
      <c r="B411" s="34"/>
      <c r="C411" s="34"/>
      <c r="D411" s="34"/>
      <c r="E411" s="34"/>
      <c r="F411" s="34"/>
      <c r="G411" s="34"/>
      <c r="H411" s="60"/>
      <c r="I411" s="60"/>
      <c r="J411" s="43"/>
      <c r="K411" s="43"/>
      <c r="L411" s="43"/>
      <c r="M411" s="43"/>
      <c r="N411" s="43"/>
      <c r="O411" s="43"/>
      <c r="P411" s="43"/>
      <c r="Q411" s="43"/>
      <c r="R411" s="43"/>
    </row>
    <row r="412">
      <c r="A412" s="32"/>
      <c r="B412" s="34"/>
      <c r="C412" s="34"/>
      <c r="D412" s="34"/>
      <c r="E412" s="34"/>
      <c r="F412" s="34"/>
      <c r="G412" s="34"/>
      <c r="H412" s="60"/>
      <c r="I412" s="60"/>
      <c r="J412" s="43"/>
      <c r="K412" s="43"/>
      <c r="L412" s="43"/>
      <c r="M412" s="43"/>
      <c r="N412" s="43"/>
      <c r="O412" s="43"/>
      <c r="P412" s="43"/>
      <c r="Q412" s="43"/>
      <c r="R412" s="43"/>
    </row>
    <row r="413">
      <c r="A413" s="32"/>
      <c r="B413" s="34"/>
      <c r="C413" s="34"/>
      <c r="D413" s="34"/>
      <c r="E413" s="34"/>
      <c r="F413" s="34"/>
      <c r="G413" s="34"/>
      <c r="H413" s="60"/>
      <c r="I413" s="60"/>
      <c r="J413" s="43"/>
      <c r="K413" s="43"/>
      <c r="L413" s="43"/>
      <c r="M413" s="43"/>
      <c r="N413" s="43"/>
      <c r="O413" s="43"/>
      <c r="P413" s="43"/>
      <c r="Q413" s="43"/>
      <c r="R413" s="43"/>
    </row>
    <row r="414">
      <c r="A414" s="32"/>
      <c r="B414" s="34"/>
      <c r="C414" s="34"/>
      <c r="D414" s="34"/>
      <c r="E414" s="34"/>
      <c r="F414" s="34"/>
      <c r="G414" s="34"/>
      <c r="H414" s="60"/>
      <c r="I414" s="60"/>
      <c r="J414" s="43"/>
      <c r="K414" s="43"/>
      <c r="L414" s="43"/>
      <c r="M414" s="43"/>
      <c r="N414" s="43"/>
      <c r="O414" s="43"/>
      <c r="P414" s="43"/>
      <c r="Q414" s="43"/>
      <c r="R414" s="43"/>
    </row>
    <row r="415">
      <c r="A415" s="32"/>
      <c r="B415" s="34"/>
      <c r="C415" s="34"/>
      <c r="D415" s="34"/>
      <c r="E415" s="34"/>
      <c r="F415" s="34"/>
      <c r="G415" s="34"/>
      <c r="H415" s="60"/>
      <c r="I415" s="60"/>
      <c r="J415" s="43"/>
      <c r="K415" s="43"/>
      <c r="L415" s="43"/>
      <c r="M415" s="43"/>
      <c r="N415" s="43"/>
      <c r="O415" s="43"/>
      <c r="P415" s="43"/>
      <c r="Q415" s="43"/>
      <c r="R415" s="43"/>
    </row>
    <row r="416">
      <c r="A416" s="32"/>
      <c r="B416" s="34"/>
      <c r="C416" s="34"/>
      <c r="D416" s="34"/>
      <c r="E416" s="34"/>
      <c r="F416" s="34"/>
      <c r="G416" s="34"/>
      <c r="H416" s="60"/>
      <c r="I416" s="60"/>
      <c r="J416" s="43"/>
      <c r="K416" s="43"/>
      <c r="L416" s="43"/>
      <c r="M416" s="43"/>
      <c r="N416" s="43"/>
      <c r="O416" s="43"/>
      <c r="P416" s="43"/>
      <c r="Q416" s="43"/>
      <c r="R416" s="43"/>
    </row>
    <row r="417">
      <c r="A417" s="32"/>
      <c r="B417" s="34"/>
      <c r="C417" s="34"/>
      <c r="D417" s="34"/>
      <c r="E417" s="34"/>
      <c r="F417" s="34"/>
      <c r="G417" s="34"/>
      <c r="H417" s="60"/>
      <c r="I417" s="60"/>
      <c r="J417" s="43"/>
      <c r="K417" s="43"/>
      <c r="L417" s="43"/>
      <c r="M417" s="43"/>
      <c r="N417" s="43"/>
      <c r="O417" s="43"/>
      <c r="P417" s="43"/>
      <c r="Q417" s="43"/>
      <c r="R417" s="43"/>
    </row>
    <row r="418">
      <c r="A418" s="32"/>
      <c r="B418" s="34"/>
      <c r="C418" s="34"/>
      <c r="D418" s="34"/>
      <c r="E418" s="34"/>
      <c r="F418" s="34"/>
      <c r="G418" s="34"/>
      <c r="H418" s="60"/>
      <c r="I418" s="60"/>
      <c r="J418" s="43"/>
      <c r="K418" s="43"/>
      <c r="L418" s="43"/>
      <c r="M418" s="43"/>
      <c r="N418" s="43"/>
      <c r="O418" s="43"/>
      <c r="P418" s="43"/>
      <c r="Q418" s="43"/>
      <c r="R418" s="43"/>
    </row>
    <row r="419">
      <c r="A419" s="32"/>
      <c r="B419" s="34"/>
      <c r="C419" s="34"/>
      <c r="D419" s="34"/>
      <c r="E419" s="34"/>
      <c r="F419" s="34"/>
      <c r="G419" s="34"/>
      <c r="H419" s="60"/>
      <c r="I419" s="60"/>
      <c r="J419" s="43"/>
      <c r="K419" s="43"/>
      <c r="L419" s="43"/>
      <c r="M419" s="43"/>
      <c r="N419" s="43"/>
      <c r="O419" s="43"/>
      <c r="P419" s="43"/>
      <c r="Q419" s="43"/>
      <c r="R419" s="43"/>
    </row>
    <row r="420">
      <c r="A420" s="32"/>
      <c r="B420" s="34"/>
      <c r="C420" s="34"/>
      <c r="D420" s="34"/>
      <c r="E420" s="34"/>
      <c r="F420" s="34"/>
      <c r="G420" s="34"/>
      <c r="H420" s="60"/>
      <c r="I420" s="60"/>
      <c r="J420" s="43"/>
      <c r="K420" s="43"/>
      <c r="L420" s="43"/>
      <c r="M420" s="43"/>
      <c r="N420" s="43"/>
      <c r="O420" s="43"/>
      <c r="P420" s="43"/>
      <c r="Q420" s="43"/>
      <c r="R420" s="43"/>
    </row>
    <row r="421">
      <c r="A421" s="32"/>
      <c r="B421" s="34"/>
      <c r="C421" s="34"/>
      <c r="D421" s="34"/>
      <c r="E421" s="34"/>
      <c r="F421" s="34"/>
      <c r="G421" s="34"/>
      <c r="H421" s="60"/>
      <c r="I421" s="60"/>
      <c r="J421" s="43"/>
      <c r="K421" s="43"/>
      <c r="L421" s="43"/>
      <c r="M421" s="43"/>
      <c r="N421" s="43"/>
      <c r="O421" s="43"/>
      <c r="P421" s="43"/>
      <c r="Q421" s="43"/>
      <c r="R421" s="43"/>
    </row>
    <row r="422">
      <c r="A422" s="32"/>
      <c r="B422" s="34"/>
      <c r="C422" s="34"/>
      <c r="D422" s="34"/>
      <c r="E422" s="34"/>
      <c r="F422" s="34"/>
      <c r="G422" s="34"/>
      <c r="H422" s="60"/>
      <c r="I422" s="60"/>
      <c r="J422" s="43"/>
      <c r="K422" s="43"/>
      <c r="L422" s="43"/>
      <c r="M422" s="43"/>
      <c r="N422" s="43"/>
      <c r="O422" s="43"/>
      <c r="P422" s="43"/>
      <c r="Q422" s="43"/>
      <c r="R422" s="43"/>
    </row>
    <row r="423">
      <c r="A423" s="32"/>
      <c r="B423" s="34"/>
      <c r="C423" s="34"/>
      <c r="D423" s="34"/>
      <c r="E423" s="34"/>
      <c r="F423" s="34"/>
      <c r="G423" s="34"/>
      <c r="H423" s="60"/>
      <c r="I423" s="60"/>
      <c r="J423" s="43"/>
      <c r="K423" s="43"/>
      <c r="L423" s="43"/>
      <c r="M423" s="43"/>
      <c r="N423" s="43"/>
      <c r="O423" s="43"/>
      <c r="P423" s="43"/>
      <c r="Q423" s="43"/>
      <c r="R423" s="43"/>
    </row>
    <row r="424">
      <c r="A424" s="32"/>
      <c r="B424" s="34"/>
      <c r="C424" s="34"/>
      <c r="D424" s="34"/>
      <c r="E424" s="34"/>
      <c r="F424" s="34"/>
      <c r="G424" s="34"/>
      <c r="H424" s="60"/>
      <c r="I424" s="60"/>
      <c r="J424" s="43"/>
      <c r="K424" s="43"/>
      <c r="L424" s="43"/>
      <c r="M424" s="43"/>
      <c r="N424" s="43"/>
      <c r="O424" s="43"/>
      <c r="P424" s="43"/>
      <c r="Q424" s="43"/>
      <c r="R424" s="43"/>
    </row>
    <row r="425">
      <c r="A425" s="32"/>
      <c r="B425" s="34"/>
      <c r="C425" s="34"/>
      <c r="D425" s="34"/>
      <c r="E425" s="34"/>
      <c r="F425" s="34"/>
      <c r="G425" s="34"/>
      <c r="H425" s="60"/>
      <c r="I425" s="60"/>
      <c r="J425" s="43"/>
      <c r="K425" s="43"/>
      <c r="L425" s="43"/>
      <c r="M425" s="43"/>
      <c r="N425" s="43"/>
      <c r="O425" s="43"/>
      <c r="P425" s="43"/>
      <c r="Q425" s="43"/>
      <c r="R425" s="43"/>
    </row>
    <row r="426">
      <c r="A426" s="32"/>
      <c r="B426" s="34"/>
      <c r="C426" s="34"/>
      <c r="D426" s="34"/>
      <c r="E426" s="34"/>
      <c r="F426" s="34"/>
      <c r="G426" s="34"/>
      <c r="H426" s="60"/>
      <c r="I426" s="60"/>
      <c r="J426" s="43"/>
      <c r="K426" s="43"/>
      <c r="L426" s="43"/>
      <c r="M426" s="43"/>
      <c r="N426" s="43"/>
      <c r="O426" s="43"/>
      <c r="P426" s="43"/>
      <c r="Q426" s="43"/>
      <c r="R426" s="43"/>
    </row>
    <row r="427">
      <c r="A427" s="32"/>
      <c r="B427" s="34"/>
      <c r="C427" s="34"/>
      <c r="D427" s="34"/>
      <c r="E427" s="34"/>
      <c r="F427" s="34"/>
      <c r="G427" s="34"/>
      <c r="H427" s="60"/>
      <c r="I427" s="60"/>
      <c r="J427" s="43"/>
      <c r="K427" s="43"/>
      <c r="L427" s="43"/>
      <c r="M427" s="43"/>
      <c r="N427" s="43"/>
      <c r="O427" s="43"/>
      <c r="P427" s="43"/>
      <c r="Q427" s="43"/>
      <c r="R427" s="43"/>
    </row>
    <row r="428">
      <c r="A428" s="32"/>
      <c r="B428" s="34"/>
      <c r="C428" s="34"/>
      <c r="D428" s="34"/>
      <c r="E428" s="34"/>
      <c r="F428" s="34"/>
      <c r="G428" s="34"/>
      <c r="H428" s="60"/>
      <c r="I428" s="60"/>
      <c r="J428" s="43"/>
      <c r="K428" s="43"/>
      <c r="L428" s="43"/>
      <c r="M428" s="43"/>
      <c r="N428" s="43"/>
      <c r="O428" s="43"/>
      <c r="P428" s="43"/>
      <c r="Q428" s="43"/>
      <c r="R428" s="43"/>
    </row>
    <row r="429">
      <c r="A429" s="32"/>
      <c r="B429" s="34"/>
      <c r="C429" s="34"/>
      <c r="D429" s="34"/>
      <c r="E429" s="34"/>
      <c r="F429" s="34"/>
      <c r="G429" s="34"/>
      <c r="H429" s="60"/>
      <c r="I429" s="60"/>
      <c r="J429" s="43"/>
      <c r="K429" s="43"/>
      <c r="L429" s="43"/>
      <c r="M429" s="43"/>
      <c r="N429" s="43"/>
      <c r="O429" s="43"/>
      <c r="P429" s="43"/>
      <c r="Q429" s="43"/>
      <c r="R429" s="43"/>
    </row>
    <row r="430">
      <c r="A430" s="32"/>
      <c r="B430" s="34"/>
      <c r="C430" s="34"/>
      <c r="D430" s="34"/>
      <c r="E430" s="34"/>
      <c r="F430" s="34"/>
      <c r="G430" s="34"/>
      <c r="H430" s="60"/>
      <c r="I430" s="60"/>
      <c r="J430" s="43"/>
      <c r="K430" s="43"/>
      <c r="L430" s="43"/>
      <c r="M430" s="43"/>
      <c r="N430" s="43"/>
      <c r="O430" s="43"/>
      <c r="P430" s="43"/>
      <c r="Q430" s="43"/>
      <c r="R430" s="43"/>
    </row>
    <row r="431">
      <c r="A431" s="32"/>
      <c r="B431" s="34"/>
      <c r="C431" s="34"/>
      <c r="D431" s="34"/>
      <c r="E431" s="34"/>
      <c r="F431" s="34"/>
      <c r="G431" s="34"/>
      <c r="H431" s="60"/>
      <c r="I431" s="60"/>
      <c r="J431" s="43"/>
      <c r="K431" s="43"/>
      <c r="L431" s="43"/>
      <c r="M431" s="43"/>
      <c r="N431" s="43"/>
      <c r="O431" s="43"/>
      <c r="P431" s="43"/>
      <c r="Q431" s="43"/>
      <c r="R431" s="43"/>
    </row>
    <row r="432">
      <c r="A432" s="32"/>
      <c r="B432" s="34"/>
      <c r="C432" s="34"/>
      <c r="D432" s="34"/>
      <c r="E432" s="34"/>
      <c r="F432" s="34"/>
      <c r="G432" s="34"/>
      <c r="H432" s="60"/>
      <c r="I432" s="60"/>
      <c r="J432" s="43"/>
      <c r="K432" s="43"/>
      <c r="L432" s="43"/>
      <c r="M432" s="43"/>
      <c r="N432" s="43"/>
      <c r="O432" s="43"/>
      <c r="P432" s="43"/>
      <c r="Q432" s="43"/>
      <c r="R432" s="43"/>
    </row>
    <row r="433">
      <c r="A433" s="32"/>
      <c r="B433" s="34"/>
      <c r="C433" s="34"/>
      <c r="D433" s="34"/>
      <c r="E433" s="34"/>
      <c r="F433" s="34"/>
      <c r="G433" s="34"/>
      <c r="H433" s="60"/>
      <c r="I433" s="60"/>
      <c r="J433" s="43"/>
      <c r="K433" s="43"/>
      <c r="L433" s="43"/>
      <c r="M433" s="43"/>
      <c r="N433" s="43"/>
      <c r="O433" s="43"/>
      <c r="P433" s="43"/>
      <c r="Q433" s="43"/>
      <c r="R433" s="43"/>
    </row>
    <row r="434">
      <c r="A434" s="32"/>
      <c r="B434" s="34"/>
      <c r="C434" s="34"/>
      <c r="D434" s="34"/>
      <c r="E434" s="34"/>
      <c r="F434" s="34"/>
      <c r="G434" s="34"/>
      <c r="H434" s="60"/>
      <c r="I434" s="60"/>
      <c r="J434" s="43"/>
      <c r="K434" s="43"/>
      <c r="L434" s="43"/>
      <c r="M434" s="43"/>
      <c r="N434" s="43"/>
      <c r="O434" s="43"/>
      <c r="P434" s="43"/>
      <c r="Q434" s="43"/>
      <c r="R434" s="43"/>
    </row>
    <row r="435">
      <c r="A435" s="32"/>
      <c r="B435" s="34"/>
      <c r="C435" s="34"/>
      <c r="D435" s="34"/>
      <c r="E435" s="34"/>
      <c r="F435" s="34"/>
      <c r="G435" s="34"/>
      <c r="H435" s="60"/>
      <c r="I435" s="60"/>
      <c r="J435" s="43"/>
      <c r="K435" s="43"/>
      <c r="L435" s="43"/>
      <c r="M435" s="43"/>
      <c r="N435" s="43"/>
      <c r="O435" s="43"/>
      <c r="P435" s="43"/>
      <c r="Q435" s="43"/>
      <c r="R435" s="43"/>
    </row>
    <row r="436">
      <c r="A436" s="32"/>
      <c r="B436" s="34"/>
      <c r="C436" s="34"/>
      <c r="D436" s="34"/>
      <c r="E436" s="34"/>
      <c r="F436" s="34"/>
      <c r="G436" s="34"/>
      <c r="H436" s="60"/>
      <c r="I436" s="60"/>
      <c r="J436" s="43"/>
      <c r="K436" s="43"/>
      <c r="L436" s="43"/>
      <c r="M436" s="43"/>
      <c r="N436" s="43"/>
      <c r="O436" s="43"/>
      <c r="P436" s="43"/>
      <c r="Q436" s="43"/>
      <c r="R436" s="43"/>
    </row>
    <row r="437">
      <c r="A437" s="32"/>
      <c r="B437" s="34"/>
      <c r="C437" s="34"/>
      <c r="D437" s="34"/>
      <c r="E437" s="34"/>
      <c r="F437" s="34"/>
      <c r="G437" s="34"/>
      <c r="H437" s="60"/>
      <c r="I437" s="60"/>
      <c r="J437" s="43"/>
      <c r="K437" s="43"/>
      <c r="L437" s="43"/>
      <c r="M437" s="43"/>
      <c r="N437" s="43"/>
      <c r="O437" s="43"/>
      <c r="P437" s="43"/>
      <c r="Q437" s="43"/>
      <c r="R437" s="43"/>
    </row>
    <row r="438">
      <c r="A438" s="32"/>
      <c r="B438" s="34"/>
      <c r="C438" s="34"/>
      <c r="D438" s="34"/>
      <c r="E438" s="34"/>
      <c r="F438" s="34"/>
      <c r="G438" s="34"/>
      <c r="H438" s="60"/>
      <c r="I438" s="60"/>
      <c r="J438" s="43"/>
      <c r="K438" s="43"/>
      <c r="L438" s="43"/>
      <c r="M438" s="43"/>
      <c r="N438" s="43"/>
      <c r="O438" s="43"/>
      <c r="P438" s="43"/>
      <c r="Q438" s="43"/>
      <c r="R438" s="43"/>
    </row>
    <row r="439">
      <c r="A439" s="32"/>
      <c r="B439" s="34"/>
      <c r="C439" s="34"/>
      <c r="D439" s="34"/>
      <c r="E439" s="34"/>
      <c r="F439" s="34"/>
      <c r="G439" s="34"/>
      <c r="H439" s="60"/>
      <c r="I439" s="60"/>
      <c r="J439" s="43"/>
      <c r="K439" s="43"/>
      <c r="L439" s="43"/>
      <c r="M439" s="43"/>
      <c r="N439" s="43"/>
      <c r="O439" s="43"/>
      <c r="P439" s="43"/>
      <c r="Q439" s="43"/>
      <c r="R439" s="43"/>
    </row>
    <row r="440">
      <c r="A440" s="32"/>
      <c r="B440" s="34"/>
      <c r="C440" s="34"/>
      <c r="D440" s="34"/>
      <c r="E440" s="34"/>
      <c r="F440" s="34"/>
      <c r="G440" s="34"/>
      <c r="H440" s="60"/>
      <c r="I440" s="60"/>
      <c r="J440" s="43"/>
      <c r="K440" s="43"/>
      <c r="L440" s="43"/>
      <c r="M440" s="43"/>
      <c r="N440" s="43"/>
      <c r="O440" s="43"/>
      <c r="P440" s="43"/>
      <c r="Q440" s="43"/>
      <c r="R440" s="43"/>
    </row>
    <row r="441">
      <c r="A441" s="32"/>
      <c r="B441" s="34"/>
      <c r="C441" s="34"/>
      <c r="D441" s="34"/>
      <c r="E441" s="34"/>
      <c r="F441" s="34"/>
      <c r="G441" s="34"/>
      <c r="H441" s="60"/>
      <c r="I441" s="60"/>
      <c r="J441" s="43"/>
      <c r="K441" s="43"/>
      <c r="L441" s="43"/>
      <c r="M441" s="43"/>
      <c r="N441" s="43"/>
      <c r="O441" s="43"/>
      <c r="P441" s="43"/>
      <c r="Q441" s="43"/>
      <c r="R441" s="43"/>
    </row>
    <row r="442">
      <c r="A442" s="32"/>
      <c r="B442" s="34"/>
      <c r="C442" s="34"/>
      <c r="D442" s="34"/>
      <c r="E442" s="34"/>
      <c r="F442" s="34"/>
      <c r="G442" s="34"/>
      <c r="H442" s="60"/>
      <c r="I442" s="60"/>
      <c r="J442" s="43"/>
      <c r="K442" s="43"/>
      <c r="L442" s="43"/>
      <c r="M442" s="43"/>
      <c r="N442" s="43"/>
      <c r="O442" s="43"/>
      <c r="P442" s="43"/>
      <c r="Q442" s="43"/>
      <c r="R442" s="43"/>
    </row>
    <row r="443">
      <c r="A443" s="32"/>
      <c r="B443" s="34"/>
      <c r="C443" s="34"/>
      <c r="D443" s="34"/>
      <c r="E443" s="34"/>
      <c r="F443" s="34"/>
      <c r="G443" s="34"/>
      <c r="H443" s="60"/>
      <c r="I443" s="60"/>
      <c r="J443" s="43"/>
      <c r="K443" s="43"/>
      <c r="L443" s="43"/>
      <c r="M443" s="43"/>
      <c r="N443" s="43"/>
      <c r="O443" s="43"/>
      <c r="P443" s="43"/>
      <c r="Q443" s="43"/>
      <c r="R443" s="43"/>
    </row>
    <row r="444">
      <c r="A444" s="32"/>
      <c r="B444" s="34"/>
      <c r="C444" s="34"/>
      <c r="D444" s="34"/>
      <c r="E444" s="34"/>
      <c r="F444" s="34"/>
      <c r="G444" s="34"/>
      <c r="H444" s="60"/>
      <c r="I444" s="60"/>
      <c r="J444" s="43"/>
      <c r="K444" s="43"/>
      <c r="L444" s="43"/>
      <c r="M444" s="43"/>
      <c r="N444" s="43"/>
      <c r="O444" s="43"/>
      <c r="P444" s="43"/>
      <c r="Q444" s="43"/>
      <c r="R444" s="43"/>
    </row>
    <row r="445">
      <c r="A445" s="32"/>
      <c r="B445" s="34"/>
      <c r="C445" s="34"/>
      <c r="D445" s="34"/>
      <c r="E445" s="34"/>
      <c r="F445" s="34"/>
      <c r="G445" s="34"/>
      <c r="H445" s="60"/>
      <c r="I445" s="60"/>
      <c r="J445" s="43"/>
      <c r="K445" s="43"/>
      <c r="L445" s="43"/>
      <c r="M445" s="43"/>
      <c r="N445" s="43"/>
      <c r="O445" s="43"/>
      <c r="P445" s="43"/>
      <c r="Q445" s="43"/>
      <c r="R445" s="43"/>
    </row>
    <row r="446">
      <c r="A446" s="32"/>
      <c r="B446" s="34"/>
      <c r="C446" s="34"/>
      <c r="D446" s="34"/>
      <c r="E446" s="34"/>
      <c r="F446" s="34"/>
      <c r="G446" s="34"/>
      <c r="H446" s="60"/>
      <c r="I446" s="60"/>
      <c r="J446" s="43"/>
      <c r="K446" s="43"/>
      <c r="L446" s="43"/>
      <c r="M446" s="43"/>
      <c r="N446" s="43"/>
      <c r="O446" s="43"/>
      <c r="P446" s="43"/>
      <c r="Q446" s="43"/>
      <c r="R446" s="43"/>
    </row>
    <row r="447">
      <c r="A447" s="32"/>
      <c r="B447" s="34"/>
      <c r="C447" s="34"/>
      <c r="D447" s="34"/>
      <c r="E447" s="34"/>
      <c r="F447" s="34"/>
      <c r="G447" s="34"/>
      <c r="H447" s="60"/>
      <c r="I447" s="60"/>
      <c r="J447" s="43"/>
      <c r="K447" s="43"/>
      <c r="L447" s="43"/>
      <c r="M447" s="43"/>
      <c r="N447" s="43"/>
      <c r="O447" s="43"/>
      <c r="P447" s="43"/>
      <c r="Q447" s="43"/>
      <c r="R447" s="43"/>
    </row>
    <row r="448">
      <c r="A448" s="32"/>
      <c r="B448" s="34"/>
      <c r="C448" s="34"/>
      <c r="D448" s="34"/>
      <c r="E448" s="34"/>
      <c r="F448" s="34"/>
      <c r="G448" s="34"/>
      <c r="H448" s="60"/>
      <c r="I448" s="60"/>
      <c r="J448" s="43"/>
      <c r="K448" s="43"/>
      <c r="L448" s="43"/>
      <c r="M448" s="43"/>
      <c r="N448" s="43"/>
      <c r="O448" s="43"/>
      <c r="P448" s="43"/>
      <c r="Q448" s="43"/>
      <c r="R448" s="43"/>
    </row>
    <row r="449">
      <c r="A449" s="32"/>
      <c r="B449" s="34"/>
      <c r="C449" s="34"/>
      <c r="D449" s="34"/>
      <c r="E449" s="34"/>
      <c r="F449" s="34"/>
      <c r="G449" s="34"/>
      <c r="H449" s="60"/>
      <c r="I449" s="60"/>
      <c r="J449" s="43"/>
      <c r="K449" s="43"/>
      <c r="L449" s="43"/>
      <c r="M449" s="43"/>
      <c r="N449" s="43"/>
      <c r="O449" s="43"/>
      <c r="P449" s="43"/>
      <c r="Q449" s="43"/>
      <c r="R449" s="43"/>
    </row>
    <row r="450">
      <c r="A450" s="32"/>
      <c r="B450" s="34"/>
      <c r="C450" s="34"/>
      <c r="D450" s="34"/>
      <c r="E450" s="34"/>
      <c r="F450" s="34"/>
      <c r="G450" s="34"/>
      <c r="H450" s="60"/>
      <c r="I450" s="60"/>
      <c r="J450" s="43"/>
      <c r="K450" s="43"/>
      <c r="L450" s="43"/>
      <c r="M450" s="43"/>
      <c r="N450" s="43"/>
      <c r="O450" s="43"/>
      <c r="P450" s="43"/>
      <c r="Q450" s="43"/>
      <c r="R450" s="43"/>
    </row>
    <row r="451">
      <c r="A451" s="32"/>
      <c r="B451" s="34"/>
      <c r="C451" s="34"/>
      <c r="D451" s="34"/>
      <c r="E451" s="34"/>
      <c r="F451" s="34"/>
      <c r="G451" s="34"/>
      <c r="H451" s="60"/>
      <c r="I451" s="60"/>
      <c r="J451" s="43"/>
      <c r="K451" s="43"/>
      <c r="L451" s="43"/>
      <c r="M451" s="43"/>
      <c r="N451" s="43"/>
      <c r="O451" s="43"/>
      <c r="P451" s="43"/>
      <c r="Q451" s="43"/>
      <c r="R451" s="43"/>
    </row>
    <row r="452">
      <c r="A452" s="32"/>
      <c r="B452" s="34"/>
      <c r="C452" s="34"/>
      <c r="D452" s="34"/>
      <c r="E452" s="34"/>
      <c r="F452" s="34"/>
      <c r="G452" s="34"/>
      <c r="H452" s="60"/>
      <c r="I452" s="60"/>
      <c r="J452" s="43"/>
      <c r="K452" s="43"/>
      <c r="L452" s="43"/>
      <c r="M452" s="43"/>
      <c r="N452" s="43"/>
      <c r="O452" s="43"/>
      <c r="P452" s="43"/>
      <c r="Q452" s="43"/>
      <c r="R452" s="43"/>
    </row>
    <row r="453">
      <c r="A453" s="32"/>
      <c r="B453" s="34"/>
      <c r="C453" s="34"/>
      <c r="D453" s="34"/>
      <c r="E453" s="34"/>
      <c r="F453" s="34"/>
      <c r="G453" s="34"/>
      <c r="H453" s="60"/>
      <c r="I453" s="60"/>
      <c r="J453" s="43"/>
      <c r="K453" s="43"/>
      <c r="L453" s="43"/>
      <c r="M453" s="43"/>
      <c r="N453" s="43"/>
      <c r="O453" s="43"/>
      <c r="P453" s="43"/>
      <c r="Q453" s="43"/>
      <c r="R453" s="43"/>
    </row>
    <row r="454">
      <c r="A454" s="32"/>
      <c r="B454" s="34"/>
      <c r="C454" s="34"/>
      <c r="D454" s="34"/>
      <c r="E454" s="34"/>
      <c r="F454" s="34"/>
      <c r="G454" s="34"/>
      <c r="H454" s="60"/>
      <c r="I454" s="60"/>
      <c r="J454" s="43"/>
      <c r="K454" s="43"/>
      <c r="L454" s="43"/>
      <c r="M454" s="43"/>
      <c r="N454" s="43"/>
      <c r="O454" s="43"/>
      <c r="P454" s="43"/>
      <c r="Q454" s="43"/>
      <c r="R454" s="43"/>
    </row>
    <row r="455">
      <c r="A455" s="32"/>
      <c r="B455" s="34"/>
      <c r="C455" s="34"/>
      <c r="D455" s="34"/>
      <c r="E455" s="34"/>
      <c r="F455" s="34"/>
      <c r="G455" s="34"/>
      <c r="H455" s="60"/>
      <c r="I455" s="60"/>
      <c r="J455" s="43"/>
      <c r="K455" s="43"/>
      <c r="L455" s="43"/>
      <c r="M455" s="43"/>
      <c r="N455" s="43"/>
      <c r="O455" s="43"/>
      <c r="P455" s="43"/>
      <c r="Q455" s="43"/>
      <c r="R455" s="43"/>
    </row>
    <row r="456">
      <c r="A456" s="32"/>
      <c r="B456" s="34"/>
      <c r="C456" s="34"/>
      <c r="D456" s="34"/>
      <c r="E456" s="34"/>
      <c r="F456" s="34"/>
      <c r="G456" s="34"/>
      <c r="H456" s="60"/>
      <c r="I456" s="60"/>
      <c r="J456" s="43"/>
      <c r="K456" s="43"/>
      <c r="L456" s="43"/>
      <c r="M456" s="43"/>
      <c r="N456" s="43"/>
      <c r="O456" s="43"/>
      <c r="P456" s="43"/>
      <c r="Q456" s="43"/>
      <c r="R456" s="43"/>
    </row>
    <row r="457">
      <c r="A457" s="32"/>
      <c r="B457" s="34"/>
      <c r="C457" s="34"/>
      <c r="D457" s="34"/>
      <c r="E457" s="34"/>
      <c r="F457" s="34"/>
      <c r="G457" s="34"/>
      <c r="H457" s="60"/>
      <c r="I457" s="60"/>
      <c r="J457" s="43"/>
      <c r="K457" s="43"/>
      <c r="L457" s="43"/>
      <c r="M457" s="43"/>
      <c r="N457" s="43"/>
      <c r="O457" s="43"/>
      <c r="P457" s="43"/>
      <c r="Q457" s="43"/>
      <c r="R457" s="43"/>
    </row>
    <row r="458">
      <c r="A458" s="32"/>
      <c r="B458" s="34"/>
      <c r="C458" s="34"/>
      <c r="D458" s="34"/>
      <c r="E458" s="34"/>
      <c r="F458" s="34"/>
      <c r="G458" s="34"/>
      <c r="H458" s="60"/>
      <c r="I458" s="60"/>
      <c r="J458" s="43"/>
      <c r="K458" s="43"/>
      <c r="L458" s="43"/>
      <c r="M458" s="43"/>
      <c r="N458" s="43"/>
      <c r="O458" s="43"/>
      <c r="P458" s="43"/>
      <c r="Q458" s="43"/>
      <c r="R458" s="43"/>
    </row>
    <row r="459">
      <c r="A459" s="32"/>
      <c r="B459" s="34"/>
      <c r="C459" s="34"/>
      <c r="D459" s="34"/>
      <c r="E459" s="34"/>
      <c r="F459" s="34"/>
      <c r="G459" s="34"/>
      <c r="H459" s="60"/>
      <c r="I459" s="60"/>
      <c r="J459" s="43"/>
      <c r="K459" s="43"/>
      <c r="L459" s="43"/>
      <c r="M459" s="43"/>
      <c r="N459" s="43"/>
      <c r="O459" s="43"/>
      <c r="P459" s="43"/>
      <c r="Q459" s="43"/>
      <c r="R459" s="43"/>
    </row>
    <row r="460">
      <c r="A460" s="32"/>
      <c r="B460" s="34"/>
      <c r="C460" s="34"/>
      <c r="D460" s="34"/>
      <c r="E460" s="34"/>
      <c r="F460" s="34"/>
      <c r="G460" s="34"/>
      <c r="H460" s="60"/>
      <c r="I460" s="60"/>
      <c r="J460" s="43"/>
      <c r="K460" s="43"/>
      <c r="L460" s="43"/>
      <c r="M460" s="43"/>
      <c r="N460" s="43"/>
      <c r="O460" s="43"/>
      <c r="P460" s="43"/>
      <c r="Q460" s="43"/>
      <c r="R460" s="43"/>
    </row>
    <row r="461">
      <c r="A461" s="32"/>
      <c r="B461" s="34"/>
      <c r="C461" s="34"/>
      <c r="D461" s="34"/>
      <c r="E461" s="34"/>
      <c r="F461" s="34"/>
      <c r="G461" s="34"/>
      <c r="H461" s="60"/>
      <c r="I461" s="60"/>
      <c r="J461" s="43"/>
      <c r="K461" s="43"/>
      <c r="L461" s="43"/>
      <c r="M461" s="43"/>
      <c r="N461" s="43"/>
      <c r="O461" s="43"/>
      <c r="P461" s="43"/>
      <c r="Q461" s="43"/>
      <c r="R461" s="43"/>
    </row>
    <row r="462">
      <c r="A462" s="32"/>
      <c r="B462" s="34"/>
      <c r="C462" s="34"/>
      <c r="D462" s="34"/>
      <c r="E462" s="34"/>
      <c r="F462" s="34"/>
      <c r="G462" s="34"/>
      <c r="H462" s="60"/>
      <c r="I462" s="60"/>
      <c r="J462" s="43"/>
      <c r="K462" s="43"/>
      <c r="L462" s="43"/>
      <c r="M462" s="43"/>
      <c r="N462" s="43"/>
      <c r="O462" s="43"/>
      <c r="P462" s="43"/>
      <c r="Q462" s="43"/>
      <c r="R462" s="43"/>
    </row>
    <row r="463">
      <c r="A463" s="32"/>
      <c r="B463" s="34"/>
      <c r="C463" s="34"/>
      <c r="D463" s="34"/>
      <c r="E463" s="34"/>
      <c r="F463" s="34"/>
      <c r="G463" s="34"/>
      <c r="H463" s="60"/>
      <c r="I463" s="60"/>
      <c r="J463" s="43"/>
      <c r="K463" s="43"/>
      <c r="L463" s="43"/>
      <c r="M463" s="43"/>
      <c r="N463" s="43"/>
      <c r="O463" s="43"/>
      <c r="P463" s="43"/>
      <c r="Q463" s="43"/>
      <c r="R463" s="43"/>
    </row>
    <row r="464">
      <c r="A464" s="32"/>
      <c r="B464" s="34"/>
      <c r="C464" s="34"/>
      <c r="D464" s="34"/>
      <c r="E464" s="34"/>
      <c r="F464" s="34"/>
      <c r="G464" s="34"/>
      <c r="H464" s="60"/>
      <c r="I464" s="60"/>
      <c r="J464" s="43"/>
      <c r="K464" s="43"/>
      <c r="L464" s="43"/>
      <c r="M464" s="43"/>
      <c r="N464" s="43"/>
      <c r="O464" s="43"/>
      <c r="P464" s="43"/>
      <c r="Q464" s="43"/>
      <c r="R464" s="43"/>
    </row>
    <row r="465">
      <c r="A465" s="32"/>
      <c r="B465" s="34"/>
      <c r="C465" s="34"/>
      <c r="D465" s="34"/>
      <c r="E465" s="34"/>
      <c r="F465" s="34"/>
      <c r="G465" s="34"/>
      <c r="H465" s="60"/>
      <c r="I465" s="60"/>
      <c r="J465" s="43"/>
      <c r="K465" s="43"/>
      <c r="L465" s="43"/>
      <c r="M465" s="43"/>
      <c r="N465" s="43"/>
      <c r="O465" s="43"/>
      <c r="P465" s="43"/>
      <c r="Q465" s="43"/>
      <c r="R465" s="43"/>
    </row>
    <row r="466">
      <c r="A466" s="32"/>
      <c r="B466" s="34"/>
      <c r="C466" s="34"/>
      <c r="D466" s="34"/>
      <c r="E466" s="34"/>
      <c r="F466" s="34"/>
      <c r="G466" s="34"/>
      <c r="H466" s="60"/>
      <c r="I466" s="60"/>
      <c r="J466" s="43"/>
      <c r="K466" s="43"/>
      <c r="L466" s="43"/>
      <c r="M466" s="43"/>
      <c r="N466" s="43"/>
      <c r="O466" s="43"/>
      <c r="P466" s="43"/>
      <c r="Q466" s="43"/>
      <c r="R466" s="43"/>
    </row>
    <row r="467">
      <c r="A467" s="32"/>
      <c r="B467" s="34"/>
      <c r="C467" s="34"/>
      <c r="D467" s="34"/>
      <c r="E467" s="34"/>
      <c r="F467" s="34"/>
      <c r="G467" s="34"/>
      <c r="H467" s="60"/>
      <c r="I467" s="60"/>
      <c r="J467" s="43"/>
      <c r="K467" s="43"/>
      <c r="L467" s="43"/>
      <c r="M467" s="43"/>
      <c r="N467" s="43"/>
      <c r="O467" s="43"/>
      <c r="P467" s="43"/>
      <c r="Q467" s="43"/>
      <c r="R467" s="43"/>
    </row>
    <row r="468">
      <c r="A468" s="32"/>
      <c r="B468" s="34"/>
      <c r="C468" s="34"/>
      <c r="D468" s="34"/>
      <c r="E468" s="34"/>
      <c r="F468" s="34"/>
      <c r="G468" s="34"/>
      <c r="H468" s="60"/>
      <c r="I468" s="60"/>
      <c r="J468" s="43"/>
      <c r="K468" s="43"/>
      <c r="L468" s="43"/>
      <c r="M468" s="43"/>
      <c r="N468" s="43"/>
      <c r="O468" s="43"/>
      <c r="P468" s="43"/>
      <c r="Q468" s="43"/>
      <c r="R468" s="43"/>
    </row>
    <row r="469">
      <c r="A469" s="32"/>
      <c r="B469" s="34"/>
      <c r="C469" s="34"/>
      <c r="D469" s="34"/>
      <c r="E469" s="34"/>
      <c r="F469" s="34"/>
      <c r="G469" s="34"/>
      <c r="H469" s="60"/>
      <c r="I469" s="60"/>
      <c r="J469" s="43"/>
      <c r="K469" s="43"/>
      <c r="L469" s="43"/>
      <c r="M469" s="43"/>
      <c r="N469" s="43"/>
      <c r="O469" s="43"/>
      <c r="P469" s="43"/>
      <c r="Q469" s="43"/>
      <c r="R469" s="43"/>
    </row>
    <row r="470">
      <c r="A470" s="32"/>
      <c r="B470" s="34"/>
      <c r="C470" s="34"/>
      <c r="D470" s="34"/>
      <c r="E470" s="34"/>
      <c r="F470" s="34"/>
      <c r="G470" s="34"/>
      <c r="H470" s="60"/>
      <c r="I470" s="60"/>
      <c r="J470" s="43"/>
      <c r="K470" s="43"/>
      <c r="L470" s="43"/>
      <c r="M470" s="43"/>
      <c r="N470" s="43"/>
      <c r="O470" s="43"/>
      <c r="P470" s="43"/>
      <c r="Q470" s="43"/>
      <c r="R470" s="43"/>
    </row>
    <row r="471">
      <c r="A471" s="32"/>
      <c r="B471" s="34"/>
      <c r="C471" s="34"/>
      <c r="D471" s="34"/>
      <c r="E471" s="34"/>
      <c r="F471" s="34"/>
      <c r="G471" s="34"/>
      <c r="H471" s="60"/>
      <c r="I471" s="60"/>
      <c r="J471" s="43"/>
      <c r="K471" s="43"/>
      <c r="L471" s="43"/>
      <c r="M471" s="43"/>
      <c r="N471" s="43"/>
      <c r="O471" s="43"/>
      <c r="P471" s="43"/>
      <c r="Q471" s="43"/>
      <c r="R471" s="43"/>
    </row>
    <row r="472">
      <c r="A472" s="32"/>
      <c r="B472" s="34"/>
      <c r="C472" s="34"/>
      <c r="D472" s="34"/>
      <c r="E472" s="34"/>
      <c r="F472" s="34"/>
      <c r="G472" s="34"/>
      <c r="H472" s="60"/>
      <c r="I472" s="60"/>
      <c r="J472" s="43"/>
      <c r="K472" s="43"/>
      <c r="L472" s="43"/>
      <c r="M472" s="43"/>
      <c r="N472" s="43"/>
      <c r="O472" s="43"/>
      <c r="P472" s="43"/>
      <c r="Q472" s="43"/>
      <c r="R472" s="43"/>
    </row>
    <row r="473">
      <c r="A473" s="32"/>
      <c r="B473" s="34"/>
      <c r="C473" s="34"/>
      <c r="D473" s="34"/>
      <c r="E473" s="34"/>
      <c r="F473" s="34"/>
      <c r="G473" s="34"/>
      <c r="H473" s="60"/>
      <c r="I473" s="60"/>
      <c r="J473" s="43"/>
      <c r="K473" s="43"/>
      <c r="L473" s="43"/>
      <c r="M473" s="43"/>
      <c r="N473" s="43"/>
      <c r="O473" s="43"/>
      <c r="P473" s="43"/>
      <c r="Q473" s="43"/>
      <c r="R473" s="43"/>
    </row>
    <row r="474">
      <c r="A474" s="32"/>
      <c r="B474" s="34"/>
      <c r="C474" s="34"/>
      <c r="D474" s="34"/>
      <c r="E474" s="34"/>
      <c r="F474" s="34"/>
      <c r="G474" s="34"/>
      <c r="H474" s="60"/>
      <c r="I474" s="60"/>
      <c r="J474" s="43"/>
      <c r="K474" s="43"/>
      <c r="L474" s="43"/>
      <c r="M474" s="43"/>
      <c r="N474" s="43"/>
      <c r="O474" s="43"/>
      <c r="P474" s="43"/>
      <c r="Q474" s="43"/>
      <c r="R474" s="43"/>
    </row>
    <row r="475">
      <c r="A475" s="32"/>
      <c r="B475" s="34"/>
      <c r="C475" s="34"/>
      <c r="D475" s="34"/>
      <c r="E475" s="34"/>
      <c r="F475" s="34"/>
      <c r="G475" s="34"/>
      <c r="H475" s="60"/>
      <c r="I475" s="60"/>
      <c r="J475" s="43"/>
      <c r="K475" s="43"/>
      <c r="L475" s="43"/>
      <c r="M475" s="43"/>
      <c r="N475" s="43"/>
      <c r="O475" s="43"/>
      <c r="P475" s="43"/>
      <c r="Q475" s="43"/>
      <c r="R475" s="43"/>
    </row>
    <row r="476">
      <c r="A476" s="32"/>
      <c r="B476" s="34"/>
      <c r="C476" s="34"/>
      <c r="D476" s="34"/>
      <c r="E476" s="34"/>
      <c r="F476" s="34"/>
      <c r="G476" s="34"/>
      <c r="H476" s="60"/>
      <c r="I476" s="60"/>
      <c r="J476" s="43"/>
      <c r="K476" s="43"/>
      <c r="L476" s="43"/>
      <c r="M476" s="43"/>
      <c r="N476" s="43"/>
      <c r="O476" s="43"/>
      <c r="P476" s="43"/>
      <c r="Q476" s="43"/>
      <c r="R476" s="43"/>
    </row>
    <row r="477">
      <c r="A477" s="32"/>
      <c r="B477" s="34"/>
      <c r="C477" s="34"/>
      <c r="D477" s="34"/>
      <c r="E477" s="34"/>
      <c r="F477" s="34"/>
      <c r="G477" s="34"/>
      <c r="H477" s="60"/>
      <c r="I477" s="60"/>
      <c r="J477" s="43"/>
      <c r="K477" s="43"/>
      <c r="L477" s="43"/>
      <c r="M477" s="43"/>
      <c r="N477" s="43"/>
      <c r="O477" s="43"/>
      <c r="P477" s="43"/>
      <c r="Q477" s="43"/>
      <c r="R477" s="43"/>
    </row>
    <row r="478">
      <c r="A478" s="32"/>
      <c r="B478" s="34"/>
      <c r="C478" s="34"/>
      <c r="D478" s="34"/>
      <c r="E478" s="34"/>
      <c r="F478" s="34"/>
      <c r="G478" s="34"/>
      <c r="H478" s="60"/>
      <c r="I478" s="60"/>
      <c r="J478" s="43"/>
      <c r="K478" s="43"/>
      <c r="L478" s="43"/>
      <c r="M478" s="43"/>
      <c r="N478" s="43"/>
      <c r="O478" s="43"/>
      <c r="P478" s="43"/>
      <c r="Q478" s="43"/>
      <c r="R478" s="43"/>
    </row>
    <row r="479">
      <c r="A479" s="32"/>
      <c r="B479" s="34"/>
      <c r="C479" s="34"/>
      <c r="D479" s="34"/>
      <c r="E479" s="34"/>
      <c r="F479" s="34"/>
      <c r="G479" s="34"/>
      <c r="H479" s="60"/>
      <c r="I479" s="60"/>
      <c r="J479" s="43"/>
      <c r="K479" s="43"/>
      <c r="L479" s="43"/>
      <c r="M479" s="43"/>
      <c r="N479" s="43"/>
      <c r="O479" s="43"/>
      <c r="P479" s="43"/>
      <c r="Q479" s="43"/>
      <c r="R479" s="43"/>
    </row>
    <row r="480">
      <c r="A480" s="32"/>
      <c r="B480" s="34"/>
      <c r="C480" s="34"/>
      <c r="D480" s="34"/>
      <c r="E480" s="34"/>
      <c r="F480" s="34"/>
      <c r="G480" s="34"/>
      <c r="H480" s="60"/>
      <c r="I480" s="60"/>
      <c r="J480" s="43"/>
      <c r="K480" s="43"/>
      <c r="L480" s="43"/>
      <c r="M480" s="43"/>
      <c r="N480" s="43"/>
      <c r="O480" s="43"/>
      <c r="P480" s="43"/>
      <c r="Q480" s="43"/>
      <c r="R480" s="43"/>
    </row>
    <row r="481">
      <c r="A481" s="32"/>
      <c r="B481" s="34"/>
      <c r="C481" s="34"/>
      <c r="D481" s="34"/>
      <c r="E481" s="34"/>
      <c r="F481" s="34"/>
      <c r="G481" s="34"/>
      <c r="H481" s="60"/>
      <c r="I481" s="60"/>
      <c r="J481" s="43"/>
      <c r="K481" s="43"/>
      <c r="L481" s="43"/>
      <c r="M481" s="43"/>
      <c r="N481" s="43"/>
      <c r="O481" s="43"/>
      <c r="P481" s="43"/>
      <c r="Q481" s="43"/>
      <c r="R481" s="43"/>
    </row>
    <row r="482">
      <c r="A482" s="32"/>
      <c r="B482" s="34"/>
      <c r="C482" s="34"/>
      <c r="D482" s="34"/>
      <c r="E482" s="34"/>
      <c r="F482" s="34"/>
      <c r="G482" s="34"/>
      <c r="H482" s="60"/>
      <c r="I482" s="60"/>
      <c r="J482" s="43"/>
      <c r="K482" s="43"/>
      <c r="L482" s="43"/>
      <c r="M482" s="43"/>
      <c r="N482" s="43"/>
      <c r="O482" s="43"/>
      <c r="P482" s="43"/>
      <c r="Q482" s="43"/>
      <c r="R482" s="43"/>
    </row>
    <row r="483">
      <c r="A483" s="32"/>
      <c r="B483" s="34"/>
      <c r="C483" s="34"/>
      <c r="D483" s="34"/>
      <c r="E483" s="34"/>
      <c r="F483" s="34"/>
      <c r="G483" s="34"/>
      <c r="H483" s="60"/>
      <c r="I483" s="60"/>
      <c r="J483" s="43"/>
      <c r="K483" s="43"/>
      <c r="L483" s="43"/>
      <c r="M483" s="43"/>
      <c r="N483" s="43"/>
      <c r="O483" s="43"/>
      <c r="P483" s="43"/>
      <c r="Q483" s="43"/>
      <c r="R483" s="43"/>
    </row>
    <row r="484">
      <c r="A484" s="32"/>
      <c r="B484" s="34"/>
      <c r="C484" s="34"/>
      <c r="D484" s="34"/>
      <c r="E484" s="34"/>
      <c r="F484" s="34"/>
      <c r="G484" s="34"/>
      <c r="H484" s="60"/>
      <c r="I484" s="60"/>
      <c r="J484" s="43"/>
      <c r="K484" s="43"/>
      <c r="L484" s="43"/>
      <c r="M484" s="43"/>
      <c r="N484" s="43"/>
      <c r="O484" s="43"/>
      <c r="P484" s="43"/>
      <c r="Q484" s="43"/>
      <c r="R484" s="43"/>
    </row>
    <row r="485">
      <c r="A485" s="32"/>
      <c r="B485" s="34"/>
      <c r="C485" s="34"/>
      <c r="D485" s="34"/>
      <c r="E485" s="34"/>
      <c r="F485" s="34"/>
      <c r="G485" s="34"/>
      <c r="H485" s="60"/>
      <c r="I485" s="60"/>
      <c r="J485" s="43"/>
      <c r="K485" s="43"/>
      <c r="L485" s="43"/>
      <c r="M485" s="43"/>
      <c r="N485" s="43"/>
      <c r="O485" s="43"/>
      <c r="P485" s="43"/>
      <c r="Q485" s="43"/>
      <c r="R485" s="43"/>
    </row>
    <row r="486">
      <c r="A486" s="32"/>
      <c r="B486" s="34"/>
      <c r="C486" s="34"/>
      <c r="D486" s="34"/>
      <c r="E486" s="34"/>
      <c r="F486" s="34"/>
      <c r="G486" s="34"/>
      <c r="H486" s="60"/>
      <c r="I486" s="60"/>
      <c r="J486" s="43"/>
      <c r="K486" s="43"/>
      <c r="L486" s="43"/>
      <c r="M486" s="43"/>
      <c r="N486" s="43"/>
      <c r="O486" s="43"/>
      <c r="P486" s="43"/>
      <c r="Q486" s="43"/>
      <c r="R486" s="43"/>
    </row>
    <row r="487">
      <c r="A487" s="32"/>
      <c r="B487" s="34"/>
      <c r="C487" s="34"/>
      <c r="D487" s="34"/>
      <c r="E487" s="34"/>
      <c r="F487" s="34"/>
      <c r="G487" s="34"/>
      <c r="H487" s="60"/>
      <c r="I487" s="60"/>
      <c r="J487" s="43"/>
      <c r="K487" s="43"/>
      <c r="L487" s="43"/>
      <c r="M487" s="43"/>
      <c r="N487" s="43"/>
      <c r="O487" s="43"/>
      <c r="P487" s="43"/>
      <c r="Q487" s="43"/>
      <c r="R487" s="43"/>
    </row>
    <row r="488">
      <c r="A488" s="32"/>
      <c r="B488" s="34"/>
      <c r="C488" s="34"/>
      <c r="D488" s="34"/>
      <c r="E488" s="34"/>
      <c r="F488" s="34"/>
      <c r="G488" s="34"/>
      <c r="H488" s="60"/>
      <c r="I488" s="60"/>
      <c r="J488" s="43"/>
      <c r="K488" s="43"/>
      <c r="L488" s="43"/>
      <c r="M488" s="43"/>
      <c r="N488" s="43"/>
      <c r="O488" s="43"/>
      <c r="P488" s="43"/>
      <c r="Q488" s="43"/>
      <c r="R488" s="43"/>
    </row>
    <row r="489">
      <c r="A489" s="32"/>
      <c r="B489" s="34"/>
      <c r="C489" s="34"/>
      <c r="D489" s="34"/>
      <c r="E489" s="34"/>
      <c r="F489" s="34"/>
      <c r="G489" s="34"/>
      <c r="H489" s="60"/>
      <c r="I489" s="60"/>
      <c r="J489" s="43"/>
      <c r="K489" s="43"/>
      <c r="L489" s="43"/>
      <c r="M489" s="43"/>
      <c r="N489" s="43"/>
      <c r="O489" s="43"/>
      <c r="P489" s="43"/>
      <c r="Q489" s="43"/>
      <c r="R489" s="43"/>
    </row>
    <row r="490">
      <c r="A490" s="32"/>
      <c r="B490" s="34"/>
      <c r="C490" s="34"/>
      <c r="D490" s="34"/>
      <c r="E490" s="34"/>
      <c r="F490" s="34"/>
      <c r="G490" s="34"/>
      <c r="H490" s="60"/>
      <c r="I490" s="60"/>
      <c r="J490" s="43"/>
      <c r="K490" s="43"/>
      <c r="L490" s="43"/>
      <c r="M490" s="43"/>
      <c r="N490" s="43"/>
      <c r="O490" s="43"/>
      <c r="P490" s="43"/>
      <c r="Q490" s="43"/>
      <c r="R490" s="43"/>
    </row>
    <row r="491">
      <c r="A491" s="32"/>
      <c r="B491" s="34"/>
      <c r="C491" s="34"/>
      <c r="D491" s="34"/>
      <c r="E491" s="34"/>
      <c r="F491" s="34"/>
      <c r="G491" s="34"/>
      <c r="H491" s="60"/>
      <c r="I491" s="60"/>
      <c r="J491" s="43"/>
      <c r="K491" s="43"/>
      <c r="L491" s="43"/>
      <c r="M491" s="43"/>
      <c r="N491" s="43"/>
      <c r="O491" s="43"/>
      <c r="P491" s="43"/>
      <c r="Q491" s="43"/>
      <c r="R491" s="43"/>
    </row>
    <row r="492">
      <c r="A492" s="32"/>
      <c r="B492" s="34"/>
      <c r="C492" s="34"/>
      <c r="D492" s="34"/>
      <c r="E492" s="34"/>
      <c r="F492" s="34"/>
      <c r="G492" s="34"/>
      <c r="H492" s="60"/>
      <c r="I492" s="60"/>
      <c r="J492" s="43"/>
      <c r="K492" s="43"/>
      <c r="L492" s="43"/>
      <c r="M492" s="43"/>
      <c r="N492" s="43"/>
      <c r="O492" s="43"/>
      <c r="P492" s="43"/>
      <c r="Q492" s="43"/>
      <c r="R492" s="43"/>
    </row>
    <row r="493">
      <c r="A493" s="32"/>
      <c r="B493" s="34"/>
      <c r="C493" s="34"/>
      <c r="D493" s="34"/>
      <c r="E493" s="34"/>
      <c r="F493" s="34"/>
      <c r="G493" s="34"/>
      <c r="H493" s="60"/>
      <c r="I493" s="60"/>
      <c r="J493" s="43"/>
      <c r="K493" s="43"/>
      <c r="L493" s="43"/>
      <c r="M493" s="43"/>
      <c r="N493" s="43"/>
      <c r="O493" s="43"/>
      <c r="P493" s="43"/>
      <c r="Q493" s="43"/>
      <c r="R493" s="43"/>
    </row>
    <row r="494">
      <c r="A494" s="32"/>
      <c r="B494" s="34"/>
      <c r="C494" s="34"/>
      <c r="D494" s="34"/>
      <c r="E494" s="34"/>
      <c r="F494" s="34"/>
      <c r="G494" s="34"/>
      <c r="H494" s="60"/>
      <c r="I494" s="60"/>
      <c r="J494" s="43"/>
      <c r="K494" s="43"/>
      <c r="L494" s="43"/>
      <c r="M494" s="43"/>
      <c r="N494" s="43"/>
      <c r="O494" s="43"/>
      <c r="P494" s="43"/>
      <c r="Q494" s="43"/>
      <c r="R494" s="43"/>
    </row>
    <row r="495">
      <c r="A495" s="32"/>
      <c r="B495" s="34"/>
      <c r="C495" s="34"/>
      <c r="D495" s="34"/>
      <c r="E495" s="34"/>
      <c r="F495" s="34"/>
      <c r="G495" s="34"/>
      <c r="H495" s="60"/>
      <c r="I495" s="60"/>
      <c r="J495" s="43"/>
      <c r="K495" s="43"/>
      <c r="L495" s="43"/>
      <c r="M495" s="43"/>
      <c r="N495" s="43"/>
      <c r="O495" s="43"/>
      <c r="P495" s="43"/>
      <c r="Q495" s="43"/>
      <c r="R495" s="43"/>
    </row>
    <row r="496">
      <c r="A496" s="32"/>
      <c r="B496" s="34"/>
      <c r="C496" s="34"/>
      <c r="D496" s="34"/>
      <c r="E496" s="34"/>
      <c r="F496" s="34"/>
      <c r="G496" s="34"/>
      <c r="H496" s="60"/>
      <c r="I496" s="60"/>
      <c r="J496" s="43"/>
      <c r="K496" s="43"/>
      <c r="L496" s="43"/>
      <c r="M496" s="43"/>
      <c r="N496" s="43"/>
      <c r="O496" s="43"/>
      <c r="P496" s="43"/>
      <c r="Q496" s="43"/>
      <c r="R496" s="43"/>
    </row>
    <row r="497">
      <c r="A497" s="32"/>
      <c r="B497" s="34"/>
      <c r="C497" s="34"/>
      <c r="D497" s="34"/>
      <c r="E497" s="34"/>
      <c r="F497" s="34"/>
      <c r="G497" s="34"/>
      <c r="H497" s="60"/>
      <c r="I497" s="60"/>
      <c r="J497" s="43"/>
      <c r="K497" s="43"/>
      <c r="L497" s="43"/>
      <c r="M497" s="43"/>
      <c r="N497" s="43"/>
      <c r="O497" s="43"/>
      <c r="P497" s="43"/>
      <c r="Q497" s="43"/>
      <c r="R497" s="43"/>
    </row>
    <row r="498">
      <c r="A498" s="32"/>
      <c r="B498" s="34"/>
      <c r="C498" s="34"/>
      <c r="D498" s="34"/>
      <c r="E498" s="34"/>
      <c r="F498" s="34"/>
      <c r="G498" s="34"/>
      <c r="H498" s="60"/>
      <c r="I498" s="60"/>
      <c r="J498" s="43"/>
      <c r="K498" s="43"/>
      <c r="L498" s="43"/>
      <c r="M498" s="43"/>
      <c r="N498" s="43"/>
      <c r="O498" s="43"/>
      <c r="P498" s="43"/>
      <c r="Q498" s="43"/>
      <c r="R498" s="43"/>
    </row>
    <row r="499">
      <c r="A499" s="32"/>
      <c r="B499" s="34"/>
      <c r="C499" s="34"/>
      <c r="D499" s="34"/>
      <c r="E499" s="34"/>
      <c r="F499" s="34"/>
      <c r="G499" s="34"/>
      <c r="H499" s="60"/>
      <c r="I499" s="60"/>
      <c r="J499" s="43"/>
      <c r="K499" s="43"/>
      <c r="L499" s="43"/>
      <c r="M499" s="43"/>
      <c r="N499" s="43"/>
      <c r="O499" s="43"/>
      <c r="P499" s="43"/>
      <c r="Q499" s="43"/>
      <c r="R499" s="43"/>
    </row>
    <row r="500">
      <c r="A500" s="32"/>
      <c r="B500" s="34"/>
      <c r="C500" s="34"/>
      <c r="D500" s="34"/>
      <c r="E500" s="34"/>
      <c r="F500" s="34"/>
      <c r="G500" s="34"/>
      <c r="H500" s="60"/>
      <c r="I500" s="60"/>
      <c r="J500" s="43"/>
      <c r="K500" s="43"/>
      <c r="L500" s="43"/>
      <c r="M500" s="43"/>
      <c r="N500" s="43"/>
      <c r="O500" s="43"/>
      <c r="P500" s="43"/>
      <c r="Q500" s="43"/>
      <c r="R500" s="43"/>
    </row>
    <row r="501">
      <c r="A501" s="32"/>
      <c r="B501" s="34"/>
      <c r="C501" s="34"/>
      <c r="D501" s="34"/>
      <c r="E501" s="34"/>
      <c r="F501" s="34"/>
      <c r="G501" s="34"/>
      <c r="H501" s="60"/>
      <c r="I501" s="60"/>
      <c r="J501" s="43"/>
      <c r="K501" s="43"/>
      <c r="L501" s="43"/>
      <c r="M501" s="43"/>
      <c r="N501" s="43"/>
      <c r="O501" s="43"/>
      <c r="P501" s="43"/>
      <c r="Q501" s="43"/>
      <c r="R501" s="43"/>
    </row>
    <row r="502">
      <c r="A502" s="32"/>
      <c r="B502" s="34"/>
      <c r="C502" s="34"/>
      <c r="D502" s="34"/>
      <c r="E502" s="34"/>
      <c r="F502" s="34"/>
      <c r="G502" s="34"/>
      <c r="H502" s="60"/>
      <c r="I502" s="60"/>
      <c r="J502" s="43"/>
      <c r="K502" s="43"/>
      <c r="L502" s="43"/>
      <c r="M502" s="43"/>
      <c r="N502" s="43"/>
      <c r="O502" s="43"/>
      <c r="P502" s="43"/>
      <c r="Q502" s="43"/>
      <c r="R502" s="43"/>
    </row>
    <row r="503">
      <c r="A503" s="32"/>
      <c r="B503" s="34"/>
      <c r="C503" s="34"/>
      <c r="D503" s="34"/>
      <c r="E503" s="34"/>
      <c r="F503" s="34"/>
      <c r="G503" s="34"/>
      <c r="H503" s="60"/>
      <c r="I503" s="60"/>
      <c r="J503" s="43"/>
      <c r="K503" s="43"/>
      <c r="L503" s="43"/>
      <c r="M503" s="43"/>
      <c r="N503" s="43"/>
      <c r="O503" s="43"/>
      <c r="P503" s="43"/>
      <c r="Q503" s="43"/>
      <c r="R503" s="43"/>
    </row>
    <row r="504">
      <c r="A504" s="32"/>
      <c r="B504" s="34"/>
      <c r="C504" s="34"/>
      <c r="D504" s="34"/>
      <c r="E504" s="34"/>
      <c r="F504" s="34"/>
      <c r="G504" s="34"/>
      <c r="H504" s="60"/>
      <c r="I504" s="60"/>
      <c r="J504" s="43"/>
      <c r="K504" s="43"/>
      <c r="L504" s="43"/>
      <c r="M504" s="43"/>
      <c r="N504" s="43"/>
      <c r="O504" s="43"/>
      <c r="P504" s="43"/>
      <c r="Q504" s="43"/>
      <c r="R504" s="43"/>
    </row>
    <row r="505">
      <c r="A505" s="32"/>
      <c r="B505" s="34"/>
      <c r="C505" s="34"/>
      <c r="D505" s="34"/>
      <c r="E505" s="34"/>
      <c r="F505" s="34"/>
      <c r="G505" s="34"/>
      <c r="H505" s="60"/>
      <c r="I505" s="60"/>
      <c r="J505" s="43"/>
      <c r="K505" s="43"/>
      <c r="L505" s="43"/>
      <c r="M505" s="43"/>
      <c r="N505" s="43"/>
      <c r="O505" s="43"/>
      <c r="P505" s="43"/>
      <c r="Q505" s="43"/>
      <c r="R505" s="43"/>
    </row>
    <row r="506">
      <c r="A506" s="32"/>
      <c r="B506" s="34"/>
      <c r="C506" s="34"/>
      <c r="D506" s="34"/>
      <c r="E506" s="34"/>
      <c r="F506" s="34"/>
      <c r="G506" s="34"/>
      <c r="H506" s="60"/>
      <c r="I506" s="60"/>
      <c r="J506" s="43"/>
      <c r="K506" s="43"/>
      <c r="L506" s="43"/>
      <c r="M506" s="43"/>
      <c r="N506" s="43"/>
      <c r="O506" s="43"/>
      <c r="P506" s="43"/>
      <c r="Q506" s="43"/>
      <c r="R506" s="43"/>
    </row>
    <row r="507">
      <c r="A507" s="32"/>
      <c r="B507" s="34"/>
      <c r="C507" s="34"/>
      <c r="D507" s="34"/>
      <c r="E507" s="34"/>
      <c r="F507" s="34"/>
      <c r="G507" s="34"/>
      <c r="H507" s="60"/>
      <c r="I507" s="60"/>
      <c r="J507" s="43"/>
      <c r="K507" s="43"/>
      <c r="L507" s="43"/>
      <c r="M507" s="43"/>
      <c r="N507" s="43"/>
      <c r="O507" s="43"/>
      <c r="P507" s="43"/>
      <c r="Q507" s="43"/>
      <c r="R507" s="43"/>
    </row>
    <row r="508">
      <c r="A508" s="32"/>
      <c r="B508" s="34"/>
      <c r="C508" s="34"/>
      <c r="D508" s="34"/>
      <c r="E508" s="34"/>
      <c r="F508" s="34"/>
      <c r="G508" s="34"/>
      <c r="H508" s="60"/>
      <c r="I508" s="60"/>
      <c r="J508" s="43"/>
      <c r="K508" s="43"/>
      <c r="L508" s="43"/>
      <c r="M508" s="43"/>
      <c r="N508" s="43"/>
      <c r="O508" s="43"/>
      <c r="P508" s="43"/>
      <c r="Q508" s="43"/>
      <c r="R508" s="43"/>
    </row>
    <row r="509">
      <c r="A509" s="32"/>
      <c r="B509" s="34"/>
      <c r="C509" s="34"/>
      <c r="D509" s="34"/>
      <c r="E509" s="34"/>
      <c r="F509" s="34"/>
      <c r="G509" s="34"/>
      <c r="H509" s="60"/>
      <c r="I509" s="60"/>
      <c r="J509" s="43"/>
      <c r="K509" s="43"/>
      <c r="L509" s="43"/>
      <c r="M509" s="43"/>
      <c r="N509" s="43"/>
      <c r="O509" s="43"/>
      <c r="P509" s="43"/>
      <c r="Q509" s="43"/>
      <c r="R509" s="43"/>
    </row>
    <row r="510">
      <c r="A510" s="32"/>
      <c r="B510" s="34"/>
      <c r="C510" s="34"/>
      <c r="D510" s="34"/>
      <c r="E510" s="34"/>
      <c r="F510" s="34"/>
      <c r="G510" s="34"/>
      <c r="H510" s="60"/>
      <c r="I510" s="60"/>
      <c r="J510" s="43"/>
      <c r="K510" s="43"/>
      <c r="L510" s="43"/>
      <c r="M510" s="43"/>
      <c r="N510" s="43"/>
      <c r="O510" s="43"/>
      <c r="P510" s="43"/>
      <c r="Q510" s="43"/>
      <c r="R510" s="43"/>
    </row>
    <row r="511">
      <c r="A511" s="32"/>
      <c r="B511" s="34"/>
      <c r="C511" s="34"/>
      <c r="D511" s="34"/>
      <c r="E511" s="34"/>
      <c r="F511" s="34"/>
      <c r="G511" s="34"/>
      <c r="H511" s="60"/>
      <c r="I511" s="60"/>
      <c r="J511" s="43"/>
      <c r="K511" s="43"/>
      <c r="L511" s="43"/>
      <c r="M511" s="43"/>
      <c r="N511" s="43"/>
      <c r="O511" s="43"/>
      <c r="P511" s="43"/>
      <c r="Q511" s="43"/>
      <c r="R511" s="43"/>
    </row>
    <row r="512">
      <c r="A512" s="32"/>
      <c r="B512" s="34"/>
      <c r="C512" s="34"/>
      <c r="D512" s="34"/>
      <c r="E512" s="34"/>
      <c r="F512" s="34"/>
      <c r="G512" s="34"/>
      <c r="H512" s="60"/>
      <c r="I512" s="60"/>
      <c r="J512" s="43"/>
      <c r="K512" s="43"/>
      <c r="L512" s="43"/>
      <c r="M512" s="43"/>
      <c r="N512" s="43"/>
      <c r="O512" s="43"/>
      <c r="P512" s="43"/>
      <c r="Q512" s="43"/>
      <c r="R512" s="43"/>
    </row>
    <row r="513">
      <c r="A513" s="32"/>
      <c r="B513" s="34"/>
      <c r="C513" s="34"/>
      <c r="D513" s="34"/>
      <c r="E513" s="34"/>
      <c r="F513" s="34"/>
      <c r="G513" s="34"/>
      <c r="H513" s="60"/>
      <c r="I513" s="60"/>
      <c r="J513" s="43"/>
      <c r="K513" s="43"/>
      <c r="L513" s="43"/>
      <c r="M513" s="43"/>
      <c r="N513" s="43"/>
      <c r="O513" s="43"/>
      <c r="P513" s="43"/>
      <c r="Q513" s="43"/>
      <c r="R513" s="43"/>
    </row>
    <row r="514">
      <c r="A514" s="32"/>
      <c r="B514" s="34"/>
      <c r="C514" s="34"/>
      <c r="D514" s="34"/>
      <c r="E514" s="34"/>
      <c r="F514" s="34"/>
      <c r="G514" s="34"/>
      <c r="H514" s="60"/>
      <c r="I514" s="60"/>
      <c r="J514" s="43"/>
      <c r="K514" s="43"/>
      <c r="L514" s="43"/>
      <c r="M514" s="43"/>
      <c r="N514" s="43"/>
      <c r="O514" s="43"/>
      <c r="P514" s="43"/>
      <c r="Q514" s="43"/>
      <c r="R514" s="43"/>
    </row>
    <row r="515">
      <c r="A515" s="32"/>
      <c r="B515" s="34"/>
      <c r="C515" s="34"/>
      <c r="D515" s="34"/>
      <c r="E515" s="34"/>
      <c r="F515" s="34"/>
      <c r="G515" s="34"/>
      <c r="H515" s="60"/>
      <c r="I515" s="60"/>
      <c r="J515" s="43"/>
      <c r="K515" s="43"/>
      <c r="L515" s="43"/>
      <c r="M515" s="43"/>
      <c r="N515" s="43"/>
      <c r="O515" s="43"/>
      <c r="P515" s="43"/>
      <c r="Q515" s="43"/>
      <c r="R515" s="43"/>
    </row>
    <row r="516">
      <c r="A516" s="32"/>
      <c r="B516" s="34"/>
      <c r="C516" s="34"/>
      <c r="D516" s="34"/>
      <c r="E516" s="34"/>
      <c r="F516" s="34"/>
      <c r="G516" s="34"/>
      <c r="H516" s="60"/>
      <c r="I516" s="60"/>
      <c r="J516" s="43"/>
      <c r="K516" s="43"/>
      <c r="L516" s="43"/>
      <c r="M516" s="43"/>
      <c r="N516" s="43"/>
      <c r="O516" s="43"/>
      <c r="P516" s="43"/>
      <c r="Q516" s="43"/>
      <c r="R516" s="43"/>
    </row>
    <row r="517">
      <c r="A517" s="32"/>
      <c r="B517" s="34"/>
      <c r="C517" s="34"/>
      <c r="D517" s="34"/>
      <c r="E517" s="34"/>
      <c r="F517" s="34"/>
      <c r="G517" s="34"/>
      <c r="H517" s="60"/>
      <c r="I517" s="60"/>
      <c r="J517" s="43"/>
      <c r="K517" s="43"/>
      <c r="L517" s="43"/>
      <c r="M517" s="43"/>
      <c r="N517" s="43"/>
      <c r="O517" s="43"/>
      <c r="P517" s="43"/>
      <c r="Q517" s="43"/>
      <c r="R517" s="43"/>
    </row>
    <row r="518">
      <c r="A518" s="32"/>
      <c r="B518" s="34"/>
      <c r="C518" s="34"/>
      <c r="D518" s="34"/>
      <c r="E518" s="34"/>
      <c r="F518" s="34"/>
      <c r="G518" s="34"/>
      <c r="H518" s="60"/>
      <c r="I518" s="60"/>
      <c r="J518" s="43"/>
      <c r="K518" s="43"/>
      <c r="L518" s="43"/>
      <c r="M518" s="43"/>
      <c r="N518" s="43"/>
      <c r="O518" s="43"/>
      <c r="P518" s="43"/>
      <c r="Q518" s="43"/>
      <c r="R518" s="43"/>
    </row>
    <row r="519">
      <c r="A519" s="32"/>
      <c r="B519" s="34"/>
      <c r="C519" s="34"/>
      <c r="D519" s="34"/>
      <c r="E519" s="34"/>
      <c r="F519" s="34"/>
      <c r="G519" s="34"/>
      <c r="H519" s="60"/>
      <c r="I519" s="60"/>
      <c r="J519" s="43"/>
      <c r="K519" s="43"/>
      <c r="L519" s="43"/>
      <c r="M519" s="43"/>
      <c r="N519" s="43"/>
      <c r="O519" s="43"/>
      <c r="P519" s="43"/>
      <c r="Q519" s="43"/>
      <c r="R519" s="43"/>
    </row>
    <row r="520">
      <c r="A520" s="32"/>
      <c r="B520" s="34"/>
      <c r="C520" s="34"/>
      <c r="D520" s="34"/>
      <c r="E520" s="34"/>
      <c r="F520" s="34"/>
      <c r="G520" s="34"/>
      <c r="H520" s="60"/>
      <c r="I520" s="60"/>
      <c r="J520" s="43"/>
      <c r="K520" s="43"/>
      <c r="L520" s="43"/>
      <c r="M520" s="43"/>
      <c r="N520" s="43"/>
      <c r="O520" s="43"/>
      <c r="P520" s="43"/>
      <c r="Q520" s="43"/>
      <c r="R520" s="43"/>
    </row>
    <row r="521">
      <c r="A521" s="32"/>
      <c r="B521" s="34"/>
      <c r="C521" s="34"/>
      <c r="D521" s="34"/>
      <c r="E521" s="34"/>
      <c r="F521" s="34"/>
      <c r="G521" s="34"/>
      <c r="H521" s="60"/>
      <c r="I521" s="60"/>
      <c r="J521" s="43"/>
      <c r="K521" s="43"/>
      <c r="L521" s="43"/>
      <c r="M521" s="43"/>
      <c r="N521" s="43"/>
      <c r="O521" s="43"/>
      <c r="P521" s="43"/>
      <c r="Q521" s="43"/>
      <c r="R521" s="43"/>
    </row>
    <row r="522">
      <c r="A522" s="32"/>
      <c r="B522" s="34"/>
      <c r="C522" s="34"/>
      <c r="D522" s="34"/>
      <c r="E522" s="34"/>
      <c r="F522" s="34"/>
      <c r="G522" s="34"/>
      <c r="H522" s="60"/>
      <c r="I522" s="60"/>
      <c r="J522" s="43"/>
      <c r="K522" s="43"/>
      <c r="L522" s="43"/>
      <c r="M522" s="43"/>
      <c r="N522" s="43"/>
      <c r="O522" s="43"/>
      <c r="P522" s="43"/>
      <c r="Q522" s="43"/>
      <c r="R522" s="43"/>
    </row>
    <row r="523">
      <c r="A523" s="32"/>
      <c r="B523" s="34"/>
      <c r="C523" s="34"/>
      <c r="D523" s="34"/>
      <c r="E523" s="34"/>
      <c r="F523" s="34"/>
      <c r="G523" s="34"/>
      <c r="H523" s="60"/>
      <c r="I523" s="60"/>
      <c r="J523" s="43"/>
      <c r="K523" s="43"/>
      <c r="L523" s="43"/>
      <c r="M523" s="43"/>
      <c r="N523" s="43"/>
      <c r="O523" s="43"/>
      <c r="P523" s="43"/>
      <c r="Q523" s="43"/>
      <c r="R523" s="43"/>
    </row>
    <row r="524">
      <c r="A524" s="32"/>
      <c r="B524" s="34"/>
      <c r="C524" s="34"/>
      <c r="D524" s="34"/>
      <c r="E524" s="34"/>
      <c r="F524" s="34"/>
      <c r="G524" s="34"/>
      <c r="H524" s="60"/>
      <c r="I524" s="60"/>
      <c r="J524" s="43"/>
      <c r="K524" s="43"/>
      <c r="L524" s="43"/>
      <c r="M524" s="43"/>
      <c r="N524" s="43"/>
      <c r="O524" s="43"/>
      <c r="P524" s="43"/>
      <c r="Q524" s="43"/>
      <c r="R524" s="43"/>
    </row>
    <row r="525">
      <c r="A525" s="32"/>
      <c r="B525" s="34"/>
      <c r="C525" s="34"/>
      <c r="D525" s="34"/>
      <c r="E525" s="34"/>
      <c r="F525" s="34"/>
      <c r="G525" s="34"/>
      <c r="H525" s="60"/>
      <c r="I525" s="60"/>
      <c r="J525" s="43"/>
      <c r="K525" s="43"/>
      <c r="L525" s="43"/>
      <c r="M525" s="43"/>
      <c r="N525" s="43"/>
      <c r="O525" s="43"/>
      <c r="P525" s="43"/>
      <c r="Q525" s="43"/>
      <c r="R525" s="43"/>
    </row>
    <row r="526">
      <c r="A526" s="32"/>
      <c r="B526" s="34"/>
      <c r="C526" s="34"/>
      <c r="D526" s="34"/>
      <c r="E526" s="34"/>
      <c r="F526" s="34"/>
      <c r="G526" s="34"/>
      <c r="H526" s="60"/>
      <c r="I526" s="60"/>
      <c r="J526" s="43"/>
      <c r="K526" s="43"/>
      <c r="L526" s="43"/>
      <c r="M526" s="43"/>
      <c r="N526" s="43"/>
      <c r="O526" s="43"/>
      <c r="P526" s="43"/>
      <c r="Q526" s="43"/>
      <c r="R526" s="43"/>
    </row>
    <row r="527">
      <c r="A527" s="32"/>
      <c r="B527" s="34"/>
      <c r="C527" s="34"/>
      <c r="D527" s="34"/>
      <c r="E527" s="34"/>
      <c r="F527" s="34"/>
      <c r="G527" s="34"/>
      <c r="H527" s="60"/>
      <c r="I527" s="60"/>
      <c r="J527" s="43"/>
      <c r="K527" s="43"/>
      <c r="L527" s="43"/>
      <c r="M527" s="43"/>
      <c r="N527" s="43"/>
      <c r="O527" s="43"/>
      <c r="P527" s="43"/>
      <c r="Q527" s="43"/>
      <c r="R527" s="43"/>
    </row>
    <row r="528">
      <c r="A528" s="32"/>
      <c r="B528" s="34"/>
      <c r="C528" s="34"/>
      <c r="D528" s="34"/>
      <c r="E528" s="34"/>
      <c r="F528" s="34"/>
      <c r="G528" s="34"/>
      <c r="H528" s="60"/>
      <c r="I528" s="60"/>
      <c r="J528" s="43"/>
      <c r="K528" s="43"/>
      <c r="L528" s="43"/>
      <c r="M528" s="43"/>
      <c r="N528" s="43"/>
      <c r="O528" s="43"/>
      <c r="P528" s="43"/>
      <c r="Q528" s="43"/>
      <c r="R528" s="43"/>
    </row>
    <row r="529">
      <c r="A529" s="32"/>
      <c r="B529" s="34"/>
      <c r="C529" s="34"/>
      <c r="D529" s="34"/>
      <c r="E529" s="34"/>
      <c r="F529" s="34"/>
      <c r="G529" s="34"/>
      <c r="H529" s="60"/>
      <c r="I529" s="60"/>
      <c r="J529" s="43"/>
      <c r="K529" s="43"/>
      <c r="L529" s="43"/>
      <c r="M529" s="43"/>
      <c r="N529" s="43"/>
      <c r="O529" s="43"/>
      <c r="P529" s="43"/>
      <c r="Q529" s="43"/>
      <c r="R529" s="43"/>
    </row>
    <row r="530">
      <c r="A530" s="32"/>
      <c r="B530" s="34"/>
      <c r="C530" s="34"/>
      <c r="D530" s="34"/>
      <c r="E530" s="34"/>
      <c r="F530" s="34"/>
      <c r="G530" s="34"/>
      <c r="H530" s="60"/>
      <c r="I530" s="60"/>
      <c r="J530" s="43"/>
      <c r="K530" s="43"/>
      <c r="L530" s="43"/>
      <c r="M530" s="43"/>
      <c r="N530" s="43"/>
      <c r="O530" s="43"/>
      <c r="P530" s="43"/>
      <c r="Q530" s="43"/>
      <c r="R530" s="43"/>
    </row>
    <row r="531">
      <c r="A531" s="32"/>
      <c r="B531" s="34"/>
      <c r="C531" s="34"/>
      <c r="D531" s="34"/>
      <c r="E531" s="34"/>
      <c r="F531" s="34"/>
      <c r="G531" s="34"/>
      <c r="H531" s="60"/>
      <c r="I531" s="60"/>
      <c r="J531" s="43"/>
      <c r="K531" s="43"/>
      <c r="L531" s="43"/>
      <c r="M531" s="43"/>
      <c r="N531" s="43"/>
      <c r="O531" s="43"/>
      <c r="P531" s="43"/>
      <c r="Q531" s="43"/>
      <c r="R531" s="43"/>
    </row>
    <row r="532">
      <c r="A532" s="32"/>
      <c r="B532" s="34"/>
      <c r="C532" s="34"/>
      <c r="D532" s="34"/>
      <c r="E532" s="34"/>
      <c r="F532" s="34"/>
      <c r="G532" s="34"/>
      <c r="H532" s="60"/>
      <c r="I532" s="60"/>
      <c r="J532" s="43"/>
      <c r="K532" s="43"/>
      <c r="L532" s="43"/>
      <c r="M532" s="43"/>
      <c r="N532" s="43"/>
      <c r="O532" s="43"/>
      <c r="P532" s="43"/>
      <c r="Q532" s="43"/>
      <c r="R532" s="43"/>
    </row>
    <row r="533">
      <c r="A533" s="32"/>
      <c r="B533" s="34"/>
      <c r="C533" s="34"/>
      <c r="D533" s="34"/>
      <c r="E533" s="34"/>
      <c r="F533" s="34"/>
      <c r="G533" s="34"/>
      <c r="H533" s="60"/>
      <c r="I533" s="60"/>
      <c r="J533" s="43"/>
      <c r="K533" s="43"/>
      <c r="L533" s="43"/>
      <c r="M533" s="43"/>
      <c r="N533" s="43"/>
      <c r="O533" s="43"/>
      <c r="P533" s="43"/>
      <c r="Q533" s="43"/>
      <c r="R533" s="43"/>
    </row>
    <row r="534">
      <c r="A534" s="32"/>
      <c r="B534" s="34"/>
      <c r="C534" s="34"/>
      <c r="D534" s="34"/>
      <c r="E534" s="34"/>
      <c r="F534" s="34"/>
      <c r="G534" s="34"/>
      <c r="H534" s="60"/>
      <c r="I534" s="60"/>
      <c r="J534" s="43"/>
      <c r="K534" s="43"/>
      <c r="L534" s="43"/>
      <c r="M534" s="43"/>
      <c r="N534" s="43"/>
      <c r="O534" s="43"/>
      <c r="P534" s="43"/>
      <c r="Q534" s="43"/>
      <c r="R534" s="43"/>
    </row>
    <row r="535">
      <c r="A535" s="32"/>
      <c r="B535" s="34"/>
      <c r="C535" s="34"/>
      <c r="D535" s="34"/>
      <c r="E535" s="34"/>
      <c r="F535" s="34"/>
      <c r="G535" s="34"/>
      <c r="H535" s="60"/>
      <c r="I535" s="60"/>
      <c r="J535" s="43"/>
      <c r="K535" s="43"/>
      <c r="L535" s="43"/>
      <c r="M535" s="43"/>
      <c r="N535" s="43"/>
      <c r="O535" s="43"/>
      <c r="P535" s="43"/>
      <c r="Q535" s="43"/>
      <c r="R535" s="43"/>
    </row>
    <row r="536">
      <c r="A536" s="32"/>
      <c r="B536" s="34"/>
      <c r="C536" s="34"/>
      <c r="D536" s="34"/>
      <c r="E536" s="34"/>
      <c r="F536" s="34"/>
      <c r="G536" s="34"/>
      <c r="H536" s="60"/>
      <c r="I536" s="60"/>
      <c r="J536" s="43"/>
      <c r="K536" s="43"/>
      <c r="L536" s="43"/>
      <c r="M536" s="43"/>
      <c r="N536" s="43"/>
      <c r="O536" s="43"/>
      <c r="P536" s="43"/>
      <c r="Q536" s="43"/>
      <c r="R536" s="43"/>
    </row>
    <row r="537">
      <c r="A537" s="32"/>
      <c r="B537" s="34"/>
      <c r="C537" s="34"/>
      <c r="D537" s="34"/>
      <c r="E537" s="34"/>
      <c r="F537" s="34"/>
      <c r="G537" s="34"/>
      <c r="H537" s="60"/>
      <c r="I537" s="60"/>
      <c r="J537" s="43"/>
      <c r="K537" s="43"/>
      <c r="L537" s="43"/>
      <c r="M537" s="43"/>
      <c r="N537" s="43"/>
      <c r="O537" s="43"/>
      <c r="P537" s="43"/>
      <c r="Q537" s="43"/>
      <c r="R537" s="43"/>
    </row>
    <row r="538">
      <c r="A538" s="32"/>
      <c r="B538" s="34"/>
      <c r="C538" s="34"/>
      <c r="D538" s="34"/>
      <c r="E538" s="34"/>
      <c r="F538" s="34"/>
      <c r="G538" s="34"/>
      <c r="H538" s="60"/>
      <c r="I538" s="60"/>
      <c r="J538" s="43"/>
      <c r="K538" s="43"/>
      <c r="L538" s="43"/>
      <c r="M538" s="43"/>
      <c r="N538" s="43"/>
      <c r="O538" s="43"/>
      <c r="P538" s="43"/>
      <c r="Q538" s="43"/>
      <c r="R538" s="43"/>
    </row>
    <row r="539">
      <c r="A539" s="32"/>
      <c r="B539" s="34"/>
      <c r="C539" s="34"/>
      <c r="D539" s="34"/>
      <c r="E539" s="34"/>
      <c r="F539" s="34"/>
      <c r="G539" s="34"/>
      <c r="H539" s="60"/>
      <c r="I539" s="60"/>
      <c r="J539" s="43"/>
      <c r="K539" s="43"/>
      <c r="L539" s="43"/>
      <c r="M539" s="43"/>
      <c r="N539" s="43"/>
      <c r="O539" s="43"/>
      <c r="P539" s="43"/>
      <c r="Q539" s="43"/>
      <c r="R539" s="43"/>
    </row>
    <row r="540">
      <c r="A540" s="32"/>
      <c r="B540" s="34"/>
      <c r="C540" s="34"/>
      <c r="D540" s="34"/>
      <c r="E540" s="34"/>
      <c r="F540" s="34"/>
      <c r="G540" s="34"/>
      <c r="H540" s="60"/>
      <c r="I540" s="60"/>
      <c r="J540" s="43"/>
      <c r="K540" s="43"/>
      <c r="L540" s="43"/>
      <c r="M540" s="43"/>
      <c r="N540" s="43"/>
      <c r="O540" s="43"/>
      <c r="P540" s="43"/>
      <c r="Q540" s="43"/>
      <c r="R540" s="43"/>
    </row>
    <row r="541">
      <c r="A541" s="32"/>
      <c r="B541" s="34"/>
      <c r="C541" s="34"/>
      <c r="D541" s="34"/>
      <c r="E541" s="34"/>
      <c r="F541" s="34"/>
      <c r="G541" s="34"/>
      <c r="H541" s="60"/>
      <c r="I541" s="60"/>
      <c r="J541" s="43"/>
      <c r="K541" s="43"/>
      <c r="L541" s="43"/>
      <c r="M541" s="43"/>
      <c r="N541" s="43"/>
      <c r="O541" s="43"/>
      <c r="P541" s="43"/>
      <c r="Q541" s="43"/>
      <c r="R541" s="43"/>
    </row>
    <row r="542">
      <c r="A542" s="32"/>
      <c r="B542" s="34"/>
      <c r="C542" s="34"/>
      <c r="D542" s="34"/>
      <c r="E542" s="34"/>
      <c r="F542" s="34"/>
      <c r="G542" s="34"/>
      <c r="H542" s="60"/>
      <c r="I542" s="60"/>
      <c r="J542" s="43"/>
      <c r="K542" s="43"/>
      <c r="L542" s="43"/>
      <c r="M542" s="43"/>
      <c r="N542" s="43"/>
      <c r="O542" s="43"/>
      <c r="P542" s="43"/>
      <c r="Q542" s="43"/>
      <c r="R542" s="43"/>
    </row>
    <row r="543">
      <c r="A543" s="32"/>
      <c r="B543" s="34"/>
      <c r="C543" s="34"/>
      <c r="D543" s="34"/>
      <c r="E543" s="34"/>
      <c r="F543" s="34"/>
      <c r="G543" s="34"/>
      <c r="H543" s="60"/>
      <c r="I543" s="60"/>
      <c r="J543" s="43"/>
      <c r="K543" s="43"/>
      <c r="L543" s="43"/>
      <c r="M543" s="43"/>
      <c r="N543" s="43"/>
      <c r="O543" s="43"/>
      <c r="P543" s="43"/>
      <c r="Q543" s="43"/>
      <c r="R543" s="43"/>
    </row>
    <row r="544">
      <c r="A544" s="32"/>
      <c r="B544" s="34"/>
      <c r="C544" s="34"/>
      <c r="D544" s="34"/>
      <c r="E544" s="34"/>
      <c r="F544" s="34"/>
      <c r="G544" s="34"/>
      <c r="H544" s="60"/>
      <c r="I544" s="60"/>
      <c r="J544" s="43"/>
      <c r="K544" s="43"/>
      <c r="L544" s="43"/>
      <c r="M544" s="43"/>
      <c r="N544" s="43"/>
      <c r="O544" s="43"/>
      <c r="P544" s="43"/>
      <c r="Q544" s="43"/>
      <c r="R544" s="43"/>
    </row>
    <row r="545">
      <c r="A545" s="32"/>
      <c r="B545" s="34"/>
      <c r="C545" s="34"/>
      <c r="D545" s="34"/>
      <c r="E545" s="34"/>
      <c r="F545" s="34"/>
      <c r="G545" s="34"/>
      <c r="H545" s="60"/>
      <c r="I545" s="60"/>
      <c r="J545" s="43"/>
      <c r="K545" s="43"/>
      <c r="L545" s="43"/>
      <c r="M545" s="43"/>
      <c r="N545" s="43"/>
      <c r="O545" s="43"/>
      <c r="P545" s="43"/>
      <c r="Q545" s="43"/>
      <c r="R545" s="43"/>
    </row>
    <row r="546">
      <c r="A546" s="32"/>
      <c r="B546" s="34"/>
      <c r="C546" s="34"/>
      <c r="D546" s="34"/>
      <c r="E546" s="34"/>
      <c r="F546" s="34"/>
      <c r="G546" s="34"/>
      <c r="H546" s="60"/>
      <c r="I546" s="60"/>
      <c r="J546" s="43"/>
      <c r="K546" s="43"/>
      <c r="L546" s="43"/>
      <c r="M546" s="43"/>
      <c r="N546" s="43"/>
      <c r="O546" s="43"/>
      <c r="P546" s="43"/>
      <c r="Q546" s="43"/>
      <c r="R546" s="43"/>
    </row>
    <row r="547">
      <c r="A547" s="32"/>
      <c r="B547" s="34"/>
      <c r="C547" s="34"/>
      <c r="D547" s="34"/>
      <c r="E547" s="34"/>
      <c r="F547" s="34"/>
      <c r="G547" s="34"/>
      <c r="H547" s="60"/>
      <c r="I547" s="60"/>
      <c r="J547" s="43"/>
      <c r="K547" s="43"/>
      <c r="L547" s="43"/>
      <c r="M547" s="43"/>
      <c r="N547" s="43"/>
      <c r="O547" s="43"/>
      <c r="P547" s="43"/>
      <c r="Q547" s="43"/>
      <c r="R547" s="43"/>
    </row>
    <row r="548">
      <c r="A548" s="32"/>
      <c r="B548" s="34"/>
      <c r="C548" s="34"/>
      <c r="D548" s="34"/>
      <c r="E548" s="34"/>
      <c r="F548" s="34"/>
      <c r="G548" s="34"/>
      <c r="H548" s="60"/>
      <c r="I548" s="60"/>
      <c r="J548" s="43"/>
      <c r="K548" s="43"/>
      <c r="L548" s="43"/>
      <c r="M548" s="43"/>
      <c r="N548" s="43"/>
      <c r="O548" s="43"/>
      <c r="P548" s="43"/>
      <c r="Q548" s="43"/>
      <c r="R548" s="43"/>
    </row>
    <row r="549">
      <c r="A549" s="32"/>
      <c r="B549" s="34"/>
      <c r="C549" s="34"/>
      <c r="D549" s="34"/>
      <c r="E549" s="34"/>
      <c r="F549" s="34"/>
      <c r="G549" s="34"/>
      <c r="H549" s="60"/>
      <c r="I549" s="60"/>
      <c r="J549" s="43"/>
      <c r="K549" s="43"/>
      <c r="L549" s="43"/>
      <c r="M549" s="43"/>
      <c r="N549" s="43"/>
      <c r="O549" s="43"/>
      <c r="P549" s="43"/>
      <c r="Q549" s="43"/>
      <c r="R549" s="43"/>
    </row>
    <row r="550">
      <c r="A550" s="32"/>
      <c r="B550" s="34"/>
      <c r="C550" s="34"/>
      <c r="D550" s="34"/>
      <c r="E550" s="34"/>
      <c r="F550" s="34"/>
      <c r="G550" s="34"/>
      <c r="H550" s="60"/>
      <c r="I550" s="60"/>
      <c r="J550" s="43"/>
      <c r="K550" s="43"/>
      <c r="L550" s="43"/>
      <c r="M550" s="43"/>
      <c r="N550" s="43"/>
      <c r="O550" s="43"/>
      <c r="P550" s="43"/>
      <c r="Q550" s="43"/>
      <c r="R550" s="43"/>
    </row>
    <row r="551">
      <c r="A551" s="32"/>
      <c r="B551" s="34"/>
      <c r="C551" s="34"/>
      <c r="D551" s="34"/>
      <c r="E551" s="34"/>
      <c r="F551" s="34"/>
      <c r="G551" s="34"/>
      <c r="H551" s="60"/>
      <c r="I551" s="60"/>
      <c r="J551" s="43"/>
      <c r="K551" s="43"/>
      <c r="L551" s="43"/>
      <c r="M551" s="43"/>
      <c r="N551" s="43"/>
      <c r="O551" s="43"/>
      <c r="P551" s="43"/>
      <c r="Q551" s="43"/>
      <c r="R551" s="43"/>
    </row>
    <row r="552">
      <c r="A552" s="32"/>
      <c r="B552" s="34"/>
      <c r="C552" s="34"/>
      <c r="D552" s="34"/>
      <c r="E552" s="34"/>
      <c r="F552" s="34"/>
      <c r="G552" s="34"/>
      <c r="H552" s="60"/>
      <c r="I552" s="60"/>
      <c r="J552" s="43"/>
      <c r="K552" s="43"/>
      <c r="L552" s="43"/>
      <c r="M552" s="43"/>
      <c r="N552" s="43"/>
      <c r="O552" s="43"/>
      <c r="P552" s="43"/>
      <c r="Q552" s="43"/>
      <c r="R552" s="43"/>
    </row>
    <row r="553">
      <c r="A553" s="32"/>
      <c r="B553" s="34"/>
      <c r="C553" s="34"/>
      <c r="D553" s="34"/>
      <c r="E553" s="34"/>
      <c r="F553" s="34"/>
      <c r="G553" s="34"/>
      <c r="H553" s="60"/>
      <c r="I553" s="60"/>
      <c r="J553" s="43"/>
      <c r="K553" s="43"/>
      <c r="L553" s="43"/>
      <c r="M553" s="43"/>
      <c r="N553" s="43"/>
      <c r="O553" s="43"/>
      <c r="P553" s="43"/>
      <c r="Q553" s="43"/>
      <c r="R553" s="43"/>
    </row>
    <row r="554">
      <c r="A554" s="32"/>
      <c r="B554" s="34"/>
      <c r="C554" s="34"/>
      <c r="D554" s="34"/>
      <c r="E554" s="34"/>
      <c r="F554" s="34"/>
      <c r="G554" s="34"/>
      <c r="H554" s="60"/>
      <c r="I554" s="60"/>
      <c r="J554" s="43"/>
      <c r="K554" s="43"/>
      <c r="L554" s="43"/>
      <c r="M554" s="43"/>
      <c r="N554" s="43"/>
      <c r="O554" s="43"/>
      <c r="P554" s="43"/>
      <c r="Q554" s="43"/>
      <c r="R554" s="43"/>
    </row>
    <row r="555">
      <c r="A555" s="32"/>
      <c r="B555" s="34"/>
      <c r="C555" s="34"/>
      <c r="D555" s="34"/>
      <c r="E555" s="34"/>
      <c r="F555" s="34"/>
      <c r="G555" s="34"/>
      <c r="H555" s="60"/>
      <c r="I555" s="60"/>
      <c r="J555" s="43"/>
      <c r="K555" s="43"/>
      <c r="L555" s="43"/>
      <c r="M555" s="43"/>
      <c r="N555" s="43"/>
      <c r="O555" s="43"/>
      <c r="P555" s="43"/>
      <c r="Q555" s="43"/>
      <c r="R555" s="43"/>
    </row>
    <row r="556">
      <c r="A556" s="32"/>
      <c r="B556" s="34"/>
      <c r="C556" s="34"/>
      <c r="D556" s="34"/>
      <c r="E556" s="34"/>
      <c r="F556" s="34"/>
      <c r="G556" s="34"/>
      <c r="H556" s="60"/>
      <c r="I556" s="60"/>
      <c r="J556" s="43"/>
      <c r="K556" s="43"/>
      <c r="L556" s="43"/>
      <c r="M556" s="43"/>
      <c r="N556" s="43"/>
      <c r="O556" s="43"/>
      <c r="P556" s="43"/>
      <c r="Q556" s="43"/>
      <c r="R556" s="43"/>
    </row>
    <row r="557">
      <c r="A557" s="32"/>
      <c r="B557" s="34"/>
      <c r="C557" s="34"/>
      <c r="D557" s="34"/>
      <c r="E557" s="34"/>
      <c r="F557" s="34"/>
      <c r="G557" s="34"/>
      <c r="H557" s="60"/>
      <c r="I557" s="60"/>
      <c r="J557" s="43"/>
      <c r="K557" s="43"/>
      <c r="L557" s="43"/>
      <c r="M557" s="43"/>
      <c r="N557" s="43"/>
      <c r="O557" s="43"/>
      <c r="P557" s="43"/>
      <c r="Q557" s="43"/>
      <c r="R557" s="43"/>
    </row>
    <row r="558">
      <c r="A558" s="32"/>
      <c r="B558" s="34"/>
      <c r="C558" s="34"/>
      <c r="D558" s="34"/>
      <c r="E558" s="34"/>
      <c r="F558" s="34"/>
      <c r="G558" s="34"/>
      <c r="H558" s="60"/>
      <c r="I558" s="60"/>
      <c r="J558" s="43"/>
      <c r="K558" s="43"/>
      <c r="L558" s="43"/>
      <c r="M558" s="43"/>
      <c r="N558" s="43"/>
      <c r="O558" s="43"/>
      <c r="P558" s="43"/>
      <c r="Q558" s="43"/>
      <c r="R558" s="43"/>
    </row>
    <row r="559">
      <c r="A559" s="32"/>
      <c r="B559" s="34"/>
      <c r="C559" s="34"/>
      <c r="D559" s="34"/>
      <c r="E559" s="34"/>
      <c r="F559" s="34"/>
      <c r="G559" s="34"/>
      <c r="H559" s="60"/>
      <c r="I559" s="60"/>
      <c r="J559" s="43"/>
      <c r="K559" s="43"/>
      <c r="L559" s="43"/>
      <c r="M559" s="43"/>
      <c r="N559" s="43"/>
      <c r="O559" s="43"/>
      <c r="P559" s="43"/>
      <c r="Q559" s="43"/>
      <c r="R559" s="43"/>
    </row>
    <row r="560">
      <c r="A560" s="32"/>
      <c r="B560" s="34"/>
      <c r="C560" s="34"/>
      <c r="D560" s="34"/>
      <c r="E560" s="34"/>
      <c r="F560" s="34"/>
      <c r="G560" s="34"/>
      <c r="H560" s="60"/>
      <c r="I560" s="60"/>
      <c r="J560" s="43"/>
      <c r="K560" s="43"/>
      <c r="L560" s="43"/>
      <c r="M560" s="43"/>
      <c r="N560" s="43"/>
      <c r="O560" s="43"/>
      <c r="P560" s="43"/>
      <c r="Q560" s="43"/>
      <c r="R560" s="43"/>
    </row>
    <row r="561">
      <c r="A561" s="32"/>
      <c r="B561" s="34"/>
      <c r="C561" s="34"/>
      <c r="D561" s="34"/>
      <c r="E561" s="34"/>
      <c r="F561" s="34"/>
      <c r="G561" s="34"/>
      <c r="H561" s="60"/>
      <c r="I561" s="60"/>
      <c r="J561" s="43"/>
      <c r="K561" s="43"/>
      <c r="L561" s="43"/>
      <c r="M561" s="43"/>
      <c r="N561" s="43"/>
      <c r="O561" s="43"/>
      <c r="P561" s="43"/>
      <c r="Q561" s="43"/>
      <c r="R561" s="43"/>
    </row>
    <row r="562">
      <c r="A562" s="32"/>
      <c r="B562" s="34"/>
      <c r="C562" s="34"/>
      <c r="D562" s="34"/>
      <c r="E562" s="34"/>
      <c r="F562" s="34"/>
      <c r="G562" s="34"/>
      <c r="H562" s="60"/>
      <c r="I562" s="60"/>
      <c r="J562" s="43"/>
      <c r="K562" s="43"/>
      <c r="L562" s="43"/>
      <c r="M562" s="43"/>
      <c r="N562" s="43"/>
      <c r="O562" s="43"/>
      <c r="P562" s="43"/>
      <c r="Q562" s="43"/>
      <c r="R562" s="43"/>
    </row>
    <row r="563">
      <c r="A563" s="32"/>
      <c r="B563" s="34"/>
      <c r="C563" s="34"/>
      <c r="D563" s="34"/>
      <c r="E563" s="34"/>
      <c r="F563" s="34"/>
      <c r="G563" s="34"/>
      <c r="H563" s="60"/>
      <c r="I563" s="60"/>
      <c r="J563" s="43"/>
      <c r="K563" s="43"/>
      <c r="L563" s="43"/>
      <c r="M563" s="43"/>
      <c r="N563" s="43"/>
      <c r="O563" s="43"/>
      <c r="P563" s="43"/>
      <c r="Q563" s="43"/>
      <c r="R563" s="43"/>
    </row>
    <row r="564">
      <c r="A564" s="32"/>
      <c r="B564" s="34"/>
      <c r="C564" s="34"/>
      <c r="D564" s="34"/>
      <c r="E564" s="34"/>
      <c r="F564" s="34"/>
      <c r="G564" s="34"/>
      <c r="H564" s="60"/>
      <c r="I564" s="60"/>
      <c r="J564" s="43"/>
      <c r="K564" s="43"/>
      <c r="L564" s="43"/>
      <c r="M564" s="43"/>
      <c r="N564" s="43"/>
      <c r="O564" s="43"/>
      <c r="P564" s="43"/>
      <c r="Q564" s="43"/>
      <c r="R564" s="43"/>
    </row>
    <row r="565">
      <c r="A565" s="32"/>
      <c r="B565" s="34"/>
      <c r="C565" s="34"/>
      <c r="D565" s="34"/>
      <c r="E565" s="34"/>
      <c r="F565" s="34"/>
      <c r="G565" s="34"/>
      <c r="H565" s="60"/>
      <c r="I565" s="60"/>
      <c r="J565" s="43"/>
      <c r="K565" s="43"/>
      <c r="L565" s="43"/>
      <c r="M565" s="43"/>
      <c r="N565" s="43"/>
      <c r="O565" s="43"/>
      <c r="P565" s="43"/>
      <c r="Q565" s="43"/>
      <c r="R565" s="43"/>
    </row>
    <row r="566">
      <c r="A566" s="32"/>
      <c r="B566" s="34"/>
      <c r="C566" s="34"/>
      <c r="D566" s="34"/>
      <c r="E566" s="34"/>
      <c r="F566" s="34"/>
      <c r="G566" s="34"/>
      <c r="H566" s="60"/>
      <c r="I566" s="60"/>
      <c r="J566" s="43"/>
      <c r="K566" s="43"/>
      <c r="L566" s="43"/>
      <c r="M566" s="43"/>
      <c r="N566" s="43"/>
      <c r="O566" s="43"/>
      <c r="P566" s="43"/>
      <c r="Q566" s="43"/>
      <c r="R566" s="43"/>
    </row>
    <row r="567">
      <c r="A567" s="32"/>
      <c r="B567" s="34"/>
      <c r="C567" s="34"/>
      <c r="D567" s="34"/>
      <c r="E567" s="34"/>
      <c r="F567" s="34"/>
      <c r="G567" s="34"/>
      <c r="H567" s="60"/>
      <c r="I567" s="60"/>
      <c r="J567" s="43"/>
      <c r="K567" s="43"/>
      <c r="L567" s="43"/>
      <c r="M567" s="43"/>
      <c r="N567" s="43"/>
      <c r="O567" s="43"/>
      <c r="P567" s="43"/>
      <c r="Q567" s="43"/>
      <c r="R567" s="43"/>
    </row>
    <row r="568">
      <c r="A568" s="32"/>
      <c r="B568" s="34"/>
      <c r="C568" s="34"/>
      <c r="D568" s="34"/>
      <c r="E568" s="34"/>
      <c r="F568" s="34"/>
      <c r="G568" s="34"/>
      <c r="H568" s="60"/>
      <c r="I568" s="60"/>
      <c r="J568" s="43"/>
      <c r="K568" s="43"/>
      <c r="L568" s="43"/>
      <c r="M568" s="43"/>
      <c r="N568" s="43"/>
      <c r="O568" s="43"/>
      <c r="P568" s="43"/>
      <c r="Q568" s="43"/>
      <c r="R568" s="43"/>
    </row>
    <row r="569">
      <c r="A569" s="32"/>
      <c r="B569" s="34"/>
      <c r="C569" s="34"/>
      <c r="D569" s="34"/>
      <c r="E569" s="34"/>
      <c r="F569" s="34"/>
      <c r="G569" s="34"/>
      <c r="H569" s="60"/>
      <c r="I569" s="60"/>
      <c r="J569" s="43"/>
      <c r="K569" s="43"/>
      <c r="L569" s="43"/>
      <c r="M569" s="43"/>
      <c r="N569" s="43"/>
      <c r="O569" s="43"/>
      <c r="P569" s="43"/>
      <c r="Q569" s="43"/>
      <c r="R569" s="43"/>
    </row>
    <row r="570">
      <c r="A570" s="32"/>
      <c r="B570" s="34"/>
      <c r="C570" s="34"/>
      <c r="D570" s="34"/>
      <c r="E570" s="34"/>
      <c r="F570" s="34"/>
      <c r="G570" s="34"/>
      <c r="H570" s="60"/>
      <c r="I570" s="60"/>
      <c r="J570" s="43"/>
      <c r="K570" s="43"/>
      <c r="L570" s="43"/>
      <c r="M570" s="43"/>
      <c r="N570" s="43"/>
      <c r="O570" s="43"/>
      <c r="P570" s="43"/>
      <c r="Q570" s="43"/>
      <c r="R570" s="43"/>
    </row>
    <row r="571">
      <c r="A571" s="32"/>
      <c r="B571" s="34"/>
      <c r="C571" s="34"/>
      <c r="D571" s="34"/>
      <c r="E571" s="34"/>
      <c r="F571" s="34"/>
      <c r="G571" s="34"/>
      <c r="H571" s="60"/>
      <c r="I571" s="60"/>
      <c r="J571" s="43"/>
      <c r="K571" s="43"/>
      <c r="L571" s="43"/>
      <c r="M571" s="43"/>
      <c r="N571" s="43"/>
      <c r="O571" s="43"/>
      <c r="P571" s="43"/>
      <c r="Q571" s="43"/>
      <c r="R571" s="43"/>
    </row>
    <row r="572">
      <c r="A572" s="32"/>
      <c r="B572" s="34"/>
      <c r="C572" s="34"/>
      <c r="D572" s="34"/>
      <c r="E572" s="34"/>
      <c r="F572" s="34"/>
      <c r="G572" s="34"/>
      <c r="H572" s="60"/>
      <c r="I572" s="60"/>
      <c r="J572" s="43"/>
      <c r="K572" s="43"/>
      <c r="L572" s="43"/>
      <c r="M572" s="43"/>
      <c r="N572" s="43"/>
      <c r="O572" s="43"/>
      <c r="P572" s="43"/>
      <c r="Q572" s="43"/>
      <c r="R572" s="43"/>
    </row>
    <row r="573">
      <c r="A573" s="32"/>
      <c r="B573" s="34"/>
      <c r="C573" s="34"/>
      <c r="D573" s="34"/>
      <c r="E573" s="34"/>
      <c r="F573" s="34"/>
      <c r="G573" s="34"/>
      <c r="H573" s="60"/>
      <c r="I573" s="60"/>
      <c r="J573" s="43"/>
      <c r="K573" s="43"/>
      <c r="L573" s="43"/>
      <c r="M573" s="43"/>
      <c r="N573" s="43"/>
      <c r="O573" s="43"/>
      <c r="P573" s="43"/>
      <c r="Q573" s="43"/>
      <c r="R573" s="43"/>
    </row>
    <row r="574">
      <c r="A574" s="32"/>
      <c r="B574" s="34"/>
      <c r="C574" s="34"/>
      <c r="D574" s="34"/>
      <c r="E574" s="34"/>
      <c r="F574" s="34"/>
      <c r="G574" s="34"/>
      <c r="H574" s="60"/>
      <c r="I574" s="60"/>
      <c r="J574" s="43"/>
      <c r="K574" s="43"/>
      <c r="L574" s="43"/>
      <c r="M574" s="43"/>
      <c r="N574" s="43"/>
      <c r="O574" s="43"/>
      <c r="P574" s="43"/>
      <c r="Q574" s="43"/>
      <c r="R574" s="43"/>
    </row>
    <row r="575">
      <c r="A575" s="32"/>
      <c r="B575" s="34"/>
      <c r="C575" s="34"/>
      <c r="D575" s="34"/>
      <c r="E575" s="34"/>
      <c r="F575" s="34"/>
      <c r="G575" s="34"/>
      <c r="H575" s="60"/>
      <c r="I575" s="60"/>
      <c r="J575" s="43"/>
      <c r="K575" s="43"/>
      <c r="L575" s="43"/>
      <c r="M575" s="43"/>
      <c r="N575" s="43"/>
      <c r="O575" s="43"/>
      <c r="P575" s="43"/>
      <c r="Q575" s="43"/>
      <c r="R575" s="43"/>
    </row>
    <row r="576">
      <c r="A576" s="32"/>
      <c r="B576" s="34"/>
      <c r="C576" s="34"/>
      <c r="D576" s="34"/>
      <c r="E576" s="34"/>
      <c r="F576" s="34"/>
      <c r="G576" s="34"/>
      <c r="H576" s="60"/>
      <c r="I576" s="60"/>
      <c r="J576" s="43"/>
      <c r="K576" s="43"/>
      <c r="L576" s="43"/>
      <c r="M576" s="43"/>
      <c r="N576" s="43"/>
      <c r="O576" s="43"/>
      <c r="P576" s="43"/>
      <c r="Q576" s="43"/>
      <c r="R576" s="43"/>
    </row>
    <row r="577">
      <c r="A577" s="32"/>
      <c r="B577" s="34"/>
      <c r="C577" s="34"/>
      <c r="D577" s="34"/>
      <c r="E577" s="34"/>
      <c r="F577" s="34"/>
      <c r="G577" s="34"/>
      <c r="H577" s="60"/>
      <c r="I577" s="60"/>
      <c r="J577" s="43"/>
      <c r="K577" s="43"/>
      <c r="L577" s="43"/>
      <c r="M577" s="43"/>
      <c r="N577" s="43"/>
      <c r="O577" s="43"/>
      <c r="P577" s="43"/>
      <c r="Q577" s="43"/>
      <c r="R577" s="43"/>
    </row>
    <row r="578">
      <c r="A578" s="32"/>
      <c r="B578" s="34"/>
      <c r="C578" s="34"/>
      <c r="D578" s="34"/>
      <c r="E578" s="34"/>
      <c r="F578" s="34"/>
      <c r="G578" s="34"/>
      <c r="H578" s="60"/>
      <c r="I578" s="60"/>
      <c r="J578" s="43"/>
      <c r="K578" s="43"/>
      <c r="L578" s="43"/>
      <c r="M578" s="43"/>
      <c r="N578" s="43"/>
      <c r="O578" s="43"/>
      <c r="P578" s="43"/>
      <c r="Q578" s="43"/>
      <c r="R578" s="43"/>
    </row>
    <row r="579">
      <c r="A579" s="32"/>
      <c r="B579" s="34"/>
      <c r="C579" s="34"/>
      <c r="D579" s="34"/>
      <c r="E579" s="34"/>
      <c r="F579" s="34"/>
      <c r="G579" s="34"/>
      <c r="H579" s="60"/>
      <c r="I579" s="60"/>
      <c r="J579" s="43"/>
      <c r="K579" s="43"/>
      <c r="L579" s="43"/>
      <c r="M579" s="43"/>
      <c r="N579" s="43"/>
      <c r="O579" s="43"/>
      <c r="P579" s="43"/>
      <c r="Q579" s="43"/>
      <c r="R579" s="43"/>
    </row>
    <row r="580">
      <c r="A580" s="32"/>
      <c r="B580" s="34"/>
      <c r="C580" s="34"/>
      <c r="D580" s="34"/>
      <c r="E580" s="34"/>
      <c r="F580" s="34"/>
      <c r="G580" s="34"/>
      <c r="H580" s="60"/>
      <c r="I580" s="60"/>
      <c r="J580" s="43"/>
      <c r="K580" s="43"/>
      <c r="L580" s="43"/>
      <c r="M580" s="43"/>
      <c r="N580" s="43"/>
      <c r="O580" s="43"/>
      <c r="P580" s="43"/>
      <c r="Q580" s="43"/>
      <c r="R580" s="43"/>
    </row>
    <row r="581">
      <c r="A581" s="32"/>
      <c r="B581" s="34"/>
      <c r="C581" s="34"/>
      <c r="D581" s="34"/>
      <c r="E581" s="34"/>
      <c r="F581" s="34"/>
      <c r="G581" s="34"/>
      <c r="H581" s="60"/>
      <c r="I581" s="60"/>
      <c r="J581" s="43"/>
      <c r="K581" s="43"/>
      <c r="L581" s="43"/>
      <c r="M581" s="43"/>
      <c r="N581" s="43"/>
      <c r="O581" s="43"/>
      <c r="P581" s="43"/>
      <c r="Q581" s="43"/>
      <c r="R581" s="43"/>
    </row>
    <row r="582">
      <c r="A582" s="32"/>
      <c r="B582" s="34"/>
      <c r="C582" s="34"/>
      <c r="D582" s="34"/>
      <c r="E582" s="34"/>
      <c r="F582" s="34"/>
      <c r="G582" s="34"/>
      <c r="H582" s="60"/>
      <c r="I582" s="60"/>
      <c r="J582" s="43"/>
      <c r="K582" s="43"/>
      <c r="L582" s="43"/>
      <c r="M582" s="43"/>
      <c r="N582" s="43"/>
      <c r="O582" s="43"/>
      <c r="P582" s="43"/>
      <c r="Q582" s="43"/>
      <c r="R582" s="43"/>
    </row>
    <row r="583">
      <c r="A583" s="32"/>
      <c r="B583" s="34"/>
      <c r="C583" s="34"/>
      <c r="D583" s="34"/>
      <c r="E583" s="34"/>
      <c r="F583" s="34"/>
      <c r="G583" s="34"/>
      <c r="H583" s="60"/>
      <c r="I583" s="60"/>
      <c r="J583" s="43"/>
      <c r="K583" s="43"/>
      <c r="L583" s="43"/>
      <c r="M583" s="43"/>
      <c r="N583" s="43"/>
      <c r="O583" s="43"/>
      <c r="P583" s="43"/>
      <c r="Q583" s="43"/>
      <c r="R583" s="43"/>
    </row>
    <row r="584">
      <c r="A584" s="32"/>
      <c r="B584" s="34"/>
      <c r="C584" s="34"/>
      <c r="D584" s="34"/>
      <c r="E584" s="34"/>
      <c r="F584" s="34"/>
      <c r="G584" s="34"/>
      <c r="H584" s="60"/>
      <c r="I584" s="60"/>
      <c r="J584" s="43"/>
      <c r="K584" s="43"/>
      <c r="L584" s="43"/>
      <c r="M584" s="43"/>
      <c r="N584" s="43"/>
      <c r="O584" s="43"/>
      <c r="P584" s="43"/>
      <c r="Q584" s="43"/>
      <c r="R584" s="43"/>
    </row>
    <row r="585">
      <c r="A585" s="32"/>
      <c r="B585" s="34"/>
      <c r="C585" s="34"/>
      <c r="D585" s="34"/>
      <c r="E585" s="34"/>
      <c r="F585" s="34"/>
      <c r="G585" s="34"/>
      <c r="H585" s="60"/>
      <c r="I585" s="60"/>
      <c r="J585" s="43"/>
      <c r="K585" s="43"/>
      <c r="L585" s="43"/>
      <c r="M585" s="43"/>
      <c r="N585" s="43"/>
      <c r="O585" s="43"/>
      <c r="P585" s="43"/>
      <c r="Q585" s="43"/>
      <c r="R585" s="43"/>
    </row>
    <row r="586">
      <c r="A586" s="32"/>
      <c r="B586" s="34"/>
      <c r="C586" s="34"/>
      <c r="D586" s="34"/>
      <c r="E586" s="34"/>
      <c r="F586" s="34"/>
      <c r="G586" s="34"/>
      <c r="H586" s="60"/>
      <c r="I586" s="60"/>
      <c r="J586" s="43"/>
      <c r="K586" s="43"/>
      <c r="L586" s="43"/>
      <c r="M586" s="43"/>
      <c r="N586" s="43"/>
      <c r="O586" s="43"/>
      <c r="P586" s="43"/>
      <c r="Q586" s="43"/>
      <c r="R586" s="43"/>
    </row>
    <row r="587">
      <c r="A587" s="32"/>
      <c r="B587" s="34"/>
      <c r="C587" s="34"/>
      <c r="D587" s="34"/>
      <c r="E587" s="34"/>
      <c r="F587" s="34"/>
      <c r="G587" s="34"/>
      <c r="H587" s="60"/>
      <c r="I587" s="60"/>
      <c r="J587" s="43"/>
      <c r="K587" s="43"/>
      <c r="L587" s="43"/>
      <c r="M587" s="43"/>
      <c r="N587" s="43"/>
      <c r="O587" s="43"/>
      <c r="P587" s="43"/>
      <c r="Q587" s="43"/>
      <c r="R587" s="43"/>
    </row>
    <row r="588">
      <c r="A588" s="32"/>
      <c r="B588" s="34"/>
      <c r="C588" s="34"/>
      <c r="D588" s="34"/>
      <c r="E588" s="34"/>
      <c r="F588" s="34"/>
      <c r="G588" s="34"/>
      <c r="H588" s="60"/>
      <c r="I588" s="60"/>
      <c r="J588" s="43"/>
      <c r="K588" s="43"/>
      <c r="L588" s="43"/>
      <c r="M588" s="43"/>
      <c r="N588" s="43"/>
      <c r="O588" s="43"/>
      <c r="P588" s="43"/>
      <c r="Q588" s="43"/>
      <c r="R588" s="43"/>
    </row>
    <row r="589">
      <c r="A589" s="32"/>
      <c r="B589" s="34"/>
      <c r="C589" s="34"/>
      <c r="D589" s="34"/>
      <c r="E589" s="34"/>
      <c r="F589" s="34"/>
      <c r="G589" s="34"/>
      <c r="H589" s="60"/>
      <c r="I589" s="60"/>
      <c r="J589" s="43"/>
      <c r="K589" s="43"/>
      <c r="L589" s="43"/>
      <c r="M589" s="43"/>
      <c r="N589" s="43"/>
      <c r="O589" s="43"/>
      <c r="P589" s="43"/>
      <c r="Q589" s="43"/>
      <c r="R589" s="43"/>
    </row>
    <row r="590">
      <c r="A590" s="32"/>
      <c r="B590" s="34"/>
      <c r="C590" s="34"/>
      <c r="D590" s="34"/>
      <c r="E590" s="34"/>
      <c r="F590" s="34"/>
      <c r="G590" s="34"/>
      <c r="H590" s="60"/>
      <c r="I590" s="60"/>
      <c r="J590" s="43"/>
      <c r="K590" s="43"/>
      <c r="L590" s="43"/>
      <c r="M590" s="43"/>
      <c r="N590" s="43"/>
      <c r="O590" s="43"/>
      <c r="P590" s="43"/>
      <c r="Q590" s="43"/>
      <c r="R590" s="43"/>
    </row>
    <row r="591">
      <c r="A591" s="32"/>
      <c r="B591" s="34"/>
      <c r="C591" s="34"/>
      <c r="D591" s="34"/>
      <c r="E591" s="34"/>
      <c r="F591" s="34"/>
      <c r="G591" s="34"/>
      <c r="H591" s="60"/>
      <c r="I591" s="60"/>
      <c r="J591" s="43"/>
      <c r="K591" s="43"/>
      <c r="L591" s="43"/>
      <c r="M591" s="43"/>
      <c r="N591" s="43"/>
      <c r="O591" s="43"/>
      <c r="P591" s="43"/>
      <c r="Q591" s="43"/>
      <c r="R591" s="43"/>
    </row>
    <row r="592">
      <c r="A592" s="32"/>
      <c r="B592" s="34"/>
      <c r="C592" s="34"/>
      <c r="D592" s="34"/>
      <c r="E592" s="34"/>
      <c r="F592" s="34"/>
      <c r="G592" s="34"/>
      <c r="H592" s="60"/>
      <c r="I592" s="60"/>
      <c r="J592" s="43"/>
      <c r="K592" s="43"/>
      <c r="L592" s="43"/>
      <c r="M592" s="43"/>
      <c r="N592" s="43"/>
      <c r="O592" s="43"/>
      <c r="P592" s="43"/>
      <c r="Q592" s="43"/>
      <c r="R592" s="43"/>
    </row>
    <row r="593">
      <c r="A593" s="32"/>
      <c r="B593" s="34"/>
      <c r="C593" s="34"/>
      <c r="D593" s="34"/>
      <c r="E593" s="34"/>
      <c r="F593" s="34"/>
      <c r="G593" s="34"/>
      <c r="H593" s="60"/>
      <c r="I593" s="60"/>
      <c r="J593" s="43"/>
      <c r="K593" s="43"/>
      <c r="L593" s="43"/>
      <c r="M593" s="43"/>
      <c r="N593" s="43"/>
      <c r="O593" s="43"/>
      <c r="P593" s="43"/>
      <c r="Q593" s="43"/>
      <c r="R593" s="43"/>
    </row>
    <row r="594">
      <c r="A594" s="32"/>
      <c r="B594" s="34"/>
      <c r="C594" s="34"/>
      <c r="D594" s="34"/>
      <c r="E594" s="34"/>
      <c r="F594" s="34"/>
      <c r="G594" s="34"/>
      <c r="H594" s="60"/>
      <c r="I594" s="60"/>
      <c r="J594" s="43"/>
      <c r="K594" s="43"/>
      <c r="L594" s="43"/>
      <c r="M594" s="43"/>
      <c r="N594" s="43"/>
      <c r="O594" s="43"/>
      <c r="P594" s="43"/>
      <c r="Q594" s="43"/>
      <c r="R594" s="43"/>
    </row>
    <row r="595">
      <c r="A595" s="32"/>
      <c r="B595" s="34"/>
      <c r="C595" s="34"/>
      <c r="D595" s="34"/>
      <c r="E595" s="34"/>
      <c r="F595" s="34"/>
      <c r="G595" s="34"/>
      <c r="H595" s="60"/>
      <c r="I595" s="60"/>
      <c r="J595" s="43"/>
      <c r="K595" s="43"/>
      <c r="L595" s="43"/>
      <c r="M595" s="43"/>
      <c r="N595" s="43"/>
      <c r="O595" s="43"/>
      <c r="P595" s="43"/>
      <c r="Q595" s="43"/>
      <c r="R595" s="43"/>
    </row>
    <row r="596">
      <c r="A596" s="32"/>
      <c r="B596" s="34"/>
      <c r="C596" s="34"/>
      <c r="D596" s="34"/>
      <c r="E596" s="34"/>
      <c r="F596" s="34"/>
      <c r="G596" s="34"/>
      <c r="H596" s="60"/>
      <c r="I596" s="60"/>
      <c r="J596" s="43"/>
      <c r="K596" s="43"/>
      <c r="L596" s="43"/>
      <c r="M596" s="43"/>
      <c r="N596" s="43"/>
      <c r="O596" s="43"/>
      <c r="P596" s="43"/>
      <c r="Q596" s="43"/>
      <c r="R596" s="43"/>
    </row>
    <row r="597">
      <c r="A597" s="32"/>
      <c r="B597" s="34"/>
      <c r="C597" s="34"/>
      <c r="D597" s="34"/>
      <c r="E597" s="34"/>
      <c r="F597" s="34"/>
      <c r="G597" s="34"/>
      <c r="H597" s="60"/>
      <c r="I597" s="60"/>
      <c r="J597" s="43"/>
      <c r="K597" s="43"/>
      <c r="L597" s="43"/>
      <c r="M597" s="43"/>
      <c r="N597" s="43"/>
      <c r="O597" s="43"/>
      <c r="P597" s="43"/>
      <c r="Q597" s="43"/>
      <c r="R597" s="43"/>
    </row>
    <row r="598">
      <c r="A598" s="32"/>
      <c r="B598" s="34"/>
      <c r="C598" s="34"/>
      <c r="D598" s="34"/>
      <c r="E598" s="34"/>
      <c r="F598" s="34"/>
      <c r="G598" s="34"/>
      <c r="H598" s="60"/>
      <c r="I598" s="60"/>
      <c r="J598" s="43"/>
      <c r="K598" s="43"/>
      <c r="L598" s="43"/>
      <c r="M598" s="43"/>
      <c r="N598" s="43"/>
      <c r="O598" s="43"/>
      <c r="P598" s="43"/>
      <c r="Q598" s="43"/>
      <c r="R598" s="43"/>
    </row>
    <row r="599">
      <c r="A599" s="32"/>
      <c r="B599" s="34"/>
      <c r="C599" s="34"/>
      <c r="D599" s="34"/>
      <c r="E599" s="34"/>
      <c r="F599" s="34"/>
      <c r="G599" s="34"/>
      <c r="H599" s="60"/>
      <c r="I599" s="60"/>
      <c r="J599" s="43"/>
      <c r="K599" s="43"/>
      <c r="L599" s="43"/>
      <c r="M599" s="43"/>
      <c r="N599" s="43"/>
      <c r="O599" s="43"/>
      <c r="P599" s="43"/>
      <c r="Q599" s="43"/>
      <c r="R599" s="43"/>
    </row>
    <row r="600">
      <c r="A600" s="32"/>
      <c r="B600" s="34"/>
      <c r="C600" s="34"/>
      <c r="D600" s="34"/>
      <c r="E600" s="34"/>
      <c r="F600" s="34"/>
      <c r="G600" s="34"/>
      <c r="H600" s="60"/>
      <c r="I600" s="60"/>
      <c r="J600" s="43"/>
      <c r="K600" s="43"/>
      <c r="L600" s="43"/>
      <c r="M600" s="43"/>
      <c r="N600" s="43"/>
      <c r="O600" s="43"/>
      <c r="P600" s="43"/>
      <c r="Q600" s="43"/>
      <c r="R600" s="43"/>
    </row>
    <row r="601">
      <c r="A601" s="32"/>
      <c r="B601" s="34"/>
      <c r="C601" s="34"/>
      <c r="D601" s="34"/>
      <c r="E601" s="34"/>
      <c r="F601" s="34"/>
      <c r="G601" s="34"/>
      <c r="H601" s="60"/>
      <c r="I601" s="60"/>
      <c r="J601" s="43"/>
      <c r="K601" s="43"/>
      <c r="L601" s="43"/>
      <c r="M601" s="43"/>
      <c r="N601" s="43"/>
      <c r="O601" s="43"/>
      <c r="P601" s="43"/>
      <c r="Q601" s="43"/>
      <c r="R601" s="43"/>
    </row>
    <row r="602">
      <c r="A602" s="32"/>
      <c r="B602" s="34"/>
      <c r="C602" s="34"/>
      <c r="D602" s="34"/>
      <c r="E602" s="34"/>
      <c r="F602" s="34"/>
      <c r="G602" s="34"/>
      <c r="H602" s="60"/>
      <c r="I602" s="60"/>
      <c r="J602" s="43"/>
      <c r="K602" s="43"/>
      <c r="L602" s="43"/>
      <c r="M602" s="43"/>
      <c r="N602" s="43"/>
      <c r="O602" s="43"/>
      <c r="P602" s="43"/>
      <c r="Q602" s="43"/>
      <c r="R602" s="43"/>
    </row>
    <row r="603">
      <c r="A603" s="32"/>
      <c r="B603" s="34"/>
      <c r="C603" s="34"/>
      <c r="D603" s="34"/>
      <c r="E603" s="34"/>
      <c r="F603" s="34"/>
      <c r="G603" s="34"/>
      <c r="H603" s="60"/>
      <c r="I603" s="60"/>
      <c r="J603" s="43"/>
      <c r="K603" s="43"/>
      <c r="L603" s="43"/>
      <c r="M603" s="43"/>
      <c r="N603" s="43"/>
      <c r="O603" s="43"/>
      <c r="P603" s="43"/>
      <c r="Q603" s="43"/>
      <c r="R603" s="43"/>
    </row>
    <row r="604">
      <c r="A604" s="32"/>
      <c r="B604" s="34"/>
      <c r="C604" s="34"/>
      <c r="D604" s="34"/>
      <c r="E604" s="34"/>
      <c r="F604" s="34"/>
      <c r="G604" s="34"/>
      <c r="H604" s="60"/>
      <c r="I604" s="60"/>
      <c r="J604" s="43"/>
      <c r="K604" s="43"/>
      <c r="L604" s="43"/>
      <c r="M604" s="43"/>
      <c r="N604" s="43"/>
      <c r="O604" s="43"/>
      <c r="P604" s="43"/>
      <c r="Q604" s="43"/>
      <c r="R604" s="43"/>
    </row>
    <row r="605">
      <c r="A605" s="32"/>
      <c r="B605" s="34"/>
      <c r="C605" s="34"/>
      <c r="D605" s="34"/>
      <c r="E605" s="34"/>
      <c r="F605" s="34"/>
      <c r="G605" s="34"/>
      <c r="H605" s="60"/>
      <c r="I605" s="60"/>
      <c r="J605" s="43"/>
      <c r="K605" s="43"/>
      <c r="L605" s="43"/>
      <c r="M605" s="43"/>
      <c r="N605" s="43"/>
      <c r="O605" s="43"/>
      <c r="P605" s="43"/>
      <c r="Q605" s="43"/>
      <c r="R605" s="43"/>
    </row>
    <row r="606">
      <c r="A606" s="32"/>
      <c r="B606" s="34"/>
      <c r="C606" s="34"/>
      <c r="D606" s="34"/>
      <c r="E606" s="34"/>
      <c r="F606" s="34"/>
      <c r="G606" s="34"/>
      <c r="H606" s="60"/>
      <c r="I606" s="60"/>
      <c r="J606" s="43"/>
      <c r="K606" s="43"/>
      <c r="L606" s="43"/>
      <c r="M606" s="43"/>
      <c r="N606" s="43"/>
      <c r="O606" s="43"/>
      <c r="P606" s="43"/>
      <c r="Q606" s="43"/>
      <c r="R606" s="43"/>
    </row>
    <row r="607">
      <c r="A607" s="32"/>
      <c r="B607" s="34"/>
      <c r="C607" s="34"/>
      <c r="D607" s="34"/>
      <c r="E607" s="34"/>
      <c r="F607" s="34"/>
      <c r="G607" s="34"/>
      <c r="H607" s="60"/>
      <c r="I607" s="60"/>
      <c r="J607" s="43"/>
      <c r="K607" s="43"/>
      <c r="L607" s="43"/>
      <c r="M607" s="43"/>
      <c r="N607" s="43"/>
      <c r="O607" s="43"/>
      <c r="P607" s="43"/>
      <c r="Q607" s="43"/>
      <c r="R607" s="43"/>
    </row>
    <row r="608">
      <c r="A608" s="32"/>
      <c r="B608" s="34"/>
      <c r="C608" s="34"/>
      <c r="D608" s="34"/>
      <c r="E608" s="34"/>
      <c r="F608" s="34"/>
      <c r="G608" s="34"/>
      <c r="H608" s="60"/>
      <c r="I608" s="60"/>
      <c r="J608" s="43"/>
      <c r="K608" s="43"/>
      <c r="L608" s="43"/>
      <c r="M608" s="43"/>
      <c r="N608" s="43"/>
      <c r="O608" s="43"/>
      <c r="P608" s="43"/>
      <c r="Q608" s="43"/>
      <c r="R608" s="43"/>
    </row>
    <row r="609">
      <c r="A609" s="32"/>
      <c r="B609" s="34"/>
      <c r="C609" s="34"/>
      <c r="D609" s="34"/>
      <c r="E609" s="34"/>
      <c r="F609" s="34"/>
      <c r="G609" s="34"/>
      <c r="H609" s="60"/>
      <c r="I609" s="60"/>
      <c r="J609" s="43"/>
      <c r="K609" s="43"/>
      <c r="L609" s="43"/>
      <c r="M609" s="43"/>
      <c r="N609" s="43"/>
      <c r="O609" s="43"/>
      <c r="P609" s="43"/>
      <c r="Q609" s="43"/>
      <c r="R609" s="43"/>
    </row>
    <row r="610">
      <c r="A610" s="32"/>
      <c r="B610" s="34"/>
      <c r="C610" s="34"/>
      <c r="D610" s="34"/>
      <c r="E610" s="34"/>
      <c r="F610" s="34"/>
      <c r="G610" s="34"/>
      <c r="H610" s="60"/>
      <c r="I610" s="60"/>
      <c r="J610" s="43"/>
      <c r="K610" s="43"/>
      <c r="L610" s="43"/>
      <c r="M610" s="43"/>
      <c r="N610" s="43"/>
      <c r="O610" s="43"/>
      <c r="P610" s="43"/>
      <c r="Q610" s="43"/>
      <c r="R610" s="43"/>
    </row>
    <row r="611">
      <c r="A611" s="32"/>
      <c r="B611" s="34"/>
      <c r="C611" s="34"/>
      <c r="D611" s="34"/>
      <c r="E611" s="34"/>
      <c r="F611" s="34"/>
      <c r="G611" s="34"/>
      <c r="H611" s="60"/>
      <c r="I611" s="60"/>
      <c r="J611" s="43"/>
      <c r="K611" s="43"/>
      <c r="L611" s="43"/>
      <c r="M611" s="43"/>
      <c r="N611" s="43"/>
      <c r="O611" s="43"/>
      <c r="P611" s="43"/>
      <c r="Q611" s="43"/>
      <c r="R611" s="43"/>
    </row>
    <row r="612">
      <c r="A612" s="32"/>
      <c r="B612" s="34"/>
      <c r="C612" s="34"/>
      <c r="D612" s="34"/>
      <c r="E612" s="34"/>
      <c r="F612" s="34"/>
      <c r="G612" s="34"/>
      <c r="H612" s="60"/>
      <c r="I612" s="60"/>
      <c r="J612" s="43"/>
      <c r="K612" s="43"/>
      <c r="L612" s="43"/>
      <c r="M612" s="43"/>
      <c r="N612" s="43"/>
      <c r="O612" s="43"/>
      <c r="P612" s="43"/>
      <c r="Q612" s="43"/>
      <c r="R612" s="43"/>
    </row>
    <row r="613">
      <c r="A613" s="32"/>
      <c r="B613" s="34"/>
      <c r="C613" s="34"/>
      <c r="D613" s="34"/>
      <c r="E613" s="34"/>
      <c r="F613" s="34"/>
      <c r="G613" s="34"/>
      <c r="H613" s="60"/>
      <c r="I613" s="60"/>
      <c r="J613" s="43"/>
      <c r="K613" s="43"/>
      <c r="L613" s="43"/>
      <c r="M613" s="43"/>
      <c r="N613" s="43"/>
      <c r="O613" s="43"/>
      <c r="P613" s="43"/>
      <c r="Q613" s="43"/>
      <c r="R613" s="43"/>
    </row>
    <row r="614">
      <c r="A614" s="32"/>
      <c r="B614" s="34"/>
      <c r="C614" s="34"/>
      <c r="D614" s="34"/>
      <c r="E614" s="34"/>
      <c r="F614" s="34"/>
      <c r="G614" s="34"/>
      <c r="H614" s="60"/>
      <c r="I614" s="60"/>
      <c r="J614" s="43"/>
      <c r="K614" s="43"/>
      <c r="L614" s="43"/>
      <c r="M614" s="43"/>
      <c r="N614" s="43"/>
      <c r="O614" s="43"/>
      <c r="P614" s="43"/>
      <c r="Q614" s="43"/>
      <c r="R614" s="43"/>
    </row>
    <row r="615">
      <c r="A615" s="32"/>
      <c r="B615" s="34"/>
      <c r="C615" s="34"/>
      <c r="D615" s="34"/>
      <c r="E615" s="34"/>
      <c r="F615" s="34"/>
      <c r="G615" s="34"/>
      <c r="H615" s="60"/>
      <c r="I615" s="60"/>
      <c r="J615" s="43"/>
      <c r="K615" s="43"/>
      <c r="L615" s="43"/>
      <c r="M615" s="43"/>
      <c r="N615" s="43"/>
      <c r="O615" s="43"/>
      <c r="P615" s="43"/>
      <c r="Q615" s="43"/>
      <c r="R615" s="43"/>
    </row>
    <row r="616">
      <c r="A616" s="32"/>
      <c r="B616" s="34"/>
      <c r="C616" s="34"/>
      <c r="D616" s="34"/>
      <c r="E616" s="34"/>
      <c r="F616" s="34"/>
      <c r="G616" s="34"/>
      <c r="H616" s="60"/>
      <c r="I616" s="60"/>
      <c r="J616" s="43"/>
      <c r="K616" s="43"/>
      <c r="L616" s="43"/>
      <c r="M616" s="43"/>
      <c r="N616" s="43"/>
      <c r="O616" s="43"/>
      <c r="P616" s="43"/>
      <c r="Q616" s="43"/>
      <c r="R616" s="43"/>
    </row>
    <row r="617">
      <c r="A617" s="32"/>
      <c r="B617" s="34"/>
      <c r="C617" s="34"/>
      <c r="D617" s="34"/>
      <c r="E617" s="34"/>
      <c r="F617" s="34"/>
      <c r="G617" s="34"/>
      <c r="H617" s="60"/>
      <c r="I617" s="60"/>
      <c r="J617" s="43"/>
      <c r="K617" s="43"/>
      <c r="L617" s="43"/>
      <c r="M617" s="43"/>
      <c r="N617" s="43"/>
      <c r="O617" s="43"/>
      <c r="P617" s="43"/>
      <c r="Q617" s="43"/>
      <c r="R617" s="43"/>
    </row>
    <row r="618">
      <c r="A618" s="32"/>
      <c r="B618" s="34"/>
      <c r="C618" s="34"/>
      <c r="D618" s="34"/>
      <c r="E618" s="34"/>
      <c r="F618" s="34"/>
      <c r="G618" s="34"/>
      <c r="H618" s="60"/>
      <c r="I618" s="60"/>
      <c r="J618" s="43"/>
      <c r="K618" s="43"/>
      <c r="L618" s="43"/>
      <c r="M618" s="43"/>
      <c r="N618" s="43"/>
      <c r="O618" s="43"/>
      <c r="P618" s="43"/>
      <c r="Q618" s="43"/>
      <c r="R618" s="43"/>
    </row>
    <row r="619">
      <c r="A619" s="32"/>
      <c r="B619" s="34"/>
      <c r="C619" s="34"/>
      <c r="D619" s="34"/>
      <c r="E619" s="34"/>
      <c r="F619" s="34"/>
      <c r="G619" s="34"/>
      <c r="H619" s="60"/>
      <c r="I619" s="60"/>
      <c r="J619" s="43"/>
      <c r="K619" s="43"/>
      <c r="L619" s="43"/>
      <c r="M619" s="43"/>
      <c r="N619" s="43"/>
      <c r="O619" s="43"/>
      <c r="P619" s="43"/>
      <c r="Q619" s="43"/>
      <c r="R619" s="43"/>
    </row>
    <row r="620">
      <c r="A620" s="32"/>
      <c r="B620" s="34"/>
      <c r="C620" s="34"/>
      <c r="D620" s="34"/>
      <c r="E620" s="34"/>
      <c r="F620" s="34"/>
      <c r="G620" s="34"/>
      <c r="H620" s="60"/>
      <c r="I620" s="60"/>
      <c r="J620" s="43"/>
      <c r="K620" s="43"/>
      <c r="L620" s="43"/>
      <c r="M620" s="43"/>
      <c r="N620" s="43"/>
      <c r="O620" s="43"/>
      <c r="P620" s="43"/>
      <c r="Q620" s="43"/>
      <c r="R620" s="43"/>
    </row>
    <row r="621">
      <c r="A621" s="32"/>
      <c r="B621" s="34"/>
      <c r="C621" s="34"/>
      <c r="D621" s="34"/>
      <c r="E621" s="34"/>
      <c r="F621" s="34"/>
      <c r="G621" s="34"/>
      <c r="H621" s="60"/>
      <c r="I621" s="60"/>
      <c r="J621" s="43"/>
      <c r="K621" s="43"/>
      <c r="L621" s="43"/>
      <c r="M621" s="43"/>
      <c r="N621" s="43"/>
      <c r="O621" s="43"/>
      <c r="P621" s="43"/>
      <c r="Q621" s="43"/>
      <c r="R621" s="43"/>
    </row>
    <row r="622">
      <c r="A622" s="32"/>
      <c r="B622" s="34"/>
      <c r="C622" s="34"/>
      <c r="D622" s="34"/>
      <c r="E622" s="34"/>
      <c r="F622" s="34"/>
      <c r="G622" s="34"/>
      <c r="H622" s="60"/>
      <c r="I622" s="60"/>
      <c r="J622" s="43"/>
      <c r="K622" s="43"/>
      <c r="L622" s="43"/>
      <c r="M622" s="43"/>
      <c r="N622" s="43"/>
      <c r="O622" s="43"/>
      <c r="P622" s="43"/>
      <c r="Q622" s="43"/>
      <c r="R622" s="43"/>
    </row>
    <row r="623">
      <c r="A623" s="32"/>
      <c r="B623" s="34"/>
      <c r="C623" s="34"/>
      <c r="D623" s="34"/>
      <c r="E623" s="34"/>
      <c r="F623" s="34"/>
      <c r="G623" s="34"/>
      <c r="H623" s="60"/>
      <c r="I623" s="60"/>
      <c r="J623" s="43"/>
      <c r="K623" s="43"/>
      <c r="L623" s="43"/>
      <c r="M623" s="43"/>
      <c r="N623" s="43"/>
      <c r="O623" s="43"/>
      <c r="P623" s="43"/>
      <c r="Q623" s="43"/>
      <c r="R623" s="43"/>
    </row>
    <row r="624">
      <c r="A624" s="32"/>
      <c r="B624" s="34"/>
      <c r="C624" s="34"/>
      <c r="D624" s="34"/>
      <c r="E624" s="34"/>
      <c r="F624" s="34"/>
      <c r="G624" s="34"/>
      <c r="H624" s="60"/>
      <c r="I624" s="60"/>
      <c r="J624" s="43"/>
      <c r="K624" s="43"/>
      <c r="L624" s="43"/>
      <c r="M624" s="43"/>
      <c r="N624" s="43"/>
      <c r="O624" s="43"/>
      <c r="P624" s="43"/>
      <c r="Q624" s="43"/>
      <c r="R624" s="43"/>
    </row>
    <row r="625">
      <c r="A625" s="32"/>
      <c r="B625" s="34"/>
      <c r="C625" s="34"/>
      <c r="D625" s="34"/>
      <c r="E625" s="34"/>
      <c r="F625" s="34"/>
      <c r="G625" s="34"/>
      <c r="H625" s="60"/>
      <c r="I625" s="60"/>
      <c r="J625" s="43"/>
      <c r="K625" s="43"/>
      <c r="L625" s="43"/>
      <c r="M625" s="43"/>
      <c r="N625" s="43"/>
      <c r="O625" s="43"/>
      <c r="P625" s="43"/>
      <c r="Q625" s="43"/>
      <c r="R625" s="43"/>
    </row>
    <row r="626">
      <c r="A626" s="32"/>
      <c r="B626" s="34"/>
      <c r="C626" s="34"/>
      <c r="D626" s="34"/>
      <c r="E626" s="34"/>
      <c r="F626" s="34"/>
      <c r="G626" s="34"/>
      <c r="H626" s="60"/>
      <c r="I626" s="60"/>
      <c r="J626" s="43"/>
      <c r="K626" s="43"/>
      <c r="L626" s="43"/>
      <c r="M626" s="43"/>
      <c r="N626" s="43"/>
      <c r="O626" s="43"/>
      <c r="P626" s="43"/>
      <c r="Q626" s="43"/>
      <c r="R626" s="43"/>
    </row>
    <row r="627">
      <c r="A627" s="32"/>
      <c r="B627" s="34"/>
      <c r="C627" s="34"/>
      <c r="D627" s="34"/>
      <c r="E627" s="34"/>
      <c r="F627" s="34"/>
      <c r="G627" s="34"/>
      <c r="H627" s="60"/>
      <c r="I627" s="60"/>
      <c r="J627" s="43"/>
      <c r="K627" s="43"/>
      <c r="L627" s="43"/>
      <c r="M627" s="43"/>
      <c r="N627" s="43"/>
      <c r="O627" s="43"/>
      <c r="P627" s="43"/>
      <c r="Q627" s="43"/>
      <c r="R627" s="43"/>
    </row>
    <row r="628">
      <c r="A628" s="32"/>
      <c r="B628" s="34"/>
      <c r="C628" s="34"/>
      <c r="D628" s="34"/>
      <c r="E628" s="34"/>
      <c r="F628" s="34"/>
      <c r="G628" s="34"/>
      <c r="H628" s="60"/>
      <c r="I628" s="60"/>
      <c r="J628" s="43"/>
      <c r="K628" s="43"/>
      <c r="L628" s="43"/>
      <c r="M628" s="43"/>
      <c r="N628" s="43"/>
      <c r="O628" s="43"/>
      <c r="P628" s="43"/>
      <c r="Q628" s="43"/>
      <c r="R628" s="43"/>
    </row>
    <row r="629">
      <c r="A629" s="32"/>
      <c r="B629" s="34"/>
      <c r="C629" s="34"/>
      <c r="D629" s="34"/>
      <c r="E629" s="34"/>
      <c r="F629" s="34"/>
      <c r="G629" s="34"/>
      <c r="H629" s="60"/>
      <c r="I629" s="60"/>
      <c r="J629" s="43"/>
      <c r="K629" s="43"/>
      <c r="L629" s="43"/>
      <c r="M629" s="43"/>
      <c r="N629" s="43"/>
      <c r="O629" s="43"/>
      <c r="P629" s="43"/>
      <c r="Q629" s="43"/>
      <c r="R629" s="43"/>
    </row>
    <row r="630">
      <c r="A630" s="32"/>
      <c r="B630" s="34"/>
      <c r="C630" s="34"/>
      <c r="D630" s="34"/>
      <c r="E630" s="34"/>
      <c r="F630" s="34"/>
      <c r="G630" s="34"/>
      <c r="H630" s="60"/>
      <c r="I630" s="60"/>
      <c r="J630" s="43"/>
      <c r="K630" s="43"/>
      <c r="L630" s="43"/>
      <c r="M630" s="43"/>
      <c r="N630" s="43"/>
      <c r="O630" s="43"/>
      <c r="P630" s="43"/>
      <c r="Q630" s="43"/>
      <c r="R630" s="43"/>
    </row>
    <row r="631">
      <c r="A631" s="32"/>
      <c r="B631" s="34"/>
      <c r="C631" s="34"/>
      <c r="D631" s="34"/>
      <c r="E631" s="34"/>
      <c r="F631" s="34"/>
      <c r="G631" s="34"/>
      <c r="H631" s="60"/>
      <c r="I631" s="60"/>
      <c r="J631" s="43"/>
      <c r="K631" s="43"/>
      <c r="L631" s="43"/>
      <c r="M631" s="43"/>
      <c r="N631" s="43"/>
      <c r="O631" s="43"/>
      <c r="P631" s="43"/>
      <c r="Q631" s="43"/>
      <c r="R631" s="43"/>
    </row>
    <row r="632">
      <c r="A632" s="32"/>
      <c r="B632" s="34"/>
      <c r="C632" s="34"/>
      <c r="D632" s="34"/>
      <c r="E632" s="34"/>
      <c r="F632" s="34"/>
      <c r="G632" s="34"/>
      <c r="H632" s="60"/>
      <c r="I632" s="60"/>
      <c r="J632" s="43"/>
      <c r="K632" s="43"/>
      <c r="L632" s="43"/>
      <c r="M632" s="43"/>
      <c r="N632" s="43"/>
      <c r="O632" s="43"/>
      <c r="P632" s="43"/>
      <c r="Q632" s="43"/>
      <c r="R632" s="43"/>
    </row>
    <row r="633">
      <c r="A633" s="32"/>
      <c r="B633" s="34"/>
      <c r="C633" s="34"/>
      <c r="D633" s="34"/>
      <c r="E633" s="34"/>
      <c r="F633" s="34"/>
      <c r="G633" s="34"/>
      <c r="H633" s="60"/>
      <c r="I633" s="60"/>
      <c r="J633" s="43"/>
      <c r="K633" s="43"/>
      <c r="L633" s="43"/>
      <c r="M633" s="43"/>
      <c r="N633" s="43"/>
      <c r="O633" s="43"/>
      <c r="P633" s="43"/>
      <c r="Q633" s="43"/>
      <c r="R633" s="43"/>
    </row>
    <row r="634">
      <c r="A634" s="32"/>
      <c r="B634" s="34"/>
      <c r="C634" s="34"/>
      <c r="D634" s="34"/>
      <c r="E634" s="34"/>
      <c r="F634" s="34"/>
      <c r="G634" s="34"/>
      <c r="H634" s="60"/>
      <c r="I634" s="60"/>
      <c r="J634" s="43"/>
      <c r="K634" s="43"/>
      <c r="L634" s="43"/>
      <c r="M634" s="43"/>
      <c r="N634" s="43"/>
      <c r="O634" s="43"/>
      <c r="P634" s="43"/>
      <c r="Q634" s="43"/>
      <c r="R634" s="43"/>
    </row>
    <row r="635">
      <c r="A635" s="32"/>
      <c r="B635" s="34"/>
      <c r="C635" s="34"/>
      <c r="D635" s="34"/>
      <c r="E635" s="34"/>
      <c r="F635" s="34"/>
      <c r="G635" s="34"/>
      <c r="H635" s="60"/>
      <c r="I635" s="60"/>
      <c r="J635" s="43"/>
      <c r="K635" s="43"/>
      <c r="L635" s="43"/>
      <c r="M635" s="43"/>
      <c r="N635" s="43"/>
      <c r="O635" s="43"/>
      <c r="P635" s="43"/>
      <c r="Q635" s="43"/>
      <c r="R635" s="43"/>
    </row>
    <row r="636">
      <c r="A636" s="32"/>
      <c r="B636" s="34"/>
      <c r="C636" s="34"/>
      <c r="D636" s="34"/>
      <c r="E636" s="34"/>
      <c r="F636" s="34"/>
      <c r="G636" s="34"/>
      <c r="H636" s="60"/>
      <c r="I636" s="60"/>
      <c r="J636" s="43"/>
      <c r="K636" s="43"/>
      <c r="L636" s="43"/>
      <c r="M636" s="43"/>
      <c r="N636" s="43"/>
      <c r="O636" s="43"/>
      <c r="P636" s="43"/>
      <c r="Q636" s="43"/>
      <c r="R636" s="43"/>
    </row>
    <row r="637">
      <c r="A637" s="32"/>
      <c r="B637" s="34"/>
      <c r="C637" s="34"/>
      <c r="D637" s="34"/>
      <c r="E637" s="34"/>
      <c r="F637" s="34"/>
      <c r="G637" s="34"/>
      <c r="H637" s="60"/>
      <c r="I637" s="60"/>
      <c r="J637" s="43"/>
      <c r="K637" s="43"/>
      <c r="L637" s="43"/>
      <c r="M637" s="43"/>
      <c r="N637" s="43"/>
      <c r="O637" s="43"/>
      <c r="P637" s="43"/>
      <c r="Q637" s="43"/>
      <c r="R637" s="43"/>
    </row>
    <row r="638">
      <c r="A638" s="32"/>
      <c r="B638" s="34"/>
      <c r="C638" s="34"/>
      <c r="D638" s="34"/>
      <c r="E638" s="34"/>
      <c r="F638" s="34"/>
      <c r="G638" s="34"/>
      <c r="H638" s="60"/>
      <c r="I638" s="60"/>
      <c r="J638" s="43"/>
      <c r="K638" s="43"/>
      <c r="L638" s="43"/>
      <c r="M638" s="43"/>
      <c r="N638" s="43"/>
      <c r="O638" s="43"/>
      <c r="P638" s="43"/>
      <c r="Q638" s="43"/>
      <c r="R638" s="43"/>
    </row>
    <row r="639">
      <c r="A639" s="32"/>
      <c r="B639" s="34"/>
      <c r="C639" s="34"/>
      <c r="D639" s="34"/>
      <c r="E639" s="34"/>
      <c r="F639" s="34"/>
      <c r="G639" s="34"/>
      <c r="H639" s="60"/>
      <c r="I639" s="60"/>
      <c r="J639" s="43"/>
      <c r="K639" s="43"/>
      <c r="L639" s="43"/>
      <c r="M639" s="43"/>
      <c r="N639" s="43"/>
      <c r="O639" s="43"/>
      <c r="P639" s="43"/>
      <c r="Q639" s="43"/>
      <c r="R639" s="43"/>
    </row>
    <row r="640">
      <c r="A640" s="32"/>
      <c r="B640" s="34"/>
      <c r="C640" s="34"/>
      <c r="D640" s="34"/>
      <c r="E640" s="34"/>
      <c r="F640" s="34"/>
      <c r="G640" s="34"/>
      <c r="H640" s="60"/>
      <c r="I640" s="60"/>
      <c r="J640" s="43"/>
      <c r="K640" s="43"/>
      <c r="L640" s="43"/>
      <c r="M640" s="43"/>
      <c r="N640" s="43"/>
      <c r="O640" s="43"/>
      <c r="P640" s="43"/>
      <c r="Q640" s="43"/>
      <c r="R640" s="43"/>
    </row>
    <row r="641">
      <c r="A641" s="32"/>
      <c r="B641" s="34"/>
      <c r="C641" s="34"/>
      <c r="D641" s="34"/>
      <c r="E641" s="34"/>
      <c r="F641" s="34"/>
      <c r="G641" s="34"/>
      <c r="H641" s="60"/>
      <c r="I641" s="60"/>
      <c r="J641" s="43"/>
      <c r="K641" s="43"/>
      <c r="L641" s="43"/>
      <c r="M641" s="43"/>
      <c r="N641" s="43"/>
      <c r="O641" s="43"/>
      <c r="P641" s="43"/>
      <c r="Q641" s="43"/>
      <c r="R641" s="43"/>
    </row>
    <row r="642">
      <c r="A642" s="32"/>
      <c r="B642" s="34"/>
      <c r="C642" s="34"/>
      <c r="D642" s="34"/>
      <c r="E642" s="34"/>
      <c r="F642" s="34"/>
      <c r="G642" s="34"/>
      <c r="H642" s="60"/>
      <c r="I642" s="60"/>
      <c r="J642" s="43"/>
      <c r="K642" s="43"/>
      <c r="L642" s="43"/>
      <c r="M642" s="43"/>
      <c r="N642" s="43"/>
      <c r="O642" s="43"/>
      <c r="P642" s="43"/>
      <c r="Q642" s="43"/>
      <c r="R642" s="43"/>
    </row>
    <row r="643">
      <c r="A643" s="32"/>
      <c r="B643" s="34"/>
      <c r="C643" s="34"/>
      <c r="D643" s="34"/>
      <c r="E643" s="34"/>
      <c r="F643" s="34"/>
      <c r="G643" s="34"/>
      <c r="H643" s="60"/>
      <c r="I643" s="60"/>
      <c r="J643" s="43"/>
      <c r="K643" s="43"/>
      <c r="L643" s="43"/>
      <c r="M643" s="43"/>
      <c r="N643" s="43"/>
      <c r="O643" s="43"/>
      <c r="P643" s="43"/>
      <c r="Q643" s="43"/>
      <c r="R643" s="43"/>
    </row>
    <row r="644">
      <c r="A644" s="32"/>
      <c r="B644" s="34"/>
      <c r="C644" s="34"/>
      <c r="D644" s="34"/>
      <c r="E644" s="34"/>
      <c r="F644" s="34"/>
      <c r="G644" s="34"/>
      <c r="H644" s="60"/>
      <c r="I644" s="60"/>
      <c r="J644" s="43"/>
      <c r="K644" s="43"/>
      <c r="L644" s="43"/>
      <c r="M644" s="43"/>
      <c r="N644" s="43"/>
      <c r="O644" s="43"/>
      <c r="P644" s="43"/>
      <c r="Q644" s="43"/>
      <c r="R644" s="43"/>
    </row>
    <row r="645">
      <c r="A645" s="32"/>
      <c r="B645" s="34"/>
      <c r="C645" s="34"/>
      <c r="D645" s="34"/>
      <c r="E645" s="34"/>
      <c r="F645" s="34"/>
      <c r="G645" s="34"/>
      <c r="H645" s="60"/>
      <c r="I645" s="60"/>
      <c r="J645" s="43"/>
      <c r="K645" s="43"/>
      <c r="L645" s="43"/>
      <c r="M645" s="43"/>
      <c r="N645" s="43"/>
      <c r="O645" s="43"/>
      <c r="P645" s="43"/>
      <c r="Q645" s="43"/>
      <c r="R645" s="43"/>
    </row>
    <row r="646">
      <c r="A646" s="32"/>
      <c r="B646" s="34"/>
      <c r="C646" s="34"/>
      <c r="D646" s="34"/>
      <c r="E646" s="34"/>
      <c r="F646" s="34"/>
      <c r="G646" s="34"/>
      <c r="H646" s="60"/>
      <c r="I646" s="60"/>
      <c r="J646" s="43"/>
      <c r="K646" s="43"/>
      <c r="L646" s="43"/>
      <c r="M646" s="43"/>
      <c r="N646" s="43"/>
      <c r="O646" s="43"/>
      <c r="P646" s="43"/>
      <c r="Q646" s="43"/>
      <c r="R646" s="43"/>
    </row>
    <row r="647">
      <c r="A647" s="32"/>
      <c r="B647" s="34"/>
      <c r="C647" s="34"/>
      <c r="D647" s="34"/>
      <c r="E647" s="34"/>
      <c r="F647" s="34"/>
      <c r="G647" s="34"/>
      <c r="H647" s="60"/>
      <c r="I647" s="60"/>
      <c r="J647" s="43"/>
      <c r="K647" s="43"/>
      <c r="L647" s="43"/>
      <c r="M647" s="43"/>
      <c r="N647" s="43"/>
      <c r="O647" s="43"/>
      <c r="P647" s="43"/>
      <c r="Q647" s="43"/>
      <c r="R647" s="43"/>
    </row>
    <row r="648">
      <c r="A648" s="32"/>
      <c r="B648" s="34"/>
      <c r="C648" s="34"/>
      <c r="D648" s="34"/>
      <c r="E648" s="34"/>
      <c r="F648" s="34"/>
      <c r="G648" s="34"/>
      <c r="H648" s="60"/>
      <c r="I648" s="60"/>
      <c r="J648" s="43"/>
      <c r="K648" s="43"/>
      <c r="L648" s="43"/>
      <c r="M648" s="43"/>
      <c r="N648" s="43"/>
      <c r="O648" s="43"/>
      <c r="P648" s="43"/>
      <c r="Q648" s="43"/>
      <c r="R648" s="43"/>
    </row>
    <row r="649">
      <c r="A649" s="32"/>
      <c r="B649" s="34"/>
      <c r="C649" s="34"/>
      <c r="D649" s="34"/>
      <c r="E649" s="34"/>
      <c r="F649" s="34"/>
      <c r="G649" s="34"/>
      <c r="H649" s="60"/>
      <c r="I649" s="60"/>
      <c r="J649" s="43"/>
      <c r="K649" s="43"/>
      <c r="L649" s="43"/>
      <c r="M649" s="43"/>
      <c r="N649" s="43"/>
      <c r="O649" s="43"/>
      <c r="P649" s="43"/>
      <c r="Q649" s="43"/>
      <c r="R649" s="43"/>
    </row>
    <row r="650">
      <c r="A650" s="32"/>
      <c r="B650" s="34"/>
      <c r="C650" s="34"/>
      <c r="D650" s="34"/>
      <c r="E650" s="34"/>
      <c r="F650" s="34"/>
      <c r="G650" s="34"/>
      <c r="H650" s="60"/>
      <c r="I650" s="60"/>
      <c r="J650" s="43"/>
      <c r="K650" s="43"/>
      <c r="L650" s="43"/>
      <c r="M650" s="43"/>
      <c r="N650" s="43"/>
      <c r="O650" s="43"/>
      <c r="P650" s="43"/>
      <c r="Q650" s="43"/>
      <c r="R650" s="43"/>
    </row>
    <row r="651">
      <c r="A651" s="32"/>
      <c r="B651" s="34"/>
      <c r="C651" s="34"/>
      <c r="D651" s="34"/>
      <c r="E651" s="34"/>
      <c r="F651" s="34"/>
      <c r="G651" s="34"/>
      <c r="H651" s="60"/>
      <c r="I651" s="60"/>
      <c r="J651" s="43"/>
      <c r="K651" s="43"/>
      <c r="L651" s="43"/>
      <c r="M651" s="43"/>
      <c r="N651" s="43"/>
      <c r="O651" s="43"/>
      <c r="P651" s="43"/>
      <c r="Q651" s="43"/>
      <c r="R651" s="43"/>
    </row>
    <row r="652">
      <c r="A652" s="32"/>
      <c r="B652" s="34"/>
      <c r="C652" s="34"/>
      <c r="D652" s="34"/>
      <c r="E652" s="34"/>
      <c r="F652" s="34"/>
      <c r="G652" s="34"/>
      <c r="H652" s="60"/>
      <c r="I652" s="60"/>
      <c r="J652" s="43"/>
      <c r="K652" s="43"/>
      <c r="L652" s="43"/>
      <c r="M652" s="43"/>
      <c r="N652" s="43"/>
      <c r="O652" s="43"/>
      <c r="P652" s="43"/>
      <c r="Q652" s="43"/>
      <c r="R652" s="43"/>
    </row>
    <row r="653">
      <c r="A653" s="32"/>
      <c r="B653" s="34"/>
      <c r="C653" s="34"/>
      <c r="D653" s="34"/>
      <c r="E653" s="34"/>
      <c r="F653" s="34"/>
      <c r="G653" s="34"/>
      <c r="H653" s="60"/>
      <c r="I653" s="60"/>
      <c r="J653" s="43"/>
      <c r="K653" s="43"/>
      <c r="L653" s="43"/>
      <c r="M653" s="43"/>
      <c r="N653" s="43"/>
      <c r="O653" s="43"/>
      <c r="P653" s="43"/>
      <c r="Q653" s="43"/>
      <c r="R653" s="43"/>
    </row>
    <row r="654">
      <c r="A654" s="32"/>
      <c r="B654" s="34"/>
      <c r="C654" s="34"/>
      <c r="D654" s="34"/>
      <c r="E654" s="34"/>
      <c r="F654" s="34"/>
      <c r="G654" s="34"/>
      <c r="H654" s="60"/>
      <c r="I654" s="60"/>
      <c r="J654" s="43"/>
      <c r="K654" s="43"/>
      <c r="L654" s="43"/>
      <c r="M654" s="43"/>
      <c r="N654" s="43"/>
      <c r="O654" s="43"/>
      <c r="P654" s="43"/>
      <c r="Q654" s="43"/>
      <c r="R654" s="43"/>
    </row>
    <row r="655">
      <c r="A655" s="32"/>
      <c r="B655" s="34"/>
      <c r="C655" s="34"/>
      <c r="D655" s="34"/>
      <c r="E655" s="34"/>
      <c r="F655" s="34"/>
      <c r="G655" s="34"/>
      <c r="H655" s="60"/>
      <c r="I655" s="60"/>
      <c r="J655" s="43"/>
      <c r="K655" s="43"/>
      <c r="L655" s="43"/>
      <c r="M655" s="43"/>
      <c r="N655" s="43"/>
      <c r="O655" s="43"/>
      <c r="P655" s="43"/>
      <c r="Q655" s="43"/>
      <c r="R655" s="43"/>
    </row>
    <row r="656">
      <c r="A656" s="32"/>
      <c r="B656" s="34"/>
      <c r="C656" s="34"/>
      <c r="D656" s="34"/>
      <c r="E656" s="34"/>
      <c r="F656" s="34"/>
      <c r="G656" s="34"/>
      <c r="H656" s="60"/>
      <c r="I656" s="60"/>
      <c r="J656" s="43"/>
      <c r="K656" s="43"/>
      <c r="L656" s="43"/>
      <c r="M656" s="43"/>
      <c r="N656" s="43"/>
      <c r="O656" s="43"/>
      <c r="P656" s="43"/>
      <c r="Q656" s="43"/>
      <c r="R656" s="43"/>
    </row>
    <row r="657">
      <c r="A657" s="32"/>
      <c r="B657" s="34"/>
      <c r="C657" s="34"/>
      <c r="D657" s="34"/>
      <c r="E657" s="34"/>
      <c r="F657" s="34"/>
      <c r="G657" s="34"/>
      <c r="H657" s="60"/>
      <c r="I657" s="60"/>
      <c r="J657" s="43"/>
      <c r="K657" s="43"/>
      <c r="L657" s="43"/>
      <c r="M657" s="43"/>
      <c r="N657" s="43"/>
      <c r="O657" s="43"/>
      <c r="P657" s="43"/>
      <c r="Q657" s="43"/>
      <c r="R657" s="43"/>
    </row>
    <row r="658">
      <c r="A658" s="32"/>
      <c r="B658" s="34"/>
      <c r="C658" s="34"/>
      <c r="D658" s="34"/>
      <c r="E658" s="34"/>
      <c r="F658" s="34"/>
      <c r="G658" s="34"/>
      <c r="H658" s="60"/>
      <c r="I658" s="60"/>
      <c r="J658" s="43"/>
      <c r="K658" s="43"/>
      <c r="L658" s="43"/>
      <c r="M658" s="43"/>
      <c r="N658" s="43"/>
      <c r="O658" s="43"/>
      <c r="P658" s="43"/>
      <c r="Q658" s="43"/>
      <c r="R658" s="43"/>
    </row>
    <row r="659">
      <c r="A659" s="32"/>
      <c r="B659" s="34"/>
      <c r="C659" s="34"/>
      <c r="D659" s="34"/>
      <c r="E659" s="34"/>
      <c r="F659" s="34"/>
      <c r="G659" s="34"/>
      <c r="H659" s="60"/>
      <c r="I659" s="60"/>
      <c r="J659" s="43"/>
      <c r="K659" s="43"/>
      <c r="L659" s="43"/>
      <c r="M659" s="43"/>
      <c r="N659" s="43"/>
      <c r="O659" s="43"/>
      <c r="P659" s="43"/>
      <c r="Q659" s="43"/>
      <c r="R659" s="43"/>
    </row>
    <row r="660">
      <c r="A660" s="32"/>
      <c r="B660" s="34"/>
      <c r="C660" s="34"/>
      <c r="D660" s="34"/>
      <c r="E660" s="34"/>
      <c r="F660" s="34"/>
      <c r="G660" s="34"/>
      <c r="H660" s="60"/>
      <c r="I660" s="60"/>
      <c r="J660" s="43"/>
      <c r="K660" s="43"/>
      <c r="L660" s="43"/>
      <c r="M660" s="43"/>
      <c r="N660" s="43"/>
      <c r="O660" s="43"/>
      <c r="P660" s="43"/>
      <c r="Q660" s="43"/>
      <c r="R660" s="43"/>
    </row>
    <row r="661">
      <c r="A661" s="32"/>
      <c r="B661" s="34"/>
      <c r="C661" s="34"/>
      <c r="D661" s="34"/>
      <c r="E661" s="34"/>
      <c r="F661" s="34"/>
      <c r="G661" s="34"/>
      <c r="H661" s="60"/>
      <c r="I661" s="60"/>
      <c r="J661" s="43"/>
      <c r="K661" s="43"/>
      <c r="L661" s="43"/>
      <c r="M661" s="43"/>
      <c r="N661" s="43"/>
      <c r="O661" s="43"/>
      <c r="P661" s="43"/>
      <c r="Q661" s="43"/>
      <c r="R661" s="43"/>
    </row>
    <row r="662">
      <c r="A662" s="32"/>
      <c r="B662" s="34"/>
      <c r="C662" s="34"/>
      <c r="D662" s="34"/>
      <c r="E662" s="34"/>
      <c r="F662" s="34"/>
      <c r="G662" s="34"/>
      <c r="H662" s="60"/>
      <c r="I662" s="60"/>
      <c r="J662" s="43"/>
      <c r="K662" s="43"/>
      <c r="L662" s="43"/>
      <c r="M662" s="43"/>
      <c r="N662" s="43"/>
      <c r="O662" s="43"/>
      <c r="P662" s="43"/>
      <c r="Q662" s="43"/>
      <c r="R662" s="43"/>
    </row>
    <row r="663">
      <c r="A663" s="32"/>
      <c r="B663" s="34"/>
      <c r="C663" s="34"/>
      <c r="D663" s="34"/>
      <c r="E663" s="34"/>
      <c r="F663" s="34"/>
      <c r="G663" s="34"/>
      <c r="H663" s="60"/>
      <c r="I663" s="60"/>
      <c r="J663" s="43"/>
      <c r="K663" s="43"/>
      <c r="L663" s="43"/>
      <c r="M663" s="43"/>
      <c r="N663" s="43"/>
      <c r="O663" s="43"/>
      <c r="P663" s="43"/>
      <c r="Q663" s="43"/>
      <c r="R663" s="43"/>
    </row>
    <row r="664">
      <c r="A664" s="32"/>
      <c r="B664" s="34"/>
      <c r="C664" s="34"/>
      <c r="D664" s="34"/>
      <c r="E664" s="34"/>
      <c r="F664" s="34"/>
      <c r="G664" s="34"/>
      <c r="H664" s="60"/>
      <c r="I664" s="60"/>
      <c r="J664" s="43"/>
      <c r="K664" s="43"/>
      <c r="L664" s="43"/>
      <c r="M664" s="43"/>
      <c r="N664" s="43"/>
      <c r="O664" s="43"/>
      <c r="P664" s="43"/>
      <c r="Q664" s="43"/>
      <c r="R664" s="43"/>
    </row>
    <row r="665">
      <c r="A665" s="32"/>
      <c r="B665" s="34"/>
      <c r="C665" s="34"/>
      <c r="D665" s="34"/>
      <c r="E665" s="34"/>
      <c r="F665" s="34"/>
      <c r="G665" s="34"/>
      <c r="H665" s="60"/>
      <c r="I665" s="60"/>
      <c r="J665" s="43"/>
      <c r="K665" s="43"/>
      <c r="L665" s="43"/>
      <c r="M665" s="43"/>
      <c r="N665" s="43"/>
      <c r="O665" s="43"/>
      <c r="P665" s="43"/>
      <c r="Q665" s="43"/>
      <c r="R665" s="43"/>
    </row>
    <row r="666">
      <c r="A666" s="32"/>
      <c r="B666" s="34"/>
      <c r="C666" s="34"/>
      <c r="D666" s="34"/>
      <c r="E666" s="34"/>
      <c r="F666" s="34"/>
      <c r="G666" s="34"/>
      <c r="H666" s="60"/>
      <c r="I666" s="60"/>
      <c r="J666" s="43"/>
      <c r="K666" s="43"/>
      <c r="L666" s="43"/>
      <c r="M666" s="43"/>
      <c r="N666" s="43"/>
      <c r="O666" s="43"/>
      <c r="P666" s="43"/>
      <c r="Q666" s="43"/>
      <c r="R666" s="43"/>
    </row>
    <row r="667">
      <c r="A667" s="32"/>
      <c r="B667" s="34"/>
      <c r="C667" s="34"/>
      <c r="D667" s="34"/>
      <c r="E667" s="34"/>
      <c r="F667" s="34"/>
      <c r="G667" s="34"/>
      <c r="H667" s="60"/>
      <c r="I667" s="60"/>
      <c r="J667" s="43"/>
      <c r="K667" s="43"/>
      <c r="L667" s="43"/>
      <c r="M667" s="43"/>
      <c r="N667" s="43"/>
      <c r="O667" s="43"/>
      <c r="P667" s="43"/>
      <c r="Q667" s="43"/>
      <c r="R667" s="43"/>
    </row>
    <row r="668">
      <c r="A668" s="32"/>
      <c r="B668" s="34"/>
      <c r="C668" s="34"/>
      <c r="D668" s="34"/>
      <c r="E668" s="34"/>
      <c r="F668" s="34"/>
      <c r="G668" s="34"/>
      <c r="H668" s="60"/>
      <c r="I668" s="60"/>
      <c r="J668" s="43"/>
      <c r="K668" s="43"/>
      <c r="L668" s="43"/>
      <c r="M668" s="43"/>
      <c r="N668" s="43"/>
      <c r="O668" s="43"/>
      <c r="P668" s="43"/>
      <c r="Q668" s="43"/>
      <c r="R668" s="43"/>
    </row>
    <row r="669">
      <c r="A669" s="32"/>
      <c r="B669" s="34"/>
      <c r="C669" s="34"/>
      <c r="D669" s="34"/>
      <c r="E669" s="34"/>
      <c r="F669" s="34"/>
      <c r="G669" s="34"/>
      <c r="H669" s="60"/>
      <c r="I669" s="60"/>
      <c r="J669" s="43"/>
      <c r="K669" s="43"/>
      <c r="L669" s="43"/>
      <c r="M669" s="43"/>
      <c r="N669" s="43"/>
      <c r="O669" s="43"/>
      <c r="P669" s="43"/>
      <c r="Q669" s="43"/>
      <c r="R669" s="43"/>
    </row>
    <row r="670">
      <c r="A670" s="32"/>
      <c r="B670" s="34"/>
      <c r="C670" s="34"/>
      <c r="D670" s="34"/>
      <c r="E670" s="34"/>
      <c r="F670" s="34"/>
      <c r="G670" s="34"/>
      <c r="H670" s="60"/>
      <c r="I670" s="60"/>
      <c r="J670" s="43"/>
      <c r="K670" s="43"/>
      <c r="L670" s="43"/>
      <c r="M670" s="43"/>
      <c r="N670" s="43"/>
      <c r="O670" s="43"/>
      <c r="P670" s="43"/>
      <c r="Q670" s="43"/>
      <c r="R670" s="43"/>
    </row>
    <row r="671">
      <c r="A671" s="32"/>
      <c r="B671" s="34"/>
      <c r="C671" s="34"/>
      <c r="D671" s="34"/>
      <c r="E671" s="34"/>
      <c r="F671" s="34"/>
      <c r="G671" s="34"/>
      <c r="H671" s="60"/>
      <c r="I671" s="60"/>
      <c r="J671" s="43"/>
      <c r="K671" s="43"/>
      <c r="L671" s="43"/>
      <c r="M671" s="43"/>
      <c r="N671" s="43"/>
      <c r="O671" s="43"/>
      <c r="P671" s="43"/>
      <c r="Q671" s="43"/>
      <c r="R671" s="43"/>
    </row>
    <row r="672">
      <c r="A672" s="32"/>
      <c r="B672" s="34"/>
      <c r="C672" s="34"/>
      <c r="D672" s="34"/>
      <c r="E672" s="34"/>
      <c r="F672" s="34"/>
      <c r="G672" s="34"/>
      <c r="H672" s="60"/>
      <c r="I672" s="60"/>
      <c r="J672" s="43"/>
      <c r="K672" s="43"/>
      <c r="L672" s="43"/>
      <c r="M672" s="43"/>
      <c r="N672" s="43"/>
      <c r="O672" s="43"/>
      <c r="P672" s="43"/>
      <c r="Q672" s="43"/>
      <c r="R672" s="43"/>
    </row>
    <row r="673">
      <c r="A673" s="32"/>
      <c r="B673" s="34"/>
      <c r="C673" s="34"/>
      <c r="D673" s="34"/>
      <c r="E673" s="34"/>
      <c r="F673" s="34"/>
      <c r="G673" s="34"/>
      <c r="H673" s="60"/>
      <c r="I673" s="60"/>
      <c r="J673" s="43"/>
      <c r="K673" s="43"/>
      <c r="L673" s="43"/>
      <c r="M673" s="43"/>
      <c r="N673" s="43"/>
      <c r="O673" s="43"/>
      <c r="P673" s="43"/>
      <c r="Q673" s="43"/>
      <c r="R673" s="43"/>
    </row>
    <row r="674">
      <c r="A674" s="32"/>
      <c r="B674" s="34"/>
      <c r="C674" s="34"/>
      <c r="D674" s="34"/>
      <c r="E674" s="34"/>
      <c r="F674" s="34"/>
      <c r="G674" s="34"/>
      <c r="H674" s="60"/>
      <c r="I674" s="60"/>
      <c r="J674" s="43"/>
      <c r="K674" s="43"/>
      <c r="L674" s="43"/>
      <c r="M674" s="43"/>
      <c r="N674" s="43"/>
      <c r="O674" s="43"/>
      <c r="P674" s="43"/>
      <c r="Q674" s="43"/>
      <c r="R674" s="43"/>
    </row>
    <row r="675">
      <c r="A675" s="32"/>
      <c r="B675" s="34"/>
      <c r="C675" s="34"/>
      <c r="D675" s="34"/>
      <c r="E675" s="34"/>
      <c r="F675" s="34"/>
      <c r="G675" s="34"/>
      <c r="H675" s="60"/>
      <c r="I675" s="60"/>
      <c r="J675" s="43"/>
      <c r="K675" s="43"/>
      <c r="L675" s="43"/>
      <c r="M675" s="43"/>
      <c r="N675" s="43"/>
      <c r="O675" s="43"/>
      <c r="P675" s="43"/>
      <c r="Q675" s="43"/>
      <c r="R675" s="43"/>
    </row>
    <row r="676">
      <c r="A676" s="32"/>
      <c r="B676" s="34"/>
      <c r="C676" s="34"/>
      <c r="D676" s="34"/>
      <c r="E676" s="34"/>
      <c r="F676" s="34"/>
      <c r="G676" s="34"/>
      <c r="H676" s="60"/>
      <c r="I676" s="60"/>
      <c r="J676" s="43"/>
      <c r="K676" s="43"/>
      <c r="L676" s="43"/>
      <c r="M676" s="43"/>
      <c r="N676" s="43"/>
      <c r="O676" s="43"/>
      <c r="P676" s="43"/>
      <c r="Q676" s="43"/>
      <c r="R676" s="43"/>
    </row>
    <row r="677">
      <c r="A677" s="32"/>
      <c r="B677" s="34"/>
      <c r="C677" s="34"/>
      <c r="D677" s="34"/>
      <c r="E677" s="34"/>
      <c r="F677" s="34"/>
      <c r="G677" s="34"/>
      <c r="H677" s="60"/>
      <c r="I677" s="60"/>
      <c r="J677" s="43"/>
      <c r="K677" s="43"/>
      <c r="L677" s="43"/>
      <c r="M677" s="43"/>
      <c r="N677" s="43"/>
      <c r="O677" s="43"/>
      <c r="P677" s="43"/>
      <c r="Q677" s="43"/>
      <c r="R677" s="43"/>
    </row>
    <row r="678">
      <c r="A678" s="32"/>
      <c r="B678" s="34"/>
      <c r="C678" s="34"/>
      <c r="D678" s="34"/>
      <c r="E678" s="34"/>
      <c r="F678" s="34"/>
      <c r="G678" s="34"/>
      <c r="H678" s="60"/>
      <c r="I678" s="60"/>
      <c r="J678" s="43"/>
      <c r="K678" s="43"/>
      <c r="L678" s="43"/>
      <c r="M678" s="43"/>
      <c r="N678" s="43"/>
      <c r="O678" s="43"/>
      <c r="P678" s="43"/>
      <c r="Q678" s="43"/>
      <c r="R678" s="43"/>
    </row>
    <row r="679">
      <c r="A679" s="32"/>
      <c r="B679" s="34"/>
      <c r="C679" s="34"/>
      <c r="D679" s="34"/>
      <c r="E679" s="34"/>
      <c r="F679" s="34"/>
      <c r="G679" s="34"/>
      <c r="H679" s="60"/>
      <c r="I679" s="60"/>
      <c r="J679" s="43"/>
      <c r="K679" s="43"/>
      <c r="L679" s="43"/>
      <c r="M679" s="43"/>
      <c r="N679" s="43"/>
      <c r="O679" s="43"/>
      <c r="P679" s="43"/>
      <c r="Q679" s="43"/>
      <c r="R679" s="43"/>
    </row>
    <row r="680">
      <c r="A680" s="32"/>
      <c r="B680" s="34"/>
      <c r="C680" s="34"/>
      <c r="D680" s="34"/>
      <c r="E680" s="34"/>
      <c r="F680" s="34"/>
      <c r="G680" s="34"/>
      <c r="H680" s="60"/>
      <c r="I680" s="60"/>
      <c r="J680" s="43"/>
      <c r="K680" s="43"/>
      <c r="L680" s="43"/>
      <c r="M680" s="43"/>
      <c r="N680" s="43"/>
      <c r="O680" s="43"/>
      <c r="P680" s="43"/>
      <c r="Q680" s="43"/>
      <c r="R680" s="43"/>
    </row>
    <row r="681">
      <c r="A681" s="32"/>
      <c r="B681" s="34"/>
      <c r="C681" s="34"/>
      <c r="D681" s="34"/>
      <c r="E681" s="34"/>
      <c r="F681" s="34"/>
      <c r="G681" s="34"/>
      <c r="H681" s="60"/>
      <c r="I681" s="60"/>
      <c r="J681" s="43"/>
      <c r="K681" s="43"/>
      <c r="L681" s="43"/>
      <c r="M681" s="43"/>
      <c r="N681" s="43"/>
      <c r="O681" s="43"/>
      <c r="P681" s="43"/>
      <c r="Q681" s="43"/>
      <c r="R681" s="43"/>
    </row>
    <row r="682">
      <c r="A682" s="32"/>
      <c r="B682" s="34"/>
      <c r="C682" s="34"/>
      <c r="D682" s="34"/>
      <c r="E682" s="34"/>
      <c r="F682" s="34"/>
      <c r="G682" s="34"/>
      <c r="H682" s="60"/>
      <c r="I682" s="60"/>
      <c r="J682" s="43"/>
      <c r="K682" s="43"/>
      <c r="L682" s="43"/>
      <c r="M682" s="43"/>
      <c r="N682" s="43"/>
      <c r="O682" s="43"/>
      <c r="P682" s="43"/>
      <c r="Q682" s="43"/>
      <c r="R682" s="43"/>
    </row>
    <row r="683">
      <c r="A683" s="32"/>
      <c r="B683" s="34"/>
      <c r="C683" s="34"/>
      <c r="D683" s="34"/>
      <c r="E683" s="34"/>
      <c r="F683" s="34"/>
      <c r="G683" s="34"/>
      <c r="H683" s="60"/>
      <c r="I683" s="60"/>
      <c r="J683" s="43"/>
      <c r="K683" s="43"/>
      <c r="L683" s="43"/>
      <c r="M683" s="43"/>
      <c r="N683" s="43"/>
      <c r="O683" s="43"/>
      <c r="P683" s="43"/>
      <c r="Q683" s="43"/>
      <c r="R683" s="43"/>
    </row>
    <row r="684">
      <c r="A684" s="32"/>
      <c r="B684" s="34"/>
      <c r="C684" s="34"/>
      <c r="D684" s="34"/>
      <c r="E684" s="34"/>
      <c r="F684" s="34"/>
      <c r="G684" s="34"/>
      <c r="H684" s="60"/>
      <c r="I684" s="60"/>
      <c r="J684" s="43"/>
      <c r="K684" s="43"/>
      <c r="L684" s="43"/>
      <c r="M684" s="43"/>
      <c r="N684" s="43"/>
      <c r="O684" s="43"/>
      <c r="P684" s="43"/>
      <c r="Q684" s="43"/>
      <c r="R684" s="43"/>
    </row>
    <row r="685">
      <c r="A685" s="32"/>
      <c r="B685" s="34"/>
      <c r="C685" s="34"/>
      <c r="D685" s="34"/>
      <c r="E685" s="34"/>
      <c r="F685" s="34"/>
      <c r="G685" s="34"/>
      <c r="H685" s="60"/>
      <c r="I685" s="60"/>
      <c r="J685" s="43"/>
      <c r="K685" s="43"/>
      <c r="L685" s="43"/>
      <c r="M685" s="43"/>
      <c r="N685" s="43"/>
      <c r="O685" s="43"/>
      <c r="P685" s="43"/>
      <c r="Q685" s="43"/>
      <c r="R685" s="43"/>
    </row>
    <row r="686">
      <c r="A686" s="32"/>
      <c r="B686" s="34"/>
      <c r="C686" s="34"/>
      <c r="D686" s="34"/>
      <c r="E686" s="34"/>
      <c r="F686" s="34"/>
      <c r="G686" s="34"/>
      <c r="H686" s="60"/>
      <c r="I686" s="60"/>
      <c r="J686" s="43"/>
      <c r="K686" s="43"/>
      <c r="L686" s="43"/>
      <c r="M686" s="43"/>
      <c r="N686" s="43"/>
      <c r="O686" s="43"/>
      <c r="P686" s="43"/>
      <c r="Q686" s="43"/>
      <c r="R686" s="43"/>
    </row>
    <row r="687">
      <c r="A687" s="32"/>
      <c r="B687" s="34"/>
      <c r="C687" s="34"/>
      <c r="D687" s="34"/>
      <c r="E687" s="34"/>
      <c r="F687" s="34"/>
      <c r="G687" s="34"/>
      <c r="H687" s="60"/>
      <c r="I687" s="60"/>
      <c r="J687" s="43"/>
      <c r="K687" s="43"/>
      <c r="L687" s="43"/>
      <c r="M687" s="43"/>
      <c r="N687" s="43"/>
      <c r="O687" s="43"/>
      <c r="P687" s="43"/>
      <c r="Q687" s="43"/>
      <c r="R687" s="43"/>
    </row>
    <row r="688">
      <c r="A688" s="32"/>
      <c r="B688" s="34"/>
      <c r="C688" s="34"/>
      <c r="D688" s="34"/>
      <c r="E688" s="34"/>
      <c r="F688" s="34"/>
      <c r="G688" s="34"/>
      <c r="H688" s="60"/>
      <c r="I688" s="60"/>
      <c r="J688" s="43"/>
      <c r="K688" s="43"/>
      <c r="L688" s="43"/>
      <c r="M688" s="43"/>
      <c r="N688" s="43"/>
      <c r="O688" s="43"/>
      <c r="P688" s="43"/>
      <c r="Q688" s="43"/>
      <c r="R688" s="43"/>
    </row>
    <row r="689">
      <c r="A689" s="32"/>
      <c r="B689" s="34"/>
      <c r="C689" s="34"/>
      <c r="D689" s="34"/>
      <c r="E689" s="34"/>
      <c r="F689" s="34"/>
      <c r="G689" s="34"/>
      <c r="H689" s="60"/>
      <c r="I689" s="60"/>
      <c r="J689" s="43"/>
      <c r="K689" s="43"/>
      <c r="L689" s="43"/>
      <c r="M689" s="43"/>
      <c r="N689" s="43"/>
      <c r="O689" s="43"/>
      <c r="P689" s="43"/>
      <c r="Q689" s="43"/>
      <c r="R689" s="43"/>
    </row>
    <row r="690">
      <c r="A690" s="32"/>
      <c r="B690" s="34"/>
      <c r="C690" s="34"/>
      <c r="D690" s="34"/>
      <c r="E690" s="34"/>
      <c r="F690" s="34"/>
      <c r="G690" s="34"/>
      <c r="H690" s="60"/>
      <c r="I690" s="60"/>
      <c r="J690" s="43"/>
      <c r="K690" s="43"/>
      <c r="L690" s="43"/>
      <c r="M690" s="43"/>
      <c r="N690" s="43"/>
      <c r="O690" s="43"/>
      <c r="P690" s="43"/>
      <c r="Q690" s="43"/>
      <c r="R690" s="43"/>
    </row>
    <row r="691">
      <c r="A691" s="32"/>
      <c r="B691" s="34"/>
      <c r="C691" s="34"/>
      <c r="D691" s="34"/>
      <c r="E691" s="34"/>
      <c r="F691" s="34"/>
      <c r="G691" s="34"/>
      <c r="H691" s="60"/>
      <c r="I691" s="60"/>
      <c r="J691" s="43"/>
      <c r="K691" s="43"/>
      <c r="L691" s="43"/>
      <c r="M691" s="43"/>
      <c r="N691" s="43"/>
      <c r="O691" s="43"/>
      <c r="P691" s="43"/>
      <c r="Q691" s="43"/>
      <c r="R691" s="43"/>
    </row>
    <row r="692">
      <c r="A692" s="32"/>
      <c r="B692" s="34"/>
      <c r="C692" s="34"/>
      <c r="D692" s="34"/>
      <c r="E692" s="34"/>
      <c r="F692" s="34"/>
      <c r="G692" s="34"/>
      <c r="H692" s="60"/>
      <c r="I692" s="60"/>
      <c r="J692" s="43"/>
      <c r="K692" s="43"/>
      <c r="L692" s="43"/>
      <c r="M692" s="43"/>
      <c r="N692" s="43"/>
      <c r="O692" s="43"/>
      <c r="P692" s="43"/>
      <c r="Q692" s="43"/>
      <c r="R692" s="43"/>
    </row>
    <row r="693">
      <c r="A693" s="32"/>
      <c r="B693" s="34"/>
      <c r="C693" s="34"/>
      <c r="D693" s="34"/>
      <c r="E693" s="34"/>
      <c r="F693" s="34"/>
      <c r="G693" s="34"/>
      <c r="H693" s="60"/>
      <c r="I693" s="60"/>
      <c r="J693" s="43"/>
      <c r="K693" s="43"/>
      <c r="L693" s="43"/>
      <c r="M693" s="43"/>
      <c r="N693" s="43"/>
      <c r="O693" s="43"/>
      <c r="P693" s="43"/>
      <c r="Q693" s="43"/>
      <c r="R693" s="43"/>
    </row>
    <row r="694">
      <c r="A694" s="32"/>
      <c r="B694" s="34"/>
      <c r="C694" s="34"/>
      <c r="D694" s="34"/>
      <c r="E694" s="34"/>
      <c r="F694" s="34"/>
      <c r="G694" s="34"/>
      <c r="H694" s="60"/>
      <c r="I694" s="60"/>
      <c r="J694" s="43"/>
      <c r="K694" s="43"/>
      <c r="L694" s="43"/>
      <c r="M694" s="43"/>
      <c r="N694" s="43"/>
      <c r="O694" s="43"/>
      <c r="P694" s="43"/>
      <c r="Q694" s="43"/>
      <c r="R694" s="43"/>
    </row>
    <row r="695">
      <c r="A695" s="32"/>
      <c r="B695" s="34"/>
      <c r="C695" s="34"/>
      <c r="D695" s="34"/>
      <c r="E695" s="34"/>
      <c r="F695" s="34"/>
      <c r="G695" s="34"/>
      <c r="H695" s="60"/>
      <c r="I695" s="60"/>
      <c r="J695" s="43"/>
      <c r="K695" s="43"/>
      <c r="L695" s="43"/>
      <c r="M695" s="43"/>
      <c r="N695" s="43"/>
      <c r="O695" s="43"/>
      <c r="P695" s="43"/>
      <c r="Q695" s="43"/>
      <c r="R695" s="43"/>
    </row>
    <row r="696">
      <c r="A696" s="32"/>
      <c r="B696" s="34"/>
      <c r="C696" s="34"/>
      <c r="D696" s="34"/>
      <c r="E696" s="34"/>
      <c r="F696" s="34"/>
      <c r="G696" s="34"/>
      <c r="H696" s="60"/>
      <c r="I696" s="60"/>
      <c r="J696" s="43"/>
      <c r="K696" s="43"/>
      <c r="L696" s="43"/>
      <c r="M696" s="43"/>
      <c r="N696" s="43"/>
      <c r="O696" s="43"/>
      <c r="P696" s="43"/>
      <c r="Q696" s="43"/>
      <c r="R696" s="43"/>
    </row>
    <row r="697">
      <c r="A697" s="32"/>
      <c r="B697" s="34"/>
      <c r="C697" s="34"/>
      <c r="D697" s="34"/>
      <c r="E697" s="34"/>
      <c r="F697" s="34"/>
      <c r="G697" s="34"/>
      <c r="H697" s="60"/>
      <c r="I697" s="60"/>
      <c r="J697" s="43"/>
      <c r="K697" s="43"/>
      <c r="L697" s="43"/>
      <c r="M697" s="43"/>
      <c r="N697" s="43"/>
      <c r="O697" s="43"/>
      <c r="P697" s="43"/>
      <c r="Q697" s="43"/>
      <c r="R697" s="43"/>
    </row>
    <row r="698">
      <c r="A698" s="32"/>
      <c r="B698" s="34"/>
      <c r="C698" s="34"/>
      <c r="D698" s="34"/>
      <c r="E698" s="34"/>
      <c r="F698" s="34"/>
      <c r="G698" s="34"/>
      <c r="H698" s="60"/>
      <c r="I698" s="60"/>
      <c r="J698" s="43"/>
      <c r="K698" s="43"/>
      <c r="L698" s="43"/>
      <c r="M698" s="43"/>
      <c r="N698" s="43"/>
      <c r="O698" s="43"/>
      <c r="P698" s="43"/>
      <c r="Q698" s="43"/>
      <c r="R698" s="43"/>
    </row>
    <row r="699">
      <c r="A699" s="32"/>
      <c r="B699" s="34"/>
      <c r="C699" s="34"/>
      <c r="D699" s="34"/>
      <c r="E699" s="34"/>
      <c r="F699" s="34"/>
      <c r="G699" s="34"/>
      <c r="H699" s="60"/>
      <c r="I699" s="60"/>
      <c r="J699" s="43"/>
      <c r="K699" s="43"/>
      <c r="L699" s="43"/>
      <c r="M699" s="43"/>
      <c r="N699" s="43"/>
      <c r="O699" s="43"/>
      <c r="P699" s="43"/>
      <c r="Q699" s="43"/>
      <c r="R699" s="43"/>
    </row>
    <row r="700">
      <c r="A700" s="32"/>
      <c r="B700" s="34"/>
      <c r="C700" s="34"/>
      <c r="D700" s="34"/>
      <c r="E700" s="34"/>
      <c r="F700" s="34"/>
      <c r="G700" s="34"/>
      <c r="H700" s="60"/>
      <c r="I700" s="60"/>
      <c r="J700" s="43"/>
      <c r="K700" s="43"/>
      <c r="L700" s="43"/>
      <c r="M700" s="43"/>
      <c r="N700" s="43"/>
      <c r="O700" s="43"/>
      <c r="P700" s="43"/>
      <c r="Q700" s="43"/>
      <c r="R700" s="43"/>
    </row>
    <row r="701">
      <c r="A701" s="32"/>
      <c r="B701" s="34"/>
      <c r="C701" s="34"/>
      <c r="D701" s="34"/>
      <c r="E701" s="34"/>
      <c r="F701" s="34"/>
      <c r="G701" s="34"/>
      <c r="H701" s="60"/>
      <c r="I701" s="60"/>
      <c r="J701" s="43"/>
      <c r="K701" s="43"/>
      <c r="L701" s="43"/>
      <c r="M701" s="43"/>
      <c r="N701" s="43"/>
      <c r="O701" s="43"/>
      <c r="P701" s="43"/>
      <c r="Q701" s="43"/>
      <c r="R701" s="43"/>
    </row>
    <row r="702">
      <c r="A702" s="32"/>
      <c r="B702" s="34"/>
      <c r="C702" s="34"/>
      <c r="D702" s="34"/>
      <c r="E702" s="34"/>
      <c r="F702" s="34"/>
      <c r="G702" s="34"/>
      <c r="H702" s="60"/>
      <c r="I702" s="60"/>
      <c r="J702" s="43"/>
      <c r="K702" s="43"/>
      <c r="L702" s="43"/>
      <c r="M702" s="43"/>
      <c r="N702" s="43"/>
      <c r="O702" s="43"/>
      <c r="P702" s="43"/>
      <c r="Q702" s="43"/>
      <c r="R702" s="43"/>
    </row>
    <row r="703">
      <c r="A703" s="32"/>
      <c r="B703" s="34"/>
      <c r="C703" s="34"/>
      <c r="D703" s="34"/>
      <c r="E703" s="34"/>
      <c r="F703" s="34"/>
      <c r="G703" s="34"/>
      <c r="H703" s="60"/>
      <c r="I703" s="60"/>
      <c r="J703" s="43"/>
      <c r="K703" s="43"/>
      <c r="L703" s="43"/>
      <c r="M703" s="43"/>
      <c r="N703" s="43"/>
      <c r="O703" s="43"/>
      <c r="P703" s="43"/>
      <c r="Q703" s="43"/>
      <c r="R703" s="43"/>
    </row>
    <row r="704">
      <c r="A704" s="32"/>
      <c r="B704" s="34"/>
      <c r="C704" s="34"/>
      <c r="D704" s="34"/>
      <c r="E704" s="34"/>
      <c r="F704" s="34"/>
      <c r="G704" s="34"/>
      <c r="H704" s="60"/>
      <c r="I704" s="60"/>
      <c r="J704" s="43"/>
      <c r="K704" s="43"/>
      <c r="L704" s="43"/>
      <c r="M704" s="43"/>
      <c r="N704" s="43"/>
      <c r="O704" s="43"/>
      <c r="P704" s="43"/>
      <c r="Q704" s="43"/>
      <c r="R704" s="43"/>
    </row>
    <row r="705">
      <c r="A705" s="32"/>
      <c r="B705" s="34"/>
      <c r="C705" s="34"/>
      <c r="D705" s="34"/>
      <c r="E705" s="34"/>
      <c r="F705" s="34"/>
      <c r="G705" s="34"/>
      <c r="H705" s="60"/>
      <c r="I705" s="60"/>
      <c r="J705" s="43"/>
      <c r="K705" s="43"/>
      <c r="L705" s="43"/>
      <c r="M705" s="43"/>
      <c r="N705" s="43"/>
      <c r="O705" s="43"/>
      <c r="P705" s="43"/>
      <c r="Q705" s="43"/>
      <c r="R705" s="43"/>
    </row>
    <row r="706">
      <c r="A706" s="32"/>
      <c r="B706" s="34"/>
      <c r="C706" s="34"/>
      <c r="D706" s="34"/>
      <c r="E706" s="34"/>
      <c r="F706" s="34"/>
      <c r="G706" s="34"/>
      <c r="H706" s="60"/>
      <c r="I706" s="60"/>
      <c r="J706" s="43"/>
      <c r="K706" s="43"/>
      <c r="L706" s="43"/>
      <c r="M706" s="43"/>
      <c r="N706" s="43"/>
      <c r="O706" s="43"/>
      <c r="P706" s="43"/>
      <c r="Q706" s="43"/>
      <c r="R706" s="43"/>
    </row>
    <row r="707">
      <c r="A707" s="32"/>
      <c r="B707" s="34"/>
      <c r="C707" s="34"/>
      <c r="D707" s="34"/>
      <c r="E707" s="34"/>
      <c r="F707" s="34"/>
      <c r="G707" s="34"/>
      <c r="H707" s="60"/>
      <c r="I707" s="60"/>
      <c r="J707" s="43"/>
      <c r="K707" s="43"/>
      <c r="L707" s="43"/>
      <c r="M707" s="43"/>
      <c r="N707" s="43"/>
      <c r="O707" s="43"/>
      <c r="P707" s="43"/>
      <c r="Q707" s="43"/>
      <c r="R707" s="43"/>
    </row>
    <row r="708">
      <c r="A708" s="32"/>
      <c r="B708" s="34"/>
      <c r="C708" s="34"/>
      <c r="D708" s="34"/>
      <c r="E708" s="34"/>
      <c r="F708" s="34"/>
      <c r="G708" s="34"/>
      <c r="H708" s="60"/>
      <c r="I708" s="60"/>
      <c r="J708" s="43"/>
      <c r="K708" s="43"/>
      <c r="L708" s="43"/>
      <c r="M708" s="43"/>
      <c r="N708" s="43"/>
      <c r="O708" s="43"/>
      <c r="P708" s="43"/>
      <c r="Q708" s="43"/>
      <c r="R708" s="43"/>
    </row>
    <row r="709">
      <c r="A709" s="32"/>
      <c r="B709" s="34"/>
      <c r="C709" s="34"/>
      <c r="D709" s="34"/>
      <c r="E709" s="34"/>
      <c r="F709" s="34"/>
      <c r="G709" s="34"/>
      <c r="H709" s="60"/>
      <c r="I709" s="60"/>
      <c r="J709" s="43"/>
      <c r="K709" s="43"/>
      <c r="L709" s="43"/>
      <c r="M709" s="43"/>
      <c r="N709" s="43"/>
      <c r="O709" s="43"/>
      <c r="P709" s="43"/>
      <c r="Q709" s="43"/>
      <c r="R709" s="43"/>
    </row>
    <row r="710">
      <c r="A710" s="32"/>
      <c r="B710" s="34"/>
      <c r="C710" s="34"/>
      <c r="D710" s="34"/>
      <c r="E710" s="34"/>
      <c r="F710" s="34"/>
      <c r="G710" s="34"/>
      <c r="H710" s="60"/>
      <c r="I710" s="60"/>
      <c r="J710" s="43"/>
      <c r="K710" s="43"/>
      <c r="L710" s="43"/>
      <c r="M710" s="43"/>
      <c r="N710" s="43"/>
      <c r="O710" s="43"/>
      <c r="P710" s="43"/>
      <c r="Q710" s="43"/>
      <c r="R710" s="43"/>
    </row>
    <row r="711">
      <c r="A711" s="32"/>
      <c r="B711" s="34"/>
      <c r="C711" s="34"/>
      <c r="D711" s="34"/>
      <c r="E711" s="34"/>
      <c r="F711" s="34"/>
      <c r="G711" s="34"/>
      <c r="H711" s="60"/>
      <c r="I711" s="60"/>
      <c r="J711" s="43"/>
      <c r="K711" s="43"/>
      <c r="L711" s="43"/>
      <c r="M711" s="43"/>
      <c r="N711" s="43"/>
      <c r="O711" s="43"/>
      <c r="P711" s="43"/>
      <c r="Q711" s="43"/>
      <c r="R711" s="43"/>
    </row>
    <row r="712">
      <c r="A712" s="32"/>
      <c r="B712" s="34"/>
      <c r="C712" s="34"/>
      <c r="D712" s="34"/>
      <c r="E712" s="34"/>
      <c r="F712" s="34"/>
      <c r="G712" s="34"/>
      <c r="H712" s="60"/>
      <c r="I712" s="60"/>
      <c r="J712" s="43"/>
      <c r="K712" s="43"/>
      <c r="L712" s="43"/>
      <c r="M712" s="43"/>
      <c r="N712" s="43"/>
      <c r="O712" s="43"/>
      <c r="P712" s="43"/>
      <c r="Q712" s="43"/>
      <c r="R712" s="43"/>
    </row>
    <row r="713">
      <c r="A713" s="32"/>
      <c r="B713" s="34"/>
      <c r="C713" s="34"/>
      <c r="D713" s="34"/>
      <c r="E713" s="34"/>
      <c r="F713" s="34"/>
      <c r="G713" s="34"/>
      <c r="H713" s="60"/>
      <c r="I713" s="60"/>
      <c r="J713" s="43"/>
      <c r="K713" s="43"/>
      <c r="L713" s="43"/>
      <c r="M713" s="43"/>
      <c r="N713" s="43"/>
      <c r="O713" s="43"/>
      <c r="P713" s="43"/>
      <c r="Q713" s="43"/>
      <c r="R713" s="43"/>
    </row>
    <row r="714">
      <c r="A714" s="32"/>
      <c r="B714" s="34"/>
      <c r="C714" s="34"/>
      <c r="D714" s="34"/>
      <c r="E714" s="34"/>
      <c r="F714" s="34"/>
      <c r="G714" s="34"/>
      <c r="H714" s="60"/>
      <c r="I714" s="60"/>
      <c r="J714" s="43"/>
      <c r="K714" s="43"/>
      <c r="L714" s="43"/>
      <c r="M714" s="43"/>
      <c r="N714" s="43"/>
      <c r="O714" s="43"/>
      <c r="P714" s="43"/>
      <c r="Q714" s="43"/>
      <c r="R714" s="43"/>
    </row>
    <row r="715">
      <c r="A715" s="32"/>
      <c r="B715" s="34"/>
      <c r="C715" s="34"/>
      <c r="D715" s="34"/>
      <c r="E715" s="34"/>
      <c r="F715" s="34"/>
      <c r="G715" s="34"/>
      <c r="H715" s="60"/>
      <c r="I715" s="60"/>
      <c r="J715" s="43"/>
      <c r="K715" s="43"/>
      <c r="L715" s="43"/>
      <c r="M715" s="43"/>
      <c r="N715" s="43"/>
      <c r="O715" s="43"/>
      <c r="P715" s="43"/>
      <c r="Q715" s="43"/>
      <c r="R715" s="43"/>
    </row>
    <row r="716">
      <c r="A716" s="32"/>
      <c r="B716" s="34"/>
      <c r="C716" s="34"/>
      <c r="D716" s="34"/>
      <c r="E716" s="34"/>
      <c r="F716" s="34"/>
      <c r="G716" s="34"/>
      <c r="H716" s="60"/>
      <c r="I716" s="60"/>
      <c r="J716" s="43"/>
      <c r="K716" s="43"/>
      <c r="L716" s="43"/>
      <c r="M716" s="43"/>
      <c r="N716" s="43"/>
      <c r="O716" s="43"/>
      <c r="P716" s="43"/>
      <c r="Q716" s="43"/>
      <c r="R716" s="43"/>
    </row>
    <row r="717">
      <c r="A717" s="32"/>
      <c r="B717" s="34"/>
      <c r="C717" s="34"/>
      <c r="D717" s="34"/>
      <c r="E717" s="34"/>
      <c r="F717" s="34"/>
      <c r="G717" s="34"/>
      <c r="H717" s="60"/>
      <c r="I717" s="60"/>
      <c r="J717" s="43"/>
      <c r="K717" s="43"/>
      <c r="L717" s="43"/>
      <c r="M717" s="43"/>
      <c r="N717" s="43"/>
      <c r="O717" s="43"/>
      <c r="P717" s="43"/>
      <c r="Q717" s="43"/>
      <c r="R717" s="43"/>
    </row>
    <row r="718">
      <c r="A718" s="32"/>
      <c r="B718" s="34"/>
      <c r="C718" s="34"/>
      <c r="D718" s="34"/>
      <c r="E718" s="34"/>
      <c r="F718" s="34"/>
      <c r="G718" s="34"/>
      <c r="H718" s="60"/>
      <c r="I718" s="60"/>
      <c r="J718" s="43"/>
      <c r="K718" s="43"/>
      <c r="L718" s="43"/>
      <c r="M718" s="43"/>
      <c r="N718" s="43"/>
      <c r="O718" s="43"/>
      <c r="P718" s="43"/>
      <c r="Q718" s="43"/>
      <c r="R718" s="43"/>
    </row>
    <row r="719">
      <c r="A719" s="32"/>
      <c r="B719" s="34"/>
      <c r="C719" s="34"/>
      <c r="D719" s="34"/>
      <c r="E719" s="34"/>
      <c r="F719" s="34"/>
      <c r="G719" s="34"/>
      <c r="H719" s="60"/>
      <c r="I719" s="60"/>
      <c r="J719" s="43"/>
      <c r="K719" s="43"/>
      <c r="L719" s="43"/>
      <c r="M719" s="43"/>
      <c r="N719" s="43"/>
      <c r="O719" s="43"/>
      <c r="P719" s="43"/>
      <c r="Q719" s="43"/>
      <c r="R719" s="43"/>
    </row>
    <row r="720">
      <c r="A720" s="32"/>
      <c r="B720" s="34"/>
      <c r="C720" s="34"/>
      <c r="D720" s="34"/>
      <c r="E720" s="34"/>
      <c r="F720" s="34"/>
      <c r="G720" s="34"/>
      <c r="H720" s="60"/>
      <c r="I720" s="60"/>
      <c r="J720" s="43"/>
      <c r="K720" s="43"/>
      <c r="L720" s="43"/>
      <c r="M720" s="43"/>
      <c r="N720" s="43"/>
      <c r="O720" s="43"/>
      <c r="P720" s="43"/>
      <c r="Q720" s="43"/>
      <c r="R720" s="43"/>
    </row>
    <row r="721">
      <c r="A721" s="32"/>
      <c r="B721" s="34"/>
      <c r="C721" s="34"/>
      <c r="D721" s="34"/>
      <c r="E721" s="34"/>
      <c r="F721" s="34"/>
      <c r="G721" s="34"/>
      <c r="H721" s="60"/>
      <c r="I721" s="60"/>
      <c r="J721" s="43"/>
      <c r="K721" s="43"/>
      <c r="L721" s="43"/>
      <c r="M721" s="43"/>
      <c r="N721" s="43"/>
      <c r="O721" s="43"/>
      <c r="P721" s="43"/>
      <c r="Q721" s="43"/>
      <c r="R721" s="43"/>
    </row>
    <row r="722">
      <c r="A722" s="32"/>
      <c r="B722" s="34"/>
      <c r="C722" s="34"/>
      <c r="D722" s="34"/>
      <c r="E722" s="34"/>
      <c r="F722" s="34"/>
      <c r="G722" s="34"/>
      <c r="H722" s="60"/>
      <c r="I722" s="60"/>
      <c r="J722" s="43"/>
      <c r="K722" s="43"/>
      <c r="L722" s="43"/>
      <c r="M722" s="43"/>
      <c r="N722" s="43"/>
      <c r="O722" s="43"/>
      <c r="P722" s="43"/>
      <c r="Q722" s="43"/>
      <c r="R722" s="43"/>
    </row>
    <row r="723">
      <c r="A723" s="32"/>
      <c r="B723" s="34"/>
      <c r="C723" s="34"/>
      <c r="D723" s="34"/>
      <c r="E723" s="34"/>
      <c r="F723" s="34"/>
      <c r="G723" s="34"/>
      <c r="H723" s="60"/>
      <c r="I723" s="60"/>
      <c r="J723" s="43"/>
      <c r="K723" s="43"/>
      <c r="L723" s="43"/>
      <c r="M723" s="43"/>
      <c r="N723" s="43"/>
      <c r="O723" s="43"/>
      <c r="P723" s="43"/>
      <c r="Q723" s="43"/>
      <c r="R723" s="43"/>
    </row>
    <row r="724">
      <c r="A724" s="32"/>
      <c r="B724" s="34"/>
      <c r="C724" s="34"/>
      <c r="D724" s="34"/>
      <c r="E724" s="34"/>
      <c r="F724" s="34"/>
      <c r="G724" s="34"/>
      <c r="H724" s="60"/>
      <c r="I724" s="60"/>
      <c r="J724" s="43"/>
      <c r="K724" s="43"/>
      <c r="L724" s="43"/>
      <c r="M724" s="43"/>
      <c r="N724" s="43"/>
      <c r="O724" s="43"/>
      <c r="P724" s="43"/>
      <c r="Q724" s="43"/>
      <c r="R724" s="43"/>
    </row>
    <row r="725">
      <c r="A725" s="32"/>
      <c r="B725" s="34"/>
      <c r="C725" s="34"/>
      <c r="D725" s="34"/>
      <c r="E725" s="34"/>
      <c r="F725" s="34"/>
      <c r="G725" s="34"/>
      <c r="H725" s="60"/>
      <c r="I725" s="60"/>
      <c r="J725" s="43"/>
      <c r="K725" s="43"/>
      <c r="L725" s="43"/>
      <c r="M725" s="43"/>
      <c r="N725" s="43"/>
      <c r="O725" s="43"/>
      <c r="P725" s="43"/>
      <c r="Q725" s="43"/>
      <c r="R725" s="43"/>
    </row>
    <row r="726">
      <c r="A726" s="32"/>
      <c r="B726" s="34"/>
      <c r="C726" s="34"/>
      <c r="D726" s="34"/>
      <c r="E726" s="34"/>
      <c r="F726" s="34"/>
      <c r="G726" s="34"/>
      <c r="H726" s="60"/>
      <c r="I726" s="60"/>
      <c r="J726" s="43"/>
      <c r="K726" s="43"/>
      <c r="L726" s="43"/>
      <c r="M726" s="43"/>
      <c r="N726" s="43"/>
      <c r="O726" s="43"/>
      <c r="P726" s="43"/>
      <c r="Q726" s="43"/>
      <c r="R726" s="43"/>
    </row>
    <row r="727">
      <c r="A727" s="32"/>
      <c r="B727" s="34"/>
      <c r="C727" s="34"/>
      <c r="D727" s="34"/>
      <c r="E727" s="34"/>
      <c r="F727" s="34"/>
      <c r="G727" s="34"/>
      <c r="H727" s="60"/>
      <c r="I727" s="60"/>
      <c r="J727" s="43"/>
      <c r="K727" s="43"/>
      <c r="L727" s="43"/>
      <c r="M727" s="43"/>
      <c r="N727" s="43"/>
      <c r="O727" s="43"/>
      <c r="P727" s="43"/>
      <c r="Q727" s="43"/>
      <c r="R727" s="43"/>
    </row>
    <row r="728">
      <c r="A728" s="32"/>
      <c r="B728" s="34"/>
      <c r="C728" s="34"/>
      <c r="D728" s="34"/>
      <c r="E728" s="34"/>
      <c r="F728" s="34"/>
      <c r="G728" s="34"/>
      <c r="H728" s="60"/>
      <c r="I728" s="60"/>
      <c r="J728" s="43"/>
      <c r="K728" s="43"/>
      <c r="L728" s="43"/>
      <c r="M728" s="43"/>
      <c r="N728" s="43"/>
      <c r="O728" s="43"/>
      <c r="P728" s="43"/>
      <c r="Q728" s="43"/>
      <c r="R728" s="43"/>
    </row>
    <row r="729">
      <c r="A729" s="32"/>
      <c r="B729" s="34"/>
      <c r="C729" s="34"/>
      <c r="D729" s="34"/>
      <c r="E729" s="34"/>
      <c r="F729" s="34"/>
      <c r="G729" s="34"/>
      <c r="H729" s="60"/>
      <c r="I729" s="60"/>
      <c r="J729" s="43"/>
      <c r="K729" s="43"/>
      <c r="L729" s="43"/>
      <c r="M729" s="43"/>
      <c r="N729" s="43"/>
      <c r="O729" s="43"/>
      <c r="P729" s="43"/>
      <c r="Q729" s="43"/>
      <c r="R729" s="43"/>
    </row>
    <row r="730">
      <c r="A730" s="32"/>
      <c r="B730" s="34"/>
      <c r="C730" s="34"/>
      <c r="D730" s="34"/>
      <c r="E730" s="34"/>
      <c r="F730" s="34"/>
      <c r="G730" s="34"/>
      <c r="H730" s="60"/>
      <c r="I730" s="60"/>
      <c r="J730" s="43"/>
      <c r="K730" s="43"/>
      <c r="L730" s="43"/>
      <c r="M730" s="43"/>
      <c r="N730" s="43"/>
      <c r="O730" s="43"/>
      <c r="P730" s="43"/>
      <c r="Q730" s="43"/>
      <c r="R730" s="43"/>
    </row>
    <row r="731">
      <c r="A731" s="32"/>
      <c r="B731" s="34"/>
      <c r="C731" s="34"/>
      <c r="D731" s="34"/>
      <c r="E731" s="34"/>
      <c r="F731" s="34"/>
      <c r="G731" s="34"/>
      <c r="H731" s="60"/>
      <c r="I731" s="60"/>
      <c r="J731" s="43"/>
      <c r="K731" s="43"/>
      <c r="L731" s="43"/>
      <c r="M731" s="43"/>
      <c r="N731" s="43"/>
      <c r="O731" s="43"/>
      <c r="P731" s="43"/>
      <c r="Q731" s="43"/>
      <c r="R731" s="43"/>
    </row>
    <row r="732">
      <c r="A732" s="32"/>
      <c r="B732" s="34"/>
      <c r="C732" s="34"/>
      <c r="D732" s="34"/>
      <c r="E732" s="34"/>
      <c r="F732" s="34"/>
      <c r="G732" s="34"/>
      <c r="H732" s="60"/>
      <c r="I732" s="60"/>
      <c r="J732" s="43"/>
      <c r="K732" s="43"/>
      <c r="L732" s="43"/>
      <c r="M732" s="43"/>
      <c r="N732" s="43"/>
      <c r="O732" s="43"/>
      <c r="P732" s="43"/>
      <c r="Q732" s="43"/>
      <c r="R732" s="43"/>
    </row>
    <row r="733">
      <c r="A733" s="32"/>
      <c r="B733" s="34"/>
      <c r="C733" s="34"/>
      <c r="D733" s="34"/>
      <c r="E733" s="34"/>
      <c r="F733" s="34"/>
      <c r="G733" s="34"/>
      <c r="H733" s="60"/>
      <c r="I733" s="60"/>
      <c r="J733" s="43"/>
      <c r="K733" s="43"/>
      <c r="L733" s="43"/>
      <c r="M733" s="43"/>
      <c r="N733" s="43"/>
      <c r="O733" s="43"/>
      <c r="P733" s="43"/>
      <c r="Q733" s="43"/>
      <c r="R733" s="43"/>
    </row>
    <row r="734">
      <c r="A734" s="32"/>
      <c r="B734" s="34"/>
      <c r="C734" s="34"/>
      <c r="D734" s="34"/>
      <c r="E734" s="34"/>
      <c r="F734" s="34"/>
      <c r="G734" s="34"/>
      <c r="H734" s="60"/>
      <c r="I734" s="60"/>
      <c r="J734" s="43"/>
      <c r="K734" s="43"/>
      <c r="L734" s="43"/>
      <c r="M734" s="43"/>
      <c r="N734" s="43"/>
      <c r="O734" s="43"/>
      <c r="P734" s="43"/>
      <c r="Q734" s="43"/>
      <c r="R734" s="43"/>
    </row>
    <row r="735">
      <c r="A735" s="32"/>
      <c r="B735" s="34"/>
      <c r="C735" s="34"/>
      <c r="D735" s="34"/>
      <c r="E735" s="34"/>
      <c r="F735" s="34"/>
      <c r="G735" s="34"/>
      <c r="H735" s="60"/>
      <c r="I735" s="60"/>
      <c r="J735" s="43"/>
      <c r="K735" s="43"/>
      <c r="L735" s="43"/>
      <c r="M735" s="43"/>
      <c r="N735" s="43"/>
      <c r="O735" s="43"/>
      <c r="P735" s="43"/>
      <c r="Q735" s="43"/>
      <c r="R735" s="43"/>
    </row>
    <row r="736">
      <c r="A736" s="32"/>
      <c r="B736" s="34"/>
      <c r="C736" s="34"/>
      <c r="D736" s="34"/>
      <c r="E736" s="34"/>
      <c r="F736" s="34"/>
      <c r="G736" s="34"/>
      <c r="H736" s="60"/>
      <c r="I736" s="60"/>
      <c r="J736" s="43"/>
      <c r="K736" s="43"/>
      <c r="L736" s="43"/>
      <c r="M736" s="43"/>
      <c r="N736" s="43"/>
      <c r="O736" s="43"/>
      <c r="P736" s="43"/>
      <c r="Q736" s="43"/>
      <c r="R736" s="43"/>
    </row>
    <row r="737">
      <c r="A737" s="32"/>
      <c r="B737" s="34"/>
      <c r="C737" s="34"/>
      <c r="D737" s="34"/>
      <c r="E737" s="34"/>
      <c r="F737" s="34"/>
      <c r="G737" s="34"/>
      <c r="H737" s="60"/>
      <c r="I737" s="60"/>
      <c r="J737" s="43"/>
      <c r="K737" s="43"/>
      <c r="L737" s="43"/>
      <c r="M737" s="43"/>
      <c r="N737" s="43"/>
      <c r="O737" s="43"/>
      <c r="P737" s="43"/>
      <c r="Q737" s="43"/>
      <c r="R737" s="43"/>
    </row>
    <row r="738">
      <c r="A738" s="32"/>
      <c r="B738" s="34"/>
      <c r="C738" s="34"/>
      <c r="D738" s="34"/>
      <c r="E738" s="34"/>
      <c r="F738" s="34"/>
      <c r="G738" s="34"/>
      <c r="H738" s="60"/>
      <c r="I738" s="60"/>
      <c r="J738" s="43"/>
      <c r="K738" s="43"/>
      <c r="L738" s="43"/>
      <c r="M738" s="43"/>
      <c r="N738" s="43"/>
      <c r="O738" s="43"/>
      <c r="P738" s="43"/>
      <c r="Q738" s="43"/>
      <c r="R738" s="43"/>
    </row>
    <row r="739">
      <c r="A739" s="32"/>
      <c r="B739" s="34"/>
      <c r="C739" s="34"/>
      <c r="D739" s="34"/>
      <c r="E739" s="34"/>
      <c r="F739" s="34"/>
      <c r="G739" s="34"/>
      <c r="H739" s="60"/>
      <c r="I739" s="60"/>
      <c r="J739" s="43"/>
      <c r="K739" s="43"/>
      <c r="L739" s="43"/>
      <c r="M739" s="43"/>
      <c r="N739" s="43"/>
      <c r="O739" s="43"/>
      <c r="P739" s="43"/>
      <c r="Q739" s="43"/>
      <c r="R739" s="43"/>
    </row>
    <row r="740">
      <c r="A740" s="32"/>
      <c r="B740" s="34"/>
      <c r="C740" s="34"/>
      <c r="D740" s="34"/>
      <c r="E740" s="34"/>
      <c r="F740" s="34"/>
      <c r="G740" s="34"/>
      <c r="H740" s="60"/>
      <c r="I740" s="60"/>
      <c r="J740" s="43"/>
      <c r="K740" s="43"/>
      <c r="L740" s="43"/>
      <c r="M740" s="43"/>
      <c r="N740" s="43"/>
      <c r="O740" s="43"/>
      <c r="P740" s="43"/>
      <c r="Q740" s="43"/>
      <c r="R740" s="43"/>
    </row>
    <row r="741">
      <c r="A741" s="32"/>
      <c r="B741" s="34"/>
      <c r="C741" s="34"/>
      <c r="D741" s="34"/>
      <c r="E741" s="34"/>
      <c r="F741" s="34"/>
      <c r="G741" s="34"/>
      <c r="H741" s="60"/>
      <c r="I741" s="60"/>
      <c r="J741" s="43"/>
      <c r="K741" s="43"/>
      <c r="L741" s="43"/>
      <c r="M741" s="43"/>
      <c r="N741" s="43"/>
      <c r="O741" s="43"/>
      <c r="P741" s="43"/>
      <c r="Q741" s="43"/>
      <c r="R741" s="43"/>
    </row>
    <row r="742">
      <c r="A742" s="32"/>
      <c r="B742" s="34"/>
      <c r="C742" s="34"/>
      <c r="D742" s="34"/>
      <c r="E742" s="34"/>
      <c r="F742" s="34"/>
      <c r="G742" s="34"/>
      <c r="H742" s="60"/>
      <c r="I742" s="60"/>
      <c r="J742" s="43"/>
      <c r="K742" s="43"/>
      <c r="L742" s="43"/>
      <c r="M742" s="43"/>
      <c r="N742" s="43"/>
      <c r="O742" s="43"/>
      <c r="P742" s="43"/>
      <c r="Q742" s="43"/>
      <c r="R742" s="43"/>
    </row>
    <row r="743">
      <c r="A743" s="32"/>
      <c r="B743" s="34"/>
      <c r="C743" s="34"/>
      <c r="D743" s="34"/>
      <c r="E743" s="34"/>
      <c r="F743" s="34"/>
      <c r="G743" s="34"/>
      <c r="H743" s="60"/>
      <c r="I743" s="60"/>
      <c r="J743" s="43"/>
      <c r="K743" s="43"/>
      <c r="L743" s="43"/>
      <c r="M743" s="43"/>
      <c r="N743" s="43"/>
      <c r="O743" s="43"/>
      <c r="P743" s="43"/>
      <c r="Q743" s="43"/>
      <c r="R743" s="43"/>
    </row>
    <row r="744">
      <c r="A744" s="32"/>
      <c r="B744" s="34"/>
      <c r="C744" s="34"/>
      <c r="D744" s="34"/>
      <c r="E744" s="34"/>
      <c r="F744" s="34"/>
      <c r="G744" s="34"/>
      <c r="H744" s="60"/>
      <c r="I744" s="60"/>
      <c r="J744" s="43"/>
      <c r="K744" s="43"/>
      <c r="L744" s="43"/>
      <c r="M744" s="43"/>
      <c r="N744" s="43"/>
      <c r="O744" s="43"/>
      <c r="P744" s="43"/>
      <c r="Q744" s="43"/>
      <c r="R744" s="43"/>
    </row>
    <row r="745">
      <c r="A745" s="32"/>
      <c r="B745" s="34"/>
      <c r="C745" s="34"/>
      <c r="D745" s="34"/>
      <c r="E745" s="34"/>
      <c r="F745" s="34"/>
      <c r="G745" s="34"/>
      <c r="H745" s="60"/>
      <c r="I745" s="60"/>
      <c r="J745" s="43"/>
      <c r="K745" s="43"/>
      <c r="L745" s="43"/>
      <c r="M745" s="43"/>
      <c r="N745" s="43"/>
      <c r="O745" s="43"/>
      <c r="P745" s="43"/>
      <c r="Q745" s="43"/>
      <c r="R745" s="43"/>
    </row>
    <row r="746">
      <c r="A746" s="32"/>
      <c r="B746" s="34"/>
      <c r="C746" s="34"/>
      <c r="D746" s="34"/>
      <c r="E746" s="34"/>
      <c r="F746" s="34"/>
      <c r="G746" s="34"/>
      <c r="H746" s="60"/>
      <c r="I746" s="60"/>
      <c r="J746" s="43"/>
      <c r="K746" s="43"/>
      <c r="L746" s="43"/>
      <c r="M746" s="43"/>
      <c r="N746" s="43"/>
      <c r="O746" s="43"/>
      <c r="P746" s="43"/>
      <c r="Q746" s="43"/>
      <c r="R746" s="43"/>
    </row>
    <row r="747">
      <c r="A747" s="32"/>
      <c r="B747" s="34"/>
      <c r="C747" s="34"/>
      <c r="D747" s="34"/>
      <c r="E747" s="34"/>
      <c r="F747" s="34"/>
      <c r="G747" s="34"/>
      <c r="H747" s="60"/>
      <c r="I747" s="60"/>
      <c r="J747" s="43"/>
      <c r="K747" s="43"/>
      <c r="L747" s="43"/>
      <c r="M747" s="43"/>
      <c r="N747" s="43"/>
      <c r="O747" s="43"/>
      <c r="P747" s="43"/>
      <c r="Q747" s="43"/>
      <c r="R747" s="43"/>
    </row>
    <row r="748">
      <c r="A748" s="32"/>
      <c r="B748" s="34"/>
      <c r="C748" s="34"/>
      <c r="D748" s="34"/>
      <c r="E748" s="34"/>
      <c r="F748" s="34"/>
      <c r="G748" s="34"/>
      <c r="H748" s="60"/>
      <c r="I748" s="60"/>
      <c r="J748" s="43"/>
      <c r="K748" s="43"/>
      <c r="L748" s="43"/>
      <c r="M748" s="43"/>
      <c r="N748" s="43"/>
      <c r="O748" s="43"/>
      <c r="P748" s="43"/>
      <c r="Q748" s="43"/>
      <c r="R748" s="43"/>
    </row>
    <row r="749">
      <c r="A749" s="32"/>
      <c r="B749" s="34"/>
      <c r="C749" s="34"/>
      <c r="D749" s="34"/>
      <c r="E749" s="34"/>
      <c r="F749" s="34"/>
      <c r="G749" s="34"/>
      <c r="H749" s="60"/>
      <c r="I749" s="60"/>
      <c r="J749" s="43"/>
      <c r="K749" s="43"/>
      <c r="L749" s="43"/>
      <c r="M749" s="43"/>
      <c r="N749" s="43"/>
      <c r="O749" s="43"/>
      <c r="P749" s="43"/>
      <c r="Q749" s="43"/>
      <c r="R749" s="43"/>
    </row>
    <row r="750">
      <c r="A750" s="32"/>
      <c r="B750" s="34"/>
      <c r="C750" s="34"/>
      <c r="D750" s="34"/>
      <c r="E750" s="34"/>
      <c r="F750" s="34"/>
      <c r="G750" s="34"/>
      <c r="H750" s="60"/>
      <c r="I750" s="60"/>
      <c r="J750" s="43"/>
      <c r="K750" s="43"/>
      <c r="L750" s="43"/>
      <c r="M750" s="43"/>
      <c r="N750" s="43"/>
      <c r="O750" s="43"/>
      <c r="P750" s="43"/>
      <c r="Q750" s="43"/>
      <c r="R750" s="43"/>
    </row>
    <row r="751">
      <c r="A751" s="32"/>
      <c r="B751" s="34"/>
      <c r="C751" s="34"/>
      <c r="D751" s="34"/>
      <c r="E751" s="34"/>
      <c r="F751" s="34"/>
      <c r="G751" s="34"/>
      <c r="H751" s="60"/>
      <c r="I751" s="60"/>
      <c r="J751" s="43"/>
      <c r="K751" s="43"/>
      <c r="L751" s="43"/>
      <c r="M751" s="43"/>
      <c r="N751" s="43"/>
      <c r="O751" s="43"/>
      <c r="P751" s="43"/>
      <c r="Q751" s="43"/>
      <c r="R751" s="43"/>
    </row>
    <row r="752">
      <c r="A752" s="32"/>
      <c r="B752" s="34"/>
      <c r="C752" s="34"/>
      <c r="D752" s="34"/>
      <c r="E752" s="34"/>
      <c r="F752" s="34"/>
      <c r="G752" s="34"/>
      <c r="H752" s="60"/>
      <c r="I752" s="60"/>
      <c r="J752" s="43"/>
      <c r="K752" s="43"/>
      <c r="L752" s="43"/>
      <c r="M752" s="43"/>
      <c r="N752" s="43"/>
      <c r="O752" s="43"/>
      <c r="P752" s="43"/>
      <c r="Q752" s="43"/>
      <c r="R752" s="43"/>
    </row>
    <row r="753">
      <c r="A753" s="32"/>
      <c r="B753" s="34"/>
      <c r="C753" s="34"/>
      <c r="D753" s="34"/>
      <c r="E753" s="34"/>
      <c r="F753" s="34"/>
      <c r="G753" s="34"/>
      <c r="H753" s="60"/>
      <c r="I753" s="60"/>
      <c r="J753" s="43"/>
      <c r="K753" s="43"/>
      <c r="L753" s="43"/>
      <c r="M753" s="43"/>
      <c r="N753" s="43"/>
      <c r="O753" s="43"/>
      <c r="P753" s="43"/>
      <c r="Q753" s="43"/>
      <c r="R753" s="43"/>
    </row>
    <row r="754">
      <c r="A754" s="32"/>
      <c r="B754" s="34"/>
      <c r="C754" s="34"/>
      <c r="D754" s="34"/>
      <c r="E754" s="34"/>
      <c r="F754" s="34"/>
      <c r="G754" s="34"/>
      <c r="H754" s="60"/>
      <c r="I754" s="60"/>
      <c r="J754" s="43"/>
      <c r="K754" s="43"/>
      <c r="L754" s="43"/>
      <c r="M754" s="43"/>
      <c r="N754" s="43"/>
      <c r="O754" s="43"/>
      <c r="P754" s="43"/>
      <c r="Q754" s="43"/>
      <c r="R754" s="43"/>
    </row>
    <row r="755">
      <c r="A755" s="32"/>
      <c r="B755" s="34"/>
      <c r="C755" s="34"/>
      <c r="D755" s="34"/>
      <c r="E755" s="34"/>
      <c r="F755" s="34"/>
      <c r="G755" s="34"/>
      <c r="H755" s="60"/>
      <c r="I755" s="60"/>
      <c r="J755" s="43"/>
      <c r="K755" s="43"/>
      <c r="L755" s="43"/>
      <c r="M755" s="43"/>
      <c r="N755" s="43"/>
      <c r="O755" s="43"/>
      <c r="P755" s="43"/>
      <c r="Q755" s="43"/>
      <c r="R755" s="43"/>
    </row>
    <row r="756">
      <c r="A756" s="32"/>
      <c r="B756" s="34"/>
      <c r="C756" s="34"/>
      <c r="D756" s="34"/>
      <c r="E756" s="34"/>
      <c r="F756" s="34"/>
      <c r="G756" s="34"/>
      <c r="H756" s="60"/>
      <c r="I756" s="60"/>
      <c r="J756" s="43"/>
      <c r="K756" s="43"/>
      <c r="L756" s="43"/>
      <c r="M756" s="43"/>
      <c r="N756" s="43"/>
      <c r="O756" s="43"/>
      <c r="P756" s="43"/>
      <c r="Q756" s="43"/>
      <c r="R756" s="43"/>
    </row>
    <row r="757">
      <c r="A757" s="32"/>
      <c r="B757" s="34"/>
      <c r="C757" s="34"/>
      <c r="D757" s="34"/>
      <c r="E757" s="34"/>
      <c r="F757" s="34"/>
      <c r="G757" s="34"/>
      <c r="H757" s="60"/>
      <c r="I757" s="60"/>
      <c r="J757" s="43"/>
      <c r="K757" s="43"/>
      <c r="L757" s="43"/>
      <c r="M757" s="43"/>
      <c r="N757" s="43"/>
      <c r="O757" s="43"/>
      <c r="P757" s="43"/>
      <c r="Q757" s="43"/>
      <c r="R757" s="43"/>
    </row>
    <row r="758">
      <c r="A758" s="32"/>
      <c r="B758" s="34"/>
      <c r="C758" s="34"/>
      <c r="D758" s="34"/>
      <c r="E758" s="34"/>
      <c r="F758" s="34"/>
      <c r="G758" s="34"/>
      <c r="H758" s="60"/>
      <c r="I758" s="60"/>
      <c r="J758" s="43"/>
      <c r="K758" s="43"/>
      <c r="L758" s="43"/>
      <c r="M758" s="43"/>
      <c r="N758" s="43"/>
      <c r="O758" s="43"/>
      <c r="P758" s="43"/>
      <c r="Q758" s="43"/>
      <c r="R758" s="43"/>
    </row>
    <row r="759">
      <c r="A759" s="32"/>
      <c r="B759" s="34"/>
      <c r="C759" s="34"/>
      <c r="D759" s="34"/>
      <c r="E759" s="34"/>
      <c r="F759" s="34"/>
      <c r="G759" s="34"/>
      <c r="H759" s="60"/>
      <c r="I759" s="60"/>
      <c r="J759" s="43"/>
      <c r="K759" s="43"/>
      <c r="L759" s="43"/>
      <c r="M759" s="43"/>
      <c r="N759" s="43"/>
      <c r="O759" s="43"/>
      <c r="P759" s="43"/>
      <c r="Q759" s="43"/>
      <c r="R759" s="43"/>
    </row>
    <row r="760">
      <c r="A760" s="32"/>
      <c r="B760" s="34"/>
      <c r="C760" s="34"/>
      <c r="D760" s="34"/>
      <c r="E760" s="34"/>
      <c r="F760" s="34"/>
      <c r="G760" s="34"/>
      <c r="H760" s="60"/>
      <c r="I760" s="60"/>
      <c r="J760" s="43"/>
      <c r="K760" s="43"/>
      <c r="L760" s="43"/>
      <c r="M760" s="43"/>
      <c r="N760" s="43"/>
      <c r="O760" s="43"/>
      <c r="P760" s="43"/>
      <c r="Q760" s="43"/>
      <c r="R760" s="43"/>
    </row>
    <row r="761">
      <c r="A761" s="32"/>
      <c r="B761" s="34"/>
      <c r="C761" s="34"/>
      <c r="D761" s="34"/>
      <c r="E761" s="34"/>
      <c r="F761" s="34"/>
      <c r="G761" s="34"/>
      <c r="H761" s="60"/>
      <c r="I761" s="60"/>
      <c r="J761" s="43"/>
      <c r="K761" s="43"/>
      <c r="L761" s="43"/>
      <c r="M761" s="43"/>
      <c r="N761" s="43"/>
      <c r="O761" s="43"/>
      <c r="P761" s="43"/>
      <c r="Q761" s="43"/>
      <c r="R761" s="43"/>
    </row>
    <row r="762">
      <c r="A762" s="32"/>
      <c r="B762" s="34"/>
      <c r="C762" s="34"/>
      <c r="D762" s="34"/>
      <c r="E762" s="34"/>
      <c r="F762" s="34"/>
      <c r="G762" s="34"/>
      <c r="H762" s="60"/>
      <c r="I762" s="60"/>
      <c r="J762" s="43"/>
      <c r="K762" s="43"/>
      <c r="L762" s="43"/>
      <c r="M762" s="43"/>
      <c r="N762" s="43"/>
      <c r="O762" s="43"/>
      <c r="P762" s="43"/>
      <c r="Q762" s="43"/>
      <c r="R762" s="43"/>
    </row>
  </sheetData>
  <autoFilter ref="$A$1:$J$10"/>
  <customSheetViews>
    <customSheetView guid="{1985F42F-042F-4FDC-89D9-E7B4D8530F25}" filter="1" showAutoFilter="1">
      <autoFilter ref="$A$2:$J$27">
        <filterColumn colId="6">
          <filters blank="1">
            <filter val="CGK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7F51FDF6-4C52-486F-AB5A-B2B6A6311D91}" filter="1" showAutoFilter="1">
      <autoFilter ref="$A$1:$J$27">
        <filterColumn colId="6">
          <filters>
            <filter val="SOC"/>
            <filter val="MDC"/>
          </filters>
        </filterColumn>
        <sortState ref="A1:J27">
          <sortCondition descending="1" ref="G1:G27"/>
        </sortState>
      </autoFilter>
    </customSheetView>
  </customSheetViews>
  <mergeCells count="2">
    <mergeCell ref="A1:B1"/>
    <mergeCell ref="C1:G1"/>
  </mergeCells>
  <conditionalFormatting sqref="A3:A26">
    <cfRule type="expression" dxfId="7" priority="1">
      <formula>$T3="OPEN"</formula>
    </cfRule>
  </conditionalFormatting>
  <conditionalFormatting sqref="A3:A26">
    <cfRule type="expression" dxfId="8" priority="2">
      <formula>$T3="CLOSED"</formula>
    </cfRule>
  </conditionalFormatting>
  <conditionalFormatting sqref="A3:A26">
    <cfRule type="expression" dxfId="5" priority="3">
      <formula>$S3="CLOSED"</formula>
    </cfRule>
  </conditionalFormatting>
  <conditionalFormatting sqref="A3:A26">
    <cfRule type="expression" dxfId="6" priority="4">
      <formula>$S3="OPEN"</formula>
    </cfRule>
  </conditionalFormatting>
  <conditionalFormatting sqref="A3:A26">
    <cfRule type="expression" dxfId="9" priority="5">
      <formula>$T3="OPEN"</formula>
    </cfRule>
  </conditionalFormatting>
  <conditionalFormatting sqref="A3:A26">
    <cfRule type="expression" dxfId="10" priority="6">
      <formula>$T3="CLOSED"</formula>
    </cfRule>
  </conditionalFormatting>
  <conditionalFormatting sqref="A3:A26">
    <cfRule type="expression" dxfId="9" priority="7">
      <formula>$T3="OPEN"</formula>
    </cfRule>
  </conditionalFormatting>
  <conditionalFormatting sqref="A3:A26">
    <cfRule type="expression" dxfId="10" priority="8">
      <formula>$T3="CLOSED"</formula>
    </cfRule>
  </conditionalFormatting>
  <conditionalFormatting sqref="A3:A26">
    <cfRule type="expression" dxfId="10" priority="9">
      <formula>$L3="CLOSED"</formula>
    </cfRule>
  </conditionalFormatting>
  <conditionalFormatting sqref="A3:A26">
    <cfRule type="expression" dxfId="11" priority="10">
      <formula>$L3="OPEN"</formula>
    </cfRule>
  </conditionalFormatting>
  <conditionalFormatting sqref="A3:A26">
    <cfRule type="expression" dxfId="10" priority="11">
      <formula>$L3="CLOSED"</formula>
    </cfRule>
  </conditionalFormatting>
  <conditionalFormatting sqref="A3:A26">
    <cfRule type="expression" dxfId="11" priority="12">
      <formula>$L3="OPEN"</formula>
    </cfRule>
  </conditionalFormatting>
  <conditionalFormatting sqref="A3:A26">
    <cfRule type="expression" dxfId="7" priority="13">
      <formula>$S3="OPEN"</formula>
    </cfRule>
  </conditionalFormatting>
  <conditionalFormatting sqref="A3:A26">
    <cfRule type="expression" dxfId="8" priority="14">
      <formula>$S3="CLOSED"</formula>
    </cfRule>
  </conditionalFormatting>
  <conditionalFormatting sqref="A3:A26">
    <cfRule type="expression" dxfId="5" priority="15">
      <formula>$R3="CLOSED"</formula>
    </cfRule>
  </conditionalFormatting>
  <conditionalFormatting sqref="A3:A26">
    <cfRule type="expression" dxfId="6" priority="16">
      <formula>$R3="OPEN"</formula>
    </cfRule>
  </conditionalFormatting>
  <conditionalFormatting sqref="A3:A26">
    <cfRule type="expression" dxfId="9" priority="17">
      <formula>$S3="OPEN"</formula>
    </cfRule>
  </conditionalFormatting>
  <conditionalFormatting sqref="A3:A26">
    <cfRule type="expression" dxfId="10" priority="18">
      <formula>$S3="CLOSED"</formula>
    </cfRule>
  </conditionalFormatting>
  <conditionalFormatting sqref="A3:A26">
    <cfRule type="expression" dxfId="9" priority="19">
      <formula>$S3="OPEN"</formula>
    </cfRule>
  </conditionalFormatting>
  <conditionalFormatting sqref="A3:A26">
    <cfRule type="expression" dxfId="10" priority="20">
      <formula>$S3="CLOSED"</formula>
    </cfRule>
  </conditionalFormatting>
  <conditionalFormatting sqref="A3:A26">
    <cfRule type="expression" dxfId="10" priority="21">
      <formula>$K3="CLOSED"</formula>
    </cfRule>
  </conditionalFormatting>
  <conditionalFormatting sqref="A3:A26">
    <cfRule type="expression" dxfId="11" priority="22">
      <formula>$K3="OPEN"</formula>
    </cfRule>
  </conditionalFormatting>
  <conditionalFormatting sqref="A3:A26">
    <cfRule type="expression" dxfId="10" priority="23">
      <formula>$K3="CLOSED"</formula>
    </cfRule>
  </conditionalFormatting>
  <conditionalFormatting sqref="A3:A26">
    <cfRule type="expression" dxfId="11" priority="24">
      <formula>$K3="OPEN"</formula>
    </cfRule>
  </conditionalFormatting>
  <conditionalFormatting sqref="A3:A26">
    <cfRule type="expression" dxfId="7" priority="25">
      <formula>$R3="OPEN"</formula>
    </cfRule>
  </conditionalFormatting>
  <conditionalFormatting sqref="A3:A26">
    <cfRule type="expression" dxfId="8" priority="26">
      <formula>$R3="CLOSED"</formula>
    </cfRule>
  </conditionalFormatting>
  <conditionalFormatting sqref="A3:A26">
    <cfRule type="expression" dxfId="5" priority="27">
      <formula>$Q3="CLOSED"</formula>
    </cfRule>
  </conditionalFormatting>
  <conditionalFormatting sqref="A3:A26">
    <cfRule type="expression" dxfId="6" priority="28">
      <formula>$Q3="OPEN"</formula>
    </cfRule>
  </conditionalFormatting>
  <conditionalFormatting sqref="A3:A26">
    <cfRule type="expression" dxfId="9" priority="29">
      <formula>$R3="OPEN"</formula>
    </cfRule>
  </conditionalFormatting>
  <conditionalFormatting sqref="A3:A26">
    <cfRule type="expression" dxfId="10" priority="30">
      <formula>$R3="CLOSED"</formula>
    </cfRule>
  </conditionalFormatting>
  <conditionalFormatting sqref="A3:A26">
    <cfRule type="expression" dxfId="9" priority="31">
      <formula>$R3="OPEN"</formula>
    </cfRule>
  </conditionalFormatting>
  <conditionalFormatting sqref="A3:A26">
    <cfRule type="expression" dxfId="10" priority="32">
      <formula>$R3="CLOSED"</formula>
    </cfRule>
  </conditionalFormatting>
  <conditionalFormatting sqref="A3:A26">
    <cfRule type="expression" dxfId="7" priority="33">
      <formula>$Q3="OPEN"</formula>
    </cfRule>
  </conditionalFormatting>
  <conditionalFormatting sqref="A3:A26">
    <cfRule type="expression" dxfId="8" priority="34">
      <formula>$Q3="CLOSED"</formula>
    </cfRule>
  </conditionalFormatting>
  <conditionalFormatting sqref="A3:A26">
    <cfRule type="expression" dxfId="9" priority="35">
      <formula>$Q3="OPEN"</formula>
    </cfRule>
  </conditionalFormatting>
  <conditionalFormatting sqref="A3:A26">
    <cfRule type="expression" dxfId="10" priority="36">
      <formula>$Q3="CLOSED"</formula>
    </cfRule>
  </conditionalFormatting>
  <conditionalFormatting sqref="A3:A26">
    <cfRule type="expression" dxfId="9" priority="37">
      <formula>$K3="OPEN"</formula>
    </cfRule>
  </conditionalFormatting>
  <conditionalFormatting sqref="A3:A26">
    <cfRule type="expression" dxfId="10" priority="38">
      <formula>$K3="CLOSED"</formula>
    </cfRule>
  </conditionalFormatting>
  <conditionalFormatting sqref="A3:A26">
    <cfRule type="expression" dxfId="9" priority="39">
      <formula>$L3="OPEN"</formula>
    </cfRule>
  </conditionalFormatting>
  <conditionalFormatting sqref="A3:A26">
    <cfRule type="expression" dxfId="10" priority="40">
      <formula>$L3="CLOSED"</formula>
    </cfRule>
  </conditionalFormatting>
  <conditionalFormatting sqref="A3:A26">
    <cfRule type="expression" dxfId="5" priority="41">
      <formula>$L3="CLOSED"</formula>
    </cfRule>
  </conditionalFormatting>
  <conditionalFormatting sqref="A3:A26">
    <cfRule type="expression" dxfId="6" priority="42">
      <formula>$L3="OPEN"</formula>
    </cfRule>
  </conditionalFormatting>
  <conditionalFormatting sqref="A3:A26">
    <cfRule type="expression" dxfId="11" priority="43">
      <formula>$I3="OPEN"</formula>
    </cfRule>
  </conditionalFormatting>
  <conditionalFormatting sqref="A3:A26">
    <cfRule type="expression" dxfId="10" priority="44">
      <formula>$J3="CLOSED"</formula>
    </cfRule>
  </conditionalFormatting>
  <conditionalFormatting sqref="A3:A26">
    <cfRule type="expression" dxfId="11" priority="45">
      <formula>$J3="OPEN"</formula>
    </cfRule>
  </conditionalFormatting>
  <conditionalFormatting sqref="A3:A26">
    <cfRule type="expression" dxfId="9" priority="46">
      <formula>$J3="OPEN"</formula>
    </cfRule>
  </conditionalFormatting>
  <conditionalFormatting sqref="A3:A26">
    <cfRule type="expression" dxfId="10" priority="47">
      <formula>$J3="CLOSED"</formula>
    </cfRule>
  </conditionalFormatting>
  <conditionalFormatting sqref="A3:A26">
    <cfRule type="expression" dxfId="5" priority="48">
      <formula>$K3="CLOSED"</formula>
    </cfRule>
  </conditionalFormatting>
  <conditionalFormatting sqref="A3:A26">
    <cfRule type="expression" dxfId="6" priority="49">
      <formula>$K3="OPEN"</formula>
    </cfRule>
  </conditionalFormatting>
  <conditionalFormatting sqref="A3:A26">
    <cfRule type="expression" dxfId="7" priority="50">
      <formula>$M3="OPEN"</formula>
    </cfRule>
  </conditionalFormatting>
  <conditionalFormatting sqref="A3:A26">
    <cfRule type="expression" dxfId="8" priority="51">
      <formula>$M3="CLOSED"</formula>
    </cfRule>
  </conditionalFormatting>
  <conditionalFormatting sqref="A3:A26">
    <cfRule type="expression" dxfId="5" priority="52">
      <formula>$O3="CLOSED"</formula>
    </cfRule>
  </conditionalFormatting>
  <conditionalFormatting sqref="A3:A26">
    <cfRule type="expression" dxfId="6" priority="53">
      <formula>$O3="OPEN"</formula>
    </cfRule>
  </conditionalFormatting>
  <conditionalFormatting sqref="A3:A26">
    <cfRule type="expression" dxfId="9" priority="54">
      <formula>$M3="OPEN"</formula>
    </cfRule>
  </conditionalFormatting>
  <conditionalFormatting sqref="A3:A26">
    <cfRule type="expression" dxfId="10" priority="55">
      <formula>$M3="CLOSED"</formula>
    </cfRule>
  </conditionalFormatting>
  <conditionalFormatting sqref="A3:A26">
    <cfRule type="expression" dxfId="7" priority="56">
      <formula>$N3="OPEN"</formula>
    </cfRule>
  </conditionalFormatting>
  <conditionalFormatting sqref="A3:A26">
    <cfRule type="expression" dxfId="8" priority="57">
      <formula>$N3="CLOSED"</formula>
    </cfRule>
  </conditionalFormatting>
  <conditionalFormatting sqref="A3:A26">
    <cfRule type="expression" dxfId="9" priority="58">
      <formula>$H7="OPEN"</formula>
    </cfRule>
  </conditionalFormatting>
  <conditionalFormatting sqref="A3:A26">
    <cfRule type="expression" dxfId="10" priority="59">
      <formula>$I3="CLOSED"</formula>
    </cfRule>
  </conditionalFormatting>
  <conditionalFormatting sqref="A3:A26">
    <cfRule type="expression" dxfId="10" priority="60">
      <formula>$H7="CLOSED"</formula>
    </cfRule>
  </conditionalFormatting>
  <conditionalFormatting sqref="A3:A26">
    <cfRule type="expression" dxfId="11" priority="61">
      <formula>$I3="OPEN"</formula>
    </cfRule>
  </conditionalFormatting>
  <conditionalFormatting sqref="A3:A26">
    <cfRule type="expression" dxfId="10" priority="62">
      <formula>$I3="CLOSED"</formula>
    </cfRule>
  </conditionalFormatting>
  <conditionalFormatting sqref="A3:A26">
    <cfRule type="expression" dxfId="11" priority="63">
      <formula>$I3="OPEN"</formula>
    </cfRule>
  </conditionalFormatting>
  <conditionalFormatting sqref="A3:A26">
    <cfRule type="expression" dxfId="5" priority="64">
      <formula>$M3="CLOSED"</formula>
    </cfRule>
  </conditionalFormatting>
  <conditionalFormatting sqref="A3:A26">
    <cfRule type="expression" dxfId="6" priority="65">
      <formula>$M3="OPEN"</formula>
    </cfRule>
  </conditionalFormatting>
  <conditionalFormatting sqref="A3:A26">
    <cfRule type="expression" dxfId="9" priority="66">
      <formula>$N3="OPEN"</formula>
    </cfRule>
  </conditionalFormatting>
  <conditionalFormatting sqref="A3:A26">
    <cfRule type="expression" dxfId="10" priority="67">
      <formula>$N3="CLOSED"</formula>
    </cfRule>
  </conditionalFormatting>
  <conditionalFormatting sqref="A3:A26">
    <cfRule type="expression" dxfId="7" priority="68">
      <formula>$O3="OPEN"</formula>
    </cfRule>
  </conditionalFormatting>
  <conditionalFormatting sqref="A3:A26">
    <cfRule type="expression" dxfId="8" priority="69">
      <formula>$O3="CLOSED"</formula>
    </cfRule>
  </conditionalFormatting>
  <conditionalFormatting sqref="A3:A26">
    <cfRule type="expression" dxfId="9" priority="70">
      <formula>$O3="OPEN"</formula>
    </cfRule>
  </conditionalFormatting>
  <conditionalFormatting sqref="A3:A26">
    <cfRule type="expression" dxfId="10" priority="71">
      <formula>$O3="CLOSED"</formula>
    </cfRule>
  </conditionalFormatting>
  <conditionalFormatting sqref="A3:A26">
    <cfRule type="expression" dxfId="9" priority="72">
      <formula>$H7="OPEN"</formula>
    </cfRule>
  </conditionalFormatting>
  <conditionalFormatting sqref="A3:A26">
    <cfRule type="expression" dxfId="10" priority="73">
      <formula>$H7="CLOSED"</formula>
    </cfRule>
  </conditionalFormatting>
  <conditionalFormatting sqref="A3:A26">
    <cfRule type="expression" dxfId="5" priority="74">
      <formula>$N3="CLOSED"</formula>
    </cfRule>
  </conditionalFormatting>
  <conditionalFormatting sqref="A3:A26">
    <cfRule type="expression" dxfId="6" priority="75">
      <formula>$N3="OPEN"</formula>
    </cfRule>
  </conditionalFormatting>
  <conditionalFormatting sqref="A3:A26">
    <cfRule type="expression" dxfId="11" priority="76">
      <formula>#REF!="OPEN"</formula>
    </cfRule>
  </conditionalFormatting>
  <conditionalFormatting sqref="A3:A26">
    <cfRule type="expression" dxfId="7" priority="77">
      <formula>#REF!="OPEN"</formula>
    </cfRule>
  </conditionalFormatting>
  <conditionalFormatting sqref="A3:A26">
    <cfRule type="expression" dxfId="8" priority="78">
      <formula>#REF!="CLOSED"</formula>
    </cfRule>
  </conditionalFormatting>
  <conditionalFormatting sqref="A3:A26">
    <cfRule type="expression" dxfId="9" priority="79">
      <formula>#REF!="OPEN"</formula>
    </cfRule>
  </conditionalFormatting>
  <conditionalFormatting sqref="A3:A26">
    <cfRule type="expression" dxfId="10" priority="80">
      <formula>#REF!="CLOSED"</formula>
    </cfRule>
  </conditionalFormatting>
  <conditionalFormatting sqref="A3:A23">
    <cfRule type="expression" dxfId="9" priority="81">
      <formula>#REF!="OPEN"</formula>
    </cfRule>
  </conditionalFormatting>
  <conditionalFormatting sqref="A3:A23">
    <cfRule type="expression" dxfId="10" priority="82">
      <formula>#REF!="CLOSED"</formula>
    </cfRule>
  </conditionalFormatting>
  <conditionalFormatting sqref="A3:A26">
    <cfRule type="expression" dxfId="5" priority="83">
      <formula>#REF!="CLOSED"</formula>
    </cfRule>
  </conditionalFormatting>
  <conditionalFormatting sqref="A3:A26">
    <cfRule type="expression" dxfId="6" priority="84">
      <formula>#REF!="OPEN"</formula>
    </cfRule>
  </conditionalFormatting>
  <conditionalFormatting sqref="A3:A23">
    <cfRule type="expression" dxfId="7" priority="85">
      <formula>#REF!="OPEN"</formula>
    </cfRule>
  </conditionalFormatting>
  <conditionalFormatting sqref="A3:A23">
    <cfRule type="expression" dxfId="8" priority="86">
      <formula>#REF!="CLOSED"</formula>
    </cfRule>
  </conditionalFormatting>
  <conditionalFormatting sqref="A3:A23">
    <cfRule type="expression" dxfId="9" priority="87">
      <formula>#REF!="OPEN"</formula>
    </cfRule>
  </conditionalFormatting>
  <conditionalFormatting sqref="A3:A23">
    <cfRule type="expression" dxfId="10" priority="88">
      <formula>#REF!="CLOSED"</formula>
    </cfRule>
  </conditionalFormatting>
  <conditionalFormatting sqref="A3:A23">
    <cfRule type="expression" dxfId="9" priority="89">
      <formula>#REF!="OPEN"</formula>
    </cfRule>
  </conditionalFormatting>
  <conditionalFormatting sqref="A3:A23">
    <cfRule type="expression" dxfId="10" priority="90">
      <formula>#REF!="CLOSED"</formula>
    </cfRule>
  </conditionalFormatting>
  <conditionalFormatting sqref="A3:A26">
    <cfRule type="expression" dxfId="10" priority="91">
      <formula>#REF!="CLOSED"</formula>
    </cfRule>
  </conditionalFormatting>
  <conditionalFormatting sqref="A3:A26">
    <cfRule type="expression" dxfId="11" priority="92">
      <formula>#REF!="OPEN"</formula>
    </cfRule>
  </conditionalFormatting>
  <conditionalFormatting sqref="A3:A23">
    <cfRule type="expression" dxfId="10" priority="93">
      <formula>#REF!="CLOSED"</formula>
    </cfRule>
  </conditionalFormatting>
  <conditionalFormatting sqref="A3:A23">
    <cfRule type="expression" dxfId="11" priority="94">
      <formula>#REF!="OPEN"</formula>
    </cfRule>
  </conditionalFormatting>
  <conditionalFormatting sqref="A3:A23">
    <cfRule type="expression" dxfId="5" priority="95">
      <formula>#REF!="CLOSED"</formula>
    </cfRule>
  </conditionalFormatting>
  <conditionalFormatting sqref="A3:A23">
    <cfRule type="expression" dxfId="6" priority="96">
      <formula>#REF!="OPEN"</formula>
    </cfRule>
  </conditionalFormatting>
  <conditionalFormatting sqref="A3:A23">
    <cfRule type="expression" dxfId="7" priority="97">
      <formula>#REF!="OPEN"</formula>
    </cfRule>
  </conditionalFormatting>
  <conditionalFormatting sqref="A3:A23">
    <cfRule type="expression" dxfId="8" priority="98">
      <formula>#REF!="CLOSED"</formula>
    </cfRule>
  </conditionalFormatting>
  <conditionalFormatting sqref="A3:A23">
    <cfRule type="expression" dxfId="9" priority="99">
      <formula>#REF!="OPEN"</formula>
    </cfRule>
  </conditionalFormatting>
  <conditionalFormatting sqref="A3:A23">
    <cfRule type="expression" dxfId="10" priority="100">
      <formula>#REF!="CLOSED"</formula>
    </cfRule>
  </conditionalFormatting>
  <conditionalFormatting sqref="A3:A23">
    <cfRule type="expression" dxfId="9" priority="101">
      <formula>#REF!="OPEN"</formula>
    </cfRule>
  </conditionalFormatting>
  <conditionalFormatting sqref="A3:A23">
    <cfRule type="expression" dxfId="10" priority="102">
      <formula>#REF!="CLOSED"</formula>
    </cfRule>
  </conditionalFormatting>
  <conditionalFormatting sqref="A3:A23">
    <cfRule type="expression" dxfId="10" priority="103">
      <formula>#REF!="CLOSED"</formula>
    </cfRule>
  </conditionalFormatting>
  <conditionalFormatting sqref="A3:A23">
    <cfRule type="expression" dxfId="11" priority="104">
      <formula>#REF!="OPEN"</formula>
    </cfRule>
  </conditionalFormatting>
  <conditionalFormatting sqref="A3:A23">
    <cfRule type="expression" dxfId="10" priority="105">
      <formula>#REF!="CLOSED"</formula>
    </cfRule>
  </conditionalFormatting>
  <conditionalFormatting sqref="A3:A23">
    <cfRule type="expression" dxfId="11" priority="106">
      <formula>#REF!="OPEN"</formula>
    </cfRule>
  </conditionalFormatting>
  <conditionalFormatting sqref="A3:A23">
    <cfRule type="expression" dxfId="9" priority="107">
      <formula>#REF!="OPEN"</formula>
    </cfRule>
  </conditionalFormatting>
  <conditionalFormatting sqref="A3:A23">
    <cfRule type="expression" dxfId="10" priority="108">
      <formula>#REF!="CLOSED"</formula>
    </cfRule>
  </conditionalFormatting>
  <conditionalFormatting sqref="A3:A23">
    <cfRule type="expression" dxfId="5" priority="109">
      <formula>#REF!="CLOSED"</formula>
    </cfRule>
  </conditionalFormatting>
  <conditionalFormatting sqref="A3:A23">
    <cfRule type="expression" dxfId="6" priority="110">
      <formula>#REF!="OPEN"</formula>
    </cfRule>
  </conditionalFormatting>
  <conditionalFormatting sqref="A3:A23">
    <cfRule type="expression" dxfId="7" priority="111">
      <formula>#REF!="OPEN"</formula>
    </cfRule>
  </conditionalFormatting>
  <conditionalFormatting sqref="A3:A23">
    <cfRule type="expression" dxfId="8" priority="112">
      <formula>#REF!="CLOSED"</formula>
    </cfRule>
  </conditionalFormatting>
  <conditionalFormatting sqref="A3:A23">
    <cfRule type="expression" dxfId="9" priority="113">
      <formula>#REF!="OPEN"</formula>
    </cfRule>
  </conditionalFormatting>
  <conditionalFormatting sqref="A3:A23">
    <cfRule type="expression" dxfId="10" priority="114">
      <formula>#REF!="CLOSED"</formula>
    </cfRule>
  </conditionalFormatting>
  <conditionalFormatting sqref="A3:A23">
    <cfRule type="expression" dxfId="7" priority="115">
      <formula>#REF!="OPEN"</formula>
    </cfRule>
  </conditionalFormatting>
  <conditionalFormatting sqref="A3:A23">
    <cfRule type="expression" dxfId="8" priority="116">
      <formula>#REF!="CLOSED"</formula>
    </cfRule>
  </conditionalFormatting>
  <conditionalFormatting sqref="A3:A23">
    <cfRule type="expression" dxfId="5" priority="117">
      <formula>#REF!="CLOSED"</formula>
    </cfRule>
  </conditionalFormatting>
  <conditionalFormatting sqref="A3:A23">
    <cfRule type="expression" dxfId="6" priority="118">
      <formula>#REF!="OPEN"</formula>
    </cfRule>
  </conditionalFormatting>
  <conditionalFormatting sqref="A3:A23">
    <cfRule type="expression" dxfId="9" priority="119">
      <formula>#REF!="OPEN"</formula>
    </cfRule>
  </conditionalFormatting>
  <conditionalFormatting sqref="A3:A23">
    <cfRule type="expression" dxfId="10" priority="120">
      <formula>#REF!="CLOSED"</formula>
    </cfRule>
  </conditionalFormatting>
  <conditionalFormatting sqref="A3:A23">
    <cfRule type="expression" dxfId="10" priority="121">
      <formula>#REF!="CLOSED"</formula>
    </cfRule>
  </conditionalFormatting>
  <conditionalFormatting sqref="A3:A23">
    <cfRule type="expression" dxfId="11" priority="122">
      <formula>#REF!="OPEN"</formula>
    </cfRule>
  </conditionalFormatting>
  <conditionalFormatting sqref="A3:A26">
    <cfRule type="expression" dxfId="12" priority="123">
      <formula>#REF!="OPEN"</formula>
    </cfRule>
  </conditionalFormatting>
  <conditionalFormatting sqref="A3:A26">
    <cfRule type="expression" dxfId="13" priority="124">
      <formula>#REF!="CLOSED"</formula>
    </cfRule>
  </conditionalFormatting>
  <conditionalFormatting sqref="A3:A26">
    <cfRule type="expression" dxfId="7" priority="125">
      <formula>#REF!="OPEN"</formula>
    </cfRule>
  </conditionalFormatting>
  <conditionalFormatting sqref="A3:A23">
    <cfRule type="expression" dxfId="9" priority="126">
      <formula>#REF!="OPEN"</formula>
    </cfRule>
  </conditionalFormatting>
  <conditionalFormatting sqref="A3:A23">
    <cfRule type="expression" dxfId="10" priority="127">
      <formula>#REF!="CLOSED"</formula>
    </cfRule>
  </conditionalFormatting>
  <conditionalFormatting sqref="A3:A23">
    <cfRule type="expression" dxfId="5" priority="128">
      <formula>#REF!="CLOSED"</formula>
    </cfRule>
  </conditionalFormatting>
  <conditionalFormatting sqref="A3:A23">
    <cfRule type="expression" dxfId="6" priority="129">
      <formula>#REF!="OPEN"</formula>
    </cfRule>
  </conditionalFormatting>
  <conditionalFormatting sqref="A3:A23">
    <cfRule type="expression" dxfId="11" priority="130">
      <formula>#REF!="OPEN"</formula>
    </cfRule>
  </conditionalFormatting>
  <conditionalFormatting sqref="A3:A23">
    <cfRule type="expression" dxfId="10" priority="131">
      <formula>#REF!="CLOSED"</formula>
    </cfRule>
  </conditionalFormatting>
  <conditionalFormatting sqref="A3:A23">
    <cfRule type="expression" dxfId="11" priority="132">
      <formula>#REF!="OPEN"</formula>
    </cfRule>
  </conditionalFormatting>
  <conditionalFormatting sqref="A3:A23">
    <cfRule type="expression" dxfId="10" priority="133">
      <formula>#REF!="CLOSED"</formula>
    </cfRule>
  </conditionalFormatting>
  <conditionalFormatting sqref="A3:A23">
    <cfRule type="expression" dxfId="11" priority="134">
      <formula>#REF!="OPEN"</formula>
    </cfRule>
  </conditionalFormatting>
  <conditionalFormatting sqref="A3:A23">
    <cfRule type="expression" dxfId="9" priority="135">
      <formula>#REF!="OPEN"</formula>
    </cfRule>
  </conditionalFormatting>
  <conditionalFormatting sqref="A3:A23">
    <cfRule type="expression" dxfId="10" priority="136">
      <formula>#REF!="CLOSED"</formula>
    </cfRule>
  </conditionalFormatting>
  <conditionalFormatting sqref="A3:A23">
    <cfRule type="expression" dxfId="5" priority="137">
      <formula>#REF!="CLOSED"</formula>
    </cfRule>
  </conditionalFormatting>
  <conditionalFormatting sqref="A3:A23">
    <cfRule type="expression" dxfId="6" priority="138">
      <formula>#REF!="OPEN"</formula>
    </cfRule>
  </conditionalFormatting>
  <conditionalFormatting sqref="A3:A23">
    <cfRule type="expression" dxfId="7" priority="139">
      <formula>#REF!="OPEN"</formula>
    </cfRule>
  </conditionalFormatting>
  <conditionalFormatting sqref="A3:A23">
    <cfRule type="expression" dxfId="8" priority="140">
      <formula>#REF!="CLOSED"</formula>
    </cfRule>
  </conditionalFormatting>
  <conditionalFormatting sqref="A3:A23">
    <cfRule type="expression" dxfId="9" priority="141">
      <formula>#REF!="OPEN"</formula>
    </cfRule>
  </conditionalFormatting>
  <conditionalFormatting sqref="A3:A23">
    <cfRule type="expression" dxfId="10" priority="142">
      <formula>#REF!="CLOSED"</formula>
    </cfRule>
  </conditionalFormatting>
  <conditionalFormatting sqref="A3:A23">
    <cfRule type="expression" dxfId="5" priority="143">
      <formula>#REF!="CLOSED"</formula>
    </cfRule>
  </conditionalFormatting>
  <conditionalFormatting sqref="A3:A23">
    <cfRule type="expression" dxfId="6" priority="144">
      <formula>#REF!="OPEN"</formula>
    </cfRule>
  </conditionalFormatting>
  <conditionalFormatting sqref="A3:A23">
    <cfRule type="expression" dxfId="5" priority="145">
      <formula>#REF!="CLOSED"</formula>
    </cfRule>
  </conditionalFormatting>
  <conditionalFormatting sqref="A3:A23">
    <cfRule type="expression" dxfId="6" priority="146">
      <formula>#REF!="OPEN"</formula>
    </cfRule>
  </conditionalFormatting>
  <conditionalFormatting sqref="A3:A23">
    <cfRule type="expression" dxfId="7" priority="147">
      <formula>#REF!="OPEN"</formula>
    </cfRule>
  </conditionalFormatting>
  <conditionalFormatting sqref="A3:A23">
    <cfRule type="expression" dxfId="8" priority="148">
      <formula>#REF!="CLOSED"</formula>
    </cfRule>
  </conditionalFormatting>
  <conditionalFormatting sqref="A3:A23">
    <cfRule type="expression" dxfId="9" priority="149">
      <formula>#REF!="OPEN"</formula>
    </cfRule>
  </conditionalFormatting>
  <conditionalFormatting sqref="A3:A23">
    <cfRule type="expression" dxfId="10" priority="150">
      <formula>#REF!="CLOSED"</formula>
    </cfRule>
  </conditionalFormatting>
  <conditionalFormatting sqref="A3:A23">
    <cfRule type="expression" dxfId="7" priority="151">
      <formula>#REF!="OPEN"</formula>
    </cfRule>
  </conditionalFormatting>
  <conditionalFormatting sqref="A3:A23">
    <cfRule type="expression" dxfId="8" priority="152">
      <formula>#REF!="CLOSED"</formula>
    </cfRule>
  </conditionalFormatting>
  <conditionalFormatting sqref="A3:A23">
    <cfRule type="expression" dxfId="9" priority="153">
      <formula>#REF!="OPEN"</formula>
    </cfRule>
  </conditionalFormatting>
  <conditionalFormatting sqref="A3:A23">
    <cfRule type="expression" dxfId="10" priority="154">
      <formula>#REF!="CLOSED"</formula>
    </cfRule>
  </conditionalFormatting>
  <conditionalFormatting sqref="A3:A23">
    <cfRule type="expression" dxfId="9" priority="155">
      <formula>#REF!="OPEN"</formula>
    </cfRule>
  </conditionalFormatting>
  <conditionalFormatting sqref="A3:A23">
    <cfRule type="expression" dxfId="10" priority="156">
      <formula>#REF!="CLOSED"</formula>
    </cfRule>
  </conditionalFormatting>
  <conditionalFormatting sqref="A3:A23">
    <cfRule type="expression" dxfId="9" priority="157">
      <formula>#REF!="OPEN"</formula>
    </cfRule>
  </conditionalFormatting>
  <conditionalFormatting sqref="A3:A23">
    <cfRule type="expression" dxfId="10" priority="158">
      <formula>#REF!="CLOSED"</formula>
    </cfRule>
  </conditionalFormatting>
  <conditionalFormatting sqref="A3:A23">
    <cfRule type="expression" dxfId="7" priority="159">
      <formula>#REF!="OPEN"</formula>
    </cfRule>
  </conditionalFormatting>
  <conditionalFormatting sqref="A3:A23">
    <cfRule type="expression" dxfId="8" priority="160">
      <formula>#REF!="CLOSED"</formula>
    </cfRule>
  </conditionalFormatting>
  <conditionalFormatting sqref="A3:A23">
    <cfRule type="expression" dxfId="7" priority="161">
      <formula>#REF!="OPEN"</formula>
    </cfRule>
  </conditionalFormatting>
  <conditionalFormatting sqref="A3:A23">
    <cfRule type="expression" dxfId="8" priority="162">
      <formula>#REF!="CLOSED"</formula>
    </cfRule>
  </conditionalFormatting>
  <conditionalFormatting sqref="A3:A23">
    <cfRule type="expression" dxfId="7" priority="163">
      <formula>#REF!="OPEN"</formula>
    </cfRule>
  </conditionalFormatting>
  <conditionalFormatting sqref="A3:A23">
    <cfRule type="expression" dxfId="8" priority="164">
      <formula>#REF!="CLOSED"</formula>
    </cfRule>
  </conditionalFormatting>
  <conditionalFormatting sqref="A3:A23">
    <cfRule type="expression" dxfId="7" priority="165">
      <formula>#REF!="OPEN"</formula>
    </cfRule>
  </conditionalFormatting>
  <conditionalFormatting sqref="A3:A23">
    <cfRule type="expression" dxfId="8" priority="166">
      <formula>#REF!="CLOSED"</formula>
    </cfRule>
  </conditionalFormatting>
  <conditionalFormatting sqref="A3:A23">
    <cfRule type="expression" dxfId="9" priority="167">
      <formula>#REF!="OPEN"</formula>
    </cfRule>
  </conditionalFormatting>
  <conditionalFormatting sqref="A3:A23">
    <cfRule type="expression" dxfId="10" priority="168">
      <formula>#REF!="CLOSED"</formula>
    </cfRule>
  </conditionalFormatting>
  <conditionalFormatting sqref="A3:A23">
    <cfRule type="expression" dxfId="9" priority="169">
      <formula>#REF!="OPEN"</formula>
    </cfRule>
  </conditionalFormatting>
  <conditionalFormatting sqref="A3:A23">
    <cfRule type="expression" dxfId="10" priority="170">
      <formula>#REF!="CLOSED"</formula>
    </cfRule>
  </conditionalFormatting>
  <conditionalFormatting sqref="A3:A23">
    <cfRule type="expression" dxfId="5" priority="171">
      <formula>#REF!="CLOSED"</formula>
    </cfRule>
  </conditionalFormatting>
  <conditionalFormatting sqref="A3:A23">
    <cfRule type="expression" dxfId="6" priority="172">
      <formula>#REF!="OPEN"</formula>
    </cfRule>
  </conditionalFormatting>
  <conditionalFormatting sqref="A3:A23">
    <cfRule type="expression" dxfId="5" priority="173">
      <formula>#REF!="CLOSED"</formula>
    </cfRule>
  </conditionalFormatting>
  <conditionalFormatting sqref="A3:A23">
    <cfRule type="expression" dxfId="6" priority="174">
      <formula>#REF!="OPEN"</formula>
    </cfRule>
  </conditionalFormatting>
  <conditionalFormatting sqref="A3:A23">
    <cfRule type="expression" dxfId="5" priority="175">
      <formula>#REF!="CLOSED"</formula>
    </cfRule>
  </conditionalFormatting>
  <conditionalFormatting sqref="A3:A23">
    <cfRule type="expression" dxfId="6" priority="176">
      <formula>#REF!="OPEN"</formula>
    </cfRule>
  </conditionalFormatting>
  <conditionalFormatting sqref="A3:A23">
    <cfRule type="expression" dxfId="9" priority="177">
      <formula>#REF!="OPEN"</formula>
    </cfRule>
  </conditionalFormatting>
  <conditionalFormatting sqref="A3:A23">
    <cfRule type="expression" dxfId="10" priority="178">
      <formula>#REF!="CLOSED"</formula>
    </cfRule>
  </conditionalFormatting>
  <conditionalFormatting sqref="A3:A23">
    <cfRule type="expression" dxfId="10" priority="179">
      <formula>#REF!="CLOSED"</formula>
    </cfRule>
  </conditionalFormatting>
  <conditionalFormatting sqref="A3:A23">
    <cfRule type="expression" dxfId="11" priority="180">
      <formula>#REF!="OPEN"</formula>
    </cfRule>
  </conditionalFormatting>
  <conditionalFormatting sqref="A3:A23">
    <cfRule type="expression" dxfId="9" priority="181">
      <formula>#REF!="OPEN"</formula>
    </cfRule>
  </conditionalFormatting>
  <conditionalFormatting sqref="A3:A23">
    <cfRule type="expression" dxfId="10" priority="182">
      <formula>#REF!="CLOSED"</formula>
    </cfRule>
  </conditionalFormatting>
  <conditionalFormatting sqref="A3:A23">
    <cfRule type="expression" dxfId="9" priority="183">
      <formula>#REF!="OPEN"</formula>
    </cfRule>
  </conditionalFormatting>
  <conditionalFormatting sqref="A3:A23">
    <cfRule type="expression" dxfId="10" priority="184">
      <formula>#REF!="CLOSED"</formula>
    </cfRule>
  </conditionalFormatting>
  <conditionalFormatting sqref="A3:A23">
    <cfRule type="expression" dxfId="5" priority="185">
      <formula>#REF!="CLOSED"</formula>
    </cfRule>
  </conditionalFormatting>
  <conditionalFormatting sqref="A3:A23">
    <cfRule type="expression" dxfId="6" priority="186">
      <formula>#REF!="OPEN"</formula>
    </cfRule>
  </conditionalFormatting>
  <conditionalFormatting sqref="A3:J762">
    <cfRule type="expression" dxfId="9" priority="187">
      <formula>$I3="OPEN"</formula>
    </cfRule>
  </conditionalFormatting>
  <conditionalFormatting sqref="A3:J762">
    <cfRule type="expression" dxfId="10" priority="188">
      <formula>$I3="CLOSED"</formula>
    </cfRule>
  </conditionalFormatting>
  <dataValidations>
    <dataValidation type="list" allowBlank="1" sqref="I3:I762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3">
        <v>46287.0</v>
      </c>
      <c r="C1" s="5"/>
      <c r="D1" s="6"/>
      <c r="E1" s="6"/>
      <c r="F1" s="6"/>
      <c r="G1" s="8"/>
      <c r="H1" s="8"/>
      <c r="I1" s="6"/>
      <c r="J1" s="6"/>
      <c r="K1" s="6"/>
      <c r="L1" s="6"/>
      <c r="M1" s="6"/>
      <c r="N1" s="8"/>
      <c r="O1" s="8"/>
      <c r="P1" s="6"/>
      <c r="Q1" s="6"/>
      <c r="R1" s="8"/>
      <c r="S1" s="6"/>
      <c r="T1" s="6"/>
      <c r="U1" s="6"/>
      <c r="V1" s="12"/>
    </row>
    <row r="2">
      <c r="A2" s="14" t="s">
        <v>2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4" t="s">
        <v>9</v>
      </c>
      <c r="H2" s="14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6" t="s">
        <v>16</v>
      </c>
      <c r="N2" s="14" t="s">
        <v>17</v>
      </c>
      <c r="O2" s="14" t="s">
        <v>18</v>
      </c>
      <c r="P2" s="16" t="s">
        <v>19</v>
      </c>
      <c r="Q2" s="16" t="s">
        <v>20</v>
      </c>
      <c r="R2" s="14" t="s">
        <v>21</v>
      </c>
      <c r="S2" s="20" t="s">
        <v>23</v>
      </c>
      <c r="T2" s="20" t="s">
        <v>26</v>
      </c>
      <c r="U2" s="20" t="s">
        <v>28</v>
      </c>
      <c r="V2" s="21"/>
    </row>
    <row r="3">
      <c r="A3" s="22">
        <v>46283.0</v>
      </c>
      <c r="B3" s="25" t="s">
        <v>32</v>
      </c>
      <c r="C3" s="26" t="s">
        <v>33</v>
      </c>
      <c r="D3" s="25" t="s">
        <v>34</v>
      </c>
      <c r="E3" s="28" t="s">
        <v>35</v>
      </c>
      <c r="F3" s="28" t="s">
        <v>36</v>
      </c>
      <c r="G3" s="22">
        <v>46273.0</v>
      </c>
      <c r="H3" s="22">
        <v>46394.0</v>
      </c>
      <c r="I3" s="35"/>
      <c r="J3" s="35"/>
      <c r="K3" s="25" t="s">
        <v>49</v>
      </c>
      <c r="L3" s="25" t="s">
        <v>50</v>
      </c>
      <c r="M3" s="25" t="s">
        <v>51</v>
      </c>
      <c r="N3" s="22" t="s">
        <v>52</v>
      </c>
      <c r="O3" s="22">
        <v>46287.0</v>
      </c>
      <c r="P3" s="35"/>
      <c r="Q3" s="25" t="s">
        <v>56</v>
      </c>
      <c r="R3" s="46"/>
      <c r="S3" s="22" t="str">
        <f t="shared" ref="S3:S31" si="1">IFNA(IFS(COUNTIFS('List AC'!$A:$A,$C3)&gt;0,'List AC'!$A$2,COUNTIFS('List AC'!$B:$B,$C3)&gt;0,'List AC'!$B$2,COUNTIFS('List AC'!$C:$C,$C3)&gt;0,'List AC'!$C$2,COUNTIFS('List AC'!$D:$D,$C3)&gt;0,'List AC'!$D$2,COUNTIFS('List AC'!$E:$E,$C3)&gt;0,'List AC'!$E$2,COUNTIFS('List AC'!$F:$F,$C3)&gt;0,'List AC'!$F$2,COUNTIFS('List AC'!$G:$G,$C3)&gt;0,'List AC'!$G$2,COUNTIFS('List AC'!$H:$H,$C3)&gt;0,'List AC'!$H$2,COUNTIFS('List AC'!$I:$I,$C3)&gt;0,'List AC'!$I$2,COUNTIFS('List AC'!$J:$J,$C3)&gt;0,'List AC'!$J$2,COUNTIFS('List AC'!$K:$K,$C3)&gt;0,'List AC'!$K$2,COUNTIFS('List AC'!$L:$L,$C3)&gt;0,'List AC'!$L$2,COUNTIFS('List AC'!$Q:$Q,$C3)&gt;0,'List AC'!$Q$2,COUNTIFS('List AC'!$M:$M,$C3)&gt;0,'List AC'!$M$2,COUNTIFS('List AC'!$N:$N,$C3)&gt;0,'List AC'!$N$2,COUNTIFS('List AC'!$O:$O,$C3)&gt;0,'List AC'!$O$2,COUNTIFS('List AC'!$P:$P,$C3)&gt;0,'List AC'!$P$2,COUNTIFS('List AC'!$R:$R,$C3)&gt;0,'List AC'!$R$2,COUNTIFS('List AC'!$S:$S,$C3)&gt;0,'List AC'!$S$2,COUNTIFS('List AC'!$T:$T,$C3)&gt;0,'List AC'!$T$2,COUNTIFS('List AC'!$U:$U,$C3)&gt;0,'List AC'!$U$2,COUNTIFS('List AC'!$V:$V,$C3)&gt;0,'List AC'!$V$2,COUNTIFS('List AC'!$W:$W,$C3)&gt;0,'List AC'!$W$2,COUNTIFS('List AC'!$X:$X,$C3)&gt;0,'List AC'!$X$2,COUNTIFS('List AC'!$Y:$Y,$C3)&gt;0,'List AC'!$Y$2,COUNTIFS('List AC'!$Z:$Z,$C3)&gt;0,'List AC'!$Z$2,COUNTIFS('List AC'!$AA:$AA,$C3)&gt;0,'List AC'!$AA$2,COUNTIFS('List AC'!$AB:$AB,$C3)&gt;0,'List AC'!$AB$2,COUNTIFS('List AC'!$AC:$AC,$C3)&gt;0,'List AC'!$AC$2,COUNTIFS('List AC'!$AD:$AD,$C3)&gt;0,'List AC'!$AD$2,COUNTIFS('List AC'!$AE:$AE,$C3)&gt;0,'List AC'!$AE$2,COUNTIFS('List AC'!$AF:$AF,$C3)&gt;0,'List AC'!$AF$2,COUNTIFS('List AC'!$AG:$AG,$C3)&gt;0,'List AC'!$AG$2,COUNTIFS('List AC'!$AH:$AH,$C3)&gt;0,'List AC'!$AH$2,COUNTIFS('List AC'!$AI:$AI,$C3)&gt;0,'List AC'!$AI$2,COUNTIFS('List AC'!$AJ:$AJ,$C3)&gt;0,'List AC'!$AJ$2,COUNTIFS('List AC'!$AK:$AK,$C3)&gt;0,'List AC'!$AK$2,COUNTIFS('List AC'!$AL:$AL,$C3)&gt;0,'List AC'!$AL$2,COUNTIFS('List AC'!$AM:$AM,$C3)&gt;0,'List AC'!$AM$2,COUNTIFS('List AC'!$AN:$AN,$C3)&gt;0,'List AC'!$AN$2,COUNTIFS('List AC'!$AO:$AO,$C3)&gt;0,'List AC'!$AO$2,COUNTIFS('List AC'!$AP:$AP,$C3)&gt;0,'List AC'!$AP$2,COUNTIFS('List AC'!$AQ:$AQ,$C3)&gt;0,'List AC'!$AQ$2,COUNTIFS('List AC'!$AR:$AR,$C3)&gt;0,'List AC'!$AR$2,COUNTIFS('List AC'!$AS:$AS,$C3)&gt;0,'List AC'!$AS$2,COUNTIFS('List AC'!$AT:$AT,$C3)&gt;0,'List AC'!$AT$2,COUNTIFS('List AC'!$AU:$AU,$C3)&gt;0,'List AC'!$AU$2,COUNTIFS('List AC'!$AV:$AV,$C3)&gt;0,'List AC'!$AV$2,COUNTIFS('List AC'!$AW:$AW,$C3)&gt;0,'List AC'!$AW$2,COUNTIFS('List AC'!$AX:$AX,$C3)&gt;0,'List AC'!$AX$2,COUNTIFS('List AC'!$AY:$AY,$C3)&gt;0,'List AC'!$AY$2,COUNTIFS('List AC'!$AZ:$AZ,$C3)&gt;0,'List AC'!$AZ$2,COUNTIFS('List AC'!$BA:$BA,$C3)&gt;0,'List AC'!$BA$2,COUNTIFS('List AC'!$BB:$BB,$C3)&gt;0,'List AC'!$BB$2,COUNTIFS('List AC'!$BC:$BC,$C3)&gt;0,'List AC'!$BC$2,COUNTIFS('List AC'!$BD:$BD,$C3)&gt;0,'List AC'!$BD$2),"")</f>
        <v/>
      </c>
      <c r="T3" s="35"/>
      <c r="U3" s="35"/>
      <c r="V3" s="89"/>
    </row>
    <row r="4">
      <c r="A4" s="22">
        <v>46283.0</v>
      </c>
      <c r="B4" s="25" t="s">
        <v>155</v>
      </c>
      <c r="C4" s="25" t="s">
        <v>157</v>
      </c>
      <c r="D4" s="25" t="s">
        <v>158</v>
      </c>
      <c r="E4" s="28" t="s">
        <v>159</v>
      </c>
      <c r="F4" s="28" t="s">
        <v>160</v>
      </c>
      <c r="G4" s="22">
        <v>46218.0</v>
      </c>
      <c r="H4" s="22">
        <v>46338.0</v>
      </c>
      <c r="I4" s="91" t="s">
        <v>161</v>
      </c>
      <c r="J4" s="28" t="s">
        <v>162</v>
      </c>
      <c r="K4" s="25" t="s">
        <v>49</v>
      </c>
      <c r="L4" s="25" t="s">
        <v>50</v>
      </c>
      <c r="M4" s="25" t="s">
        <v>51</v>
      </c>
      <c r="N4" s="22" t="s">
        <v>43</v>
      </c>
      <c r="O4" s="22">
        <v>46287.0</v>
      </c>
      <c r="P4" s="28" t="s">
        <v>166</v>
      </c>
      <c r="Q4" s="25" t="s">
        <v>56</v>
      </c>
      <c r="R4" s="22">
        <v>46287.0</v>
      </c>
      <c r="S4" s="22" t="str">
        <f t="shared" si="1"/>
        <v/>
      </c>
      <c r="T4" s="35"/>
      <c r="U4" s="35"/>
      <c r="V4" s="92"/>
    </row>
    <row r="5">
      <c r="A5" s="22">
        <v>46283.0</v>
      </c>
      <c r="B5" s="25" t="s">
        <v>180</v>
      </c>
      <c r="C5" s="25" t="s">
        <v>181</v>
      </c>
      <c r="D5" s="25" t="s">
        <v>197</v>
      </c>
      <c r="E5" s="28" t="s">
        <v>198</v>
      </c>
      <c r="F5" s="28" t="s">
        <v>160</v>
      </c>
      <c r="G5" s="22">
        <v>46281.0</v>
      </c>
      <c r="H5" s="22">
        <v>46401.0</v>
      </c>
      <c r="I5" s="28" t="s">
        <v>199</v>
      </c>
      <c r="J5" s="28" t="s">
        <v>200</v>
      </c>
      <c r="K5" s="25" t="s">
        <v>49</v>
      </c>
      <c r="L5" s="25" t="s">
        <v>178</v>
      </c>
      <c r="M5" s="25" t="s">
        <v>143</v>
      </c>
      <c r="N5" s="22" t="s">
        <v>43</v>
      </c>
      <c r="O5" s="22">
        <v>46287.0</v>
      </c>
      <c r="P5" s="28" t="s">
        <v>202</v>
      </c>
      <c r="Q5" s="25" t="s">
        <v>56</v>
      </c>
      <c r="R5" s="22">
        <v>46287.0</v>
      </c>
      <c r="S5" s="22" t="str">
        <f t="shared" si="1"/>
        <v/>
      </c>
      <c r="T5" s="35"/>
      <c r="U5" s="93"/>
      <c r="V5" s="94"/>
    </row>
    <row r="6">
      <c r="A6" s="22">
        <v>46283.0</v>
      </c>
      <c r="B6" s="25" t="s">
        <v>203</v>
      </c>
      <c r="C6" s="25" t="s">
        <v>211</v>
      </c>
      <c r="D6" s="25" t="s">
        <v>212</v>
      </c>
      <c r="E6" s="28" t="s">
        <v>213</v>
      </c>
      <c r="F6" s="28" t="s">
        <v>160</v>
      </c>
      <c r="G6" s="22">
        <v>46279.0</v>
      </c>
      <c r="H6" s="22">
        <v>46399.0</v>
      </c>
      <c r="I6" s="35"/>
      <c r="J6" s="35"/>
      <c r="K6" s="25" t="s">
        <v>215</v>
      </c>
      <c r="L6" s="25" t="s">
        <v>178</v>
      </c>
      <c r="M6" s="25" t="s">
        <v>143</v>
      </c>
      <c r="N6" s="22" t="s">
        <v>43</v>
      </c>
      <c r="O6" s="22">
        <v>46287.0</v>
      </c>
      <c r="P6" s="28" t="s">
        <v>216</v>
      </c>
      <c r="Q6" s="25" t="s">
        <v>56</v>
      </c>
      <c r="R6" s="22">
        <v>46287.0</v>
      </c>
      <c r="S6" s="22" t="str">
        <f t="shared" si="1"/>
        <v/>
      </c>
      <c r="T6" s="35"/>
      <c r="U6" s="35"/>
      <c r="V6" s="94"/>
    </row>
    <row r="7">
      <c r="A7" s="95">
        <v>46283.0</v>
      </c>
      <c r="B7" s="96" t="s">
        <v>175</v>
      </c>
      <c r="C7" s="96" t="s">
        <v>231</v>
      </c>
      <c r="D7" s="96" t="s">
        <v>232</v>
      </c>
      <c r="E7" s="97" t="s">
        <v>233</v>
      </c>
      <c r="F7" s="97" t="s">
        <v>36</v>
      </c>
      <c r="G7" s="95">
        <v>46266.0</v>
      </c>
      <c r="H7" s="99"/>
      <c r="I7" s="100"/>
      <c r="J7" s="100"/>
      <c r="K7" s="96" t="s">
        <v>215</v>
      </c>
      <c r="L7" s="96" t="s">
        <v>178</v>
      </c>
      <c r="M7" s="96" t="s">
        <v>51</v>
      </c>
      <c r="N7" s="95" t="s">
        <v>43</v>
      </c>
      <c r="O7" s="95">
        <v>46287.0</v>
      </c>
      <c r="P7" s="100"/>
      <c r="Q7" s="96" t="s">
        <v>47</v>
      </c>
      <c r="R7" s="99"/>
      <c r="S7" s="95" t="str">
        <f t="shared" si="1"/>
        <v/>
      </c>
      <c r="T7" s="97" t="s">
        <v>249</v>
      </c>
      <c r="U7" s="96" t="s">
        <v>251</v>
      </c>
      <c r="V7" s="94"/>
    </row>
    <row r="8">
      <c r="A8" s="22">
        <v>46283.0</v>
      </c>
      <c r="B8" s="25" t="s">
        <v>155</v>
      </c>
      <c r="C8" s="25" t="s">
        <v>253</v>
      </c>
      <c r="D8" s="25" t="s">
        <v>254</v>
      </c>
      <c r="E8" s="28" t="s">
        <v>255</v>
      </c>
      <c r="F8" s="28" t="s">
        <v>160</v>
      </c>
      <c r="G8" s="22">
        <v>46273.0</v>
      </c>
      <c r="H8" s="22">
        <v>46273.0</v>
      </c>
      <c r="I8" s="35"/>
      <c r="J8" s="35"/>
      <c r="K8" s="25" t="s">
        <v>215</v>
      </c>
      <c r="L8" s="25" t="s">
        <v>50</v>
      </c>
      <c r="M8" s="25" t="s">
        <v>51</v>
      </c>
      <c r="N8" s="22" t="s">
        <v>75</v>
      </c>
      <c r="O8" s="22">
        <v>46287.0</v>
      </c>
      <c r="P8" s="28" t="s">
        <v>216</v>
      </c>
      <c r="Q8" s="25" t="s">
        <v>56</v>
      </c>
      <c r="R8" s="46"/>
      <c r="S8" s="26" t="str">
        <f t="shared" si="1"/>
        <v/>
      </c>
      <c r="T8" s="35"/>
      <c r="U8" s="35"/>
      <c r="V8" s="94"/>
    </row>
    <row r="9">
      <c r="A9" s="22">
        <v>46283.0</v>
      </c>
      <c r="B9" s="25" t="s">
        <v>155</v>
      </c>
      <c r="C9" s="25" t="s">
        <v>253</v>
      </c>
      <c r="D9" s="25" t="s">
        <v>270</v>
      </c>
      <c r="E9" s="28" t="s">
        <v>271</v>
      </c>
      <c r="F9" s="28" t="s">
        <v>160</v>
      </c>
      <c r="G9" s="22">
        <v>46278.0</v>
      </c>
      <c r="H9" s="46"/>
      <c r="I9" s="28" t="s">
        <v>272</v>
      </c>
      <c r="J9" s="28" t="s">
        <v>273</v>
      </c>
      <c r="K9" s="25" t="s">
        <v>49</v>
      </c>
      <c r="L9" s="25" t="s">
        <v>50</v>
      </c>
      <c r="M9" s="25" t="s">
        <v>51</v>
      </c>
      <c r="N9" s="22" t="s">
        <v>75</v>
      </c>
      <c r="O9" s="22">
        <v>46287.0</v>
      </c>
      <c r="P9" s="28" t="s">
        <v>275</v>
      </c>
      <c r="Q9" s="25" t="s">
        <v>56</v>
      </c>
      <c r="R9" s="46"/>
      <c r="S9" s="22" t="str">
        <f t="shared" si="1"/>
        <v/>
      </c>
      <c r="T9" s="35"/>
      <c r="U9" s="35"/>
      <c r="V9" s="94"/>
    </row>
    <row r="10">
      <c r="A10" s="22">
        <v>46283.0</v>
      </c>
      <c r="B10" s="25" t="s">
        <v>155</v>
      </c>
      <c r="C10" s="25" t="s">
        <v>253</v>
      </c>
      <c r="D10" s="25" t="s">
        <v>276</v>
      </c>
      <c r="E10" s="28" t="s">
        <v>277</v>
      </c>
      <c r="F10" s="28" t="s">
        <v>160</v>
      </c>
      <c r="G10" s="22">
        <v>46279.0</v>
      </c>
      <c r="H10" s="22">
        <v>46399.0</v>
      </c>
      <c r="I10" s="28" t="s">
        <v>272</v>
      </c>
      <c r="J10" s="28" t="s">
        <v>273</v>
      </c>
      <c r="K10" s="25" t="s">
        <v>49</v>
      </c>
      <c r="L10" s="25" t="s">
        <v>50</v>
      </c>
      <c r="M10" s="25" t="s">
        <v>51</v>
      </c>
      <c r="N10" s="22" t="s">
        <v>75</v>
      </c>
      <c r="O10" s="22">
        <v>46287.0</v>
      </c>
      <c r="P10" s="28" t="s">
        <v>275</v>
      </c>
      <c r="Q10" s="25" t="s">
        <v>56</v>
      </c>
      <c r="R10" s="46"/>
      <c r="S10" s="22" t="str">
        <f t="shared" si="1"/>
        <v/>
      </c>
      <c r="T10" s="35"/>
      <c r="U10" s="35"/>
      <c r="V10" s="94"/>
    </row>
    <row r="11">
      <c r="A11" s="22">
        <v>46280.0</v>
      </c>
      <c r="B11" s="25" t="s">
        <v>32</v>
      </c>
      <c r="C11" s="25" t="s">
        <v>278</v>
      </c>
      <c r="D11" s="25" t="s">
        <v>279</v>
      </c>
      <c r="E11" s="28" t="s">
        <v>280</v>
      </c>
      <c r="F11" s="28" t="s">
        <v>160</v>
      </c>
      <c r="G11" s="22">
        <v>46241.0</v>
      </c>
      <c r="H11" s="22">
        <v>46361.0</v>
      </c>
      <c r="I11" s="28" t="s">
        <v>281</v>
      </c>
      <c r="J11" s="28" t="s">
        <v>282</v>
      </c>
      <c r="K11" s="25" t="s">
        <v>49</v>
      </c>
      <c r="L11" s="25" t="s">
        <v>50</v>
      </c>
      <c r="M11" s="25" t="s">
        <v>51</v>
      </c>
      <c r="N11" s="22" t="s">
        <v>227</v>
      </c>
      <c r="O11" s="22">
        <v>46287.0</v>
      </c>
      <c r="P11" s="28" t="s">
        <v>283</v>
      </c>
      <c r="Q11" s="25" t="s">
        <v>56</v>
      </c>
      <c r="R11" s="111">
        <v>46287.0</v>
      </c>
      <c r="S11" s="22" t="str">
        <f t="shared" si="1"/>
        <v/>
      </c>
      <c r="T11" s="35"/>
      <c r="U11" s="35"/>
      <c r="V11" s="94"/>
    </row>
    <row r="12">
      <c r="A12" s="22">
        <v>46280.0</v>
      </c>
      <c r="B12" s="25" t="s">
        <v>32</v>
      </c>
      <c r="C12" s="25" t="s">
        <v>278</v>
      </c>
      <c r="D12" s="25" t="s">
        <v>284</v>
      </c>
      <c r="E12" s="28" t="s">
        <v>285</v>
      </c>
      <c r="F12" s="28" t="s">
        <v>160</v>
      </c>
      <c r="G12" s="22">
        <v>46241.0</v>
      </c>
      <c r="H12" s="22">
        <v>46361.0</v>
      </c>
      <c r="I12" s="28" t="s">
        <v>281</v>
      </c>
      <c r="J12" s="28" t="s">
        <v>282</v>
      </c>
      <c r="K12" s="25" t="s">
        <v>49</v>
      </c>
      <c r="L12" s="25" t="s">
        <v>50</v>
      </c>
      <c r="M12" s="25" t="s">
        <v>51</v>
      </c>
      <c r="N12" s="22" t="s">
        <v>227</v>
      </c>
      <c r="O12" s="22">
        <v>46287.0</v>
      </c>
      <c r="P12" s="28" t="s">
        <v>283</v>
      </c>
      <c r="Q12" s="25" t="s">
        <v>56</v>
      </c>
      <c r="R12" s="111">
        <v>46287.0</v>
      </c>
      <c r="S12" s="22" t="str">
        <f t="shared" si="1"/>
        <v/>
      </c>
      <c r="T12" s="35"/>
      <c r="U12" s="35"/>
      <c r="V12" s="94"/>
    </row>
    <row r="13">
      <c r="A13" s="95">
        <v>46283.0</v>
      </c>
      <c r="B13" s="96" t="s">
        <v>180</v>
      </c>
      <c r="C13" s="96" t="s">
        <v>288</v>
      </c>
      <c r="D13" s="96" t="s">
        <v>290</v>
      </c>
      <c r="E13" s="97" t="s">
        <v>292</v>
      </c>
      <c r="F13" s="97" t="s">
        <v>36</v>
      </c>
      <c r="G13" s="95">
        <v>46274.0</v>
      </c>
      <c r="H13" s="95">
        <v>46394.0</v>
      </c>
      <c r="I13" s="100"/>
      <c r="J13" s="100"/>
      <c r="K13" s="96" t="s">
        <v>49</v>
      </c>
      <c r="L13" s="96" t="s">
        <v>178</v>
      </c>
      <c r="M13" s="96" t="s">
        <v>143</v>
      </c>
      <c r="N13" s="95" t="s">
        <v>43</v>
      </c>
      <c r="O13" s="95">
        <v>46287.0</v>
      </c>
      <c r="P13" s="100"/>
      <c r="Q13" s="96" t="s">
        <v>47</v>
      </c>
      <c r="R13" s="99"/>
      <c r="S13" s="120" t="str">
        <f t="shared" si="1"/>
        <v/>
      </c>
      <c r="T13" s="97" t="s">
        <v>299</v>
      </c>
      <c r="U13" s="96" t="s">
        <v>251</v>
      </c>
      <c r="V13" s="94"/>
    </row>
    <row r="14">
      <c r="A14" s="22">
        <v>46283.0</v>
      </c>
      <c r="B14" s="25" t="s">
        <v>203</v>
      </c>
      <c r="C14" s="25" t="s">
        <v>300</v>
      </c>
      <c r="D14" s="25" t="s">
        <v>301</v>
      </c>
      <c r="E14" s="28" t="s">
        <v>302</v>
      </c>
      <c r="F14" s="28" t="s">
        <v>160</v>
      </c>
      <c r="G14" s="22">
        <v>46281.0</v>
      </c>
      <c r="H14" s="46"/>
      <c r="I14" s="35"/>
      <c r="J14" s="35"/>
      <c r="K14" s="25" t="s">
        <v>215</v>
      </c>
      <c r="L14" s="25" t="s">
        <v>178</v>
      </c>
      <c r="M14" s="25" t="s">
        <v>143</v>
      </c>
      <c r="N14" s="22" t="s">
        <v>304</v>
      </c>
      <c r="O14" s="22">
        <v>46287.0</v>
      </c>
      <c r="P14" s="28" t="s">
        <v>216</v>
      </c>
      <c r="Q14" s="25" t="s">
        <v>56</v>
      </c>
      <c r="R14" s="22">
        <v>46287.0</v>
      </c>
      <c r="S14" s="22" t="str">
        <f t="shared" si="1"/>
        <v/>
      </c>
      <c r="T14" s="35"/>
      <c r="U14" s="35"/>
      <c r="V14" s="94"/>
    </row>
    <row r="15">
      <c r="A15" s="22">
        <v>46283.0</v>
      </c>
      <c r="B15" s="25" t="s">
        <v>138</v>
      </c>
      <c r="C15" s="25" t="s">
        <v>208</v>
      </c>
      <c r="D15" s="25" t="s">
        <v>316</v>
      </c>
      <c r="E15" s="28" t="s">
        <v>317</v>
      </c>
      <c r="F15" s="28" t="s">
        <v>160</v>
      </c>
      <c r="G15" s="22">
        <v>46269.0</v>
      </c>
      <c r="H15" s="22">
        <v>46389.0</v>
      </c>
      <c r="I15" s="28" t="s">
        <v>320</v>
      </c>
      <c r="J15" s="28" t="s">
        <v>321</v>
      </c>
      <c r="K15" s="25" t="s">
        <v>49</v>
      </c>
      <c r="L15" s="25" t="s">
        <v>142</v>
      </c>
      <c r="M15" s="25" t="s">
        <v>143</v>
      </c>
      <c r="N15" s="22" t="s">
        <v>43</v>
      </c>
      <c r="O15" s="22">
        <v>46287.0</v>
      </c>
      <c r="P15" s="28" t="s">
        <v>322</v>
      </c>
      <c r="Q15" s="25" t="s">
        <v>56</v>
      </c>
      <c r="R15" s="22">
        <v>46287.0</v>
      </c>
      <c r="S15" s="22" t="str">
        <f t="shared" si="1"/>
        <v/>
      </c>
      <c r="T15" s="35"/>
      <c r="U15" s="35"/>
      <c r="V15" s="94"/>
    </row>
    <row r="16">
      <c r="A16" s="22">
        <v>46283.0</v>
      </c>
      <c r="B16" s="25" t="s">
        <v>138</v>
      </c>
      <c r="C16" s="25" t="s">
        <v>208</v>
      </c>
      <c r="D16" s="25" t="s">
        <v>327</v>
      </c>
      <c r="E16" s="28" t="s">
        <v>328</v>
      </c>
      <c r="F16" s="28" t="s">
        <v>160</v>
      </c>
      <c r="G16" s="22">
        <v>46269.0</v>
      </c>
      <c r="H16" s="22">
        <v>46389.0</v>
      </c>
      <c r="I16" s="28" t="s">
        <v>329</v>
      </c>
      <c r="J16" s="28" t="s">
        <v>330</v>
      </c>
      <c r="K16" s="25" t="s">
        <v>49</v>
      </c>
      <c r="L16" s="25" t="s">
        <v>142</v>
      </c>
      <c r="M16" s="25" t="s">
        <v>143</v>
      </c>
      <c r="N16" s="22" t="s">
        <v>43</v>
      </c>
      <c r="O16" s="22">
        <v>46287.0</v>
      </c>
      <c r="P16" s="28" t="s">
        <v>331</v>
      </c>
      <c r="Q16" s="25" t="s">
        <v>56</v>
      </c>
      <c r="R16" s="22">
        <v>46287.0</v>
      </c>
      <c r="S16" s="25" t="str">
        <f t="shared" si="1"/>
        <v/>
      </c>
      <c r="T16" s="35"/>
      <c r="U16" s="35"/>
      <c r="V16" s="94"/>
    </row>
    <row r="17">
      <c r="A17" s="22">
        <v>46276.0</v>
      </c>
      <c r="B17" s="25" t="s">
        <v>138</v>
      </c>
      <c r="C17" s="25" t="s">
        <v>118</v>
      </c>
      <c r="D17" s="25" t="s">
        <v>338</v>
      </c>
      <c r="E17" s="28" t="s">
        <v>339</v>
      </c>
      <c r="F17" s="28" t="s">
        <v>160</v>
      </c>
      <c r="G17" s="22">
        <v>46283.0</v>
      </c>
      <c r="H17" s="22">
        <v>46403.0</v>
      </c>
      <c r="I17" s="35"/>
      <c r="J17" s="35"/>
      <c r="K17" s="25" t="s">
        <v>215</v>
      </c>
      <c r="L17" s="25" t="s">
        <v>142</v>
      </c>
      <c r="M17" s="25" t="s">
        <v>143</v>
      </c>
      <c r="N17" s="22" t="s">
        <v>43</v>
      </c>
      <c r="O17" s="22">
        <v>46287.0</v>
      </c>
      <c r="P17" s="28" t="s">
        <v>216</v>
      </c>
      <c r="Q17" s="25" t="s">
        <v>56</v>
      </c>
      <c r="R17" s="22">
        <v>46287.0</v>
      </c>
      <c r="S17" s="25" t="str">
        <f t="shared" si="1"/>
        <v/>
      </c>
      <c r="T17" s="35"/>
      <c r="U17" s="35"/>
      <c r="V17" s="94"/>
    </row>
    <row r="18">
      <c r="A18" s="22">
        <v>46276.0</v>
      </c>
      <c r="B18" s="25" t="s">
        <v>138</v>
      </c>
      <c r="C18" s="25" t="s">
        <v>118</v>
      </c>
      <c r="D18" s="25" t="s">
        <v>344</v>
      </c>
      <c r="E18" s="28" t="s">
        <v>345</v>
      </c>
      <c r="F18" s="28" t="s">
        <v>160</v>
      </c>
      <c r="G18" s="22">
        <v>46284.0</v>
      </c>
      <c r="H18" s="22">
        <v>46424.0</v>
      </c>
      <c r="I18" s="28" t="s">
        <v>346</v>
      </c>
      <c r="J18" s="28" t="s">
        <v>347</v>
      </c>
      <c r="K18" s="25" t="s">
        <v>49</v>
      </c>
      <c r="L18" s="25" t="s">
        <v>142</v>
      </c>
      <c r="M18" s="25" t="s">
        <v>143</v>
      </c>
      <c r="N18" s="22" t="s">
        <v>43</v>
      </c>
      <c r="O18" s="22">
        <v>46287.0</v>
      </c>
      <c r="P18" s="28" t="s">
        <v>216</v>
      </c>
      <c r="Q18" s="25" t="s">
        <v>56</v>
      </c>
      <c r="R18" s="22">
        <v>46287.0</v>
      </c>
      <c r="S18" s="26" t="str">
        <f t="shared" si="1"/>
        <v/>
      </c>
      <c r="T18" s="35"/>
      <c r="U18" s="35"/>
      <c r="V18" s="94"/>
    </row>
    <row r="19">
      <c r="A19" s="22">
        <v>46276.0</v>
      </c>
      <c r="B19" s="25" t="s">
        <v>138</v>
      </c>
      <c r="C19" s="25" t="s">
        <v>118</v>
      </c>
      <c r="D19" s="25" t="s">
        <v>356</v>
      </c>
      <c r="E19" s="28" t="s">
        <v>357</v>
      </c>
      <c r="F19" s="28" t="s">
        <v>160</v>
      </c>
      <c r="G19" s="22">
        <v>46285.0</v>
      </c>
      <c r="H19" s="22">
        <v>46405.0</v>
      </c>
      <c r="I19" s="28" t="s">
        <v>358</v>
      </c>
      <c r="J19" s="28" t="s">
        <v>359</v>
      </c>
      <c r="K19" s="25" t="s">
        <v>49</v>
      </c>
      <c r="L19" s="25" t="s">
        <v>142</v>
      </c>
      <c r="M19" s="25" t="s">
        <v>143</v>
      </c>
      <c r="N19" s="22" t="s">
        <v>43</v>
      </c>
      <c r="O19" s="22">
        <v>46287.0</v>
      </c>
      <c r="P19" s="28" t="s">
        <v>216</v>
      </c>
      <c r="Q19" s="25" t="s">
        <v>56</v>
      </c>
      <c r="R19" s="22">
        <v>46287.0</v>
      </c>
      <c r="S19" s="26" t="str">
        <f t="shared" si="1"/>
        <v/>
      </c>
      <c r="T19" s="35"/>
      <c r="U19" s="35"/>
      <c r="V19" s="94"/>
    </row>
    <row r="20">
      <c r="A20" s="22">
        <v>46280.0</v>
      </c>
      <c r="B20" s="25" t="s">
        <v>138</v>
      </c>
      <c r="C20" s="25" t="s">
        <v>118</v>
      </c>
      <c r="D20" s="25" t="s">
        <v>368</v>
      </c>
      <c r="E20" s="28" t="s">
        <v>369</v>
      </c>
      <c r="F20" s="28" t="s">
        <v>160</v>
      </c>
      <c r="G20" s="46"/>
      <c r="H20" s="46"/>
      <c r="I20" s="35"/>
      <c r="J20" s="35"/>
      <c r="K20" s="25" t="s">
        <v>215</v>
      </c>
      <c r="L20" s="25" t="s">
        <v>142</v>
      </c>
      <c r="M20" s="25" t="s">
        <v>143</v>
      </c>
      <c r="N20" s="22" t="s">
        <v>43</v>
      </c>
      <c r="O20" s="22">
        <v>46287.0</v>
      </c>
      <c r="P20" s="28" t="s">
        <v>216</v>
      </c>
      <c r="Q20" s="25" t="s">
        <v>56</v>
      </c>
      <c r="R20" s="22">
        <v>46287.0</v>
      </c>
      <c r="S20" s="26" t="str">
        <f t="shared" si="1"/>
        <v/>
      </c>
      <c r="T20" s="35"/>
      <c r="U20" s="35"/>
      <c r="V20" s="94"/>
    </row>
    <row r="21">
      <c r="A21" s="22">
        <v>46280.0</v>
      </c>
      <c r="B21" s="25" t="s">
        <v>138</v>
      </c>
      <c r="C21" s="25" t="s">
        <v>118</v>
      </c>
      <c r="D21" s="25" t="s">
        <v>377</v>
      </c>
      <c r="E21" s="28" t="s">
        <v>378</v>
      </c>
      <c r="F21" s="28" t="s">
        <v>160</v>
      </c>
      <c r="G21" s="22">
        <v>46267.0</v>
      </c>
      <c r="H21" s="46"/>
      <c r="I21" s="35"/>
      <c r="J21" s="35"/>
      <c r="K21" s="25" t="s">
        <v>215</v>
      </c>
      <c r="L21" s="25" t="s">
        <v>142</v>
      </c>
      <c r="M21" s="25" t="s">
        <v>143</v>
      </c>
      <c r="N21" s="22" t="s">
        <v>43</v>
      </c>
      <c r="O21" s="22">
        <v>46287.0</v>
      </c>
      <c r="P21" s="28" t="s">
        <v>216</v>
      </c>
      <c r="Q21" s="25" t="s">
        <v>56</v>
      </c>
      <c r="R21" s="22">
        <v>46287.0</v>
      </c>
      <c r="S21" s="26" t="str">
        <f t="shared" si="1"/>
        <v/>
      </c>
      <c r="T21" s="35"/>
      <c r="U21" s="35"/>
      <c r="V21" s="94"/>
    </row>
    <row r="22">
      <c r="A22" s="22">
        <v>46280.0</v>
      </c>
      <c r="B22" s="25" t="s">
        <v>138</v>
      </c>
      <c r="C22" s="25" t="s">
        <v>118</v>
      </c>
      <c r="D22" s="25" t="s">
        <v>384</v>
      </c>
      <c r="E22" s="28" t="s">
        <v>385</v>
      </c>
      <c r="F22" s="28" t="s">
        <v>160</v>
      </c>
      <c r="G22" s="22">
        <v>46267.0</v>
      </c>
      <c r="H22" s="46"/>
      <c r="I22" s="35"/>
      <c r="J22" s="35"/>
      <c r="K22" s="25" t="s">
        <v>215</v>
      </c>
      <c r="L22" s="25" t="s">
        <v>142</v>
      </c>
      <c r="M22" s="25" t="s">
        <v>143</v>
      </c>
      <c r="N22" s="22" t="s">
        <v>43</v>
      </c>
      <c r="O22" s="22">
        <v>46287.0</v>
      </c>
      <c r="P22" s="28" t="s">
        <v>216</v>
      </c>
      <c r="Q22" s="25" t="s">
        <v>56</v>
      </c>
      <c r="R22" s="22">
        <v>46287.0</v>
      </c>
      <c r="S22" s="22" t="str">
        <f t="shared" si="1"/>
        <v/>
      </c>
      <c r="T22" s="35"/>
      <c r="U22" s="35"/>
      <c r="V22" s="94"/>
    </row>
    <row r="23">
      <c r="A23" s="22">
        <v>46280.0</v>
      </c>
      <c r="B23" s="25" t="s">
        <v>138</v>
      </c>
      <c r="C23" s="25" t="s">
        <v>118</v>
      </c>
      <c r="D23" s="25" t="s">
        <v>386</v>
      </c>
      <c r="E23" s="28" t="s">
        <v>387</v>
      </c>
      <c r="F23" s="28" t="s">
        <v>160</v>
      </c>
      <c r="G23" s="22">
        <v>46267.0</v>
      </c>
      <c r="H23" s="46"/>
      <c r="I23" s="129"/>
      <c r="J23" s="35"/>
      <c r="K23" s="25" t="s">
        <v>215</v>
      </c>
      <c r="L23" s="25" t="s">
        <v>142</v>
      </c>
      <c r="M23" s="25" t="s">
        <v>143</v>
      </c>
      <c r="N23" s="22" t="s">
        <v>43</v>
      </c>
      <c r="O23" s="22">
        <v>46287.0</v>
      </c>
      <c r="P23" s="35"/>
      <c r="Q23" s="25" t="s">
        <v>56</v>
      </c>
      <c r="R23" s="22">
        <v>46287.0</v>
      </c>
      <c r="S23" s="26" t="str">
        <f t="shared" si="1"/>
        <v/>
      </c>
      <c r="T23" s="35"/>
      <c r="U23" s="35"/>
      <c r="V23" s="94"/>
    </row>
    <row r="24">
      <c r="A24" s="22">
        <v>46276.0</v>
      </c>
      <c r="B24" s="25" t="s">
        <v>138</v>
      </c>
      <c r="C24" s="25" t="s">
        <v>118</v>
      </c>
      <c r="D24" s="25" t="s">
        <v>388</v>
      </c>
      <c r="E24" s="28" t="s">
        <v>389</v>
      </c>
      <c r="F24" s="28" t="s">
        <v>160</v>
      </c>
      <c r="G24" s="22">
        <v>46271.0</v>
      </c>
      <c r="H24" s="22">
        <v>46391.0</v>
      </c>
      <c r="I24" s="129"/>
      <c r="J24" s="35"/>
      <c r="K24" s="25" t="s">
        <v>215</v>
      </c>
      <c r="L24" s="25" t="s">
        <v>142</v>
      </c>
      <c r="M24" s="25" t="s">
        <v>143</v>
      </c>
      <c r="N24" s="22" t="s">
        <v>43</v>
      </c>
      <c r="O24" s="22">
        <v>46287.0</v>
      </c>
      <c r="P24" s="28" t="s">
        <v>216</v>
      </c>
      <c r="Q24" s="25" t="s">
        <v>56</v>
      </c>
      <c r="R24" s="22">
        <v>46287.0</v>
      </c>
      <c r="S24" s="22" t="str">
        <f t="shared" si="1"/>
        <v/>
      </c>
      <c r="T24" s="35"/>
      <c r="U24" s="35"/>
      <c r="V24" s="94"/>
    </row>
    <row r="25">
      <c r="A25" s="95">
        <v>46283.0</v>
      </c>
      <c r="B25" s="96" t="s">
        <v>138</v>
      </c>
      <c r="C25" s="96" t="s">
        <v>168</v>
      </c>
      <c r="D25" s="130" t="s">
        <v>390</v>
      </c>
      <c r="E25" s="97" t="s">
        <v>391</v>
      </c>
      <c r="F25" s="97" t="s">
        <v>160</v>
      </c>
      <c r="G25" s="95">
        <v>46281.0</v>
      </c>
      <c r="H25" s="95">
        <v>46401.0</v>
      </c>
      <c r="I25" s="131" t="s">
        <v>392</v>
      </c>
      <c r="J25" s="97" t="s">
        <v>393</v>
      </c>
      <c r="K25" s="96" t="s">
        <v>49</v>
      </c>
      <c r="L25" s="96" t="s">
        <v>142</v>
      </c>
      <c r="M25" s="96" t="s">
        <v>143</v>
      </c>
      <c r="N25" s="95" t="s">
        <v>43</v>
      </c>
      <c r="O25" s="95">
        <v>46287.0</v>
      </c>
      <c r="P25" s="97" t="s">
        <v>394</v>
      </c>
      <c r="Q25" s="96" t="s">
        <v>47</v>
      </c>
      <c r="R25" s="99"/>
      <c r="S25" s="95" t="str">
        <f t="shared" si="1"/>
        <v/>
      </c>
      <c r="T25" s="132" t="s">
        <v>395</v>
      </c>
      <c r="U25" s="96" t="s">
        <v>172</v>
      </c>
      <c r="V25" s="94"/>
    </row>
    <row r="26">
      <c r="A26" s="95">
        <v>46283.0</v>
      </c>
      <c r="B26" s="96" t="s">
        <v>173</v>
      </c>
      <c r="C26" s="96" t="s">
        <v>396</v>
      </c>
      <c r="D26" s="96" t="s">
        <v>397</v>
      </c>
      <c r="E26" s="97" t="s">
        <v>398</v>
      </c>
      <c r="F26" s="97" t="s">
        <v>160</v>
      </c>
      <c r="G26" s="95">
        <v>46280.0</v>
      </c>
      <c r="H26" s="95">
        <v>46280.0</v>
      </c>
      <c r="I26" s="133"/>
      <c r="J26" s="100"/>
      <c r="K26" s="96" t="s">
        <v>215</v>
      </c>
      <c r="L26" s="96" t="s">
        <v>142</v>
      </c>
      <c r="M26" s="96" t="s">
        <v>143</v>
      </c>
      <c r="N26" s="95" t="s">
        <v>307</v>
      </c>
      <c r="O26" s="95">
        <v>46287.0</v>
      </c>
      <c r="P26" s="97" t="s">
        <v>216</v>
      </c>
      <c r="Q26" s="96" t="s">
        <v>47</v>
      </c>
      <c r="R26" s="99"/>
      <c r="S26" s="120" t="str">
        <f t="shared" si="1"/>
        <v/>
      </c>
      <c r="T26" s="97" t="s">
        <v>395</v>
      </c>
      <c r="U26" s="96" t="s">
        <v>172</v>
      </c>
      <c r="V26" s="94"/>
    </row>
    <row r="27">
      <c r="A27" s="22">
        <v>46276.0</v>
      </c>
      <c r="B27" s="25" t="s">
        <v>173</v>
      </c>
      <c r="C27" s="25" t="s">
        <v>399</v>
      </c>
      <c r="D27" s="25" t="s">
        <v>400</v>
      </c>
      <c r="E27" s="28" t="s">
        <v>401</v>
      </c>
      <c r="F27" s="28" t="s">
        <v>160</v>
      </c>
      <c r="G27" s="22">
        <v>46284.0</v>
      </c>
      <c r="H27" s="22">
        <v>10959.0</v>
      </c>
      <c r="I27" s="129"/>
      <c r="J27" s="35"/>
      <c r="K27" s="25" t="s">
        <v>49</v>
      </c>
      <c r="L27" s="25" t="s">
        <v>142</v>
      </c>
      <c r="M27" s="25" t="s">
        <v>143</v>
      </c>
      <c r="N27" s="22" t="s">
        <v>307</v>
      </c>
      <c r="O27" s="22">
        <v>46287.0</v>
      </c>
      <c r="P27" s="28" t="s">
        <v>216</v>
      </c>
      <c r="Q27" s="25" t="s">
        <v>56</v>
      </c>
      <c r="R27" s="22">
        <v>46287.0</v>
      </c>
      <c r="S27" s="26" t="str">
        <f t="shared" si="1"/>
        <v/>
      </c>
      <c r="T27" s="35"/>
      <c r="U27" s="35"/>
      <c r="V27" s="94"/>
    </row>
    <row r="28">
      <c r="A28" s="22">
        <v>46283.0</v>
      </c>
      <c r="B28" s="25" t="s">
        <v>203</v>
      </c>
      <c r="C28" s="25" t="s">
        <v>250</v>
      </c>
      <c r="D28" s="25" t="s">
        <v>410</v>
      </c>
      <c r="E28" s="28" t="s">
        <v>411</v>
      </c>
      <c r="F28" s="28" t="s">
        <v>160</v>
      </c>
      <c r="G28" s="22">
        <v>46281.0</v>
      </c>
      <c r="H28" s="46"/>
      <c r="I28" s="91" t="s">
        <v>412</v>
      </c>
      <c r="J28" s="28" t="s">
        <v>413</v>
      </c>
      <c r="K28" s="25" t="s">
        <v>49</v>
      </c>
      <c r="L28" s="25" t="s">
        <v>178</v>
      </c>
      <c r="M28" s="25" t="s">
        <v>143</v>
      </c>
      <c r="N28" s="22" t="s">
        <v>52</v>
      </c>
      <c r="O28" s="22">
        <v>46287.0</v>
      </c>
      <c r="P28" s="28" t="s">
        <v>414</v>
      </c>
      <c r="Q28" s="25" t="s">
        <v>56</v>
      </c>
      <c r="R28" s="46"/>
      <c r="S28" s="22" t="str">
        <f t="shared" si="1"/>
        <v/>
      </c>
      <c r="T28" s="35"/>
      <c r="U28" s="35"/>
      <c r="V28" s="94"/>
    </row>
    <row r="29">
      <c r="A29" s="22">
        <v>46283.0</v>
      </c>
      <c r="B29" s="25" t="s">
        <v>419</v>
      </c>
      <c r="C29" s="25" t="s">
        <v>420</v>
      </c>
      <c r="D29" s="25" t="s">
        <v>421</v>
      </c>
      <c r="E29" s="28" t="s">
        <v>422</v>
      </c>
      <c r="F29" s="28" t="s">
        <v>160</v>
      </c>
      <c r="G29" s="46"/>
      <c r="H29" s="46"/>
      <c r="I29" s="91" t="s">
        <v>423</v>
      </c>
      <c r="J29" s="28" t="s">
        <v>425</v>
      </c>
      <c r="K29" s="25" t="s">
        <v>49</v>
      </c>
      <c r="L29" s="25" t="s">
        <v>50</v>
      </c>
      <c r="M29" s="25" t="s">
        <v>51</v>
      </c>
      <c r="N29" s="22" t="s">
        <v>105</v>
      </c>
      <c r="O29" s="22">
        <v>46287.0</v>
      </c>
      <c r="P29" s="28" t="s">
        <v>427</v>
      </c>
      <c r="Q29" s="25" t="s">
        <v>56</v>
      </c>
      <c r="R29" s="22">
        <v>46287.0</v>
      </c>
      <c r="S29" s="26" t="str">
        <f t="shared" si="1"/>
        <v/>
      </c>
      <c r="T29" s="35"/>
      <c r="U29" s="35"/>
      <c r="V29" s="94"/>
    </row>
    <row r="30">
      <c r="A30" s="22">
        <v>46283.0</v>
      </c>
      <c r="B30" s="25" t="s">
        <v>32</v>
      </c>
      <c r="C30" s="25" t="s">
        <v>63</v>
      </c>
      <c r="D30" s="25" t="s">
        <v>436</v>
      </c>
      <c r="E30" s="28" t="s">
        <v>438</v>
      </c>
      <c r="F30" s="28" t="s">
        <v>160</v>
      </c>
      <c r="G30" s="22">
        <v>46281.0</v>
      </c>
      <c r="H30" s="22">
        <v>46401.0</v>
      </c>
      <c r="I30" s="91" t="s">
        <v>423</v>
      </c>
      <c r="J30" s="28" t="s">
        <v>425</v>
      </c>
      <c r="K30" s="25" t="s">
        <v>49</v>
      </c>
      <c r="L30" s="25" t="s">
        <v>50</v>
      </c>
      <c r="M30" s="25" t="s">
        <v>51</v>
      </c>
      <c r="N30" s="22" t="s">
        <v>67</v>
      </c>
      <c r="O30" s="22">
        <v>46287.0</v>
      </c>
      <c r="P30" s="28" t="s">
        <v>439</v>
      </c>
      <c r="Q30" s="25" t="s">
        <v>56</v>
      </c>
      <c r="R30" s="22">
        <v>46287.0</v>
      </c>
      <c r="S30" s="22" t="str">
        <f t="shared" si="1"/>
        <v/>
      </c>
      <c r="T30" s="35"/>
      <c r="U30" s="35"/>
      <c r="V30" s="94"/>
    </row>
    <row r="31">
      <c r="A31" s="22">
        <v>46283.0</v>
      </c>
      <c r="B31" s="25" t="s">
        <v>173</v>
      </c>
      <c r="C31" s="25" t="s">
        <v>449</v>
      </c>
      <c r="D31" s="25" t="s">
        <v>450</v>
      </c>
      <c r="E31" s="28" t="s">
        <v>451</v>
      </c>
      <c r="F31" s="28" t="s">
        <v>160</v>
      </c>
      <c r="G31" s="46"/>
      <c r="H31" s="22">
        <v>46347.0</v>
      </c>
      <c r="I31" s="91" t="s">
        <v>452</v>
      </c>
      <c r="J31" s="28" t="s">
        <v>453</v>
      </c>
      <c r="K31" s="25" t="s">
        <v>49</v>
      </c>
      <c r="L31" s="25" t="s">
        <v>142</v>
      </c>
      <c r="M31" s="25" t="s">
        <v>143</v>
      </c>
      <c r="N31" s="22" t="s">
        <v>67</v>
      </c>
      <c r="O31" s="22">
        <v>46287.0</v>
      </c>
      <c r="P31" s="28" t="s">
        <v>454</v>
      </c>
      <c r="Q31" s="25" t="s">
        <v>56</v>
      </c>
      <c r="R31" s="22">
        <v>46287.0</v>
      </c>
      <c r="S31" s="22" t="str">
        <f t="shared" si="1"/>
        <v/>
      </c>
      <c r="T31" s="141"/>
      <c r="U31" s="35"/>
      <c r="V31" s="94"/>
    </row>
    <row r="32">
      <c r="A32" s="95">
        <v>46283.0</v>
      </c>
      <c r="B32" s="96" t="s">
        <v>183</v>
      </c>
      <c r="C32" s="96" t="s">
        <v>465</v>
      </c>
      <c r="D32" s="96" t="s">
        <v>466</v>
      </c>
      <c r="E32" s="97" t="s">
        <v>467</v>
      </c>
      <c r="F32" s="97" t="s">
        <v>160</v>
      </c>
      <c r="G32" s="99"/>
      <c r="H32" s="95">
        <v>46343.0</v>
      </c>
      <c r="I32" s="131" t="s">
        <v>468</v>
      </c>
      <c r="J32" s="97" t="s">
        <v>469</v>
      </c>
      <c r="K32" s="96" t="s">
        <v>49</v>
      </c>
      <c r="L32" s="96" t="s">
        <v>50</v>
      </c>
      <c r="M32" s="96" t="s">
        <v>186</v>
      </c>
      <c r="N32" s="95" t="s">
        <v>75</v>
      </c>
      <c r="O32" s="95">
        <v>46287.0</v>
      </c>
      <c r="P32" s="97" t="s">
        <v>470</v>
      </c>
      <c r="Q32" s="96" t="s">
        <v>47</v>
      </c>
      <c r="R32" s="99"/>
      <c r="S32" s="95" t="s">
        <v>471</v>
      </c>
      <c r="T32" s="97" t="s">
        <v>395</v>
      </c>
      <c r="U32" s="96" t="s">
        <v>172</v>
      </c>
      <c r="V32" s="94"/>
    </row>
    <row r="33">
      <c r="A33" s="22">
        <v>46283.0</v>
      </c>
      <c r="B33" s="25" t="s">
        <v>155</v>
      </c>
      <c r="C33" s="25" t="s">
        <v>474</v>
      </c>
      <c r="D33" s="25" t="s">
        <v>475</v>
      </c>
      <c r="E33" s="28" t="s">
        <v>476</v>
      </c>
      <c r="F33" s="28" t="s">
        <v>160</v>
      </c>
      <c r="G33" s="46"/>
      <c r="H33" s="46"/>
      <c r="I33" s="91" t="s">
        <v>477</v>
      </c>
      <c r="J33" s="28" t="s">
        <v>478</v>
      </c>
      <c r="K33" s="25" t="s">
        <v>49</v>
      </c>
      <c r="L33" s="25" t="s">
        <v>50</v>
      </c>
      <c r="M33" s="25" t="s">
        <v>51</v>
      </c>
      <c r="N33" s="22" t="s">
        <v>52</v>
      </c>
      <c r="O33" s="22">
        <v>46287.0</v>
      </c>
      <c r="P33" s="28" t="s">
        <v>479</v>
      </c>
      <c r="Q33" s="25" t="s">
        <v>56</v>
      </c>
      <c r="R33" s="46"/>
      <c r="S33" s="22" t="str">
        <f t="shared" ref="S33:S50" si="2">IFNA(IFS(COUNTIFS('List AC'!$A:$A,$C33)&gt;0,'List AC'!$A$2,COUNTIFS('List AC'!$B:$B,$C33)&gt;0,'List AC'!$B$2,COUNTIFS('List AC'!$C:$C,$C33)&gt;0,'List AC'!$C$2,COUNTIFS('List AC'!$D:$D,$C33)&gt;0,'List AC'!$D$2,COUNTIFS('List AC'!$E:$E,$C33)&gt;0,'List AC'!$E$2,COUNTIFS('List AC'!$F:$F,$C33)&gt;0,'List AC'!$F$2,COUNTIFS('List AC'!$G:$G,$C33)&gt;0,'List AC'!$G$2,COUNTIFS('List AC'!$H:$H,$C33)&gt;0,'List AC'!$H$2,COUNTIFS('List AC'!$I:$I,$C33)&gt;0,'List AC'!$I$2,COUNTIFS('List AC'!$J:$J,$C33)&gt;0,'List AC'!$J$2,COUNTIFS('List AC'!$K:$K,$C33)&gt;0,'List AC'!$K$2,COUNTIFS('List AC'!$L:$L,$C33)&gt;0,'List AC'!$L$2,COUNTIFS('List AC'!$Q:$Q,$C33)&gt;0,'List AC'!$Q$2,COUNTIFS('List AC'!$M:$M,$C33)&gt;0,'List AC'!$M$2,COUNTIFS('List AC'!$N:$N,$C33)&gt;0,'List AC'!$N$2,COUNTIFS('List AC'!$O:$O,$C33)&gt;0,'List AC'!$O$2,COUNTIFS('List AC'!$P:$P,$C33)&gt;0,'List AC'!$P$2,COUNTIFS('List AC'!$R:$R,$C33)&gt;0,'List AC'!$R$2,COUNTIFS('List AC'!$S:$S,$C33)&gt;0,'List AC'!$S$2,COUNTIFS('List AC'!$T:$T,$C33)&gt;0,'List AC'!$T$2,COUNTIFS('List AC'!$U:$U,$C33)&gt;0,'List AC'!$U$2,COUNTIFS('List AC'!$V:$V,$C33)&gt;0,'List AC'!$V$2,COUNTIFS('List AC'!$W:$W,$C33)&gt;0,'List AC'!$W$2,COUNTIFS('List AC'!$X:$X,$C33)&gt;0,'List AC'!$X$2,COUNTIFS('List AC'!$Y:$Y,$C33)&gt;0,'List AC'!$Y$2,COUNTIFS('List AC'!$Z:$Z,$C33)&gt;0,'List AC'!$Z$2,COUNTIFS('List AC'!$AA:$AA,$C33)&gt;0,'List AC'!$AA$2,COUNTIFS('List AC'!$AB:$AB,$C33)&gt;0,'List AC'!$AB$2,COUNTIFS('List AC'!$AC:$AC,$C33)&gt;0,'List AC'!$AC$2,COUNTIFS('List AC'!$AD:$AD,$C33)&gt;0,'List AC'!$AD$2,COUNTIFS('List AC'!$AE:$AE,$C33)&gt;0,'List AC'!$AE$2,COUNTIFS('List AC'!$AF:$AF,$C33)&gt;0,'List AC'!$AF$2,COUNTIFS('List AC'!$AG:$AG,$C33)&gt;0,'List AC'!$AG$2,COUNTIFS('List AC'!$AH:$AH,$C33)&gt;0,'List AC'!$AH$2,COUNTIFS('List AC'!$AI:$AI,$C33)&gt;0,'List AC'!$AI$2,COUNTIFS('List AC'!$AJ:$AJ,$C33)&gt;0,'List AC'!$AJ$2,COUNTIFS('List AC'!$AK:$AK,$C33)&gt;0,'List AC'!$AK$2,COUNTIFS('List AC'!$AL:$AL,$C33)&gt;0,'List AC'!$AL$2,COUNTIFS('List AC'!$AM:$AM,$C33)&gt;0,'List AC'!$AM$2,COUNTIFS('List AC'!$AN:$AN,$C33)&gt;0,'List AC'!$AN$2,COUNTIFS('List AC'!$AO:$AO,$C33)&gt;0,'List AC'!$AO$2,COUNTIFS('List AC'!$AP:$AP,$C33)&gt;0,'List AC'!$AP$2,COUNTIFS('List AC'!$AQ:$AQ,$C33)&gt;0,'List AC'!$AQ$2,COUNTIFS('List AC'!$AR:$AR,$C33)&gt;0,'List AC'!$AR$2,COUNTIFS('List AC'!$AS:$AS,$C33)&gt;0,'List AC'!$AS$2,COUNTIFS('List AC'!$AT:$AT,$C33)&gt;0,'List AC'!$AT$2,COUNTIFS('List AC'!$AU:$AU,$C33)&gt;0,'List AC'!$AU$2,COUNTIFS('List AC'!$AV:$AV,$C33)&gt;0,'List AC'!$AV$2,COUNTIFS('List AC'!$AW:$AW,$C33)&gt;0,'List AC'!$AW$2,COUNTIFS('List AC'!$AX:$AX,$C33)&gt;0,'List AC'!$AX$2,COUNTIFS('List AC'!$AY:$AY,$C33)&gt;0,'List AC'!$AY$2,COUNTIFS('List AC'!$AZ:$AZ,$C33)&gt;0,'List AC'!$AZ$2,COUNTIFS('List AC'!$BA:$BA,$C33)&gt;0,'List AC'!$BA$2,COUNTIFS('List AC'!$BB:$BB,$C33)&gt;0,'List AC'!$BB$2,COUNTIFS('List AC'!$BC:$BC,$C33)&gt;0,'List AC'!$BC$2,COUNTIFS('List AC'!$BD:$BD,$C33)&gt;0,'List AC'!$BD$2),"")</f>
        <v/>
      </c>
      <c r="T33" s="35"/>
      <c r="U33" s="35"/>
      <c r="V33" s="94"/>
    </row>
    <row r="34">
      <c r="A34" s="95">
        <v>46283.0</v>
      </c>
      <c r="B34" s="96" t="s">
        <v>173</v>
      </c>
      <c r="C34" s="96" t="s">
        <v>517</v>
      </c>
      <c r="D34" s="96" t="s">
        <v>518</v>
      </c>
      <c r="E34" s="97" t="s">
        <v>520</v>
      </c>
      <c r="F34" s="97" t="s">
        <v>160</v>
      </c>
      <c r="G34" s="95">
        <v>46266.0</v>
      </c>
      <c r="H34" s="95">
        <v>46273.0</v>
      </c>
      <c r="I34" s="133"/>
      <c r="J34" s="100"/>
      <c r="K34" s="96" t="s">
        <v>215</v>
      </c>
      <c r="L34" s="96" t="s">
        <v>142</v>
      </c>
      <c r="M34" s="96" t="s">
        <v>143</v>
      </c>
      <c r="N34" s="95" t="s">
        <v>523</v>
      </c>
      <c r="O34" s="95">
        <v>46287.0</v>
      </c>
      <c r="P34" s="97" t="s">
        <v>216</v>
      </c>
      <c r="Q34" s="96" t="s">
        <v>47</v>
      </c>
      <c r="R34" s="99"/>
      <c r="S34" s="95" t="str">
        <f t="shared" si="2"/>
        <v/>
      </c>
      <c r="T34" s="132" t="s">
        <v>541</v>
      </c>
      <c r="U34" s="120" t="s">
        <v>543</v>
      </c>
      <c r="V34" s="94"/>
    </row>
    <row r="35">
      <c r="A35" s="95">
        <v>46283.0</v>
      </c>
      <c r="B35" s="96" t="s">
        <v>173</v>
      </c>
      <c r="C35" s="96" t="s">
        <v>517</v>
      </c>
      <c r="D35" s="96" t="s">
        <v>544</v>
      </c>
      <c r="E35" s="97" t="s">
        <v>545</v>
      </c>
      <c r="F35" s="97" t="s">
        <v>160</v>
      </c>
      <c r="G35" s="95">
        <v>46273.0</v>
      </c>
      <c r="H35" s="95">
        <v>46393.0</v>
      </c>
      <c r="I35" s="133"/>
      <c r="J35" s="100"/>
      <c r="K35" s="96" t="s">
        <v>215</v>
      </c>
      <c r="L35" s="96" t="s">
        <v>142</v>
      </c>
      <c r="M35" s="96" t="s">
        <v>143</v>
      </c>
      <c r="N35" s="95" t="s">
        <v>523</v>
      </c>
      <c r="O35" s="95">
        <v>46287.0</v>
      </c>
      <c r="P35" s="97" t="s">
        <v>216</v>
      </c>
      <c r="Q35" s="96" t="s">
        <v>47</v>
      </c>
      <c r="R35" s="99"/>
      <c r="S35" s="95" t="str">
        <f t="shared" si="2"/>
        <v/>
      </c>
      <c r="T35" s="97" t="s">
        <v>541</v>
      </c>
      <c r="U35" s="96" t="s">
        <v>543</v>
      </c>
      <c r="V35" s="94"/>
    </row>
    <row r="36">
      <c r="A36" s="95">
        <v>46283.0</v>
      </c>
      <c r="B36" s="96" t="s">
        <v>173</v>
      </c>
      <c r="C36" s="96" t="s">
        <v>517</v>
      </c>
      <c r="D36" s="96" t="s">
        <v>555</v>
      </c>
      <c r="E36" s="97" t="s">
        <v>556</v>
      </c>
      <c r="F36" s="97" t="s">
        <v>160</v>
      </c>
      <c r="G36" s="95">
        <v>46273.0</v>
      </c>
      <c r="H36" s="95">
        <v>46393.0</v>
      </c>
      <c r="I36" s="133"/>
      <c r="J36" s="100"/>
      <c r="K36" s="96" t="s">
        <v>215</v>
      </c>
      <c r="L36" s="96" t="s">
        <v>142</v>
      </c>
      <c r="M36" s="96" t="s">
        <v>143</v>
      </c>
      <c r="N36" s="95" t="s">
        <v>523</v>
      </c>
      <c r="O36" s="95">
        <v>46287.0</v>
      </c>
      <c r="P36" s="97" t="s">
        <v>216</v>
      </c>
      <c r="Q36" s="96" t="s">
        <v>47</v>
      </c>
      <c r="R36" s="99"/>
      <c r="S36" s="95" t="str">
        <f t="shared" si="2"/>
        <v/>
      </c>
      <c r="T36" s="97" t="s">
        <v>541</v>
      </c>
      <c r="U36" s="96" t="s">
        <v>543</v>
      </c>
      <c r="V36" s="94"/>
    </row>
    <row r="37">
      <c r="A37" s="22">
        <v>46280.0</v>
      </c>
      <c r="B37" s="25" t="s">
        <v>419</v>
      </c>
      <c r="C37" s="25" t="s">
        <v>353</v>
      </c>
      <c r="D37" s="25" t="s">
        <v>565</v>
      </c>
      <c r="E37" s="28" t="s">
        <v>566</v>
      </c>
      <c r="F37" s="28" t="s">
        <v>160</v>
      </c>
      <c r="G37" s="22">
        <v>46260.0</v>
      </c>
      <c r="H37" s="22">
        <v>46380.0</v>
      </c>
      <c r="I37" s="91" t="s">
        <v>281</v>
      </c>
      <c r="J37" s="28" t="s">
        <v>282</v>
      </c>
      <c r="K37" s="25" t="s">
        <v>49</v>
      </c>
      <c r="L37" s="25" t="s">
        <v>50</v>
      </c>
      <c r="M37" s="25" t="s">
        <v>51</v>
      </c>
      <c r="N37" s="22" t="s">
        <v>75</v>
      </c>
      <c r="O37" s="22">
        <v>46287.0</v>
      </c>
      <c r="P37" s="28" t="s">
        <v>567</v>
      </c>
      <c r="Q37" s="25" t="s">
        <v>56</v>
      </c>
      <c r="R37" s="46"/>
      <c r="S37" s="22" t="str">
        <f t="shared" si="2"/>
        <v/>
      </c>
      <c r="T37" s="35"/>
      <c r="U37" s="35"/>
      <c r="V37" s="94"/>
    </row>
    <row r="38">
      <c r="A38" s="95">
        <v>46283.0</v>
      </c>
      <c r="B38" s="96" t="s">
        <v>155</v>
      </c>
      <c r="C38" s="96" t="s">
        <v>581</v>
      </c>
      <c r="D38" s="96" t="s">
        <v>582</v>
      </c>
      <c r="E38" s="97" t="s">
        <v>583</v>
      </c>
      <c r="F38" s="97" t="s">
        <v>160</v>
      </c>
      <c r="G38" s="99"/>
      <c r="H38" s="99"/>
      <c r="I38" s="131" t="s">
        <v>584</v>
      </c>
      <c r="J38" s="97" t="s">
        <v>585</v>
      </c>
      <c r="K38" s="96" t="s">
        <v>49</v>
      </c>
      <c r="L38" s="96" t="s">
        <v>50</v>
      </c>
      <c r="M38" s="96" t="s">
        <v>51</v>
      </c>
      <c r="N38" s="95" t="s">
        <v>586</v>
      </c>
      <c r="O38" s="95">
        <v>46287.0</v>
      </c>
      <c r="P38" s="97" t="s">
        <v>588</v>
      </c>
      <c r="Q38" s="96" t="s">
        <v>47</v>
      </c>
      <c r="R38" s="99"/>
      <c r="S38" s="95" t="str">
        <f t="shared" si="2"/>
        <v/>
      </c>
      <c r="T38" s="97" t="s">
        <v>597</v>
      </c>
      <c r="U38" s="96" t="s">
        <v>195</v>
      </c>
      <c r="V38" s="94"/>
    </row>
    <row r="39">
      <c r="A39" s="22">
        <v>46283.0</v>
      </c>
      <c r="B39" s="25" t="s">
        <v>173</v>
      </c>
      <c r="C39" s="25" t="s">
        <v>598</v>
      </c>
      <c r="D39" s="25" t="s">
        <v>599</v>
      </c>
      <c r="E39" s="28" t="s">
        <v>600</v>
      </c>
      <c r="F39" s="28" t="s">
        <v>160</v>
      </c>
      <c r="G39" s="22">
        <v>46281.0</v>
      </c>
      <c r="H39" s="22">
        <v>46401.0</v>
      </c>
      <c r="I39" s="91" t="s">
        <v>601</v>
      </c>
      <c r="J39" s="28" t="s">
        <v>602</v>
      </c>
      <c r="K39" s="25" t="s">
        <v>49</v>
      </c>
      <c r="L39" s="25" t="s">
        <v>142</v>
      </c>
      <c r="M39" s="25" t="s">
        <v>143</v>
      </c>
      <c r="N39" s="22" t="s">
        <v>43</v>
      </c>
      <c r="O39" s="22">
        <v>46287.0</v>
      </c>
      <c r="P39" s="35"/>
      <c r="Q39" s="25" t="s">
        <v>56</v>
      </c>
      <c r="R39" s="22">
        <v>46287.0</v>
      </c>
      <c r="S39" s="22" t="str">
        <f t="shared" si="2"/>
        <v/>
      </c>
      <c r="T39" s="35"/>
      <c r="U39" s="35"/>
      <c r="V39" s="94"/>
    </row>
    <row r="40">
      <c r="A40" s="22">
        <v>46280.0</v>
      </c>
      <c r="B40" s="25" t="s">
        <v>155</v>
      </c>
      <c r="C40" s="25" t="s">
        <v>241</v>
      </c>
      <c r="D40" s="25" t="s">
        <v>610</v>
      </c>
      <c r="E40" s="28" t="s">
        <v>611</v>
      </c>
      <c r="F40" s="28" t="s">
        <v>160</v>
      </c>
      <c r="G40" s="22">
        <v>46177.0</v>
      </c>
      <c r="H40" s="22">
        <v>46297.0</v>
      </c>
      <c r="I40" s="91" t="s">
        <v>281</v>
      </c>
      <c r="J40" s="28" t="s">
        <v>282</v>
      </c>
      <c r="K40" s="25" t="s">
        <v>49</v>
      </c>
      <c r="L40" s="25" t="s">
        <v>50</v>
      </c>
      <c r="M40" s="25" t="s">
        <v>51</v>
      </c>
      <c r="N40" s="22" t="s">
        <v>52</v>
      </c>
      <c r="O40" s="22">
        <v>46287.0</v>
      </c>
      <c r="P40" s="28" t="s">
        <v>613</v>
      </c>
      <c r="Q40" s="25" t="s">
        <v>56</v>
      </c>
      <c r="R40" s="46"/>
      <c r="S40" s="26" t="str">
        <f t="shared" si="2"/>
        <v/>
      </c>
      <c r="T40" s="35"/>
      <c r="U40" s="35"/>
      <c r="V40" s="94"/>
    </row>
    <row r="41">
      <c r="A41" s="22">
        <v>46280.0</v>
      </c>
      <c r="B41" s="25" t="s">
        <v>155</v>
      </c>
      <c r="C41" s="25" t="s">
        <v>241</v>
      </c>
      <c r="D41" s="25" t="s">
        <v>625</v>
      </c>
      <c r="E41" s="28" t="s">
        <v>627</v>
      </c>
      <c r="F41" s="28" t="s">
        <v>160</v>
      </c>
      <c r="G41" s="22">
        <v>46179.0</v>
      </c>
      <c r="H41" s="22">
        <v>46299.0</v>
      </c>
      <c r="I41" s="91" t="s">
        <v>281</v>
      </c>
      <c r="J41" s="28" t="s">
        <v>282</v>
      </c>
      <c r="K41" s="25" t="s">
        <v>49</v>
      </c>
      <c r="L41" s="25" t="s">
        <v>50</v>
      </c>
      <c r="M41" s="25" t="s">
        <v>51</v>
      </c>
      <c r="N41" s="22" t="s">
        <v>52</v>
      </c>
      <c r="O41" s="22">
        <v>46287.0</v>
      </c>
      <c r="P41" s="28" t="s">
        <v>613</v>
      </c>
      <c r="Q41" s="25" t="s">
        <v>56</v>
      </c>
      <c r="R41" s="46"/>
      <c r="S41" s="22" t="str">
        <f t="shared" si="2"/>
        <v/>
      </c>
      <c r="T41" s="35"/>
      <c r="U41" s="35"/>
      <c r="V41" s="94"/>
    </row>
    <row r="42">
      <c r="A42" s="22">
        <v>46280.0</v>
      </c>
      <c r="B42" s="25" t="s">
        <v>155</v>
      </c>
      <c r="C42" s="25" t="s">
        <v>241</v>
      </c>
      <c r="D42" s="25" t="s">
        <v>640</v>
      </c>
      <c r="E42" s="28" t="s">
        <v>641</v>
      </c>
      <c r="F42" s="28" t="s">
        <v>160</v>
      </c>
      <c r="G42" s="22">
        <v>46232.0</v>
      </c>
      <c r="H42" s="22">
        <v>46352.0</v>
      </c>
      <c r="I42" s="91" t="s">
        <v>281</v>
      </c>
      <c r="J42" s="28" t="s">
        <v>282</v>
      </c>
      <c r="K42" s="25" t="s">
        <v>49</v>
      </c>
      <c r="L42" s="25" t="s">
        <v>50</v>
      </c>
      <c r="M42" s="25" t="s">
        <v>51</v>
      </c>
      <c r="N42" s="22" t="s">
        <v>52</v>
      </c>
      <c r="O42" s="22">
        <v>46287.0</v>
      </c>
      <c r="P42" s="28" t="s">
        <v>613</v>
      </c>
      <c r="Q42" s="25" t="s">
        <v>56</v>
      </c>
      <c r="R42" s="46"/>
      <c r="S42" s="26" t="str">
        <f t="shared" si="2"/>
        <v/>
      </c>
      <c r="T42" s="35"/>
      <c r="U42" s="35"/>
      <c r="V42" s="94"/>
    </row>
    <row r="43">
      <c r="A43" s="22">
        <v>46283.0</v>
      </c>
      <c r="B43" s="25" t="s">
        <v>138</v>
      </c>
      <c r="C43" s="25" t="s">
        <v>480</v>
      </c>
      <c r="D43" s="25" t="s">
        <v>654</v>
      </c>
      <c r="E43" s="28" t="s">
        <v>655</v>
      </c>
      <c r="F43" s="28" t="s">
        <v>160</v>
      </c>
      <c r="G43" s="22">
        <v>46280.0</v>
      </c>
      <c r="H43" s="22">
        <v>46400.0</v>
      </c>
      <c r="I43" s="91" t="s">
        <v>656</v>
      </c>
      <c r="J43" s="28" t="s">
        <v>657</v>
      </c>
      <c r="K43" s="25" t="s">
        <v>49</v>
      </c>
      <c r="L43" s="25" t="s">
        <v>142</v>
      </c>
      <c r="M43" s="25" t="s">
        <v>143</v>
      </c>
      <c r="N43" s="22" t="s">
        <v>304</v>
      </c>
      <c r="O43" s="22">
        <v>46287.0</v>
      </c>
      <c r="P43" s="28" t="s">
        <v>658</v>
      </c>
      <c r="Q43" s="25" t="s">
        <v>56</v>
      </c>
      <c r="R43" s="22">
        <v>46287.0</v>
      </c>
      <c r="S43" s="25" t="str">
        <f t="shared" si="2"/>
        <v/>
      </c>
      <c r="T43" s="35"/>
      <c r="U43" s="35"/>
      <c r="V43" s="94"/>
    </row>
    <row r="44">
      <c r="A44" s="95">
        <v>46283.0</v>
      </c>
      <c r="B44" s="96" t="s">
        <v>183</v>
      </c>
      <c r="C44" s="96" t="s">
        <v>238</v>
      </c>
      <c r="D44" s="96" t="s">
        <v>668</v>
      </c>
      <c r="E44" s="97" t="s">
        <v>669</v>
      </c>
      <c r="F44" s="97" t="s">
        <v>160</v>
      </c>
      <c r="G44" s="95">
        <v>46233.0</v>
      </c>
      <c r="H44" s="95">
        <v>46353.0</v>
      </c>
      <c r="I44" s="131" t="s">
        <v>670</v>
      </c>
      <c r="J44" s="97" t="s">
        <v>671</v>
      </c>
      <c r="K44" s="96" t="s">
        <v>49</v>
      </c>
      <c r="L44" s="96" t="s">
        <v>50</v>
      </c>
      <c r="M44" s="96" t="s">
        <v>186</v>
      </c>
      <c r="N44" s="95" t="s">
        <v>52</v>
      </c>
      <c r="O44" s="95">
        <v>46287.0</v>
      </c>
      <c r="P44" s="97" t="s">
        <v>414</v>
      </c>
      <c r="Q44" s="96" t="s">
        <v>47</v>
      </c>
      <c r="R44" s="99"/>
      <c r="S44" s="95" t="str">
        <f t="shared" si="2"/>
        <v/>
      </c>
      <c r="T44" s="97" t="s">
        <v>680</v>
      </c>
      <c r="U44" s="96" t="s">
        <v>263</v>
      </c>
      <c r="V44" s="94"/>
    </row>
    <row r="45">
      <c r="A45" s="22">
        <v>46283.0</v>
      </c>
      <c r="B45" s="25" t="s">
        <v>180</v>
      </c>
      <c r="C45" s="25" t="s">
        <v>681</v>
      </c>
      <c r="D45" s="25" t="s">
        <v>682</v>
      </c>
      <c r="E45" s="28" t="s">
        <v>683</v>
      </c>
      <c r="F45" s="28" t="s">
        <v>160</v>
      </c>
      <c r="G45" s="46"/>
      <c r="H45" s="46"/>
      <c r="I45" s="91" t="s">
        <v>686</v>
      </c>
      <c r="J45" s="28" t="s">
        <v>687</v>
      </c>
      <c r="K45" s="25" t="s">
        <v>49</v>
      </c>
      <c r="L45" s="25" t="s">
        <v>178</v>
      </c>
      <c r="M45" s="25" t="s">
        <v>143</v>
      </c>
      <c r="N45" s="22" t="s">
        <v>307</v>
      </c>
      <c r="O45" s="22">
        <v>46287.0</v>
      </c>
      <c r="P45" s="28" t="s">
        <v>688</v>
      </c>
      <c r="Q45" s="25" t="s">
        <v>56</v>
      </c>
      <c r="R45" s="22">
        <v>46287.0</v>
      </c>
      <c r="S45" s="22" t="str">
        <f t="shared" si="2"/>
        <v/>
      </c>
      <c r="T45" s="35"/>
      <c r="U45" s="35"/>
      <c r="V45" s="94"/>
    </row>
    <row r="46">
      <c r="A46" s="95">
        <v>46283.0</v>
      </c>
      <c r="B46" s="96" t="s">
        <v>138</v>
      </c>
      <c r="C46" s="96" t="s">
        <v>237</v>
      </c>
      <c r="D46" s="96" t="s">
        <v>695</v>
      </c>
      <c r="E46" s="97" t="s">
        <v>696</v>
      </c>
      <c r="F46" s="97" t="s">
        <v>160</v>
      </c>
      <c r="G46" s="99"/>
      <c r="H46" s="99"/>
      <c r="I46" s="131" t="s">
        <v>699</v>
      </c>
      <c r="J46" s="97" t="s">
        <v>700</v>
      </c>
      <c r="K46" s="96" t="s">
        <v>49</v>
      </c>
      <c r="L46" s="96" t="s">
        <v>142</v>
      </c>
      <c r="M46" s="96" t="s">
        <v>143</v>
      </c>
      <c r="N46" s="95" t="s">
        <v>43</v>
      </c>
      <c r="O46" s="95">
        <v>46287.0</v>
      </c>
      <c r="P46" s="100"/>
      <c r="Q46" s="96" t="s">
        <v>47</v>
      </c>
      <c r="R46" s="99"/>
      <c r="S46" s="120" t="str">
        <f t="shared" si="2"/>
        <v/>
      </c>
      <c r="T46" s="97" t="s">
        <v>395</v>
      </c>
      <c r="U46" s="96" t="s">
        <v>172</v>
      </c>
      <c r="V46" s="94"/>
    </row>
    <row r="47">
      <c r="A47" s="95">
        <v>46283.0</v>
      </c>
      <c r="B47" s="96" t="s">
        <v>138</v>
      </c>
      <c r="C47" s="96" t="s">
        <v>237</v>
      </c>
      <c r="D47" s="130" t="s">
        <v>708</v>
      </c>
      <c r="E47" s="97" t="s">
        <v>709</v>
      </c>
      <c r="F47" s="97" t="s">
        <v>36</v>
      </c>
      <c r="G47" s="99"/>
      <c r="H47" s="99"/>
      <c r="I47" s="133"/>
      <c r="J47" s="100"/>
      <c r="K47" s="96" t="s">
        <v>49</v>
      </c>
      <c r="L47" s="96" t="s">
        <v>142</v>
      </c>
      <c r="M47" s="96" t="s">
        <v>143</v>
      </c>
      <c r="N47" s="95" t="s">
        <v>43</v>
      </c>
      <c r="O47" s="95">
        <v>46287.0</v>
      </c>
      <c r="P47" s="100"/>
      <c r="Q47" s="96" t="s">
        <v>47</v>
      </c>
      <c r="R47" s="99"/>
      <c r="S47" s="120" t="str">
        <f t="shared" si="2"/>
        <v/>
      </c>
      <c r="T47" s="97" t="s">
        <v>717</v>
      </c>
      <c r="U47" s="96" t="s">
        <v>172</v>
      </c>
      <c r="V47" s="94"/>
    </row>
    <row r="48">
      <c r="A48" s="95">
        <v>46283.0</v>
      </c>
      <c r="B48" s="96" t="s">
        <v>155</v>
      </c>
      <c r="C48" s="96" t="s">
        <v>718</v>
      </c>
      <c r="D48" s="96" t="s">
        <v>719</v>
      </c>
      <c r="E48" s="97" t="s">
        <v>720</v>
      </c>
      <c r="F48" s="97" t="s">
        <v>160</v>
      </c>
      <c r="G48" s="95">
        <v>46205.0</v>
      </c>
      <c r="H48" s="99"/>
      <c r="I48" s="131" t="s">
        <v>721</v>
      </c>
      <c r="J48" s="97" t="s">
        <v>722</v>
      </c>
      <c r="K48" s="96" t="s">
        <v>49</v>
      </c>
      <c r="L48" s="96" t="s">
        <v>50</v>
      </c>
      <c r="M48" s="96" t="s">
        <v>51</v>
      </c>
      <c r="N48" s="95" t="s">
        <v>723</v>
      </c>
      <c r="O48" s="95">
        <v>46287.0</v>
      </c>
      <c r="P48" s="97" t="s">
        <v>725</v>
      </c>
      <c r="Q48" s="96" t="s">
        <v>47</v>
      </c>
      <c r="R48" s="99"/>
      <c r="S48" s="95" t="str">
        <f t="shared" si="2"/>
        <v/>
      </c>
      <c r="T48" s="97" t="s">
        <v>732</v>
      </c>
      <c r="U48" s="96" t="s">
        <v>733</v>
      </c>
      <c r="V48" s="94"/>
    </row>
    <row r="49">
      <c r="A49" s="95">
        <v>46283.0</v>
      </c>
      <c r="B49" s="96" t="s">
        <v>32</v>
      </c>
      <c r="C49" s="96" t="s">
        <v>259</v>
      </c>
      <c r="D49" s="130" t="s">
        <v>734</v>
      </c>
      <c r="E49" s="97" t="s">
        <v>735</v>
      </c>
      <c r="F49" s="97" t="s">
        <v>160</v>
      </c>
      <c r="G49" s="95">
        <v>46271.0</v>
      </c>
      <c r="H49" s="95">
        <v>46391.0</v>
      </c>
      <c r="I49" s="131" t="s">
        <v>736</v>
      </c>
      <c r="J49" s="97" t="s">
        <v>737</v>
      </c>
      <c r="K49" s="96" t="s">
        <v>49</v>
      </c>
      <c r="L49" s="96" t="s">
        <v>50</v>
      </c>
      <c r="M49" s="96" t="s">
        <v>51</v>
      </c>
      <c r="N49" s="95" t="s">
        <v>75</v>
      </c>
      <c r="O49" s="95">
        <v>46287.0</v>
      </c>
      <c r="P49" s="97" t="s">
        <v>470</v>
      </c>
      <c r="Q49" s="96" t="s">
        <v>47</v>
      </c>
      <c r="R49" s="99"/>
      <c r="S49" s="95" t="str">
        <f t="shared" si="2"/>
        <v/>
      </c>
      <c r="T49" s="97" t="s">
        <v>747</v>
      </c>
      <c r="U49" s="96" t="s">
        <v>733</v>
      </c>
      <c r="V49" s="94"/>
    </row>
    <row r="50">
      <c r="A50" s="22">
        <v>46283.0</v>
      </c>
      <c r="B50" s="25" t="s">
        <v>138</v>
      </c>
      <c r="C50" s="25" t="s">
        <v>293</v>
      </c>
      <c r="D50" s="25" t="s">
        <v>748</v>
      </c>
      <c r="E50" s="28" t="s">
        <v>749</v>
      </c>
      <c r="F50" s="28" t="s">
        <v>160</v>
      </c>
      <c r="G50" s="22">
        <v>46281.0</v>
      </c>
      <c r="H50" s="22">
        <v>46401.0</v>
      </c>
      <c r="I50" s="91" t="s">
        <v>601</v>
      </c>
      <c r="J50" s="28" t="s">
        <v>602</v>
      </c>
      <c r="K50" s="25" t="s">
        <v>49</v>
      </c>
      <c r="L50" s="25" t="s">
        <v>142</v>
      </c>
      <c r="M50" s="25" t="s">
        <v>143</v>
      </c>
      <c r="N50" s="22" t="s">
        <v>297</v>
      </c>
      <c r="O50" s="22">
        <v>46287.0</v>
      </c>
      <c r="P50" s="35"/>
      <c r="Q50" s="25" t="s">
        <v>56</v>
      </c>
      <c r="R50" s="46"/>
      <c r="S50" s="22" t="str">
        <f t="shared" si="2"/>
        <v/>
      </c>
      <c r="T50" s="35"/>
      <c r="U50" s="35"/>
      <c r="V50" s="94"/>
    </row>
    <row r="51">
      <c r="A51" s="198"/>
      <c r="B51" s="199"/>
      <c r="C51" s="199"/>
      <c r="D51" s="199"/>
      <c r="E51" s="199"/>
      <c r="F51" s="199"/>
      <c r="G51" s="200"/>
      <c r="H51" s="198"/>
      <c r="I51" s="202"/>
      <c r="J51" s="199"/>
      <c r="K51" s="199"/>
      <c r="L51" s="199"/>
      <c r="M51" s="199"/>
      <c r="N51" s="198"/>
      <c r="O51" s="198"/>
      <c r="P51" s="199"/>
      <c r="Q51" s="199"/>
      <c r="R51" s="200"/>
      <c r="S51" s="203"/>
      <c r="T51" s="204"/>
      <c r="U51" s="204"/>
      <c r="V51" s="94"/>
    </row>
    <row r="52">
      <c r="A52" s="198"/>
      <c r="B52" s="199"/>
      <c r="C52" s="199"/>
      <c r="D52" s="199"/>
      <c r="E52" s="199"/>
      <c r="F52" s="199"/>
      <c r="G52" s="198"/>
      <c r="H52" s="198"/>
      <c r="I52" s="205"/>
      <c r="J52" s="207"/>
      <c r="K52" s="199"/>
      <c r="L52" s="199"/>
      <c r="M52" s="199"/>
      <c r="N52" s="198"/>
      <c r="O52" s="198"/>
      <c r="P52" s="199"/>
      <c r="Q52" s="199"/>
      <c r="R52" s="198"/>
      <c r="S52" s="198"/>
      <c r="T52" s="207"/>
      <c r="U52" s="207"/>
      <c r="V52" s="94"/>
    </row>
    <row r="53">
      <c r="A53" s="198"/>
      <c r="B53" s="199"/>
      <c r="C53" s="199"/>
      <c r="D53" s="199"/>
      <c r="E53" s="199"/>
      <c r="F53" s="199"/>
      <c r="G53" s="198"/>
      <c r="H53" s="200"/>
      <c r="I53" s="202"/>
      <c r="J53" s="199"/>
      <c r="K53" s="199"/>
      <c r="L53" s="199"/>
      <c r="M53" s="199"/>
      <c r="N53" s="198"/>
      <c r="O53" s="198"/>
      <c r="P53" s="199"/>
      <c r="Q53" s="199"/>
      <c r="R53" s="200"/>
      <c r="S53" s="203"/>
      <c r="T53" s="199"/>
      <c r="U53" s="199"/>
      <c r="V53" s="94"/>
    </row>
    <row r="54">
      <c r="A54" s="198"/>
      <c r="B54" s="199"/>
      <c r="C54" s="199"/>
      <c r="D54" s="199"/>
      <c r="E54" s="199"/>
      <c r="F54" s="199"/>
      <c r="G54" s="198"/>
      <c r="H54" s="200"/>
      <c r="I54" s="202"/>
      <c r="J54" s="199"/>
      <c r="K54" s="199"/>
      <c r="L54" s="199"/>
      <c r="M54" s="199"/>
      <c r="N54" s="198"/>
      <c r="O54" s="198"/>
      <c r="P54" s="199"/>
      <c r="Q54" s="199"/>
      <c r="R54" s="198"/>
      <c r="S54" s="198"/>
      <c r="T54" s="207"/>
      <c r="U54" s="207"/>
      <c r="V54" s="94"/>
    </row>
    <row r="55">
      <c r="A55" s="198"/>
      <c r="B55" s="199"/>
      <c r="C55" s="199"/>
      <c r="D55" s="199"/>
      <c r="E55" s="199"/>
      <c r="F55" s="199"/>
      <c r="G55" s="198"/>
      <c r="H55" s="198"/>
      <c r="I55" s="202"/>
      <c r="J55" s="199"/>
      <c r="K55" s="199"/>
      <c r="L55" s="199"/>
      <c r="M55" s="199"/>
      <c r="N55" s="198"/>
      <c r="O55" s="198"/>
      <c r="P55" s="199"/>
      <c r="Q55" s="199"/>
      <c r="R55" s="200"/>
      <c r="S55" s="203"/>
      <c r="T55" s="199"/>
      <c r="U55" s="199"/>
      <c r="V55" s="94"/>
    </row>
    <row r="56">
      <c r="A56" s="198"/>
      <c r="B56" s="199"/>
      <c r="C56" s="199"/>
      <c r="D56" s="199"/>
      <c r="E56" s="199"/>
      <c r="F56" s="199"/>
      <c r="G56" s="198"/>
      <c r="H56" s="200"/>
      <c r="I56" s="205"/>
      <c r="J56" s="207"/>
      <c r="K56" s="199"/>
      <c r="L56" s="199"/>
      <c r="M56" s="199"/>
      <c r="N56" s="198"/>
      <c r="O56" s="198"/>
      <c r="P56" s="199"/>
      <c r="Q56" s="199"/>
      <c r="R56" s="198"/>
      <c r="S56" s="198"/>
      <c r="T56" s="207"/>
      <c r="U56" s="207"/>
      <c r="V56" s="94"/>
    </row>
    <row r="57">
      <c r="A57" s="198"/>
      <c r="B57" s="199"/>
      <c r="C57" s="199"/>
      <c r="D57" s="199"/>
      <c r="E57" s="199"/>
      <c r="F57" s="199"/>
      <c r="G57" s="198"/>
      <c r="H57" s="198"/>
      <c r="I57" s="205"/>
      <c r="J57" s="207"/>
      <c r="K57" s="199"/>
      <c r="L57" s="199"/>
      <c r="M57" s="199"/>
      <c r="N57" s="198"/>
      <c r="O57" s="198"/>
      <c r="P57" s="199"/>
      <c r="Q57" s="199"/>
      <c r="R57" s="198"/>
      <c r="S57" s="198"/>
      <c r="T57" s="207"/>
      <c r="U57" s="207"/>
      <c r="V57" s="94"/>
    </row>
    <row r="58">
      <c r="A58" s="198"/>
      <c r="B58" s="199"/>
      <c r="C58" s="199"/>
      <c r="D58" s="199"/>
      <c r="E58" s="199"/>
      <c r="F58" s="199"/>
      <c r="G58" s="200"/>
      <c r="H58" s="200"/>
      <c r="I58" s="202"/>
      <c r="J58" s="199"/>
      <c r="K58" s="199"/>
      <c r="L58" s="199"/>
      <c r="M58" s="199"/>
      <c r="N58" s="198"/>
      <c r="O58" s="198"/>
      <c r="P58" s="199"/>
      <c r="Q58" s="199"/>
      <c r="R58" s="198"/>
      <c r="S58" s="198"/>
      <c r="T58" s="207"/>
      <c r="U58" s="207"/>
    </row>
    <row r="59">
      <c r="A59" s="198"/>
      <c r="B59" s="199"/>
      <c r="C59" s="199"/>
      <c r="D59" s="199"/>
      <c r="E59" s="199"/>
      <c r="F59" s="199"/>
      <c r="G59" s="198"/>
      <c r="H59" s="198"/>
      <c r="I59" s="205"/>
      <c r="J59" s="207"/>
      <c r="K59" s="199"/>
      <c r="L59" s="199"/>
      <c r="M59" s="199"/>
      <c r="N59" s="198"/>
      <c r="O59" s="198"/>
      <c r="P59" s="199"/>
      <c r="Q59" s="199"/>
      <c r="R59" s="198"/>
      <c r="S59" s="198"/>
      <c r="T59" s="207"/>
      <c r="U59" s="207"/>
    </row>
    <row r="60">
      <c r="A60" s="198"/>
      <c r="B60" s="199"/>
      <c r="C60" s="199"/>
      <c r="D60" s="199"/>
      <c r="E60" s="199"/>
      <c r="F60" s="199"/>
      <c r="G60" s="198"/>
      <c r="H60" s="198"/>
      <c r="I60" s="205"/>
      <c r="J60" s="207"/>
      <c r="K60" s="199"/>
      <c r="L60" s="199"/>
      <c r="M60" s="199"/>
      <c r="N60" s="198"/>
      <c r="O60" s="198"/>
      <c r="P60" s="199"/>
      <c r="Q60" s="199"/>
      <c r="R60" s="198"/>
      <c r="S60" s="198"/>
      <c r="T60" s="207"/>
      <c r="U60" s="207"/>
    </row>
    <row r="61">
      <c r="A61" s="198"/>
      <c r="B61" s="199"/>
      <c r="C61" s="199"/>
      <c r="D61" s="199"/>
      <c r="E61" s="199"/>
      <c r="F61" s="199"/>
      <c r="G61" s="200"/>
      <c r="H61" s="200"/>
      <c r="I61" s="202"/>
      <c r="J61" s="199"/>
      <c r="K61" s="199"/>
      <c r="L61" s="199"/>
      <c r="M61" s="199"/>
      <c r="N61" s="198"/>
      <c r="O61" s="198"/>
      <c r="P61" s="199"/>
      <c r="Q61" s="199"/>
      <c r="R61" s="198"/>
      <c r="S61" s="198"/>
      <c r="T61" s="207"/>
      <c r="U61" s="207"/>
    </row>
    <row r="62">
      <c r="A62" s="198"/>
      <c r="B62" s="199"/>
      <c r="C62" s="199"/>
      <c r="D62" s="199"/>
      <c r="E62" s="199"/>
      <c r="F62" s="199"/>
      <c r="G62" s="198"/>
      <c r="H62" s="198"/>
      <c r="I62" s="205"/>
      <c r="J62" s="207"/>
      <c r="K62" s="199"/>
      <c r="L62" s="199"/>
      <c r="M62" s="199"/>
      <c r="N62" s="198"/>
      <c r="O62" s="198"/>
      <c r="P62" s="199"/>
      <c r="Q62" s="199"/>
      <c r="R62" s="198"/>
      <c r="S62" s="198"/>
      <c r="T62" s="207"/>
      <c r="U62" s="207"/>
    </row>
    <row r="63">
      <c r="A63" s="211"/>
      <c r="B63" s="212"/>
      <c r="C63" s="212"/>
      <c r="D63" s="212"/>
      <c r="E63" s="213"/>
      <c r="F63" s="213"/>
      <c r="G63" s="211"/>
      <c r="H63" s="214"/>
      <c r="I63" s="215"/>
      <c r="J63" s="216"/>
      <c r="K63" s="212"/>
      <c r="L63" s="212"/>
      <c r="M63" s="212"/>
      <c r="N63" s="211"/>
      <c r="O63" s="211"/>
      <c r="P63" s="213"/>
      <c r="Q63" s="212"/>
      <c r="R63" s="214"/>
      <c r="S63" s="217"/>
      <c r="T63" s="216"/>
      <c r="U63" s="216"/>
    </row>
    <row r="64">
      <c r="A64" s="211"/>
      <c r="B64" s="212"/>
      <c r="C64" s="212"/>
      <c r="D64" s="212"/>
      <c r="E64" s="213"/>
      <c r="F64" s="213"/>
      <c r="G64" s="211"/>
      <c r="H64" s="211"/>
      <c r="I64" s="215"/>
      <c r="J64" s="216"/>
      <c r="K64" s="212"/>
      <c r="L64" s="212"/>
      <c r="M64" s="212"/>
      <c r="N64" s="211"/>
      <c r="O64" s="211"/>
      <c r="P64" s="213"/>
      <c r="Q64" s="212"/>
      <c r="R64" s="214"/>
      <c r="S64" s="217"/>
      <c r="T64" s="213"/>
      <c r="U64" s="212"/>
    </row>
    <row r="65">
      <c r="A65" s="211"/>
      <c r="B65" s="212"/>
      <c r="C65" s="212"/>
      <c r="D65" s="212"/>
      <c r="E65" s="213"/>
      <c r="F65" s="213"/>
      <c r="G65" s="211"/>
      <c r="H65" s="211"/>
      <c r="I65" s="218"/>
      <c r="J65" s="213"/>
      <c r="K65" s="212"/>
      <c r="L65" s="212"/>
      <c r="M65" s="212"/>
      <c r="N65" s="211"/>
      <c r="O65" s="211"/>
      <c r="P65" s="213"/>
      <c r="Q65" s="212"/>
      <c r="R65" s="211"/>
      <c r="S65" s="217"/>
      <c r="T65" s="216"/>
      <c r="U65" s="216"/>
    </row>
    <row r="66">
      <c r="A66" s="211"/>
      <c r="B66" s="212"/>
      <c r="C66" s="212"/>
      <c r="D66" s="212"/>
      <c r="E66" s="213"/>
      <c r="F66" s="213"/>
      <c r="G66" s="211"/>
      <c r="H66" s="211"/>
      <c r="I66" s="218"/>
      <c r="J66" s="213"/>
      <c r="K66" s="212"/>
      <c r="L66" s="212"/>
      <c r="M66" s="212"/>
      <c r="N66" s="211"/>
      <c r="O66" s="211"/>
      <c r="P66" s="213"/>
      <c r="Q66" s="212"/>
      <c r="R66" s="211"/>
      <c r="S66" s="217"/>
      <c r="T66" s="216"/>
      <c r="U66" s="216"/>
    </row>
    <row r="67">
      <c r="A67" s="211"/>
      <c r="B67" s="212"/>
      <c r="C67" s="212"/>
      <c r="D67" s="212"/>
      <c r="E67" s="213"/>
      <c r="F67" s="213"/>
      <c r="G67" s="211"/>
      <c r="H67" s="214"/>
      <c r="I67" s="218"/>
      <c r="J67" s="213"/>
      <c r="K67" s="212"/>
      <c r="L67" s="212"/>
      <c r="M67" s="212"/>
      <c r="N67" s="211"/>
      <c r="O67" s="211"/>
      <c r="P67" s="213"/>
      <c r="Q67" s="212"/>
      <c r="R67" s="214"/>
      <c r="S67" s="217"/>
      <c r="T67" s="213"/>
      <c r="U67" s="212"/>
    </row>
    <row r="68">
      <c r="A68" s="211"/>
      <c r="B68" s="212"/>
      <c r="C68" s="212"/>
      <c r="D68" s="212"/>
      <c r="E68" s="213"/>
      <c r="F68" s="213"/>
      <c r="G68" s="211"/>
      <c r="H68" s="211"/>
      <c r="I68" s="218"/>
      <c r="J68" s="213"/>
      <c r="K68" s="212"/>
      <c r="L68" s="212"/>
      <c r="M68" s="212"/>
      <c r="N68" s="211"/>
      <c r="O68" s="211"/>
      <c r="P68" s="216"/>
      <c r="Q68" s="212"/>
      <c r="R68" s="214"/>
      <c r="S68" s="217"/>
      <c r="T68" s="213"/>
      <c r="U68" s="212"/>
    </row>
    <row r="69">
      <c r="A69" s="219"/>
      <c r="B69" s="220"/>
      <c r="C69" s="220"/>
      <c r="D69" s="220"/>
      <c r="E69" s="220"/>
      <c r="F69" s="220"/>
      <c r="G69" s="219"/>
      <c r="H69" s="219"/>
      <c r="I69" s="221"/>
      <c r="J69" s="220"/>
      <c r="K69" s="220"/>
      <c r="L69" s="220"/>
      <c r="M69" s="220"/>
      <c r="N69" s="219"/>
      <c r="O69" s="219"/>
      <c r="P69" s="220"/>
      <c r="Q69" s="220"/>
      <c r="R69" s="222"/>
      <c r="S69" s="220"/>
      <c r="T69" s="220"/>
      <c r="U69" s="220"/>
    </row>
    <row r="70">
      <c r="A70" s="219"/>
      <c r="B70" s="220"/>
      <c r="C70" s="220"/>
      <c r="D70" s="223"/>
      <c r="E70" s="220"/>
      <c r="F70" s="220"/>
      <c r="G70" s="219"/>
      <c r="H70" s="219"/>
      <c r="I70" s="221"/>
      <c r="J70" s="220"/>
      <c r="K70" s="220"/>
      <c r="L70" s="220"/>
      <c r="M70" s="220"/>
      <c r="N70" s="219"/>
      <c r="O70" s="219"/>
      <c r="P70" s="220"/>
      <c r="Q70" s="220"/>
      <c r="R70" s="222"/>
      <c r="S70" s="220"/>
      <c r="T70" s="220"/>
      <c r="U70" s="220"/>
    </row>
    <row r="71">
      <c r="A71" s="219"/>
      <c r="B71" s="220"/>
      <c r="C71" s="220"/>
      <c r="D71" s="220"/>
      <c r="E71" s="220"/>
      <c r="F71" s="220"/>
      <c r="G71" s="219"/>
      <c r="H71" s="219"/>
      <c r="I71" s="221"/>
      <c r="J71" s="220"/>
      <c r="K71" s="220"/>
      <c r="L71" s="220"/>
      <c r="M71" s="220"/>
      <c r="N71" s="219"/>
      <c r="O71" s="219"/>
      <c r="P71" s="220"/>
      <c r="Q71" s="220"/>
      <c r="R71" s="225"/>
      <c r="S71" s="220"/>
      <c r="T71" s="226"/>
      <c r="U71" s="226"/>
    </row>
    <row r="72">
      <c r="A72" s="219"/>
      <c r="B72" s="220"/>
      <c r="C72" s="220"/>
      <c r="D72" s="220"/>
      <c r="E72" s="220"/>
      <c r="F72" s="220"/>
      <c r="G72" s="219"/>
      <c r="H72" s="219"/>
      <c r="I72" s="227"/>
      <c r="J72" s="226"/>
      <c r="K72" s="220"/>
      <c r="L72" s="220"/>
      <c r="M72" s="220"/>
      <c r="N72" s="219"/>
      <c r="O72" s="219"/>
      <c r="P72" s="220"/>
      <c r="Q72" s="220"/>
      <c r="R72" s="222"/>
      <c r="S72" s="220"/>
      <c r="T72" s="220"/>
      <c r="U72" s="220"/>
    </row>
    <row r="73">
      <c r="A73" s="219"/>
      <c r="B73" s="220"/>
      <c r="C73" s="220"/>
      <c r="D73" s="220"/>
      <c r="E73" s="220"/>
      <c r="F73" s="220"/>
      <c r="G73" s="219"/>
      <c r="H73" s="222"/>
      <c r="I73" s="227"/>
      <c r="J73" s="226"/>
      <c r="K73" s="220"/>
      <c r="L73" s="220"/>
      <c r="M73" s="220"/>
      <c r="N73" s="219"/>
      <c r="O73" s="219"/>
      <c r="P73" s="220"/>
      <c r="Q73" s="220"/>
      <c r="R73" s="222"/>
      <c r="S73" s="220"/>
      <c r="T73" s="220"/>
      <c r="U73" s="220"/>
    </row>
    <row r="74">
      <c r="A74" s="219"/>
      <c r="B74" s="220"/>
      <c r="C74" s="220"/>
      <c r="D74" s="220"/>
      <c r="E74" s="220"/>
      <c r="F74" s="220"/>
      <c r="G74" s="219"/>
      <c r="H74" s="219"/>
      <c r="I74" s="221"/>
      <c r="J74" s="220"/>
      <c r="K74" s="220"/>
      <c r="L74" s="220"/>
      <c r="M74" s="220"/>
      <c r="N74" s="219"/>
      <c r="O74" s="219"/>
      <c r="P74" s="220"/>
      <c r="Q74" s="220"/>
      <c r="R74" s="222"/>
      <c r="S74" s="220"/>
      <c r="T74" s="220"/>
      <c r="U74" s="220"/>
    </row>
    <row r="75">
      <c r="A75" s="219"/>
      <c r="B75" s="220"/>
      <c r="C75" s="220"/>
      <c r="D75" s="223"/>
      <c r="E75" s="220"/>
      <c r="F75" s="220"/>
      <c r="G75" s="219"/>
      <c r="H75" s="222"/>
      <c r="I75" s="221"/>
      <c r="J75" s="220"/>
      <c r="K75" s="220"/>
      <c r="L75" s="220"/>
      <c r="M75" s="220"/>
      <c r="N75" s="219"/>
      <c r="O75" s="219"/>
      <c r="P75" s="220"/>
      <c r="Q75" s="220"/>
      <c r="R75" s="219"/>
      <c r="S75" s="226"/>
      <c r="T75" s="226"/>
      <c r="U75" s="226"/>
    </row>
    <row r="76">
      <c r="A76" s="219"/>
      <c r="B76" s="220"/>
      <c r="C76" s="220"/>
      <c r="D76" s="220"/>
      <c r="E76" s="220"/>
      <c r="F76" s="220"/>
      <c r="G76" s="219"/>
      <c r="H76" s="219"/>
      <c r="I76" s="221"/>
      <c r="J76" s="220"/>
      <c r="K76" s="220"/>
      <c r="L76" s="220"/>
      <c r="M76" s="220"/>
      <c r="N76" s="219"/>
      <c r="O76" s="219"/>
      <c r="P76" s="226"/>
      <c r="Q76" s="220"/>
      <c r="R76" s="222"/>
      <c r="S76" s="220"/>
      <c r="T76" s="220"/>
      <c r="U76" s="220"/>
    </row>
    <row r="77">
      <c r="A77" s="219"/>
      <c r="B77" s="220"/>
      <c r="C77" s="220"/>
      <c r="D77" s="220"/>
      <c r="E77" s="220"/>
      <c r="F77" s="220"/>
      <c r="G77" s="219"/>
      <c r="H77" s="222"/>
      <c r="I77" s="221"/>
      <c r="J77" s="220"/>
      <c r="K77" s="220"/>
      <c r="L77" s="220"/>
      <c r="M77" s="220"/>
      <c r="N77" s="219"/>
      <c r="O77" s="219"/>
      <c r="P77" s="226"/>
      <c r="Q77" s="220"/>
      <c r="R77" s="222"/>
      <c r="S77" s="220"/>
      <c r="T77" s="220"/>
      <c r="U77" s="220"/>
    </row>
    <row r="78">
      <c r="A78" s="219"/>
      <c r="B78" s="220"/>
      <c r="C78" s="220"/>
      <c r="D78" s="220"/>
      <c r="E78" s="220"/>
      <c r="F78" s="220"/>
      <c r="G78" s="219"/>
      <c r="H78" s="219"/>
      <c r="I78" s="221"/>
      <c r="J78" s="220"/>
      <c r="K78" s="220"/>
      <c r="L78" s="220"/>
      <c r="M78" s="220"/>
      <c r="N78" s="219"/>
      <c r="O78" s="219"/>
      <c r="P78" s="226"/>
      <c r="Q78" s="220"/>
      <c r="R78" s="219"/>
      <c r="S78" s="220"/>
      <c r="T78" s="226"/>
      <c r="U78" s="226"/>
    </row>
    <row r="79">
      <c r="A79" s="219"/>
      <c r="B79" s="220"/>
      <c r="C79" s="220"/>
      <c r="D79" s="220"/>
      <c r="E79" s="220"/>
      <c r="F79" s="220"/>
      <c r="G79" s="222"/>
      <c r="H79" s="222"/>
      <c r="I79" s="221"/>
      <c r="J79" s="220"/>
      <c r="K79" s="220"/>
      <c r="L79" s="220"/>
      <c r="M79" s="220"/>
      <c r="N79" s="219"/>
      <c r="O79" s="219"/>
      <c r="P79" s="220"/>
      <c r="Q79" s="220"/>
      <c r="R79" s="219"/>
      <c r="S79" s="220"/>
      <c r="T79" s="226"/>
      <c r="U79" s="226"/>
    </row>
    <row r="80">
      <c r="A80" s="219"/>
      <c r="B80" s="220"/>
      <c r="C80" s="220"/>
      <c r="D80" s="220"/>
      <c r="E80" s="220"/>
      <c r="F80" s="220"/>
      <c r="G80" s="219"/>
      <c r="H80" s="219"/>
      <c r="I80" s="227"/>
      <c r="J80" s="226"/>
      <c r="K80" s="220"/>
      <c r="L80" s="220"/>
      <c r="M80" s="220"/>
      <c r="N80" s="219"/>
      <c r="O80" s="219"/>
      <c r="P80" s="220"/>
      <c r="Q80" s="220"/>
      <c r="R80" s="219"/>
      <c r="S80" s="220"/>
      <c r="T80" s="226"/>
      <c r="U80" s="226"/>
    </row>
    <row r="81">
      <c r="A81" s="219"/>
      <c r="B81" s="220"/>
      <c r="C81" s="220"/>
      <c r="D81" s="220"/>
      <c r="E81" s="220"/>
      <c r="F81" s="220"/>
      <c r="G81" s="219"/>
      <c r="H81" s="219"/>
      <c r="I81" s="227"/>
      <c r="J81" s="226"/>
      <c r="K81" s="220"/>
      <c r="L81" s="220"/>
      <c r="M81" s="220"/>
      <c r="N81" s="219"/>
      <c r="O81" s="219"/>
      <c r="P81" s="220"/>
      <c r="Q81" s="220"/>
      <c r="R81" s="219"/>
      <c r="S81" s="220"/>
      <c r="T81" s="226"/>
      <c r="U81" s="226"/>
    </row>
    <row r="82">
      <c r="A82" s="219"/>
      <c r="B82" s="220"/>
      <c r="C82" s="220"/>
      <c r="D82" s="220"/>
      <c r="E82" s="220"/>
      <c r="F82" s="220"/>
      <c r="G82" s="219"/>
      <c r="H82" s="219"/>
      <c r="I82" s="221"/>
      <c r="J82" s="220"/>
      <c r="K82" s="220"/>
      <c r="L82" s="220"/>
      <c r="M82" s="220"/>
      <c r="N82" s="219"/>
      <c r="O82" s="219"/>
      <c r="P82" s="220"/>
      <c r="Q82" s="220"/>
      <c r="R82" s="219"/>
      <c r="S82" s="220"/>
      <c r="T82" s="226"/>
      <c r="U82" s="226"/>
    </row>
    <row r="83">
      <c r="A83" s="219"/>
      <c r="B83" s="220"/>
      <c r="C83" s="220"/>
      <c r="D83" s="220"/>
      <c r="E83" s="220"/>
      <c r="F83" s="220"/>
      <c r="G83" s="222"/>
      <c r="H83" s="222"/>
      <c r="I83" s="226"/>
      <c r="J83" s="226"/>
      <c r="K83" s="220"/>
      <c r="L83" s="220"/>
      <c r="M83" s="220"/>
      <c r="N83" s="219"/>
      <c r="O83" s="219"/>
      <c r="P83" s="220"/>
      <c r="Q83" s="220"/>
      <c r="R83" s="219"/>
      <c r="S83" s="220"/>
      <c r="T83" s="226"/>
      <c r="U83" s="226"/>
    </row>
    <row r="84">
      <c r="A84" s="219"/>
      <c r="B84" s="220"/>
      <c r="C84" s="220"/>
      <c r="D84" s="220"/>
      <c r="E84" s="220"/>
      <c r="F84" s="220"/>
      <c r="G84" s="222"/>
      <c r="H84" s="222"/>
      <c r="I84" s="227"/>
      <c r="J84" s="226"/>
      <c r="K84" s="220"/>
      <c r="L84" s="220"/>
      <c r="M84" s="220"/>
      <c r="N84" s="219"/>
      <c r="O84" s="219"/>
      <c r="P84" s="220"/>
      <c r="Q84" s="220"/>
      <c r="R84" s="219"/>
      <c r="S84" s="220"/>
      <c r="T84" s="226"/>
      <c r="U84" s="226"/>
    </row>
    <row r="85">
      <c r="A85" s="219"/>
      <c r="B85" s="220"/>
      <c r="C85" s="220"/>
      <c r="D85" s="220"/>
      <c r="E85" s="220"/>
      <c r="F85" s="220"/>
      <c r="G85" s="222"/>
      <c r="H85" s="222"/>
      <c r="I85" s="227"/>
      <c r="J85" s="226"/>
      <c r="K85" s="220"/>
      <c r="L85" s="220"/>
      <c r="M85" s="220"/>
      <c r="N85" s="219"/>
      <c r="O85" s="219"/>
      <c r="P85" s="226"/>
      <c r="Q85" s="220"/>
      <c r="R85" s="222"/>
      <c r="S85" s="220"/>
      <c r="T85" s="220"/>
      <c r="U85" s="220"/>
    </row>
    <row r="86">
      <c r="A86" s="219"/>
      <c r="B86" s="220"/>
      <c r="C86" s="220"/>
      <c r="D86" s="220"/>
      <c r="E86" s="220"/>
      <c r="F86" s="220"/>
      <c r="G86" s="219"/>
      <c r="H86" s="219"/>
      <c r="I86" s="226"/>
      <c r="J86" s="226"/>
      <c r="K86" s="220"/>
      <c r="L86" s="220"/>
      <c r="M86" s="220"/>
      <c r="N86" s="219"/>
      <c r="O86" s="219"/>
      <c r="P86" s="220"/>
      <c r="Q86" s="220"/>
      <c r="R86" s="219"/>
      <c r="S86" s="220"/>
      <c r="T86" s="226"/>
      <c r="U86" s="226"/>
    </row>
    <row r="87">
      <c r="A87" s="219"/>
      <c r="B87" s="220"/>
      <c r="C87" s="220"/>
      <c r="D87" s="220"/>
      <c r="E87" s="220"/>
      <c r="F87" s="220"/>
      <c r="G87" s="222"/>
      <c r="H87" s="222"/>
      <c r="I87" s="220"/>
      <c r="J87" s="220"/>
      <c r="K87" s="220"/>
      <c r="L87" s="220"/>
      <c r="M87" s="220"/>
      <c r="N87" s="219"/>
      <c r="O87" s="219"/>
      <c r="P87" s="226"/>
      <c r="Q87" s="220"/>
      <c r="R87" s="222"/>
      <c r="S87" s="220"/>
      <c r="T87" s="226"/>
      <c r="U87" s="226"/>
    </row>
    <row r="88">
      <c r="A88" s="219"/>
      <c r="B88" s="220"/>
      <c r="C88" s="220"/>
      <c r="D88" s="220"/>
      <c r="E88" s="220"/>
      <c r="F88" s="220"/>
      <c r="G88" s="219"/>
      <c r="H88" s="222"/>
      <c r="I88" s="227"/>
      <c r="J88" s="226"/>
      <c r="K88" s="220"/>
      <c r="L88" s="220"/>
      <c r="M88" s="220"/>
      <c r="N88" s="219"/>
      <c r="O88" s="219"/>
      <c r="P88" s="220"/>
      <c r="Q88" s="220"/>
      <c r="R88" s="222"/>
      <c r="S88" s="220"/>
      <c r="T88" s="220"/>
      <c r="U88" s="220"/>
    </row>
    <row r="89">
      <c r="A89" s="219"/>
      <c r="B89" s="220"/>
      <c r="C89" s="220"/>
      <c r="D89" s="220"/>
      <c r="E89" s="220"/>
      <c r="F89" s="220"/>
      <c r="G89" s="219"/>
      <c r="H89" s="222"/>
      <c r="I89" s="227"/>
      <c r="J89" s="226"/>
      <c r="K89" s="220"/>
      <c r="L89" s="220"/>
      <c r="M89" s="220"/>
      <c r="N89" s="219"/>
      <c r="O89" s="219"/>
      <c r="P89" s="220"/>
      <c r="Q89" s="220"/>
      <c r="R89" s="222"/>
      <c r="S89" s="220"/>
      <c r="T89" s="220"/>
      <c r="U89" s="220"/>
    </row>
    <row r="90">
      <c r="A90" s="219"/>
      <c r="B90" s="220"/>
      <c r="C90" s="220"/>
      <c r="D90" s="220"/>
      <c r="E90" s="220"/>
      <c r="F90" s="220"/>
      <c r="G90" s="219"/>
      <c r="H90" s="219"/>
      <c r="I90" s="227"/>
      <c r="J90" s="226"/>
      <c r="K90" s="220"/>
      <c r="L90" s="220"/>
      <c r="M90" s="220"/>
      <c r="N90" s="219"/>
      <c r="O90" s="219"/>
      <c r="P90" s="220"/>
      <c r="Q90" s="220"/>
      <c r="R90" s="222"/>
      <c r="S90" s="220"/>
      <c r="T90" s="220"/>
      <c r="U90" s="220"/>
    </row>
    <row r="91">
      <c r="A91" s="219"/>
      <c r="B91" s="220"/>
      <c r="C91" s="220"/>
      <c r="D91" s="220"/>
      <c r="E91" s="220"/>
      <c r="F91" s="220"/>
      <c r="G91" s="219"/>
      <c r="H91" s="219"/>
      <c r="I91" s="220"/>
      <c r="J91" s="220"/>
      <c r="K91" s="220"/>
      <c r="L91" s="220"/>
      <c r="M91" s="220"/>
      <c r="N91" s="219"/>
      <c r="O91" s="219"/>
      <c r="P91" s="226"/>
      <c r="Q91" s="220"/>
      <c r="R91" s="222"/>
      <c r="S91" s="220"/>
      <c r="T91" s="220"/>
      <c r="U91" s="220"/>
    </row>
    <row r="92">
      <c r="A92" s="219"/>
      <c r="B92" s="220"/>
      <c r="C92" s="220"/>
      <c r="D92" s="220"/>
      <c r="E92" s="220"/>
      <c r="F92" s="220"/>
      <c r="G92" s="219"/>
      <c r="H92" s="219"/>
      <c r="I92" s="221"/>
      <c r="J92" s="220"/>
      <c r="K92" s="220"/>
      <c r="L92" s="220"/>
      <c r="M92" s="220"/>
      <c r="N92" s="219"/>
      <c r="O92" s="219"/>
      <c r="P92" s="220"/>
      <c r="Q92" s="220"/>
      <c r="R92" s="222"/>
      <c r="S92" s="220"/>
      <c r="T92" s="220"/>
      <c r="U92" s="220"/>
    </row>
    <row r="93">
      <c r="A93" s="219"/>
      <c r="B93" s="220"/>
      <c r="C93" s="220"/>
      <c r="D93" s="220"/>
      <c r="E93" s="220"/>
      <c r="F93" s="220"/>
      <c r="G93" s="219"/>
      <c r="H93" s="219"/>
      <c r="I93" s="227"/>
      <c r="J93" s="226"/>
      <c r="K93" s="220"/>
      <c r="L93" s="220"/>
      <c r="M93" s="220"/>
      <c r="N93" s="219"/>
      <c r="O93" s="219"/>
      <c r="P93" s="220"/>
      <c r="Q93" s="220"/>
      <c r="R93" s="219"/>
      <c r="S93" s="220"/>
      <c r="T93" s="226"/>
      <c r="U93" s="226"/>
    </row>
    <row r="94">
      <c r="A94" s="219"/>
      <c r="B94" s="220"/>
      <c r="C94" s="220"/>
      <c r="D94" s="220"/>
      <c r="E94" s="220"/>
      <c r="F94" s="220"/>
      <c r="G94" s="222"/>
      <c r="H94" s="222"/>
      <c r="I94" s="227"/>
      <c r="J94" s="226"/>
      <c r="K94" s="220"/>
      <c r="L94" s="220"/>
      <c r="M94" s="220"/>
      <c r="N94" s="219"/>
      <c r="O94" s="219"/>
      <c r="P94" s="220"/>
      <c r="Q94" s="220"/>
      <c r="R94" s="222"/>
      <c r="S94" s="220"/>
      <c r="T94" s="220"/>
      <c r="U94" s="220"/>
    </row>
    <row r="95">
      <c r="A95" s="219"/>
      <c r="B95" s="220"/>
      <c r="C95" s="220"/>
      <c r="D95" s="220"/>
      <c r="E95" s="220"/>
      <c r="F95" s="220"/>
      <c r="G95" s="219"/>
      <c r="H95" s="222"/>
      <c r="I95" s="221"/>
      <c r="J95" s="220"/>
      <c r="K95" s="220"/>
      <c r="L95" s="220"/>
      <c r="M95" s="220"/>
      <c r="N95" s="219"/>
      <c r="O95" s="219"/>
      <c r="P95" s="220"/>
      <c r="Q95" s="220"/>
      <c r="R95" s="222"/>
      <c r="S95" s="220"/>
      <c r="T95" s="220"/>
      <c r="U95" s="220"/>
    </row>
    <row r="96">
      <c r="A96" s="219"/>
      <c r="B96" s="220"/>
      <c r="C96" s="220"/>
      <c r="D96" s="220"/>
      <c r="E96" s="220"/>
      <c r="F96" s="220"/>
      <c r="G96" s="219"/>
      <c r="H96" s="222"/>
      <c r="I96" s="227"/>
      <c r="J96" s="226"/>
      <c r="K96" s="220"/>
      <c r="L96" s="220"/>
      <c r="M96" s="220"/>
      <c r="N96" s="219"/>
      <c r="O96" s="219"/>
      <c r="P96" s="220"/>
      <c r="Q96" s="220"/>
      <c r="R96" s="222"/>
      <c r="S96" s="220"/>
      <c r="T96" s="220"/>
      <c r="U96" s="220"/>
    </row>
    <row r="97">
      <c r="A97" s="219"/>
      <c r="B97" s="220"/>
      <c r="C97" s="220"/>
      <c r="D97" s="220"/>
      <c r="E97" s="220"/>
      <c r="F97" s="220"/>
      <c r="G97" s="219"/>
      <c r="H97" s="219"/>
      <c r="I97" s="221"/>
      <c r="J97" s="220"/>
      <c r="K97" s="220"/>
      <c r="L97" s="220"/>
      <c r="M97" s="220"/>
      <c r="N97" s="219"/>
      <c r="O97" s="219"/>
      <c r="P97" s="220"/>
      <c r="Q97" s="220"/>
      <c r="R97" s="219"/>
      <c r="S97" s="220"/>
      <c r="T97" s="226"/>
      <c r="U97" s="226"/>
    </row>
    <row r="98">
      <c r="A98" s="219"/>
      <c r="B98" s="220"/>
      <c r="C98" s="220"/>
      <c r="D98" s="220"/>
      <c r="E98" s="220"/>
      <c r="F98" s="220"/>
      <c r="G98" s="219"/>
      <c r="H98" s="219"/>
      <c r="I98" s="226"/>
      <c r="J98" s="226"/>
      <c r="K98" s="220"/>
      <c r="L98" s="220"/>
      <c r="M98" s="220"/>
      <c r="N98" s="219"/>
      <c r="O98" s="219"/>
      <c r="P98" s="220"/>
      <c r="Q98" s="220"/>
      <c r="R98" s="219"/>
      <c r="S98" s="220"/>
      <c r="T98" s="226"/>
      <c r="U98" s="226"/>
    </row>
    <row r="99">
      <c r="A99" s="219"/>
      <c r="B99" s="220"/>
      <c r="C99" s="220"/>
      <c r="D99" s="220"/>
      <c r="E99" s="220"/>
      <c r="F99" s="220"/>
      <c r="G99" s="219"/>
      <c r="H99" s="219"/>
      <c r="I99" s="227"/>
      <c r="J99" s="226"/>
      <c r="K99" s="220"/>
      <c r="L99" s="220"/>
      <c r="M99" s="220"/>
      <c r="N99" s="219"/>
      <c r="O99" s="219"/>
      <c r="P99" s="220"/>
      <c r="Q99" s="220"/>
      <c r="R99" s="219"/>
      <c r="S99" s="220"/>
      <c r="T99" s="226"/>
      <c r="U99" s="226"/>
    </row>
    <row r="100">
      <c r="A100" s="219"/>
      <c r="B100" s="220"/>
      <c r="C100" s="220"/>
      <c r="D100" s="220"/>
      <c r="E100" s="220"/>
      <c r="F100" s="220"/>
      <c r="G100" s="219"/>
      <c r="H100" s="222"/>
      <c r="I100" s="226"/>
      <c r="J100" s="226"/>
      <c r="K100" s="220"/>
      <c r="L100" s="220"/>
      <c r="M100" s="220"/>
      <c r="N100" s="219"/>
      <c r="O100" s="219"/>
      <c r="P100" s="220"/>
      <c r="Q100" s="220"/>
      <c r="R100" s="219"/>
      <c r="S100" s="220"/>
      <c r="T100" s="226"/>
      <c r="U100" s="226"/>
    </row>
    <row r="101">
      <c r="A101" s="219"/>
      <c r="B101" s="220"/>
      <c r="C101" s="220"/>
      <c r="D101" s="220"/>
      <c r="E101" s="220"/>
      <c r="F101" s="220"/>
      <c r="G101" s="219"/>
      <c r="H101" s="222"/>
      <c r="I101" s="226"/>
      <c r="J101" s="226"/>
      <c r="K101" s="220"/>
      <c r="L101" s="220"/>
      <c r="M101" s="220"/>
      <c r="N101" s="219"/>
      <c r="O101" s="219"/>
      <c r="P101" s="220"/>
      <c r="Q101" s="220"/>
      <c r="R101" s="219"/>
      <c r="S101" s="220"/>
      <c r="T101" s="226"/>
      <c r="U101" s="226"/>
    </row>
    <row r="102">
      <c r="A102" s="219"/>
      <c r="B102" s="220"/>
      <c r="C102" s="220"/>
      <c r="D102" s="220"/>
      <c r="E102" s="220"/>
      <c r="F102" s="220"/>
      <c r="G102" s="222"/>
      <c r="H102" s="222"/>
      <c r="I102" s="226"/>
      <c r="J102" s="226"/>
      <c r="K102" s="220"/>
      <c r="L102" s="220"/>
      <c r="M102" s="220"/>
      <c r="N102" s="219"/>
      <c r="O102" s="219"/>
      <c r="P102" s="220"/>
      <c r="Q102" s="220"/>
      <c r="R102" s="222"/>
      <c r="S102" s="220"/>
      <c r="T102" s="220"/>
      <c r="U102" s="220"/>
    </row>
    <row r="103">
      <c r="A103" s="219"/>
      <c r="B103" s="220"/>
      <c r="C103" s="220"/>
      <c r="D103" s="220"/>
      <c r="E103" s="220"/>
      <c r="F103" s="220"/>
      <c r="G103" s="219"/>
      <c r="H103" s="222"/>
      <c r="I103" s="226"/>
      <c r="J103" s="226"/>
      <c r="K103" s="220"/>
      <c r="L103" s="220"/>
      <c r="M103" s="220"/>
      <c r="N103" s="219"/>
      <c r="O103" s="219"/>
      <c r="P103" s="220"/>
      <c r="Q103" s="220"/>
      <c r="R103" s="219"/>
      <c r="S103" s="220"/>
      <c r="T103" s="226"/>
      <c r="U103" s="226"/>
    </row>
    <row r="104">
      <c r="A104" s="219"/>
      <c r="B104" s="220"/>
      <c r="C104" s="220"/>
      <c r="D104" s="220"/>
      <c r="E104" s="220"/>
      <c r="F104" s="220"/>
      <c r="G104" s="219"/>
      <c r="H104" s="219"/>
      <c r="I104" s="226"/>
      <c r="J104" s="226"/>
      <c r="K104" s="220"/>
      <c r="L104" s="220"/>
      <c r="M104" s="220"/>
      <c r="N104" s="219"/>
      <c r="O104" s="219"/>
      <c r="P104" s="220"/>
      <c r="Q104" s="220"/>
      <c r="R104" s="222"/>
      <c r="S104" s="220"/>
      <c r="T104" s="220"/>
      <c r="U104" s="220"/>
    </row>
    <row r="105">
      <c r="A105" s="219"/>
      <c r="B105" s="220"/>
      <c r="C105" s="220"/>
      <c r="D105" s="220"/>
      <c r="E105" s="220"/>
      <c r="F105" s="220"/>
      <c r="G105" s="219"/>
      <c r="H105" s="222"/>
      <c r="I105" s="220"/>
      <c r="J105" s="220"/>
      <c r="K105" s="220"/>
      <c r="L105" s="220"/>
      <c r="M105" s="220"/>
      <c r="N105" s="219"/>
      <c r="O105" s="219"/>
      <c r="P105" s="226"/>
      <c r="Q105" s="220"/>
      <c r="R105" s="219"/>
      <c r="S105" s="220"/>
      <c r="T105" s="226"/>
      <c r="U105" s="226"/>
    </row>
    <row r="106">
      <c r="A106" s="219"/>
      <c r="B106" s="220"/>
      <c r="C106" s="220"/>
      <c r="D106" s="220"/>
      <c r="E106" s="220"/>
      <c r="F106" s="220"/>
      <c r="G106" s="219"/>
      <c r="H106" s="219"/>
      <c r="I106" s="220"/>
      <c r="J106" s="220"/>
      <c r="K106" s="220"/>
      <c r="L106" s="220"/>
      <c r="M106" s="220"/>
      <c r="N106" s="219"/>
      <c r="O106" s="219"/>
      <c r="P106" s="220"/>
      <c r="Q106" s="220"/>
      <c r="R106" s="219"/>
      <c r="S106" s="220"/>
      <c r="T106" s="226"/>
      <c r="U106" s="226"/>
    </row>
  </sheetData>
  <autoFilter ref="$A$2:$V$106"/>
  <mergeCells count="1">
    <mergeCell ref="B1:C1"/>
  </mergeCells>
  <conditionalFormatting sqref="B1">
    <cfRule type="expression" dxfId="11" priority="1">
      <formula>#REF!="OPEN"</formula>
    </cfRule>
  </conditionalFormatting>
  <conditionalFormatting sqref="B1">
    <cfRule type="expression" dxfId="7" priority="2">
      <formula>$S1="OPEN"</formula>
    </cfRule>
  </conditionalFormatting>
  <conditionalFormatting sqref="B1">
    <cfRule type="expression" dxfId="8" priority="3">
      <formula>$S1="CLOSED"</formula>
    </cfRule>
  </conditionalFormatting>
  <conditionalFormatting sqref="B1">
    <cfRule type="expression" dxfId="5" priority="4">
      <formula>$R1="CLOSED"</formula>
    </cfRule>
  </conditionalFormatting>
  <conditionalFormatting sqref="B1">
    <cfRule type="expression" dxfId="6" priority="5">
      <formula>$R1="OPEN"</formula>
    </cfRule>
  </conditionalFormatting>
  <conditionalFormatting sqref="B1">
    <cfRule type="expression" dxfId="9" priority="6">
      <formula>$S1="OPEN"</formula>
    </cfRule>
  </conditionalFormatting>
  <conditionalFormatting sqref="B1">
    <cfRule type="expression" dxfId="10" priority="7">
      <formula>$S1="CLOSED"</formula>
    </cfRule>
  </conditionalFormatting>
  <conditionalFormatting sqref="B1">
    <cfRule type="expression" dxfId="10" priority="8">
      <formula>$L1="CLOSED"</formula>
    </cfRule>
  </conditionalFormatting>
  <conditionalFormatting sqref="B1">
    <cfRule type="expression" dxfId="11" priority="9">
      <formula>$L1="OPEN"</formula>
    </cfRule>
  </conditionalFormatting>
  <conditionalFormatting sqref="B1">
    <cfRule type="expression" dxfId="7" priority="10">
      <formula>$R1="OPEN"</formula>
    </cfRule>
  </conditionalFormatting>
  <conditionalFormatting sqref="B1">
    <cfRule type="expression" dxfId="8" priority="11">
      <formula>$R1="CLOSED"</formula>
    </cfRule>
  </conditionalFormatting>
  <conditionalFormatting sqref="B1">
    <cfRule type="expression" dxfId="5" priority="12">
      <formula>$Q1="CLOSED"</formula>
    </cfRule>
  </conditionalFormatting>
  <conditionalFormatting sqref="B1">
    <cfRule type="expression" dxfId="6" priority="13">
      <formula>$Q1="OPEN"</formula>
    </cfRule>
  </conditionalFormatting>
  <conditionalFormatting sqref="B1">
    <cfRule type="expression" dxfId="9" priority="14">
      <formula>$R1="OPEN"</formula>
    </cfRule>
  </conditionalFormatting>
  <conditionalFormatting sqref="B1">
    <cfRule type="expression" dxfId="10" priority="15">
      <formula>$R1="CLOSED"</formula>
    </cfRule>
  </conditionalFormatting>
  <conditionalFormatting sqref="B1">
    <cfRule type="expression" dxfId="10" priority="16">
      <formula>$K1="CLOSED"</formula>
    </cfRule>
  </conditionalFormatting>
  <conditionalFormatting sqref="B1">
    <cfRule type="expression" dxfId="11" priority="17">
      <formula>$K1="OPEN"</formula>
    </cfRule>
  </conditionalFormatting>
  <conditionalFormatting sqref="B1">
    <cfRule type="expression" dxfId="11" priority="18">
      <formula>$I1="OPEN"</formula>
    </cfRule>
  </conditionalFormatting>
  <conditionalFormatting sqref="B1">
    <cfRule type="expression" dxfId="7" priority="19">
      <formula>$Q1="OPEN"</formula>
    </cfRule>
  </conditionalFormatting>
  <conditionalFormatting sqref="B1">
    <cfRule type="expression" dxfId="8" priority="20">
      <formula>$Q1="CLOSED"</formula>
    </cfRule>
  </conditionalFormatting>
  <conditionalFormatting sqref="B1">
    <cfRule type="expression" dxfId="5" priority="21">
      <formula>$P1="CLOSED"</formula>
    </cfRule>
  </conditionalFormatting>
  <conditionalFormatting sqref="B1">
    <cfRule type="expression" dxfId="6" priority="22">
      <formula>$P1="OPEN"</formula>
    </cfRule>
  </conditionalFormatting>
  <conditionalFormatting sqref="B1">
    <cfRule type="expression" dxfId="9" priority="23">
      <formula>$Q1="OPEN"</formula>
    </cfRule>
  </conditionalFormatting>
  <conditionalFormatting sqref="B1">
    <cfRule type="expression" dxfId="10" priority="24">
      <formula>$Q1="CLOSED"</formula>
    </cfRule>
  </conditionalFormatting>
  <conditionalFormatting sqref="B1">
    <cfRule type="expression" dxfId="10" priority="25">
      <formula>$J1="CLOSED"</formula>
    </cfRule>
  </conditionalFormatting>
  <conditionalFormatting sqref="B1">
    <cfRule type="expression" dxfId="11" priority="26">
      <formula>$J1="OPEN"</formula>
    </cfRule>
  </conditionalFormatting>
  <conditionalFormatting sqref="B1">
    <cfRule type="expression" dxfId="7" priority="27">
      <formula>$P1="OPEN"</formula>
    </cfRule>
  </conditionalFormatting>
  <conditionalFormatting sqref="B1">
    <cfRule type="expression" dxfId="8" priority="28">
      <formula>$P1="CLOSED"</formula>
    </cfRule>
  </conditionalFormatting>
  <conditionalFormatting sqref="B1">
    <cfRule type="expression" dxfId="5" priority="29">
      <formula>$O1="CLOSED"</formula>
    </cfRule>
  </conditionalFormatting>
  <conditionalFormatting sqref="B1">
    <cfRule type="expression" dxfId="6" priority="30">
      <formula>$O1="OPEN"</formula>
    </cfRule>
  </conditionalFormatting>
  <conditionalFormatting sqref="B1">
    <cfRule type="expression" dxfId="9" priority="31">
      <formula>$P1="OPEN"</formula>
    </cfRule>
  </conditionalFormatting>
  <conditionalFormatting sqref="B1">
    <cfRule type="expression" dxfId="10" priority="32">
      <formula>$P1="CLOSED"</formula>
    </cfRule>
  </conditionalFormatting>
  <conditionalFormatting sqref="B1">
    <cfRule type="expression" dxfId="10" priority="33">
      <formula>#REF!="CLOSED"</formula>
    </cfRule>
  </conditionalFormatting>
  <conditionalFormatting sqref="B1">
    <cfRule type="expression" dxfId="11" priority="34">
      <formula>#REF!="OPEN"</formula>
    </cfRule>
  </conditionalFormatting>
  <conditionalFormatting sqref="B1">
    <cfRule type="expression" dxfId="9" priority="35">
      <formula>#REF!="OPEN"</formula>
    </cfRule>
  </conditionalFormatting>
  <conditionalFormatting sqref="B1">
    <cfRule type="expression" dxfId="10" priority="36">
      <formula>#REF!="CLOSED"</formula>
    </cfRule>
  </conditionalFormatting>
  <conditionalFormatting sqref="B1">
    <cfRule type="expression" dxfId="9" priority="37">
      <formula>$K1="OPEN"</formula>
    </cfRule>
  </conditionalFormatting>
  <conditionalFormatting sqref="B1">
    <cfRule type="expression" dxfId="10" priority="38">
      <formula>$K1="CLOSED"</formula>
    </cfRule>
  </conditionalFormatting>
  <conditionalFormatting sqref="B1">
    <cfRule type="expression" dxfId="7" priority="39">
      <formula>$O1="OPEN"</formula>
    </cfRule>
  </conditionalFormatting>
  <conditionalFormatting sqref="B1">
    <cfRule type="expression" dxfId="8" priority="40">
      <formula>$O1="CLOSED"</formula>
    </cfRule>
  </conditionalFormatting>
  <conditionalFormatting sqref="B1">
    <cfRule type="expression" dxfId="5" priority="41">
      <formula>$N1="CLOSED"</formula>
    </cfRule>
  </conditionalFormatting>
  <conditionalFormatting sqref="B1">
    <cfRule type="expression" dxfId="6" priority="42">
      <formula>$N1="OPEN"</formula>
    </cfRule>
  </conditionalFormatting>
  <conditionalFormatting sqref="B1">
    <cfRule type="expression" dxfId="9" priority="43">
      <formula>$O1="OPEN"</formula>
    </cfRule>
  </conditionalFormatting>
  <conditionalFormatting sqref="B1">
    <cfRule type="expression" dxfId="10" priority="44">
      <formula>$O1="CLOSED"</formula>
    </cfRule>
  </conditionalFormatting>
  <conditionalFormatting sqref="B1">
    <cfRule type="expression" dxfId="9" priority="45">
      <formula>$J1="OPEN"</formula>
    </cfRule>
  </conditionalFormatting>
  <conditionalFormatting sqref="B1">
    <cfRule type="expression" dxfId="10" priority="46">
      <formula>$J1="CLOSED"</formula>
    </cfRule>
  </conditionalFormatting>
  <conditionalFormatting sqref="B1">
    <cfRule type="expression" dxfId="5" priority="47">
      <formula>$K1="CLOSED"</formula>
    </cfRule>
  </conditionalFormatting>
  <conditionalFormatting sqref="B1">
    <cfRule type="expression" dxfId="6" priority="48">
      <formula>$K1="OPEN"</formula>
    </cfRule>
  </conditionalFormatting>
  <conditionalFormatting sqref="B1">
    <cfRule type="expression" dxfId="9" priority="49">
      <formula>$L1="OPEN"</formula>
    </cfRule>
  </conditionalFormatting>
  <conditionalFormatting sqref="B1">
    <cfRule type="expression" dxfId="10" priority="50">
      <formula>$L1="CLOSED"</formula>
    </cfRule>
  </conditionalFormatting>
  <conditionalFormatting sqref="B1">
    <cfRule type="expression" dxfId="7" priority="51">
      <formula>$M1="OPEN"</formula>
    </cfRule>
  </conditionalFormatting>
  <conditionalFormatting sqref="B1">
    <cfRule type="expression" dxfId="8" priority="52">
      <formula>$M1="CLOSED"</formula>
    </cfRule>
  </conditionalFormatting>
  <conditionalFormatting sqref="B1">
    <cfRule type="expression" dxfId="7" priority="53">
      <formula>$N1="OPEN"</formula>
    </cfRule>
  </conditionalFormatting>
  <conditionalFormatting sqref="B1">
    <cfRule type="expression" dxfId="8" priority="54">
      <formula>$N1="CLOSED"</formula>
    </cfRule>
  </conditionalFormatting>
  <conditionalFormatting sqref="B1">
    <cfRule type="expression" dxfId="5" priority="55">
      <formula>$L1="CLOSED"</formula>
    </cfRule>
  </conditionalFormatting>
  <conditionalFormatting sqref="B1">
    <cfRule type="expression" dxfId="6" priority="56">
      <formula>$L1="OPEN"</formula>
    </cfRule>
  </conditionalFormatting>
  <conditionalFormatting sqref="B1">
    <cfRule type="expression" dxfId="9" priority="57">
      <formula>$M1="OPEN"</formula>
    </cfRule>
  </conditionalFormatting>
  <conditionalFormatting sqref="B1">
    <cfRule type="expression" dxfId="10" priority="58">
      <formula>$M1="CLOSED"</formula>
    </cfRule>
  </conditionalFormatting>
  <conditionalFormatting sqref="B1">
    <cfRule type="expression" dxfId="9" priority="59">
      <formula>$N1="OPEN"</formula>
    </cfRule>
  </conditionalFormatting>
  <conditionalFormatting sqref="B1">
    <cfRule type="expression" dxfId="10" priority="60">
      <formula>$N1="CLOSED"</formula>
    </cfRule>
  </conditionalFormatting>
  <conditionalFormatting sqref="B1">
    <cfRule type="expression" dxfId="5" priority="61">
      <formula>$M1="CLOSED"</formula>
    </cfRule>
  </conditionalFormatting>
  <conditionalFormatting sqref="B1">
    <cfRule type="expression" dxfId="6" priority="62">
      <formula>$M1="OPEN"</formula>
    </cfRule>
  </conditionalFormatting>
  <conditionalFormatting sqref="B1">
    <cfRule type="expression" dxfId="5" priority="63">
      <formula>#REF!="CLOSED"</formula>
    </cfRule>
  </conditionalFormatting>
  <conditionalFormatting sqref="B1">
    <cfRule type="expression" dxfId="6" priority="64">
      <formula>#REF!="OPEN"</formula>
    </cfRule>
  </conditionalFormatting>
  <conditionalFormatting sqref="B1">
    <cfRule type="expression" dxfId="7" priority="65">
      <formula>#REF!="OPEN"</formula>
    </cfRule>
  </conditionalFormatting>
  <conditionalFormatting sqref="B1">
    <cfRule type="expression" dxfId="8" priority="66">
      <formula>#REF!="CLOSED"</formula>
    </cfRule>
  </conditionalFormatting>
  <conditionalFormatting sqref="B1">
    <cfRule type="expression" dxfId="12" priority="67">
      <formula>#REF!="OPEN"</formula>
    </cfRule>
  </conditionalFormatting>
  <conditionalFormatting sqref="B1">
    <cfRule type="expression" dxfId="13" priority="68">
      <formula>#REF!="CLOSED"</formula>
    </cfRule>
  </conditionalFormatting>
  <conditionalFormatting sqref="B1">
    <cfRule type="expression" dxfId="11" priority="69">
      <formula>$I1="OPEN"</formula>
    </cfRule>
  </conditionalFormatting>
  <conditionalFormatting sqref="B1">
    <cfRule type="expression" dxfId="7" priority="70">
      <formula>#REF!="OPEN"</formula>
    </cfRule>
  </conditionalFormatting>
  <conditionalFormatting sqref="B1">
    <cfRule type="expression" dxfId="9" priority="71">
      <formula>$H1="OPEN"</formula>
    </cfRule>
  </conditionalFormatting>
  <conditionalFormatting sqref="B1">
    <cfRule type="expression" dxfId="10" priority="72">
      <formula>$H1="CLOSED"</formula>
    </cfRule>
  </conditionalFormatting>
  <conditionalFormatting sqref="B1:C1">
    <cfRule type="expression" dxfId="9" priority="73">
      <formula>$I1="OPEN"</formula>
    </cfRule>
  </conditionalFormatting>
  <conditionalFormatting sqref="B1:C1">
    <cfRule type="expression" dxfId="10" priority="74">
      <formula>$I1="CLOSED"</formula>
    </cfRule>
  </conditionalFormatting>
  <conditionalFormatting sqref="B1">
    <cfRule type="expression" dxfId="10" priority="75">
      <formula>$I1="CLOSED"</formula>
    </cfRule>
  </conditionalFormatting>
  <dataValidations>
    <dataValidation type="list" allowBlank="1" showErrorMessage="1" sqref="F3:F52">
      <formula1>"LM,CBM,PAINTING"</formula1>
    </dataValidation>
    <dataValidation type="list" allowBlank="1" showErrorMessage="1" sqref="K3:K52">
      <formula1>"INVESTIGATE,WAITING PERFORM"</formula1>
    </dataValidation>
    <dataValidation type="list" allowBlank="1" showErrorMessage="1" sqref="B3:B52">
      <formula1>"WG 09,WG 01,WG 07,WG 12,WG 06,WG 05,WG 03,WG 02,WG 08,WG 13,WG 11"</formula1>
    </dataValidation>
    <dataValidation type="list" allowBlank="1" showErrorMessage="1" sqref="L3:L52">
      <formula1>"IU,JT,ID,IW"</formula1>
    </dataValidation>
    <dataValidation type="list" allowBlank="1" showErrorMessage="1" sqref="Q3:Q53 Q55:Q99">
      <formula1>"OPEN,CLOSED"</formula1>
    </dataValidation>
    <dataValidation type="list" allowBlank="1" showErrorMessage="1" sqref="U3:V4 U5:U106">
      <formula1>"AUTHOR,DEFFECT,GSE,IRR,MP,NS,NT,OCT,TC,WT,WTP"</formula1>
    </dataValidation>
    <dataValidation type="list" allowBlank="1" showErrorMessage="1" sqref="Q54">
      <formula1>"OPEN,CLOSED"</formula1>
    </dataValidation>
    <dataValidation type="list" allowBlank="1" showErrorMessage="1" sqref="M53:M99">
      <formula1>"ATR72,A320,B737,A330"</formula1>
    </dataValidation>
    <dataValidation type="custom" allowBlank="1" showDropDown="1" showErrorMessage="1" sqref="G56:H56">
      <formula1>OR(NOT(ISERROR(DATEVALUE(G56))), AND(ISNUMBER(G56), LEFT(CELL("format", G56))="D"))</formula1>
    </dataValidation>
    <dataValidation type="list" allowBlank="1" showErrorMessage="1" sqref="B53:B99">
      <formula1>"WG 12,WG 09,WG 07,WG 01,WG 08,WG 06,WG 05,WG 03,WG 02,WG 10,WG 13"</formula1>
    </dataValidation>
    <dataValidation type="list" allowBlank="1" showErrorMessage="1" sqref="M3:M52">
      <formula1>"A320,B737,ATR72,A330"</formula1>
    </dataValidation>
    <dataValidation type="list" allowBlank="1" showErrorMessage="1" sqref="F53:F99">
      <formula1>"CBM,LM,PAINTING"</formula1>
    </dataValidation>
    <dataValidation type="custom" allowBlank="1" showDropDown="1" showErrorMessage="1" sqref="R3:R106">
      <formula1>OR(NOT(ISERROR(DATEVALUE(R3))), AND(ISNUMBER(R3), LEFT(CELL("format", R3))="D"))</formula1>
    </dataValidation>
    <dataValidation type="list" allowBlank="1" showErrorMessage="1" sqref="K53:K99">
      <formula1>"WAITING PERFORM,INVESTIGATE"</formula1>
    </dataValidation>
    <dataValidation type="list" allowBlank="1" showErrorMessage="1" sqref="L53:L99">
      <formula1>"IW,IU,ID,JT"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4">
        <v>46286.0</v>
      </c>
      <c r="B1" s="5"/>
      <c r="C1" s="33"/>
      <c r="D1" s="7" t="s">
        <v>39</v>
      </c>
      <c r="E1" s="9"/>
      <c r="F1" s="9"/>
      <c r="G1" s="9"/>
      <c r="H1" s="9"/>
      <c r="I1" s="10"/>
      <c r="J1" s="33"/>
      <c r="K1" s="33"/>
    </row>
    <row r="2" ht="33.75" customHeight="1">
      <c r="A2" s="37" t="s">
        <v>3</v>
      </c>
      <c r="B2" s="38" t="s">
        <v>45</v>
      </c>
      <c r="C2" s="38" t="s">
        <v>15</v>
      </c>
      <c r="D2" s="40" t="s">
        <v>46</v>
      </c>
      <c r="E2" s="40" t="s">
        <v>54</v>
      </c>
      <c r="F2" s="40" t="s">
        <v>57</v>
      </c>
      <c r="G2" s="40" t="s">
        <v>58</v>
      </c>
      <c r="H2" s="38" t="s">
        <v>59</v>
      </c>
      <c r="I2" s="38" t="s">
        <v>20</v>
      </c>
      <c r="J2" s="38" t="s">
        <v>60</v>
      </c>
      <c r="K2" s="38" t="s">
        <v>61</v>
      </c>
    </row>
    <row r="3">
      <c r="A3" s="42">
        <v>46287.0</v>
      </c>
      <c r="B3" s="48" t="s">
        <v>62</v>
      </c>
      <c r="C3" s="51" t="s">
        <v>77</v>
      </c>
      <c r="D3" s="51" t="s">
        <v>89</v>
      </c>
      <c r="E3" s="52">
        <v>18472.0</v>
      </c>
      <c r="F3" s="52" t="s">
        <v>104</v>
      </c>
      <c r="G3" s="30"/>
      <c r="H3" s="30" t="s">
        <v>105</v>
      </c>
      <c r="I3" s="56"/>
      <c r="J3" s="58"/>
      <c r="K3" s="58"/>
    </row>
    <row r="4">
      <c r="A4" s="42">
        <v>46287.0</v>
      </c>
      <c r="B4" s="48" t="s">
        <v>62</v>
      </c>
      <c r="C4" s="62" t="s">
        <v>77</v>
      </c>
      <c r="D4" s="62" t="s">
        <v>89</v>
      </c>
      <c r="E4" s="64">
        <v>18473.0</v>
      </c>
      <c r="F4" s="64" t="s">
        <v>113</v>
      </c>
      <c r="G4" s="66"/>
      <c r="H4" s="66" t="s">
        <v>105</v>
      </c>
      <c r="I4" s="68"/>
      <c r="J4" s="69"/>
      <c r="K4" s="69"/>
    </row>
    <row r="5">
      <c r="A5" s="42">
        <v>46287.0</v>
      </c>
      <c r="B5" s="48" t="s">
        <v>62</v>
      </c>
      <c r="C5" s="51" t="s">
        <v>77</v>
      </c>
      <c r="D5" s="51" t="s">
        <v>89</v>
      </c>
      <c r="E5" s="52">
        <v>18477.0</v>
      </c>
      <c r="F5" s="52" t="s">
        <v>116</v>
      </c>
      <c r="G5" s="30"/>
      <c r="H5" s="30" t="s">
        <v>105</v>
      </c>
      <c r="I5" s="56"/>
      <c r="J5" s="58"/>
      <c r="K5" s="58"/>
    </row>
    <row r="6">
      <c r="A6" s="42">
        <v>46287.0</v>
      </c>
      <c r="B6" s="48" t="s">
        <v>62</v>
      </c>
      <c r="C6" s="66" t="s">
        <v>118</v>
      </c>
      <c r="D6" s="62" t="s">
        <v>89</v>
      </c>
      <c r="E6" s="64">
        <v>18031.0</v>
      </c>
      <c r="F6" s="64" t="s">
        <v>119</v>
      </c>
      <c r="G6" s="66"/>
      <c r="H6" s="66" t="s">
        <v>52</v>
      </c>
      <c r="I6" s="69" t="s">
        <v>47</v>
      </c>
      <c r="J6" s="69" t="s">
        <v>120</v>
      </c>
      <c r="K6" s="69"/>
    </row>
    <row r="7">
      <c r="A7" s="42">
        <v>46287.0</v>
      </c>
      <c r="B7" s="48" t="s">
        <v>62</v>
      </c>
      <c r="C7" s="30" t="s">
        <v>118</v>
      </c>
      <c r="D7" s="51" t="s">
        <v>89</v>
      </c>
      <c r="E7" s="52">
        <v>18032.0</v>
      </c>
      <c r="F7" s="52" t="s">
        <v>121</v>
      </c>
      <c r="G7" s="30"/>
      <c r="H7" s="30" t="s">
        <v>52</v>
      </c>
      <c r="I7" s="58" t="s">
        <v>47</v>
      </c>
      <c r="J7" s="58" t="s">
        <v>120</v>
      </c>
      <c r="K7" s="58"/>
    </row>
    <row r="8">
      <c r="A8" s="42">
        <v>46287.0</v>
      </c>
      <c r="B8" s="58" t="s">
        <v>124</v>
      </c>
      <c r="C8" s="66" t="s">
        <v>125</v>
      </c>
      <c r="D8" s="62" t="s">
        <v>89</v>
      </c>
      <c r="E8" s="64">
        <v>18205.0</v>
      </c>
      <c r="F8" s="64" t="s">
        <v>126</v>
      </c>
      <c r="G8" s="66"/>
      <c r="H8" s="66" t="s">
        <v>105</v>
      </c>
      <c r="I8" s="68"/>
      <c r="J8" s="69"/>
      <c r="K8" s="69"/>
    </row>
    <row r="9">
      <c r="A9" s="42">
        <v>46287.0</v>
      </c>
      <c r="B9" s="58" t="s">
        <v>124</v>
      </c>
      <c r="C9" s="30" t="s">
        <v>128</v>
      </c>
      <c r="D9" s="51" t="s">
        <v>89</v>
      </c>
      <c r="E9" s="78">
        <v>18401.0</v>
      </c>
      <c r="F9" s="78" t="s">
        <v>129</v>
      </c>
      <c r="G9" s="30"/>
      <c r="H9" s="30" t="s">
        <v>75</v>
      </c>
      <c r="I9" s="58" t="s">
        <v>56</v>
      </c>
      <c r="J9" s="58" t="s">
        <v>130</v>
      </c>
      <c r="K9" s="58"/>
    </row>
    <row r="10">
      <c r="A10" s="82"/>
      <c r="B10" s="58"/>
      <c r="C10" s="66"/>
      <c r="D10" s="66"/>
      <c r="E10" s="66"/>
      <c r="F10" s="69"/>
      <c r="G10" s="66"/>
      <c r="H10" s="66"/>
      <c r="I10" s="68"/>
      <c r="J10" s="69"/>
      <c r="K10" s="69"/>
    </row>
    <row r="11">
      <c r="A11" s="82"/>
      <c r="B11" s="58"/>
      <c r="C11" s="30"/>
      <c r="D11" s="30"/>
      <c r="E11" s="30"/>
      <c r="F11" s="58"/>
      <c r="G11" s="30"/>
      <c r="H11" s="30"/>
      <c r="I11" s="56"/>
      <c r="J11" s="58"/>
      <c r="K11" s="58"/>
    </row>
    <row r="12">
      <c r="A12" s="82"/>
      <c r="B12" s="58"/>
      <c r="C12" s="66"/>
      <c r="D12" s="66"/>
      <c r="E12" s="66"/>
      <c r="F12" s="69"/>
      <c r="G12" s="66"/>
      <c r="H12" s="66"/>
      <c r="I12" s="68"/>
      <c r="J12" s="69"/>
      <c r="K12" s="69"/>
    </row>
    <row r="13">
      <c r="A13" s="82"/>
      <c r="B13" s="58"/>
      <c r="C13" s="30"/>
      <c r="D13" s="30"/>
      <c r="E13" s="30"/>
      <c r="F13" s="58"/>
      <c r="G13" s="30"/>
      <c r="H13" s="30"/>
      <c r="I13" s="56"/>
      <c r="J13" s="58"/>
      <c r="K13" s="58"/>
    </row>
    <row r="14">
      <c r="A14" s="82"/>
      <c r="B14" s="58"/>
      <c r="C14" s="66"/>
      <c r="D14" s="66"/>
      <c r="E14" s="66"/>
      <c r="F14" s="69"/>
      <c r="G14" s="66"/>
      <c r="H14" s="66"/>
      <c r="I14" s="68"/>
      <c r="J14" s="69"/>
      <c r="K14" s="69"/>
    </row>
    <row r="15">
      <c r="A15" s="82"/>
      <c r="B15" s="58"/>
      <c r="C15" s="30"/>
      <c r="D15" s="30"/>
      <c r="E15" s="30"/>
      <c r="F15" s="58"/>
      <c r="G15" s="30"/>
      <c r="H15" s="30"/>
      <c r="I15" s="56"/>
      <c r="J15" s="58"/>
      <c r="K15" s="58"/>
    </row>
    <row r="16">
      <c r="A16" s="82"/>
      <c r="B16" s="58"/>
      <c r="C16" s="66"/>
      <c r="D16" s="66"/>
      <c r="E16" s="66"/>
      <c r="F16" s="69"/>
      <c r="G16" s="66"/>
      <c r="H16" s="66"/>
      <c r="I16" s="68"/>
      <c r="J16" s="69"/>
      <c r="K16" s="69"/>
    </row>
    <row r="17">
      <c r="A17" s="82"/>
      <c r="B17" s="58"/>
      <c r="C17" s="30"/>
      <c r="D17" s="30"/>
      <c r="E17" s="30"/>
      <c r="F17" s="58"/>
      <c r="G17" s="30"/>
      <c r="H17" s="30"/>
      <c r="I17" s="56"/>
      <c r="J17" s="58"/>
      <c r="K17" s="58"/>
    </row>
    <row r="18">
      <c r="A18" s="82"/>
      <c r="B18" s="58"/>
      <c r="C18" s="66"/>
      <c r="D18" s="66"/>
      <c r="E18" s="66"/>
      <c r="F18" s="69"/>
      <c r="G18" s="66"/>
      <c r="H18" s="66"/>
      <c r="I18" s="68"/>
      <c r="J18" s="69"/>
      <c r="K18" s="69"/>
    </row>
    <row r="19">
      <c r="A19" s="42"/>
      <c r="B19" s="48"/>
      <c r="C19" s="51"/>
      <c r="D19" s="51"/>
      <c r="E19" s="52"/>
      <c r="F19" s="52"/>
      <c r="G19" s="30"/>
      <c r="H19" s="30"/>
      <c r="I19" s="56"/>
      <c r="J19" s="58"/>
      <c r="K19" s="58"/>
    </row>
    <row r="20">
      <c r="A20" s="42"/>
      <c r="B20" s="48"/>
      <c r="C20" s="62"/>
      <c r="D20" s="62"/>
      <c r="E20" s="64"/>
      <c r="F20" s="64"/>
      <c r="G20" s="66"/>
      <c r="H20" s="66"/>
      <c r="I20" s="68"/>
      <c r="J20" s="69"/>
      <c r="K20" s="69"/>
    </row>
    <row r="21">
      <c r="A21" s="42"/>
      <c r="B21" s="48"/>
      <c r="C21" s="51"/>
      <c r="D21" s="51"/>
      <c r="E21" s="52"/>
      <c r="F21" s="52"/>
      <c r="G21" s="30"/>
      <c r="H21" s="30"/>
      <c r="I21" s="56"/>
      <c r="J21" s="58"/>
      <c r="K21" s="58"/>
    </row>
    <row r="22">
      <c r="A22" s="42"/>
      <c r="B22" s="48"/>
      <c r="C22" s="62"/>
      <c r="D22" s="62"/>
      <c r="E22" s="64"/>
      <c r="F22" s="64"/>
      <c r="G22" s="66"/>
      <c r="H22" s="66"/>
      <c r="I22" s="68"/>
      <c r="J22" s="69"/>
      <c r="K22" s="69"/>
    </row>
    <row r="23">
      <c r="A23" s="42"/>
      <c r="B23" s="48"/>
      <c r="C23" s="30"/>
      <c r="D23" s="30"/>
      <c r="E23" s="52"/>
      <c r="F23" s="52"/>
      <c r="G23" s="30"/>
      <c r="H23" s="30"/>
      <c r="I23" s="56"/>
      <c r="J23" s="58"/>
      <c r="K23" s="58"/>
    </row>
    <row r="24">
      <c r="A24" s="42"/>
      <c r="B24" s="48"/>
      <c r="C24" s="66"/>
      <c r="D24" s="66"/>
      <c r="E24" s="64"/>
      <c r="F24" s="64"/>
      <c r="G24" s="66"/>
      <c r="H24" s="66"/>
      <c r="I24" s="68"/>
      <c r="J24" s="69"/>
      <c r="K24" s="69"/>
    </row>
    <row r="25">
      <c r="A25" s="42"/>
      <c r="B25" s="58"/>
      <c r="C25" s="30"/>
      <c r="D25" s="30"/>
      <c r="E25" s="52"/>
      <c r="F25" s="52"/>
      <c r="G25" s="30"/>
      <c r="H25" s="30"/>
      <c r="I25" s="56"/>
      <c r="J25" s="58"/>
      <c r="K25" s="58"/>
    </row>
    <row r="26">
      <c r="A26" s="82"/>
      <c r="B26" s="58"/>
      <c r="C26" s="66"/>
      <c r="D26" s="66"/>
      <c r="E26" s="66"/>
      <c r="F26" s="69"/>
      <c r="G26" s="66"/>
      <c r="H26" s="66"/>
      <c r="I26" s="68"/>
      <c r="J26" s="69"/>
      <c r="K26" s="69"/>
    </row>
  </sheetData>
  <autoFilter ref="$A$2:$K$9"/>
  <customSheetViews>
    <customSheetView guid="{01E890E0-A3BB-4E31-90EE-528D9CD1A3AE}" filter="1" showAutoFilter="1">
      <autoFilter ref="$A$2:$J$9"/>
    </customSheetView>
    <customSheetView guid="{1985F42F-042F-4FDC-89D9-E7B4D8530F25}" filter="1" showAutoFilter="1">
      <autoFilter ref="$A$1:$B$2"/>
    </customSheetView>
    <customSheetView guid="{7F51FDF6-4C52-486F-AB5A-B2B6A6311D91}" filter="1" showAutoFilter="1">
      <autoFilter ref="$A$1:$J$9"/>
    </customSheetView>
    <customSheetView guid="{1D5D4C08-41B8-44F5-B7A0-E50FAB37F69D}" filter="1" showAutoFilter="1">
      <autoFilter ref="$A$1:$J$9"/>
    </customSheetView>
  </customSheetViews>
  <mergeCells count="2">
    <mergeCell ref="A1:B1"/>
    <mergeCell ref="D1:I1"/>
  </mergeCells>
  <conditionalFormatting sqref="A3:A9 A20:A25">
    <cfRule type="expression" dxfId="5" priority="1">
      <formula>$P3="CLOSED"</formula>
    </cfRule>
  </conditionalFormatting>
  <conditionalFormatting sqref="A3:A9 A20:A25">
    <cfRule type="expression" dxfId="6" priority="2">
      <formula>$P3="OPEN"</formula>
    </cfRule>
  </conditionalFormatting>
  <conditionalFormatting sqref="A3:A9 A20:A25">
    <cfRule type="expression" dxfId="7" priority="3">
      <formula>$P3="OPEN"</formula>
    </cfRule>
  </conditionalFormatting>
  <conditionalFormatting sqref="A3:A9 A20:A25">
    <cfRule type="expression" dxfId="8" priority="4">
      <formula>$P3="CLOSED"</formula>
    </cfRule>
  </conditionalFormatting>
  <conditionalFormatting sqref="A3:A9 A20:A25">
    <cfRule type="expression" dxfId="9" priority="5">
      <formula>$P3="OPEN"</formula>
    </cfRule>
  </conditionalFormatting>
  <conditionalFormatting sqref="A3:A9 A20:A25">
    <cfRule type="expression" dxfId="10" priority="6">
      <formula>$P3="CLOSED"</formula>
    </cfRule>
  </conditionalFormatting>
  <conditionalFormatting sqref="A3:A9 A20:A25">
    <cfRule type="expression" dxfId="7" priority="7">
      <formula>$T3="OPEN"</formula>
    </cfRule>
  </conditionalFormatting>
  <conditionalFormatting sqref="A3:A9 A20:A25">
    <cfRule type="expression" dxfId="8" priority="8">
      <formula>$T3="CLOSED"</formula>
    </cfRule>
  </conditionalFormatting>
  <conditionalFormatting sqref="A3:A9 A20:A25">
    <cfRule type="expression" dxfId="5" priority="9">
      <formula>$S3="CLOSED"</formula>
    </cfRule>
  </conditionalFormatting>
  <conditionalFormatting sqref="A3:A9 A20:A25">
    <cfRule type="expression" dxfId="6" priority="10">
      <formula>$S3="OPEN"</formula>
    </cfRule>
  </conditionalFormatting>
  <conditionalFormatting sqref="A3:A9 A20:A25">
    <cfRule type="expression" dxfId="9" priority="11">
      <formula>$T3="OPEN"</formula>
    </cfRule>
  </conditionalFormatting>
  <conditionalFormatting sqref="A3:A9 A20:A25">
    <cfRule type="expression" dxfId="10" priority="12">
      <formula>$T3="CLOSED"</formula>
    </cfRule>
  </conditionalFormatting>
  <conditionalFormatting sqref="A3:A9 A20:A25">
    <cfRule type="expression" dxfId="9" priority="13">
      <formula>$T3="OPEN"</formula>
    </cfRule>
  </conditionalFormatting>
  <conditionalFormatting sqref="A3:A9 A20:A25">
    <cfRule type="expression" dxfId="10" priority="14">
      <formula>$T3="CLOSED"</formula>
    </cfRule>
  </conditionalFormatting>
  <conditionalFormatting sqref="A3:A9 A20:A25">
    <cfRule type="expression" dxfId="10" priority="15">
      <formula>$L3="CLOSED"</formula>
    </cfRule>
  </conditionalFormatting>
  <conditionalFormatting sqref="A3:A9 A20:A25">
    <cfRule type="expression" dxfId="11" priority="16">
      <formula>$L3="OPEN"</formula>
    </cfRule>
  </conditionalFormatting>
  <conditionalFormatting sqref="A3:A9 A20:A25">
    <cfRule type="expression" dxfId="10" priority="17">
      <formula>$L3="CLOSED"</formula>
    </cfRule>
  </conditionalFormatting>
  <conditionalFormatting sqref="A3:A9 A20:A25">
    <cfRule type="expression" dxfId="11" priority="18">
      <formula>$L3="OPEN"</formula>
    </cfRule>
  </conditionalFormatting>
  <conditionalFormatting sqref="A3:A9 A20:A25">
    <cfRule type="expression" dxfId="7" priority="19">
      <formula>$S3="OPEN"</formula>
    </cfRule>
  </conditionalFormatting>
  <conditionalFormatting sqref="A3:A9 A20:A25">
    <cfRule type="expression" dxfId="8" priority="20">
      <formula>$S3="CLOSED"</formula>
    </cfRule>
  </conditionalFormatting>
  <conditionalFormatting sqref="A3:A9 A20:A25">
    <cfRule type="expression" dxfId="5" priority="21">
      <formula>$R3="CLOSED"</formula>
    </cfRule>
  </conditionalFormatting>
  <conditionalFormatting sqref="A3:A9 A20:A25">
    <cfRule type="expression" dxfId="6" priority="22">
      <formula>$R3="OPEN"</formula>
    </cfRule>
  </conditionalFormatting>
  <conditionalFormatting sqref="A3:A9 A20:A25">
    <cfRule type="expression" dxfId="9" priority="23">
      <formula>$S3="OPEN"</formula>
    </cfRule>
  </conditionalFormatting>
  <conditionalFormatting sqref="A3:A9 A20:A25">
    <cfRule type="expression" dxfId="10" priority="24">
      <formula>$S3="CLOSED"</formula>
    </cfRule>
  </conditionalFormatting>
  <conditionalFormatting sqref="A3:A9 A20:A25">
    <cfRule type="expression" dxfId="9" priority="25">
      <formula>$S3="OPEN"</formula>
    </cfRule>
  </conditionalFormatting>
  <conditionalFormatting sqref="A3:A9 A20:A25">
    <cfRule type="expression" dxfId="10" priority="26">
      <formula>$S3="CLOSED"</formula>
    </cfRule>
  </conditionalFormatting>
  <conditionalFormatting sqref="A3:A9 A20:A25">
    <cfRule type="expression" dxfId="7" priority="27">
      <formula>$R3="OPEN"</formula>
    </cfRule>
  </conditionalFormatting>
  <conditionalFormatting sqref="A3:A9 A20:A25">
    <cfRule type="expression" dxfId="8" priority="28">
      <formula>$R3="CLOSED"</formula>
    </cfRule>
  </conditionalFormatting>
  <conditionalFormatting sqref="A3:A9 A20:A25">
    <cfRule type="expression" dxfId="5" priority="29">
      <formula>$Q3="CLOSED"</formula>
    </cfRule>
  </conditionalFormatting>
  <conditionalFormatting sqref="A3:A9 A20:A25">
    <cfRule type="expression" dxfId="6" priority="30">
      <formula>$Q3="OPEN"</formula>
    </cfRule>
  </conditionalFormatting>
  <conditionalFormatting sqref="A3:A9 A20:A25">
    <cfRule type="expression" dxfId="9" priority="31">
      <formula>$R3="OPEN"</formula>
    </cfRule>
  </conditionalFormatting>
  <conditionalFormatting sqref="A3:A9 A20:A25">
    <cfRule type="expression" dxfId="10" priority="32">
      <formula>$R3="CLOSED"</formula>
    </cfRule>
  </conditionalFormatting>
  <conditionalFormatting sqref="A3:A9 A20:A25">
    <cfRule type="expression" dxfId="9" priority="33">
      <formula>$R3="OPEN"</formula>
    </cfRule>
  </conditionalFormatting>
  <conditionalFormatting sqref="A3:A9 A20:A25">
    <cfRule type="expression" dxfId="10" priority="34">
      <formula>$R3="CLOSED"</formula>
    </cfRule>
  </conditionalFormatting>
  <conditionalFormatting sqref="A3:A9 A20:A25">
    <cfRule type="expression" dxfId="7" priority="35">
      <formula>$Q3="OPEN"</formula>
    </cfRule>
  </conditionalFormatting>
  <conditionalFormatting sqref="A3:A9 A20:A25">
    <cfRule type="expression" dxfId="8" priority="36">
      <formula>$Q3="CLOSED"</formula>
    </cfRule>
  </conditionalFormatting>
  <conditionalFormatting sqref="A3:A9 A20:A25">
    <cfRule type="expression" dxfId="9" priority="37">
      <formula>$Q3="OPEN"</formula>
    </cfRule>
  </conditionalFormatting>
  <conditionalFormatting sqref="A3:A9 A20:A25">
    <cfRule type="expression" dxfId="10" priority="38">
      <formula>$Q3="CLOSED"</formula>
    </cfRule>
  </conditionalFormatting>
  <conditionalFormatting sqref="A3:A9 A20:A25">
    <cfRule type="expression" dxfId="11" priority="39">
      <formula>$I3="OPEN"</formula>
    </cfRule>
  </conditionalFormatting>
  <conditionalFormatting sqref="A3:A9 A20:A25">
    <cfRule type="expression" dxfId="5" priority="40">
      <formula>$O3="CLOSED"</formula>
    </cfRule>
  </conditionalFormatting>
  <conditionalFormatting sqref="A3:A9 A20:A25">
    <cfRule type="expression" dxfId="6" priority="41">
      <formula>$O3="OPEN"</formula>
    </cfRule>
  </conditionalFormatting>
  <conditionalFormatting sqref="A3:A9 A20:A25">
    <cfRule type="expression" dxfId="7" priority="42">
      <formula>$N3="OPEN"</formula>
    </cfRule>
  </conditionalFormatting>
  <conditionalFormatting sqref="A3:A9 A20:A25">
    <cfRule type="expression" dxfId="8" priority="43">
      <formula>$N3="CLOSED"</formula>
    </cfRule>
  </conditionalFormatting>
  <conditionalFormatting sqref="A3:A9 A20:A25">
    <cfRule type="expression" dxfId="5" priority="44">
      <formula>$M3="CLOSED"</formula>
    </cfRule>
  </conditionalFormatting>
  <conditionalFormatting sqref="A3:A9 A20:A25">
    <cfRule type="expression" dxfId="6" priority="45">
      <formula>$M3="OPEN"</formula>
    </cfRule>
  </conditionalFormatting>
  <conditionalFormatting sqref="A3:A9 A20:A25">
    <cfRule type="expression" dxfId="9" priority="46">
      <formula>$N3="OPEN"</formula>
    </cfRule>
  </conditionalFormatting>
  <conditionalFormatting sqref="A3:A9 A20:A25">
    <cfRule type="expression" dxfId="10" priority="47">
      <formula>$N3="CLOSED"</formula>
    </cfRule>
  </conditionalFormatting>
  <conditionalFormatting sqref="A3:A9 A20:A25">
    <cfRule type="expression" dxfId="7" priority="48">
      <formula>$O3="OPEN"</formula>
    </cfRule>
  </conditionalFormatting>
  <conditionalFormatting sqref="A3:A9 A20:A25">
    <cfRule type="expression" dxfId="8" priority="49">
      <formula>$O3="CLOSED"</formula>
    </cfRule>
  </conditionalFormatting>
  <conditionalFormatting sqref="A3:A9 A20:A25">
    <cfRule type="expression" dxfId="9" priority="50">
      <formula>$O3="OPEN"</formula>
    </cfRule>
  </conditionalFormatting>
  <conditionalFormatting sqref="A3:A9 A20:A25">
    <cfRule type="expression" dxfId="10" priority="51">
      <formula>$O3="CLOSED"</formula>
    </cfRule>
  </conditionalFormatting>
  <conditionalFormatting sqref="A3:A9 A20:A25">
    <cfRule type="expression" dxfId="5" priority="52">
      <formula>$N3="CLOSED"</formula>
    </cfRule>
  </conditionalFormatting>
  <conditionalFormatting sqref="A3:A9 A20:A25">
    <cfRule type="expression" dxfId="6" priority="53">
      <formula>$N3="OPEN"</formula>
    </cfRule>
  </conditionalFormatting>
  <conditionalFormatting sqref="A1 A3:A9 A20:A25">
    <cfRule type="expression" dxfId="11" priority="54">
      <formula>#REF!="OPEN"</formula>
    </cfRule>
  </conditionalFormatting>
  <conditionalFormatting sqref="A1 A3:A9 A20:A25">
    <cfRule type="expression" dxfId="7" priority="55">
      <formula>$M1="OPEN"</formula>
    </cfRule>
  </conditionalFormatting>
  <conditionalFormatting sqref="A1 A3:A9 A20:A25">
    <cfRule type="expression" dxfId="8" priority="56">
      <formula>$M1="CLOSED"</formula>
    </cfRule>
  </conditionalFormatting>
  <conditionalFormatting sqref="A1 A3:A9 A20:A25">
    <cfRule type="expression" dxfId="5" priority="57">
      <formula>$L1="CLOSED"</formula>
    </cfRule>
  </conditionalFormatting>
  <conditionalFormatting sqref="A1 A3:A9 A20:A25">
    <cfRule type="expression" dxfId="6" priority="58">
      <formula>$L1="OPEN"</formula>
    </cfRule>
  </conditionalFormatting>
  <conditionalFormatting sqref="A1 A3:A9 A20:A25">
    <cfRule type="expression" dxfId="9" priority="59">
      <formula>$M1="OPEN"</formula>
    </cfRule>
  </conditionalFormatting>
  <conditionalFormatting sqref="A1 A3:A9 A20:A25">
    <cfRule type="expression" dxfId="10" priority="60">
      <formula>$M1="CLOSED"</formula>
    </cfRule>
  </conditionalFormatting>
  <conditionalFormatting sqref="A3:A9 A20:A25">
    <cfRule type="expression" dxfId="9" priority="61">
      <formula>$M3="OPEN"</formula>
    </cfRule>
  </conditionalFormatting>
  <conditionalFormatting sqref="A3:A9 A20:A25">
    <cfRule type="expression" dxfId="10" priority="62">
      <formula>$M3="CLOSED"</formula>
    </cfRule>
  </conditionalFormatting>
  <conditionalFormatting sqref="A1 A3:A9 A20:A25">
    <cfRule type="expression" dxfId="10" priority="63">
      <formula>#REF!="CLOSED"</formula>
    </cfRule>
  </conditionalFormatting>
  <conditionalFormatting sqref="A1 A3:A9 A20:A25">
    <cfRule type="expression" dxfId="11" priority="64">
      <formula>#REF!="OPEN"</formula>
    </cfRule>
  </conditionalFormatting>
  <conditionalFormatting sqref="A3:A9 A20:A25">
    <cfRule type="expression" dxfId="10" priority="65">
      <formula>#REF!="CLOSED"</formula>
    </cfRule>
  </conditionalFormatting>
  <conditionalFormatting sqref="A3:A9 A20:A25">
    <cfRule type="expression" dxfId="11" priority="66">
      <formula>#REF!="OPEN"</formula>
    </cfRule>
  </conditionalFormatting>
  <conditionalFormatting sqref="A1 A3:A9 A20:A25">
    <cfRule type="expression" dxfId="7" priority="67">
      <formula>$L1="OPEN"</formula>
    </cfRule>
  </conditionalFormatting>
  <conditionalFormatting sqref="A1 A3:A9 A20:A25">
    <cfRule type="expression" dxfId="8" priority="68">
      <formula>$L1="CLOSED"</formula>
    </cfRule>
  </conditionalFormatting>
  <conditionalFormatting sqref="A1 A3:A9 A20:A25">
    <cfRule type="expression" dxfId="5" priority="69">
      <formula>#REF!="CLOSED"</formula>
    </cfRule>
  </conditionalFormatting>
  <conditionalFormatting sqref="A1 A3:A9 A20:A25">
    <cfRule type="expression" dxfId="6" priority="70">
      <formula>#REF!="OPEN"</formula>
    </cfRule>
  </conditionalFormatting>
  <conditionalFormatting sqref="A1 A3:A9 A20:A25">
    <cfRule type="expression" dxfId="9" priority="71">
      <formula>$L1="OPEN"</formula>
    </cfRule>
  </conditionalFormatting>
  <conditionalFormatting sqref="A1 A3:A9 A20:A25">
    <cfRule type="expression" dxfId="10" priority="72">
      <formula>$L1="CLOSED"</formula>
    </cfRule>
  </conditionalFormatting>
  <conditionalFormatting sqref="A3:A9 A20:A25">
    <cfRule type="expression" dxfId="9" priority="73">
      <formula>$L3="OPEN"</formula>
    </cfRule>
  </conditionalFormatting>
  <conditionalFormatting sqref="A3:A9 A20:A25">
    <cfRule type="expression" dxfId="10" priority="74">
      <formula>$L3="CLOSED"</formula>
    </cfRule>
  </conditionalFormatting>
  <conditionalFormatting sqref="A1 A3:A9 A20:A25">
    <cfRule type="expression" dxfId="10" priority="75">
      <formula>$K1="CLOSED"</formula>
    </cfRule>
  </conditionalFormatting>
  <conditionalFormatting sqref="A1 A3:A9 A20:A25">
    <cfRule type="expression" dxfId="11" priority="76">
      <formula>$K1="OPEN"</formula>
    </cfRule>
  </conditionalFormatting>
  <conditionalFormatting sqref="A3:A9 A20:A25">
    <cfRule type="expression" dxfId="10" priority="77">
      <formula>$K3="CLOSED"</formula>
    </cfRule>
  </conditionalFormatting>
  <conditionalFormatting sqref="A3:A9 A20:A25">
    <cfRule type="expression" dxfId="11" priority="78">
      <formula>$K3="OPEN"</formula>
    </cfRule>
  </conditionalFormatting>
  <conditionalFormatting sqref="A1 A3:A9 A20:A25">
    <cfRule type="expression" dxfId="7" priority="79">
      <formula>#REF!="OPEN"</formula>
    </cfRule>
  </conditionalFormatting>
  <conditionalFormatting sqref="A1 A3:A9 A20:A25">
    <cfRule type="expression" dxfId="8" priority="80">
      <formula>#REF!="CLOSED"</formula>
    </cfRule>
  </conditionalFormatting>
  <conditionalFormatting sqref="A1 A3:A9 A20:A25">
    <cfRule type="expression" dxfId="5" priority="81">
      <formula>#REF!="CLOSED"</formula>
    </cfRule>
  </conditionalFormatting>
  <conditionalFormatting sqref="A1 A3:A9 A20:A25">
    <cfRule type="expression" dxfId="6" priority="82">
      <formula>#REF!="OPEN"</formula>
    </cfRule>
  </conditionalFormatting>
  <conditionalFormatting sqref="A1 A3:A9 A20:A25">
    <cfRule type="expression" dxfId="9" priority="83">
      <formula>#REF!="OPEN"</formula>
    </cfRule>
  </conditionalFormatting>
  <conditionalFormatting sqref="A1 A3:A9 A20:A25">
    <cfRule type="expression" dxfId="10" priority="84">
      <formula>#REF!="CLOSED"</formula>
    </cfRule>
  </conditionalFormatting>
  <conditionalFormatting sqref="A3:A9 A20:A25">
    <cfRule type="expression" dxfId="9" priority="85">
      <formula>#REF!="OPEN"</formula>
    </cfRule>
  </conditionalFormatting>
  <conditionalFormatting sqref="A3:A9 A20:A25">
    <cfRule type="expression" dxfId="10" priority="86">
      <formula>#REF!="CLOSED"</formula>
    </cfRule>
  </conditionalFormatting>
  <conditionalFormatting sqref="A1 A3:A9 A20:A25">
    <cfRule type="expression" dxfId="10" priority="87">
      <formula>$J1="CLOSED"</formula>
    </cfRule>
  </conditionalFormatting>
  <conditionalFormatting sqref="A1 A3:A9 A20:A25">
    <cfRule type="expression" dxfId="11" priority="88">
      <formula>$J1="OPEN"</formula>
    </cfRule>
  </conditionalFormatting>
  <conditionalFormatting sqref="A1 A3:A9 A20:A25">
    <cfRule type="expression" dxfId="9" priority="89">
      <formula>$J1="OPEN"</formula>
    </cfRule>
  </conditionalFormatting>
  <conditionalFormatting sqref="A1 A3:A9 A20:A25">
    <cfRule type="expression" dxfId="10" priority="90">
      <formula>$J1="CLOSED"</formula>
    </cfRule>
  </conditionalFormatting>
  <conditionalFormatting sqref="A3:A9 A20:A25">
    <cfRule type="expression" dxfId="9" priority="91">
      <formula>$J3="OPEN"</formula>
    </cfRule>
  </conditionalFormatting>
  <conditionalFormatting sqref="A3:A9 A20:A25">
    <cfRule type="expression" dxfId="10" priority="92">
      <formula>$J3="CLOSED"</formula>
    </cfRule>
  </conditionalFormatting>
  <conditionalFormatting sqref="A3:A9 A20:A25">
    <cfRule type="expression" dxfId="9" priority="93">
      <formula>$J3="OPEN"</formula>
    </cfRule>
  </conditionalFormatting>
  <conditionalFormatting sqref="A3:A9 A20:A25">
    <cfRule type="expression" dxfId="10" priority="94">
      <formula>$J3="CLOSED"</formula>
    </cfRule>
  </conditionalFormatting>
  <conditionalFormatting sqref="A1 A3:A9 A20:A25">
    <cfRule type="expression" dxfId="5" priority="95">
      <formula>$K1="CLOSED"</formula>
    </cfRule>
  </conditionalFormatting>
  <conditionalFormatting sqref="A1 A3:A9 A20:A25">
    <cfRule type="expression" dxfId="6" priority="96">
      <formula>$K1="OPEN"</formula>
    </cfRule>
  </conditionalFormatting>
  <conditionalFormatting sqref="A1 A3:A9 A20:A25">
    <cfRule type="expression" dxfId="9" priority="97">
      <formula>#REF!="OPEN"</formula>
    </cfRule>
  </conditionalFormatting>
  <conditionalFormatting sqref="A1 A3:A9 A20:A25">
    <cfRule type="expression" dxfId="10" priority="98">
      <formula>#REF!="CLOSED"</formula>
    </cfRule>
  </conditionalFormatting>
  <conditionalFormatting sqref="A1 A3:A9 A20:A25">
    <cfRule type="expression" dxfId="7" priority="99">
      <formula>#REF!="OPEN"</formula>
    </cfRule>
  </conditionalFormatting>
  <conditionalFormatting sqref="A1 A3:A9 A20:A25">
    <cfRule type="expression" dxfId="8" priority="100">
      <formula>#REF!="CLOSED"</formula>
    </cfRule>
  </conditionalFormatting>
  <conditionalFormatting sqref="A1 A3:A9 A20:A25">
    <cfRule type="expression" dxfId="10" priority="101">
      <formula>#REF!="CLOSED"</formula>
    </cfRule>
  </conditionalFormatting>
  <conditionalFormatting sqref="A1 A3:A9 A20:A25">
    <cfRule type="expression" dxfId="11" priority="102">
      <formula>#REF!="OPEN"</formula>
    </cfRule>
  </conditionalFormatting>
  <conditionalFormatting sqref="A3:A9 A20:A25">
    <cfRule type="expression" dxfId="10" priority="103">
      <formula>#REF!="CLOSED"</formula>
    </cfRule>
  </conditionalFormatting>
  <conditionalFormatting sqref="A3:A9 A20:A25">
    <cfRule type="expression" dxfId="11" priority="104">
      <formula>#REF!="OPEN"</formula>
    </cfRule>
  </conditionalFormatting>
  <conditionalFormatting sqref="A1 A3:A9 A20:A25">
    <cfRule type="expression" dxfId="7" priority="105">
      <formula>#REF!="OPEN"</formula>
    </cfRule>
  </conditionalFormatting>
  <conditionalFormatting sqref="A1 A3:A9 A20:A25">
    <cfRule type="expression" dxfId="8" priority="106">
      <formula>#REF!="CLOSED"</formula>
    </cfRule>
  </conditionalFormatting>
  <conditionalFormatting sqref="A1 A3:A9 A20:A25">
    <cfRule type="expression" dxfId="5" priority="107">
      <formula>#REF!="CLOSED"</formula>
    </cfRule>
  </conditionalFormatting>
  <conditionalFormatting sqref="A1 A3:A9 A20:A25">
    <cfRule type="expression" dxfId="6" priority="108">
      <formula>#REF!="OPEN"</formula>
    </cfRule>
  </conditionalFormatting>
  <conditionalFormatting sqref="A1 A3:A9 A20:A25">
    <cfRule type="expression" dxfId="9" priority="109">
      <formula>#REF!="OPEN"</formula>
    </cfRule>
  </conditionalFormatting>
  <conditionalFormatting sqref="A1 A3:A9 A20:A25">
    <cfRule type="expression" dxfId="10" priority="110">
      <formula>#REF!="CLOSED"</formula>
    </cfRule>
  </conditionalFormatting>
  <conditionalFormatting sqref="A1 A3:A9 A20:A25">
    <cfRule type="expression" dxfId="9" priority="111">
      <formula>$K1="OPEN"</formula>
    </cfRule>
  </conditionalFormatting>
  <conditionalFormatting sqref="A1 A3:A9 A20:A25">
    <cfRule type="expression" dxfId="10" priority="112">
      <formula>$K1="CLOSED"</formula>
    </cfRule>
  </conditionalFormatting>
  <conditionalFormatting sqref="A1 A3:A9 A20:A25">
    <cfRule type="expression" dxfId="5" priority="113">
      <formula>#REF!="CLOSED"</formula>
    </cfRule>
  </conditionalFormatting>
  <conditionalFormatting sqref="A1 A3:A9 A20:A25">
    <cfRule type="expression" dxfId="6" priority="114">
      <formula>#REF!="OPEN"</formula>
    </cfRule>
  </conditionalFormatting>
  <conditionalFormatting sqref="A1 A3:A9 A20:A25">
    <cfRule type="expression" dxfId="9" priority="115">
      <formula>#REF!="OPEN"</formula>
    </cfRule>
  </conditionalFormatting>
  <conditionalFormatting sqref="A1 A3:A9 A20:A25">
    <cfRule type="expression" dxfId="10" priority="116">
      <formula>#REF!="CLOSED"</formula>
    </cfRule>
  </conditionalFormatting>
  <conditionalFormatting sqref="A1 A3:A9 A20:A25">
    <cfRule type="expression" dxfId="7" priority="117">
      <formula>#REF!="OPEN"</formula>
    </cfRule>
  </conditionalFormatting>
  <conditionalFormatting sqref="A1 A3:A9 A20:A25">
    <cfRule type="expression" dxfId="8" priority="118">
      <formula>#REF!="CLOSED"</formula>
    </cfRule>
  </conditionalFormatting>
  <conditionalFormatting sqref="A1 A3:A9 A20:A25">
    <cfRule type="expression" dxfId="7" priority="119">
      <formula>#REF!="OPEN"</formula>
    </cfRule>
  </conditionalFormatting>
  <conditionalFormatting sqref="A1 A3:A9 A20:A25">
    <cfRule type="expression" dxfId="8" priority="120">
      <formula>#REF!="CLOSED"</formula>
    </cfRule>
  </conditionalFormatting>
  <conditionalFormatting sqref="A1 A3:A9 A20:A25">
    <cfRule type="expression" dxfId="5" priority="121">
      <formula>#REF!="CLOSED"</formula>
    </cfRule>
  </conditionalFormatting>
  <conditionalFormatting sqref="A1 A3:A9 A20:A25">
    <cfRule type="expression" dxfId="6" priority="122">
      <formula>#REF!="OPEN"</formula>
    </cfRule>
  </conditionalFormatting>
  <conditionalFormatting sqref="A1 A3:A9 A20:A25">
    <cfRule type="expression" dxfId="9" priority="123">
      <formula>#REF!="OPEN"</formula>
    </cfRule>
  </conditionalFormatting>
  <conditionalFormatting sqref="A1 A3:A9 A20:A25">
    <cfRule type="expression" dxfId="10" priority="124">
      <formula>#REF!="CLOSED"</formula>
    </cfRule>
  </conditionalFormatting>
  <conditionalFormatting sqref="A1 A3:A9 A20:A25">
    <cfRule type="expression" dxfId="5" priority="125">
      <formula>#REF!="CLOSED"</formula>
    </cfRule>
  </conditionalFormatting>
  <conditionalFormatting sqref="A1 A3:A9 A20:A25">
    <cfRule type="expression" dxfId="6" priority="126">
      <formula>#REF!="OPEN"</formula>
    </cfRule>
  </conditionalFormatting>
  <conditionalFormatting sqref="A1 A3:A9 A20:A25">
    <cfRule type="expression" dxfId="9" priority="127">
      <formula>#REF!="OPEN"</formula>
    </cfRule>
  </conditionalFormatting>
  <conditionalFormatting sqref="A1 A3:A9 A20:A25">
    <cfRule type="expression" dxfId="10" priority="128">
      <formula>#REF!="CLOSED"</formula>
    </cfRule>
  </conditionalFormatting>
  <conditionalFormatting sqref="A1 A3:A9 A20:A25">
    <cfRule type="expression" dxfId="10" priority="129">
      <formula>$I1="CLOSED"</formula>
    </cfRule>
  </conditionalFormatting>
  <conditionalFormatting sqref="A1 A3:A9 A20:A25">
    <cfRule type="expression" dxfId="11" priority="130">
      <formula>$I1="OPEN"</formula>
    </cfRule>
  </conditionalFormatting>
  <conditionalFormatting sqref="A1 A3:A9 A20:A25">
    <cfRule type="expression" dxfId="7" priority="131">
      <formula>#REF!="OPEN"</formula>
    </cfRule>
  </conditionalFormatting>
  <conditionalFormatting sqref="A1 A3:A9 A20:A25">
    <cfRule type="expression" dxfId="9" priority="132">
      <formula>$I1="OPEN"</formula>
    </cfRule>
  </conditionalFormatting>
  <conditionalFormatting sqref="A3:A9 A20:A25">
    <cfRule type="expression" dxfId="9" priority="133">
      <formula>$I3="OPEN"</formula>
    </cfRule>
  </conditionalFormatting>
  <conditionalFormatting sqref="A1:A26">
    <cfRule type="expression" dxfId="7" priority="134">
      <formula>#REF!="OPEN"</formula>
    </cfRule>
  </conditionalFormatting>
  <conditionalFormatting sqref="A1:A26">
    <cfRule type="expression" dxfId="8" priority="135">
      <formula>#REF!="CLOSED"</formula>
    </cfRule>
  </conditionalFormatting>
  <conditionalFormatting sqref="A1:A26">
    <cfRule type="expression" dxfId="5" priority="136">
      <formula>#REF!="CLOSED"</formula>
    </cfRule>
  </conditionalFormatting>
  <conditionalFormatting sqref="A1:A26">
    <cfRule type="expression" dxfId="6" priority="137">
      <formula>#REF!="OPEN"</formula>
    </cfRule>
  </conditionalFormatting>
  <conditionalFormatting sqref="A1:A26">
    <cfRule type="expression" dxfId="9" priority="138">
      <formula>#REF!="OPEN"</formula>
    </cfRule>
  </conditionalFormatting>
  <conditionalFormatting sqref="A1:A26">
    <cfRule type="expression" dxfId="10" priority="139">
      <formula>#REF!="CLOSED"</formula>
    </cfRule>
  </conditionalFormatting>
  <conditionalFormatting sqref="A2:A26">
    <cfRule type="expression" dxfId="5" priority="140">
      <formula>#REF!="CLOSED"</formula>
    </cfRule>
  </conditionalFormatting>
  <conditionalFormatting sqref="A2:A26">
    <cfRule type="expression" dxfId="6" priority="141">
      <formula>#REF!="OPEN"</formula>
    </cfRule>
  </conditionalFormatting>
  <conditionalFormatting sqref="A2:A26">
    <cfRule type="expression" dxfId="9" priority="142">
      <formula>#REF!="OPEN"</formula>
    </cfRule>
  </conditionalFormatting>
  <conditionalFormatting sqref="A2:A26">
    <cfRule type="expression" dxfId="10" priority="143">
      <formula>#REF!="CLOSED"</formula>
    </cfRule>
  </conditionalFormatting>
  <conditionalFormatting sqref="A2:A26">
    <cfRule type="expression" dxfId="7" priority="144">
      <formula>#REF!="OPEN"</formula>
    </cfRule>
  </conditionalFormatting>
  <conditionalFormatting sqref="A2:A26">
    <cfRule type="expression" dxfId="8" priority="145">
      <formula>#REF!="CLOSED"</formula>
    </cfRule>
  </conditionalFormatting>
  <conditionalFormatting sqref="A2:A26">
    <cfRule type="expression" dxfId="9" priority="146">
      <formula>#REF!="OPEN"</formula>
    </cfRule>
  </conditionalFormatting>
  <conditionalFormatting sqref="A2:A26">
    <cfRule type="expression" dxfId="10" priority="147">
      <formula>#REF!="CLOSED"</formula>
    </cfRule>
  </conditionalFormatting>
  <conditionalFormatting sqref="A2:A26">
    <cfRule type="expression" dxfId="7" priority="148">
      <formula>#REF!="OPEN"</formula>
    </cfRule>
  </conditionalFormatting>
  <conditionalFormatting sqref="A2:A26">
    <cfRule type="expression" dxfId="8" priority="149">
      <formula>#REF!="CLOSED"</formula>
    </cfRule>
  </conditionalFormatting>
  <conditionalFormatting sqref="A2:A26">
    <cfRule type="expression" dxfId="5" priority="150">
      <formula>#REF!="CLOSED"</formula>
    </cfRule>
  </conditionalFormatting>
  <conditionalFormatting sqref="A2:A26">
    <cfRule type="expression" dxfId="6" priority="151">
      <formula>#REF!="OPEN"</formula>
    </cfRule>
  </conditionalFormatting>
  <conditionalFormatting sqref="A2:A26">
    <cfRule type="expression" dxfId="5" priority="152">
      <formula>#REF!="CLOSED"</formula>
    </cfRule>
  </conditionalFormatting>
  <conditionalFormatting sqref="A2:A26">
    <cfRule type="expression" dxfId="6" priority="153">
      <formula>#REF!="OPEN"</formula>
    </cfRule>
  </conditionalFormatting>
  <conditionalFormatting sqref="A2:A26">
    <cfRule type="expression" dxfId="9" priority="154">
      <formula>#REF!="OPEN"</formula>
    </cfRule>
  </conditionalFormatting>
  <conditionalFormatting sqref="A2:A26">
    <cfRule type="expression" dxfId="10" priority="155">
      <formula>#REF!="CLOSED"</formula>
    </cfRule>
  </conditionalFormatting>
  <conditionalFormatting sqref="A1:A26">
    <cfRule type="expression" dxfId="12" priority="156">
      <formula>#REF!="OPEN"</formula>
    </cfRule>
  </conditionalFormatting>
  <conditionalFormatting sqref="A1:A26">
    <cfRule type="expression" dxfId="13" priority="157">
      <formula>#REF!="CLOSED"</formula>
    </cfRule>
  </conditionalFormatting>
  <conditionalFormatting sqref="A2:A26">
    <cfRule type="expression" dxfId="5" priority="158">
      <formula>#REF!="CLOSED"</formula>
    </cfRule>
  </conditionalFormatting>
  <conditionalFormatting sqref="A2:A26">
    <cfRule type="expression" dxfId="6" priority="159">
      <formula>#REF!="OPEN"</formula>
    </cfRule>
  </conditionalFormatting>
  <conditionalFormatting sqref="A2:A26">
    <cfRule type="expression" dxfId="9" priority="160">
      <formula>#REF!="OPEN"</formula>
    </cfRule>
  </conditionalFormatting>
  <conditionalFormatting sqref="A2:A26">
    <cfRule type="expression" dxfId="10" priority="161">
      <formula>#REF!="CLOSED"</formula>
    </cfRule>
  </conditionalFormatting>
  <conditionalFormatting sqref="A1:A26">
    <cfRule type="expression" dxfId="9" priority="162">
      <formula>$H1="OPEN"</formula>
    </cfRule>
  </conditionalFormatting>
  <conditionalFormatting sqref="A1:A26">
    <cfRule type="expression" dxfId="10" priority="163">
      <formula>$H1="CLOSED"</formula>
    </cfRule>
  </conditionalFormatting>
  <conditionalFormatting sqref="A3:K26">
    <cfRule type="expression" dxfId="10" priority="164">
      <formula>$I3="CLOSED"</formula>
    </cfRule>
  </conditionalFormatting>
  <conditionalFormatting sqref="A3:K26">
    <cfRule type="expression" dxfId="11" priority="165">
      <formula>#REF!="OPEN"</formula>
    </cfRule>
  </conditionalFormatting>
  <dataValidations>
    <dataValidation type="list" allowBlank="1" sqref="I3:I26">
      <formula1>"CLOSED,OPEN"</formula1>
    </dataValidation>
    <dataValidation type="list" allowBlank="1" showErrorMessage="1" sqref="B3:B26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12">
        <v>46287.0</v>
      </c>
      <c r="B1" s="10"/>
      <c r="C1" s="11"/>
      <c r="D1" s="113"/>
      <c r="E1" s="10"/>
      <c r="F1" s="114"/>
      <c r="G1" s="11"/>
      <c r="H1" s="11"/>
      <c r="I1" s="11"/>
      <c r="J1" s="11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ht="28.5" customHeight="1">
      <c r="A2" s="115" t="s">
        <v>3</v>
      </c>
      <c r="B2" s="115" t="s">
        <v>14</v>
      </c>
      <c r="C2" s="115" t="s">
        <v>15</v>
      </c>
      <c r="D2" s="115" t="s">
        <v>46</v>
      </c>
      <c r="E2" s="115" t="s">
        <v>286</v>
      </c>
      <c r="F2" s="115" t="s">
        <v>287</v>
      </c>
      <c r="G2" s="115" t="s">
        <v>289</v>
      </c>
      <c r="H2" s="115" t="s">
        <v>291</v>
      </c>
      <c r="I2" s="116" t="s">
        <v>20</v>
      </c>
      <c r="J2" s="115" t="s">
        <v>19</v>
      </c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</row>
    <row r="3" ht="26.25" customHeight="1">
      <c r="A3" s="118">
        <v>46286.0</v>
      </c>
      <c r="B3" s="119" t="s">
        <v>62</v>
      </c>
      <c r="C3" s="55" t="s">
        <v>293</v>
      </c>
      <c r="D3" s="55" t="s">
        <v>6</v>
      </c>
      <c r="E3" s="55" t="s">
        <v>294</v>
      </c>
      <c r="F3" s="55" t="s">
        <v>295</v>
      </c>
      <c r="G3" s="65" t="s">
        <v>296</v>
      </c>
      <c r="H3" s="55" t="s">
        <v>297</v>
      </c>
      <c r="I3" s="55"/>
      <c r="J3" s="65" t="s">
        <v>298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 ht="26.25" customHeight="1">
      <c r="A4" s="121">
        <v>46286.0</v>
      </c>
      <c r="B4" s="122" t="s">
        <v>62</v>
      </c>
      <c r="C4" s="123" t="s">
        <v>303</v>
      </c>
      <c r="D4" s="123" t="s">
        <v>6</v>
      </c>
      <c r="E4" s="123" t="s">
        <v>305</v>
      </c>
      <c r="F4" s="123" t="s">
        <v>306</v>
      </c>
      <c r="G4" s="61" t="s">
        <v>296</v>
      </c>
      <c r="H4" s="123" t="s">
        <v>307</v>
      </c>
      <c r="I4" s="123"/>
      <c r="J4" s="61" t="s">
        <v>308</v>
      </c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ht="26.25" customHeight="1">
      <c r="A5" s="118">
        <v>46286.0</v>
      </c>
      <c r="B5" s="119" t="s">
        <v>62</v>
      </c>
      <c r="C5" s="55" t="s">
        <v>309</v>
      </c>
      <c r="D5" s="55" t="s">
        <v>6</v>
      </c>
      <c r="E5" s="55" t="s">
        <v>310</v>
      </c>
      <c r="F5" s="55" t="s">
        <v>311</v>
      </c>
      <c r="G5" s="65" t="s">
        <v>296</v>
      </c>
      <c r="H5" s="55" t="s">
        <v>297</v>
      </c>
      <c r="I5" s="55"/>
      <c r="J5" s="65" t="s">
        <v>298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</row>
    <row r="6" ht="26.25" customHeight="1">
      <c r="A6" s="121">
        <v>46286.0</v>
      </c>
      <c r="B6" s="122" t="s">
        <v>62</v>
      </c>
      <c r="C6" s="123" t="s">
        <v>312</v>
      </c>
      <c r="D6" s="123" t="s">
        <v>6</v>
      </c>
      <c r="E6" s="123" t="s">
        <v>313</v>
      </c>
      <c r="F6" s="123" t="s">
        <v>314</v>
      </c>
      <c r="G6" s="61" t="s">
        <v>296</v>
      </c>
      <c r="H6" s="123" t="s">
        <v>127</v>
      </c>
      <c r="I6" s="123" t="s">
        <v>56</v>
      </c>
      <c r="J6" s="61" t="s">
        <v>315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ht="26.25" customHeight="1">
      <c r="A7" s="118">
        <v>46286.0</v>
      </c>
      <c r="B7" s="119" t="s">
        <v>62</v>
      </c>
      <c r="C7" s="55" t="s">
        <v>312</v>
      </c>
      <c r="D7" s="55" t="s">
        <v>6</v>
      </c>
      <c r="E7" s="55" t="s">
        <v>318</v>
      </c>
      <c r="F7" s="55" t="s">
        <v>319</v>
      </c>
      <c r="G7" s="65" t="s">
        <v>296</v>
      </c>
      <c r="H7" s="55" t="s">
        <v>127</v>
      </c>
      <c r="I7" s="55" t="s">
        <v>56</v>
      </c>
      <c r="J7" s="65" t="s">
        <v>315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</row>
    <row r="8" ht="26.25" customHeight="1">
      <c r="A8" s="121">
        <v>46286.0</v>
      </c>
      <c r="B8" s="122" t="s">
        <v>62</v>
      </c>
      <c r="C8" s="123" t="s">
        <v>312</v>
      </c>
      <c r="D8" s="123" t="s">
        <v>6</v>
      </c>
      <c r="E8" s="123" t="s">
        <v>323</v>
      </c>
      <c r="F8" s="123" t="s">
        <v>324</v>
      </c>
      <c r="G8" s="61" t="s">
        <v>296</v>
      </c>
      <c r="H8" s="123" t="s">
        <v>127</v>
      </c>
      <c r="I8" s="123" t="s">
        <v>56</v>
      </c>
      <c r="J8" s="61" t="s">
        <v>315</v>
      </c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</row>
    <row r="9" ht="26.25" customHeight="1">
      <c r="A9" s="118">
        <v>46286.0</v>
      </c>
      <c r="B9" s="119" t="s">
        <v>62</v>
      </c>
      <c r="C9" s="55" t="s">
        <v>312</v>
      </c>
      <c r="D9" s="55" t="s">
        <v>6</v>
      </c>
      <c r="E9" s="55" t="s">
        <v>325</v>
      </c>
      <c r="F9" s="55" t="s">
        <v>326</v>
      </c>
      <c r="G9" s="65" t="s">
        <v>296</v>
      </c>
      <c r="H9" s="55" t="s">
        <v>127</v>
      </c>
      <c r="I9" s="55" t="s">
        <v>56</v>
      </c>
      <c r="J9" s="65" t="s">
        <v>315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</row>
    <row r="10" ht="26.25" customHeight="1">
      <c r="A10" s="121">
        <v>46286.0</v>
      </c>
      <c r="B10" s="122" t="s">
        <v>62</v>
      </c>
      <c r="C10" s="123" t="s">
        <v>312</v>
      </c>
      <c r="D10" s="123" t="s">
        <v>6</v>
      </c>
      <c r="E10" s="123" t="s">
        <v>332</v>
      </c>
      <c r="F10" s="123" t="s">
        <v>333</v>
      </c>
      <c r="G10" s="61" t="s">
        <v>296</v>
      </c>
      <c r="H10" s="123" t="s">
        <v>127</v>
      </c>
      <c r="I10" s="123"/>
      <c r="J10" s="61" t="s">
        <v>315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</row>
    <row r="11" ht="26.25" customHeight="1">
      <c r="A11" s="118">
        <v>46286.0</v>
      </c>
      <c r="B11" s="119" t="s">
        <v>62</v>
      </c>
      <c r="C11" s="55" t="s">
        <v>312</v>
      </c>
      <c r="D11" s="55" t="s">
        <v>6</v>
      </c>
      <c r="E11" s="55" t="s">
        <v>334</v>
      </c>
      <c r="F11" s="55" t="s">
        <v>335</v>
      </c>
      <c r="G11" s="65" t="s">
        <v>296</v>
      </c>
      <c r="H11" s="55" t="s">
        <v>127</v>
      </c>
      <c r="I11" s="55"/>
      <c r="J11" s="65" t="s">
        <v>315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</row>
    <row r="12" ht="26.25" customHeight="1">
      <c r="A12" s="121">
        <v>46286.0</v>
      </c>
      <c r="B12" s="122" t="s">
        <v>62</v>
      </c>
      <c r="C12" s="123" t="s">
        <v>312</v>
      </c>
      <c r="D12" s="123" t="s">
        <v>6</v>
      </c>
      <c r="E12" s="123" t="s">
        <v>336</v>
      </c>
      <c r="F12" s="123" t="s">
        <v>337</v>
      </c>
      <c r="G12" s="61" t="s">
        <v>296</v>
      </c>
      <c r="H12" s="123" t="s">
        <v>127</v>
      </c>
      <c r="I12" s="123"/>
      <c r="J12" s="61" t="s">
        <v>315</v>
      </c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ht="26.25" hidden="1" customHeight="1">
      <c r="A13" s="118">
        <v>46286.0</v>
      </c>
      <c r="B13" s="119" t="s">
        <v>62</v>
      </c>
      <c r="C13" s="55" t="s">
        <v>312</v>
      </c>
      <c r="D13" s="55" t="s">
        <v>6</v>
      </c>
      <c r="E13" s="55" t="s">
        <v>340</v>
      </c>
      <c r="F13" s="55" t="s">
        <v>341</v>
      </c>
      <c r="G13" s="65" t="s">
        <v>296</v>
      </c>
      <c r="H13" s="55" t="s">
        <v>127</v>
      </c>
      <c r="I13" s="55"/>
      <c r="J13" s="65" t="s">
        <v>315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</row>
    <row r="14" ht="26.25" customHeight="1">
      <c r="A14" s="121">
        <v>46286.0</v>
      </c>
      <c r="B14" s="122" t="s">
        <v>62</v>
      </c>
      <c r="C14" s="123" t="s">
        <v>312</v>
      </c>
      <c r="D14" s="123" t="s">
        <v>6</v>
      </c>
      <c r="E14" s="123" t="s">
        <v>342</v>
      </c>
      <c r="F14" s="123" t="s">
        <v>343</v>
      </c>
      <c r="G14" s="61" t="s">
        <v>296</v>
      </c>
      <c r="H14" s="123" t="s">
        <v>127</v>
      </c>
      <c r="I14" s="123"/>
      <c r="J14" s="61" t="s">
        <v>315</v>
      </c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</row>
    <row r="15" ht="26.25" customHeight="1">
      <c r="A15" s="118">
        <v>46287.0</v>
      </c>
      <c r="B15" s="119" t="s">
        <v>62</v>
      </c>
      <c r="C15" s="55" t="s">
        <v>163</v>
      </c>
      <c r="D15" s="55" t="s">
        <v>6</v>
      </c>
      <c r="E15" s="55" t="s">
        <v>348</v>
      </c>
      <c r="F15" s="55" t="s">
        <v>349</v>
      </c>
      <c r="G15" s="65" t="s">
        <v>296</v>
      </c>
      <c r="H15" s="55" t="s">
        <v>43</v>
      </c>
      <c r="I15" s="55" t="s">
        <v>56</v>
      </c>
      <c r="J15" s="65" t="s">
        <v>350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</row>
    <row r="16" ht="26.25" customHeight="1">
      <c r="A16" s="121">
        <v>46287.0</v>
      </c>
      <c r="B16" s="122" t="s">
        <v>62</v>
      </c>
      <c r="C16" s="123" t="s">
        <v>163</v>
      </c>
      <c r="D16" s="123" t="s">
        <v>6</v>
      </c>
      <c r="E16" s="123" t="s">
        <v>351</v>
      </c>
      <c r="F16" s="123" t="s">
        <v>352</v>
      </c>
      <c r="G16" s="61" t="s">
        <v>296</v>
      </c>
      <c r="H16" s="123" t="s">
        <v>43</v>
      </c>
      <c r="I16" s="123" t="s">
        <v>56</v>
      </c>
      <c r="J16" s="61" t="s">
        <v>350</v>
      </c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</row>
    <row r="17" ht="26.25" customHeight="1">
      <c r="A17" s="32">
        <v>46287.0</v>
      </c>
      <c r="B17" s="124" t="s">
        <v>124</v>
      </c>
      <c r="C17" s="125" t="s">
        <v>353</v>
      </c>
      <c r="D17" s="55" t="s">
        <v>6</v>
      </c>
      <c r="E17" s="125" t="s">
        <v>354</v>
      </c>
      <c r="F17" s="126" t="s">
        <v>355</v>
      </c>
      <c r="G17" s="126" t="s">
        <v>296</v>
      </c>
      <c r="H17" s="125" t="s">
        <v>75</v>
      </c>
      <c r="I17" s="125" t="s">
        <v>56</v>
      </c>
      <c r="J17" s="126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</row>
    <row r="18" ht="26.25" customHeight="1">
      <c r="A18" s="121">
        <v>46287.0</v>
      </c>
      <c r="B18" s="124" t="s">
        <v>360</v>
      </c>
      <c r="C18" s="125" t="s">
        <v>253</v>
      </c>
      <c r="D18" s="123" t="s">
        <v>6</v>
      </c>
      <c r="E18" s="125" t="s">
        <v>361</v>
      </c>
      <c r="F18" s="125" t="s">
        <v>362</v>
      </c>
      <c r="G18" s="126"/>
      <c r="H18" s="125" t="s">
        <v>75</v>
      </c>
      <c r="I18" s="125" t="s">
        <v>56</v>
      </c>
      <c r="J18" s="126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ht="26.25" customHeight="1">
      <c r="A19" s="32">
        <v>46287.0</v>
      </c>
      <c r="B19" s="124" t="s">
        <v>360</v>
      </c>
      <c r="C19" s="55" t="s">
        <v>363</v>
      </c>
      <c r="D19" s="125" t="s">
        <v>6</v>
      </c>
      <c r="E19" s="65" t="s">
        <v>364</v>
      </c>
      <c r="F19" s="57" t="s">
        <v>365</v>
      </c>
      <c r="G19" s="126"/>
      <c r="H19" s="125" t="s">
        <v>230</v>
      </c>
      <c r="I19" s="125" t="s">
        <v>56</v>
      </c>
      <c r="J19" s="126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 ht="26.25" customHeight="1">
      <c r="A20" s="121">
        <v>46287.0</v>
      </c>
      <c r="B20" s="124" t="s">
        <v>360</v>
      </c>
      <c r="C20" s="123" t="s">
        <v>363</v>
      </c>
      <c r="D20" s="125" t="s">
        <v>6</v>
      </c>
      <c r="E20" s="61" t="s">
        <v>366</v>
      </c>
      <c r="F20" s="57" t="s">
        <v>367</v>
      </c>
      <c r="G20" s="126"/>
      <c r="H20" s="125" t="s">
        <v>230</v>
      </c>
      <c r="I20" s="125" t="s">
        <v>56</v>
      </c>
      <c r="J20" s="126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</row>
    <row r="21" ht="26.25" customHeight="1">
      <c r="A21" s="32">
        <v>46287.0</v>
      </c>
      <c r="B21" s="124" t="s">
        <v>62</v>
      </c>
      <c r="C21" s="125" t="s">
        <v>207</v>
      </c>
      <c r="D21" s="125" t="s">
        <v>6</v>
      </c>
      <c r="E21" s="55" t="s">
        <v>370</v>
      </c>
      <c r="F21" s="57" t="s">
        <v>371</v>
      </c>
      <c r="G21" s="126"/>
      <c r="H21" s="125" t="s">
        <v>43</v>
      </c>
      <c r="I21" s="125" t="s">
        <v>56</v>
      </c>
      <c r="J21" s="126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 ht="26.25" customHeight="1">
      <c r="A22" s="121">
        <v>46287.0</v>
      </c>
      <c r="B22" s="124" t="s">
        <v>360</v>
      </c>
      <c r="C22" s="123" t="s">
        <v>372</v>
      </c>
      <c r="D22" s="125" t="s">
        <v>6</v>
      </c>
      <c r="E22" s="61" t="s">
        <v>373</v>
      </c>
      <c r="F22" s="125"/>
      <c r="G22" s="126"/>
      <c r="H22" s="125" t="s">
        <v>43</v>
      </c>
      <c r="I22" s="125" t="s">
        <v>56</v>
      </c>
      <c r="J22" s="126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</row>
    <row r="23">
      <c r="A23" s="32">
        <v>46287.0</v>
      </c>
      <c r="B23" s="124" t="s">
        <v>124</v>
      </c>
      <c r="C23" s="125" t="s">
        <v>374</v>
      </c>
      <c r="D23" s="125" t="s">
        <v>6</v>
      </c>
      <c r="E23" s="55" t="s">
        <v>375</v>
      </c>
      <c r="F23" s="57" t="s">
        <v>376</v>
      </c>
      <c r="G23" s="126"/>
      <c r="H23" s="125" t="s">
        <v>105</v>
      </c>
      <c r="I23" s="125" t="s">
        <v>56</v>
      </c>
      <c r="J23" s="126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>
      <c r="A24" s="121">
        <v>46287.0</v>
      </c>
      <c r="B24" s="124" t="s">
        <v>379</v>
      </c>
      <c r="C24" s="125" t="s">
        <v>380</v>
      </c>
      <c r="D24" s="125" t="s">
        <v>6</v>
      </c>
      <c r="E24" s="123" t="s">
        <v>381</v>
      </c>
      <c r="F24" s="57" t="s">
        <v>382</v>
      </c>
      <c r="G24" s="126"/>
      <c r="H24" s="125" t="s">
        <v>75</v>
      </c>
      <c r="I24" s="125" t="s">
        <v>56</v>
      </c>
      <c r="J24" s="126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</row>
    <row r="25">
      <c r="A25" s="32">
        <v>46287.0</v>
      </c>
      <c r="B25" s="124" t="s">
        <v>379</v>
      </c>
      <c r="C25" s="65" t="s">
        <v>92</v>
      </c>
      <c r="D25" s="125" t="s">
        <v>53</v>
      </c>
      <c r="E25" s="65">
        <v>2320609.0</v>
      </c>
      <c r="F25" s="125" t="s">
        <v>383</v>
      </c>
      <c r="G25" s="126"/>
      <c r="H25" s="125" t="s">
        <v>108</v>
      </c>
      <c r="I25" s="125" t="s">
        <v>56</v>
      </c>
      <c r="J25" s="126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>
      <c r="A26" s="127"/>
      <c r="B26" s="124"/>
      <c r="C26" s="125"/>
      <c r="D26" s="125"/>
      <c r="E26" s="128"/>
      <c r="F26" s="125"/>
      <c r="G26" s="126"/>
      <c r="H26" s="125"/>
      <c r="I26" s="125"/>
      <c r="J26" s="126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</row>
    <row r="27">
      <c r="A27" s="127"/>
      <c r="B27" s="124"/>
      <c r="C27" s="125"/>
      <c r="D27" s="125"/>
      <c r="E27" s="125"/>
      <c r="F27" s="125"/>
      <c r="G27" s="126"/>
      <c r="H27" s="125"/>
      <c r="I27" s="125"/>
      <c r="J27" s="126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>
      <c r="A28" s="127"/>
      <c r="B28" s="124"/>
      <c r="C28" s="125"/>
      <c r="D28" s="125"/>
      <c r="E28" s="125"/>
      <c r="F28" s="125"/>
      <c r="G28" s="126"/>
      <c r="H28" s="125"/>
      <c r="I28" s="125"/>
      <c r="J28" s="126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>
      <c r="A29" s="127"/>
      <c r="B29" s="124"/>
      <c r="C29" s="125"/>
      <c r="D29" s="125"/>
      <c r="E29" s="125"/>
      <c r="F29" s="125"/>
      <c r="G29" s="126"/>
      <c r="H29" s="125"/>
      <c r="I29" s="125"/>
      <c r="J29" s="126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>
      <c r="A30" s="127"/>
      <c r="B30" s="124"/>
      <c r="C30" s="126"/>
      <c r="D30" s="125"/>
      <c r="E30" s="126"/>
      <c r="F30" s="125"/>
      <c r="G30" s="126"/>
      <c r="H30" s="125"/>
      <c r="I30" s="125"/>
      <c r="J30" s="126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>
      <c r="A31" s="32"/>
      <c r="B31" s="119"/>
      <c r="C31" s="55"/>
      <c r="D31" s="55"/>
      <c r="E31" s="55"/>
      <c r="F31" s="55"/>
      <c r="G31" s="65"/>
      <c r="H31" s="55"/>
      <c r="I31" s="5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>
      <c r="A32" s="32"/>
      <c r="B32" s="119"/>
      <c r="C32" s="55"/>
      <c r="D32" s="55"/>
      <c r="E32" s="72"/>
      <c r="F32" s="55"/>
      <c r="G32" s="65"/>
      <c r="H32" s="55"/>
      <c r="I32" s="5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>
      <c r="A33" s="32"/>
      <c r="B33" s="119"/>
      <c r="C33" s="55"/>
      <c r="D33" s="55"/>
      <c r="E33" s="72"/>
      <c r="F33" s="55"/>
      <c r="G33" s="65"/>
      <c r="H33" s="55"/>
      <c r="I33" s="5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>
      <c r="A34" s="32"/>
      <c r="B34" s="119"/>
      <c r="C34" s="55"/>
      <c r="D34" s="55"/>
      <c r="E34" s="72"/>
      <c r="F34" s="55"/>
      <c r="G34" s="65"/>
      <c r="H34" s="55"/>
      <c r="I34" s="5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>
      <c r="A35" s="32"/>
      <c r="B35" s="119"/>
      <c r="C35" s="55"/>
      <c r="D35" s="55"/>
      <c r="E35" s="72"/>
      <c r="F35" s="55"/>
      <c r="G35" s="65"/>
      <c r="H35" s="55"/>
      <c r="I35" s="5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>
      <c r="A36" s="32"/>
      <c r="B36" s="119"/>
      <c r="C36" s="55"/>
      <c r="D36" s="55"/>
      <c r="E36" s="72"/>
      <c r="F36" s="55"/>
      <c r="G36" s="65"/>
      <c r="H36" s="55"/>
      <c r="I36" s="5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>
      <c r="A37" s="32"/>
      <c r="B37" s="119"/>
      <c r="C37" s="55"/>
      <c r="D37" s="55"/>
      <c r="E37" s="72"/>
      <c r="F37" s="55"/>
      <c r="G37" s="65"/>
      <c r="H37" s="55"/>
      <c r="I37" s="5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</row>
    <row r="38">
      <c r="A38" s="32"/>
      <c r="B38" s="119"/>
      <c r="C38" s="55"/>
      <c r="D38" s="55"/>
      <c r="E38" s="72"/>
      <c r="F38" s="55"/>
      <c r="G38" s="65"/>
      <c r="H38" s="55"/>
      <c r="I38" s="5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</row>
    <row r="39">
      <c r="A39" s="32"/>
      <c r="B39" s="119"/>
      <c r="C39" s="55"/>
      <c r="D39" s="55"/>
      <c r="E39" s="72"/>
      <c r="F39" s="55"/>
      <c r="G39" s="65"/>
      <c r="H39" s="55"/>
      <c r="I39" s="5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</row>
    <row r="40">
      <c r="A40" s="32"/>
      <c r="B40" s="119"/>
      <c r="C40" s="55"/>
      <c r="D40" s="55"/>
      <c r="E40" s="72"/>
      <c r="F40" s="55"/>
      <c r="G40" s="65"/>
      <c r="H40" s="55"/>
      <c r="I40" s="5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</row>
    <row r="41">
      <c r="A41" s="32"/>
      <c r="B41" s="119"/>
      <c r="C41" s="55"/>
      <c r="D41" s="55"/>
      <c r="E41" s="72"/>
      <c r="F41" s="55"/>
      <c r="G41" s="65"/>
      <c r="H41" s="55"/>
      <c r="I41" s="5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</row>
  </sheetData>
  <autoFilter ref="$A$2:$W$30">
    <sortState ref="A2:W30">
      <sortCondition ref="D2:D30"/>
      <sortCondition descending="1" sortBy="cellColor" ref="E2:E30" dxfId="15"/>
      <sortCondition descending="1" ref="H2:H30"/>
    </sortState>
  </autoFilter>
  <mergeCells count="2">
    <mergeCell ref="A1:B1"/>
    <mergeCell ref="D1:E1"/>
  </mergeCells>
  <conditionalFormatting sqref="A3:J41">
    <cfRule type="expression" dxfId="9" priority="1">
      <formula>$I3="OPEN"</formula>
    </cfRule>
  </conditionalFormatting>
  <conditionalFormatting sqref="A3:J41">
    <cfRule type="expression" dxfId="10" priority="2">
      <formula>$I3="CLOSED"</formula>
    </cfRule>
  </conditionalFormatting>
  <dataValidations>
    <dataValidation type="list" allowBlank="1" showErrorMessage="1" sqref="B3:B41">
      <formula1>"LION AIR,BATIK AIR,SUPER AIR JET,WINGS AIR,THAI LION AIR,MALINDO AIR"</formula1>
    </dataValidation>
    <dataValidation type="list" allowBlank="1" sqref="I3:I41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12">
        <v>46287.0</v>
      </c>
      <c r="B1" s="10"/>
      <c r="C1" s="11"/>
      <c r="D1" s="113"/>
      <c r="E1" s="10"/>
      <c r="F1" s="114"/>
      <c r="G1" s="11"/>
      <c r="H1" s="11"/>
      <c r="I1" s="11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ht="28.5" customHeight="1">
      <c r="A2" s="135" t="s">
        <v>3</v>
      </c>
      <c r="B2" s="135" t="s">
        <v>45</v>
      </c>
      <c r="C2" s="135" t="s">
        <v>5</v>
      </c>
      <c r="D2" s="135" t="s">
        <v>402</v>
      </c>
      <c r="E2" s="135" t="s">
        <v>291</v>
      </c>
      <c r="F2" s="135" t="s">
        <v>46</v>
      </c>
      <c r="G2" s="135" t="s">
        <v>403</v>
      </c>
      <c r="H2" s="135" t="s">
        <v>58</v>
      </c>
      <c r="I2" s="135" t="s">
        <v>20</v>
      </c>
      <c r="J2" s="117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>
      <c r="A3" s="137">
        <v>46287.0</v>
      </c>
      <c r="B3" s="107" t="s">
        <v>124</v>
      </c>
      <c r="C3" s="138" t="s">
        <v>404</v>
      </c>
      <c r="D3" s="138" t="s">
        <v>405</v>
      </c>
      <c r="E3" s="138" t="s">
        <v>406</v>
      </c>
      <c r="F3" s="55" t="s">
        <v>407</v>
      </c>
      <c r="G3" s="138" t="s">
        <v>408</v>
      </c>
      <c r="H3" s="138" t="s">
        <v>409</v>
      </c>
      <c r="I3" s="125" t="s">
        <v>56</v>
      </c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</row>
    <row r="4">
      <c r="A4" s="137">
        <v>46287.0</v>
      </c>
      <c r="B4" s="139" t="s">
        <v>124</v>
      </c>
      <c r="C4" s="140" t="s">
        <v>404</v>
      </c>
      <c r="D4" s="140" t="s">
        <v>405</v>
      </c>
      <c r="E4" s="140" t="s">
        <v>406</v>
      </c>
      <c r="F4" s="123" t="s">
        <v>407</v>
      </c>
      <c r="G4" s="123" t="s">
        <v>415</v>
      </c>
      <c r="H4" s="123" t="s">
        <v>416</v>
      </c>
      <c r="I4" s="125" t="s">
        <v>56</v>
      </c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</row>
    <row r="5">
      <c r="A5" s="137">
        <v>46287.0</v>
      </c>
      <c r="B5" s="107" t="s">
        <v>124</v>
      </c>
      <c r="C5" s="55" t="s">
        <v>404</v>
      </c>
      <c r="D5" s="55" t="s">
        <v>405</v>
      </c>
      <c r="E5" s="55" t="s">
        <v>406</v>
      </c>
      <c r="F5" s="55" t="s">
        <v>407</v>
      </c>
      <c r="G5" s="55" t="s">
        <v>417</v>
      </c>
      <c r="H5" s="55" t="s">
        <v>418</v>
      </c>
      <c r="I5" s="125" t="s">
        <v>56</v>
      </c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</row>
    <row r="6">
      <c r="A6" s="137">
        <v>46287.0</v>
      </c>
      <c r="B6" s="139" t="s">
        <v>124</v>
      </c>
      <c r="C6" s="123" t="s">
        <v>404</v>
      </c>
      <c r="D6" s="123" t="s">
        <v>405</v>
      </c>
      <c r="E6" s="123" t="s">
        <v>406</v>
      </c>
      <c r="F6" s="123" t="s">
        <v>407</v>
      </c>
      <c r="G6" s="123" t="s">
        <v>424</v>
      </c>
      <c r="H6" s="123" t="s">
        <v>426</v>
      </c>
      <c r="I6" s="125" t="s">
        <v>56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</row>
    <row r="7">
      <c r="A7" s="137">
        <v>46287.0</v>
      </c>
      <c r="B7" s="107" t="s">
        <v>124</v>
      </c>
      <c r="C7" s="55" t="s">
        <v>404</v>
      </c>
      <c r="D7" s="55" t="s">
        <v>405</v>
      </c>
      <c r="E7" s="55" t="s">
        <v>406</v>
      </c>
      <c r="F7" s="55" t="s">
        <v>407</v>
      </c>
      <c r="G7" s="55" t="s">
        <v>428</v>
      </c>
      <c r="H7" s="55" t="s">
        <v>429</v>
      </c>
      <c r="I7" s="125" t="s">
        <v>56</v>
      </c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>
      <c r="A8" s="137">
        <v>46287.0</v>
      </c>
      <c r="B8" s="139" t="s">
        <v>62</v>
      </c>
      <c r="C8" s="123" t="s">
        <v>309</v>
      </c>
      <c r="D8" s="123" t="s">
        <v>430</v>
      </c>
      <c r="E8" s="123" t="s">
        <v>406</v>
      </c>
      <c r="F8" s="123" t="s">
        <v>407</v>
      </c>
      <c r="G8" s="123" t="s">
        <v>431</v>
      </c>
      <c r="H8" s="123" t="s">
        <v>432</v>
      </c>
      <c r="I8" s="125" t="s">
        <v>56</v>
      </c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</row>
    <row r="9">
      <c r="A9" s="137">
        <v>46287.0</v>
      </c>
      <c r="B9" s="107" t="s">
        <v>62</v>
      </c>
      <c r="C9" s="55" t="s">
        <v>309</v>
      </c>
      <c r="D9" s="55" t="s">
        <v>430</v>
      </c>
      <c r="E9" s="55" t="s">
        <v>406</v>
      </c>
      <c r="F9" s="55" t="s">
        <v>407</v>
      </c>
      <c r="G9" s="55" t="s">
        <v>433</v>
      </c>
      <c r="H9" s="55" t="s">
        <v>434</v>
      </c>
      <c r="I9" s="125" t="s">
        <v>56</v>
      </c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</row>
    <row r="10">
      <c r="A10" s="137">
        <v>46287.0</v>
      </c>
      <c r="B10" s="139" t="s">
        <v>62</v>
      </c>
      <c r="C10" s="123" t="s">
        <v>309</v>
      </c>
      <c r="D10" s="123" t="s">
        <v>430</v>
      </c>
      <c r="E10" s="123" t="s">
        <v>406</v>
      </c>
      <c r="F10" s="123" t="s">
        <v>407</v>
      </c>
      <c r="G10" s="123" t="s">
        <v>435</v>
      </c>
      <c r="H10" s="123" t="s">
        <v>437</v>
      </c>
      <c r="I10" s="125" t="s">
        <v>56</v>
      </c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</row>
    <row r="11">
      <c r="A11" s="137">
        <v>46287.0</v>
      </c>
      <c r="B11" s="107" t="s">
        <v>62</v>
      </c>
      <c r="C11" s="55" t="s">
        <v>309</v>
      </c>
      <c r="D11" s="55" t="s">
        <v>430</v>
      </c>
      <c r="E11" s="55" t="s">
        <v>406</v>
      </c>
      <c r="F11" s="55" t="s">
        <v>407</v>
      </c>
      <c r="G11" s="55" t="s">
        <v>440</v>
      </c>
      <c r="H11" s="55" t="s">
        <v>441</v>
      </c>
      <c r="I11" s="125" t="s">
        <v>56</v>
      </c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</row>
    <row r="12">
      <c r="A12" s="137">
        <v>46287.0</v>
      </c>
      <c r="B12" s="139" t="s">
        <v>124</v>
      </c>
      <c r="C12" s="123" t="s">
        <v>442</v>
      </c>
      <c r="D12" s="123" t="s">
        <v>430</v>
      </c>
      <c r="E12" s="123" t="s">
        <v>406</v>
      </c>
      <c r="F12" s="123" t="s">
        <v>407</v>
      </c>
      <c r="G12" s="123" t="s">
        <v>443</v>
      </c>
      <c r="H12" s="123" t="s">
        <v>444</v>
      </c>
      <c r="I12" s="125" t="s">
        <v>56</v>
      </c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</row>
    <row r="13">
      <c r="A13" s="137">
        <v>46287.0</v>
      </c>
      <c r="B13" s="107" t="s">
        <v>124</v>
      </c>
      <c r="C13" s="55" t="s">
        <v>442</v>
      </c>
      <c r="D13" s="55" t="s">
        <v>430</v>
      </c>
      <c r="E13" s="55" t="s">
        <v>406</v>
      </c>
      <c r="F13" s="55" t="s">
        <v>407</v>
      </c>
      <c r="G13" s="55" t="s">
        <v>445</v>
      </c>
      <c r="H13" s="55" t="s">
        <v>441</v>
      </c>
      <c r="I13" s="125" t="s">
        <v>56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</row>
    <row r="14">
      <c r="A14" s="137">
        <v>46287.0</v>
      </c>
      <c r="B14" s="123" t="s">
        <v>360</v>
      </c>
      <c r="C14" s="61" t="s">
        <v>446</v>
      </c>
      <c r="D14" s="123" t="s">
        <v>405</v>
      </c>
      <c r="E14" s="65" t="s">
        <v>304</v>
      </c>
      <c r="F14" s="123" t="s">
        <v>407</v>
      </c>
      <c r="G14" s="61" t="s">
        <v>447</v>
      </c>
      <c r="H14" s="65" t="s">
        <v>448</v>
      </c>
      <c r="I14" s="125" t="s">
        <v>56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</row>
    <row r="15">
      <c r="A15" s="137">
        <v>46287.0</v>
      </c>
      <c r="B15" s="55" t="s">
        <v>360</v>
      </c>
      <c r="C15" s="65" t="s">
        <v>455</v>
      </c>
      <c r="D15" s="55" t="s">
        <v>405</v>
      </c>
      <c r="E15" s="65" t="s">
        <v>304</v>
      </c>
      <c r="F15" s="55" t="s">
        <v>407</v>
      </c>
      <c r="G15" s="65" t="s">
        <v>456</v>
      </c>
      <c r="H15" s="65" t="s">
        <v>457</v>
      </c>
      <c r="I15" s="125" t="s">
        <v>56</v>
      </c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>
      <c r="A16" s="137">
        <v>46287.0</v>
      </c>
      <c r="B16" s="123" t="s">
        <v>62</v>
      </c>
      <c r="C16" s="61" t="s">
        <v>458</v>
      </c>
      <c r="D16" s="123" t="s">
        <v>430</v>
      </c>
      <c r="E16" s="65" t="s">
        <v>304</v>
      </c>
      <c r="F16" s="123" t="s">
        <v>407</v>
      </c>
      <c r="G16" s="61" t="s">
        <v>459</v>
      </c>
      <c r="H16" s="65" t="s">
        <v>460</v>
      </c>
      <c r="I16" s="125" t="s">
        <v>56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</row>
    <row r="17">
      <c r="A17" s="137">
        <v>46287.0</v>
      </c>
      <c r="B17" s="55" t="s">
        <v>62</v>
      </c>
      <c r="C17" s="65" t="s">
        <v>458</v>
      </c>
      <c r="D17" s="55" t="s">
        <v>430</v>
      </c>
      <c r="E17" s="65" t="s">
        <v>304</v>
      </c>
      <c r="F17" s="55" t="s">
        <v>407</v>
      </c>
      <c r="G17" s="65" t="s">
        <v>461</v>
      </c>
      <c r="H17" s="65" t="s">
        <v>462</v>
      </c>
      <c r="I17" s="125" t="s">
        <v>56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</row>
    <row r="18">
      <c r="A18" s="137">
        <v>46287.0</v>
      </c>
      <c r="B18" s="123" t="s">
        <v>62</v>
      </c>
      <c r="C18" s="61" t="s">
        <v>458</v>
      </c>
      <c r="D18" s="123" t="s">
        <v>430</v>
      </c>
      <c r="E18" s="65" t="s">
        <v>304</v>
      </c>
      <c r="F18" s="123" t="s">
        <v>407</v>
      </c>
      <c r="G18" s="61" t="s">
        <v>463</v>
      </c>
      <c r="H18" s="65" t="s">
        <v>464</v>
      </c>
      <c r="I18" s="125" t="s">
        <v>56</v>
      </c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</row>
    <row r="19">
      <c r="A19" s="137">
        <v>46287.0</v>
      </c>
      <c r="B19" s="55" t="s">
        <v>62</v>
      </c>
      <c r="C19" s="65" t="s">
        <v>458</v>
      </c>
      <c r="D19" s="55" t="s">
        <v>430</v>
      </c>
      <c r="E19" s="65" t="s">
        <v>304</v>
      </c>
      <c r="F19" s="55" t="s">
        <v>407</v>
      </c>
      <c r="G19" s="65" t="s">
        <v>472</v>
      </c>
      <c r="H19" s="142" t="s">
        <v>473</v>
      </c>
      <c r="I19" s="125" t="s">
        <v>56</v>
      </c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</row>
    <row r="20">
      <c r="A20" s="137">
        <v>46287.0</v>
      </c>
      <c r="B20" s="123" t="s">
        <v>62</v>
      </c>
      <c r="C20" s="61" t="s">
        <v>480</v>
      </c>
      <c r="D20" s="123" t="s">
        <v>430</v>
      </c>
      <c r="E20" s="65" t="s">
        <v>304</v>
      </c>
      <c r="F20" s="123" t="s">
        <v>407</v>
      </c>
      <c r="G20" s="61" t="s">
        <v>481</v>
      </c>
      <c r="H20" s="65" t="s">
        <v>482</v>
      </c>
      <c r="I20" s="125" t="s">
        <v>56</v>
      </c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</row>
    <row r="21">
      <c r="A21" s="137">
        <v>46287.0</v>
      </c>
      <c r="B21" s="55" t="s">
        <v>62</v>
      </c>
      <c r="C21" s="65" t="s">
        <v>480</v>
      </c>
      <c r="D21" s="55" t="s">
        <v>430</v>
      </c>
      <c r="E21" s="65" t="s">
        <v>304</v>
      </c>
      <c r="F21" s="55" t="s">
        <v>407</v>
      </c>
      <c r="G21" s="65" t="s">
        <v>483</v>
      </c>
      <c r="H21" s="65" t="s">
        <v>484</v>
      </c>
      <c r="I21" s="125" t="s">
        <v>56</v>
      </c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</row>
    <row r="22">
      <c r="A22" s="137">
        <v>46287.0</v>
      </c>
      <c r="B22" s="123" t="s">
        <v>62</v>
      </c>
      <c r="C22" s="61" t="s">
        <v>480</v>
      </c>
      <c r="D22" s="123" t="s">
        <v>430</v>
      </c>
      <c r="E22" s="65" t="s">
        <v>304</v>
      </c>
      <c r="F22" s="123" t="s">
        <v>407</v>
      </c>
      <c r="G22" s="61" t="s">
        <v>485</v>
      </c>
      <c r="H22" s="65" t="s">
        <v>486</v>
      </c>
      <c r="I22" s="125" t="s">
        <v>56</v>
      </c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</row>
    <row r="23">
      <c r="A23" s="137">
        <v>46287.0</v>
      </c>
      <c r="B23" s="55" t="s">
        <v>62</v>
      </c>
      <c r="C23" s="65" t="s">
        <v>480</v>
      </c>
      <c r="D23" s="55" t="s">
        <v>430</v>
      </c>
      <c r="E23" s="65" t="s">
        <v>304</v>
      </c>
      <c r="F23" s="55" t="s">
        <v>407</v>
      </c>
      <c r="G23" s="65" t="s">
        <v>487</v>
      </c>
      <c r="H23" s="65" t="s">
        <v>488</v>
      </c>
      <c r="I23" s="125" t="s">
        <v>56</v>
      </c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</row>
    <row r="24">
      <c r="A24" s="137">
        <v>46287.0</v>
      </c>
      <c r="B24" s="123" t="s">
        <v>62</v>
      </c>
      <c r="C24" s="61" t="s">
        <v>480</v>
      </c>
      <c r="D24" s="123" t="s">
        <v>430</v>
      </c>
      <c r="E24" s="65" t="s">
        <v>304</v>
      </c>
      <c r="F24" s="123" t="s">
        <v>407</v>
      </c>
      <c r="G24" s="61" t="s">
        <v>489</v>
      </c>
      <c r="H24" s="65" t="s">
        <v>490</v>
      </c>
      <c r="I24" s="125" t="s">
        <v>56</v>
      </c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</row>
    <row r="25">
      <c r="A25" s="137">
        <v>46287.0</v>
      </c>
      <c r="B25" s="55" t="s">
        <v>62</v>
      </c>
      <c r="C25" s="65" t="s">
        <v>480</v>
      </c>
      <c r="D25" s="55" t="s">
        <v>430</v>
      </c>
      <c r="E25" s="65" t="s">
        <v>304</v>
      </c>
      <c r="F25" s="55" t="s">
        <v>407</v>
      </c>
      <c r="G25" s="65" t="s">
        <v>491</v>
      </c>
      <c r="H25" s="142" t="s">
        <v>473</v>
      </c>
      <c r="I25" s="125" t="s">
        <v>56</v>
      </c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</row>
    <row r="26">
      <c r="A26" s="137">
        <v>46287.0</v>
      </c>
      <c r="B26" s="65" t="s">
        <v>360</v>
      </c>
      <c r="C26" s="55" t="s">
        <v>300</v>
      </c>
      <c r="D26" s="55" t="s">
        <v>430</v>
      </c>
      <c r="E26" s="65" t="s">
        <v>304</v>
      </c>
      <c r="F26" s="55" t="s">
        <v>407</v>
      </c>
      <c r="G26" s="55" t="s">
        <v>492</v>
      </c>
      <c r="H26" s="65" t="s">
        <v>493</v>
      </c>
      <c r="I26" s="125" t="s">
        <v>56</v>
      </c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</row>
    <row r="27">
      <c r="A27" s="137">
        <v>46287.0</v>
      </c>
      <c r="B27" s="65" t="s">
        <v>360</v>
      </c>
      <c r="C27" s="55" t="s">
        <v>300</v>
      </c>
      <c r="D27" s="55" t="s">
        <v>430</v>
      </c>
      <c r="E27" s="65" t="s">
        <v>304</v>
      </c>
      <c r="F27" s="55" t="s">
        <v>407</v>
      </c>
      <c r="G27" s="55" t="s">
        <v>494</v>
      </c>
      <c r="H27" s="65" t="s">
        <v>484</v>
      </c>
      <c r="I27" s="125" t="s">
        <v>56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</row>
    <row r="28">
      <c r="A28" s="137">
        <v>46287.0</v>
      </c>
      <c r="B28" s="65" t="s">
        <v>360</v>
      </c>
      <c r="C28" s="55" t="s">
        <v>300</v>
      </c>
      <c r="D28" s="55" t="s">
        <v>430</v>
      </c>
      <c r="E28" s="65" t="s">
        <v>304</v>
      </c>
      <c r="F28" s="55" t="s">
        <v>407</v>
      </c>
      <c r="G28" s="55" t="s">
        <v>495</v>
      </c>
      <c r="H28" s="65" t="s">
        <v>496</v>
      </c>
      <c r="I28" s="125" t="s">
        <v>56</v>
      </c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</row>
    <row r="29">
      <c r="A29" s="137">
        <v>46287.0</v>
      </c>
      <c r="B29" s="65" t="s">
        <v>360</v>
      </c>
      <c r="C29" s="55" t="s">
        <v>300</v>
      </c>
      <c r="D29" s="55" t="s">
        <v>430</v>
      </c>
      <c r="E29" s="65" t="s">
        <v>304</v>
      </c>
      <c r="F29" s="55" t="s">
        <v>407</v>
      </c>
      <c r="G29" s="55" t="s">
        <v>497</v>
      </c>
      <c r="H29" s="65" t="s">
        <v>498</v>
      </c>
      <c r="I29" s="125" t="s">
        <v>56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</row>
    <row r="30">
      <c r="A30" s="137">
        <v>46287.0</v>
      </c>
      <c r="B30" s="65" t="s">
        <v>360</v>
      </c>
      <c r="C30" s="55" t="s">
        <v>300</v>
      </c>
      <c r="D30" s="55" t="s">
        <v>430</v>
      </c>
      <c r="E30" s="65" t="s">
        <v>304</v>
      </c>
      <c r="F30" s="55" t="s">
        <v>407</v>
      </c>
      <c r="G30" s="55" t="s">
        <v>499</v>
      </c>
      <c r="H30" s="65" t="s">
        <v>500</v>
      </c>
      <c r="I30" s="125" t="s">
        <v>56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</row>
    <row r="31">
      <c r="A31" s="137">
        <v>46287.0</v>
      </c>
      <c r="B31" s="65" t="s">
        <v>360</v>
      </c>
      <c r="C31" s="55" t="s">
        <v>300</v>
      </c>
      <c r="D31" s="55" t="s">
        <v>430</v>
      </c>
      <c r="E31" s="65" t="s">
        <v>304</v>
      </c>
      <c r="F31" s="55" t="s">
        <v>407</v>
      </c>
      <c r="G31" s="55" t="s">
        <v>501</v>
      </c>
      <c r="H31" s="142" t="s">
        <v>473</v>
      </c>
      <c r="I31" s="125" t="s">
        <v>56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</row>
    <row r="32">
      <c r="A32" s="137">
        <v>46287.0</v>
      </c>
      <c r="B32" s="55" t="s">
        <v>124</v>
      </c>
      <c r="C32" s="55" t="s">
        <v>502</v>
      </c>
      <c r="D32" s="55" t="s">
        <v>430</v>
      </c>
      <c r="E32" s="55" t="s">
        <v>93</v>
      </c>
      <c r="F32" s="55" t="s">
        <v>407</v>
      </c>
      <c r="G32" s="55" t="s">
        <v>503</v>
      </c>
      <c r="H32" s="123" t="s">
        <v>504</v>
      </c>
      <c r="I32" s="125" t="s">
        <v>56</v>
      </c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</row>
    <row r="33">
      <c r="A33" s="137">
        <v>46287.0</v>
      </c>
      <c r="B33" s="55" t="s">
        <v>124</v>
      </c>
      <c r="C33" s="55" t="s">
        <v>502</v>
      </c>
      <c r="D33" s="55" t="s">
        <v>430</v>
      </c>
      <c r="E33" s="55" t="s">
        <v>93</v>
      </c>
      <c r="F33" s="55" t="s">
        <v>407</v>
      </c>
      <c r="G33" s="55" t="s">
        <v>505</v>
      </c>
      <c r="H33" s="55" t="s">
        <v>506</v>
      </c>
      <c r="I33" s="125" t="s">
        <v>56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</row>
    <row r="34">
      <c r="A34" s="137">
        <v>46287.0</v>
      </c>
      <c r="B34" s="55" t="s">
        <v>124</v>
      </c>
      <c r="C34" s="55" t="s">
        <v>502</v>
      </c>
      <c r="D34" s="55" t="s">
        <v>430</v>
      </c>
      <c r="E34" s="55" t="s">
        <v>93</v>
      </c>
      <c r="F34" s="55" t="s">
        <v>407</v>
      </c>
      <c r="G34" s="55" t="s">
        <v>507</v>
      </c>
      <c r="H34" s="123" t="s">
        <v>508</v>
      </c>
      <c r="I34" s="125" t="s">
        <v>56</v>
      </c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</row>
    <row r="35">
      <c r="A35" s="137">
        <v>46287.0</v>
      </c>
      <c r="B35" s="55" t="s">
        <v>62</v>
      </c>
      <c r="C35" s="55" t="s">
        <v>509</v>
      </c>
      <c r="D35" s="55" t="s">
        <v>430</v>
      </c>
      <c r="E35" s="55" t="s">
        <v>93</v>
      </c>
      <c r="F35" s="55" t="s">
        <v>407</v>
      </c>
      <c r="G35" s="55" t="s">
        <v>510</v>
      </c>
      <c r="H35" s="55" t="s">
        <v>511</v>
      </c>
      <c r="I35" s="125" t="s">
        <v>56</v>
      </c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</row>
    <row r="36">
      <c r="A36" s="137">
        <v>46287.0</v>
      </c>
      <c r="B36" s="55" t="s">
        <v>124</v>
      </c>
      <c r="C36" s="55" t="s">
        <v>512</v>
      </c>
      <c r="D36" s="55" t="s">
        <v>430</v>
      </c>
      <c r="E36" s="55" t="s">
        <v>93</v>
      </c>
      <c r="F36" s="55" t="s">
        <v>407</v>
      </c>
      <c r="G36" s="55" t="s">
        <v>513</v>
      </c>
      <c r="H36" s="123" t="s">
        <v>515</v>
      </c>
      <c r="I36" s="125" t="s">
        <v>56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</row>
    <row r="37">
      <c r="A37" s="137">
        <v>46287.0</v>
      </c>
      <c r="B37" s="55" t="s">
        <v>124</v>
      </c>
      <c r="C37" s="55" t="s">
        <v>512</v>
      </c>
      <c r="D37" s="55" t="s">
        <v>430</v>
      </c>
      <c r="E37" s="55" t="s">
        <v>93</v>
      </c>
      <c r="F37" s="55" t="s">
        <v>407</v>
      </c>
      <c r="G37" s="55" t="s">
        <v>519</v>
      </c>
      <c r="H37" s="55" t="s">
        <v>521</v>
      </c>
      <c r="I37" s="125" t="s">
        <v>56</v>
      </c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</row>
    <row r="38">
      <c r="A38" s="137">
        <v>46287.0</v>
      </c>
      <c r="B38" s="55" t="s">
        <v>360</v>
      </c>
      <c r="C38" s="55" t="s">
        <v>525</v>
      </c>
      <c r="D38" s="55" t="s">
        <v>430</v>
      </c>
      <c r="E38" s="55" t="s">
        <v>93</v>
      </c>
      <c r="F38" s="55" t="s">
        <v>407</v>
      </c>
      <c r="G38" s="55" t="s">
        <v>527</v>
      </c>
      <c r="H38" s="123" t="s">
        <v>521</v>
      </c>
      <c r="I38" s="125" t="s">
        <v>56</v>
      </c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</row>
    <row r="39">
      <c r="A39" s="137">
        <v>46287.0</v>
      </c>
      <c r="B39" s="55" t="s">
        <v>379</v>
      </c>
      <c r="C39" s="55" t="s">
        <v>530</v>
      </c>
      <c r="D39" s="55" t="s">
        <v>430</v>
      </c>
      <c r="E39" s="55" t="s">
        <v>236</v>
      </c>
      <c r="F39" s="55" t="s">
        <v>407</v>
      </c>
      <c r="G39" s="55" t="s">
        <v>531</v>
      </c>
      <c r="H39" s="55" t="s">
        <v>533</v>
      </c>
      <c r="I39" s="125" t="s">
        <v>56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</row>
    <row r="40">
      <c r="A40" s="137">
        <v>46287.0</v>
      </c>
      <c r="B40" s="123" t="s">
        <v>379</v>
      </c>
      <c r="C40" s="123" t="s">
        <v>530</v>
      </c>
      <c r="D40" s="123" t="s">
        <v>430</v>
      </c>
      <c r="E40" s="123" t="s">
        <v>236</v>
      </c>
      <c r="F40" s="123" t="s">
        <v>407</v>
      </c>
      <c r="G40" s="123" t="s">
        <v>536</v>
      </c>
      <c r="H40" s="55" t="s">
        <v>537</v>
      </c>
      <c r="I40" s="125" t="s">
        <v>56</v>
      </c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</row>
    <row r="41">
      <c r="A41" s="137">
        <v>46287.0</v>
      </c>
      <c r="B41" s="55" t="s">
        <v>379</v>
      </c>
      <c r="C41" s="55" t="s">
        <v>530</v>
      </c>
      <c r="D41" s="55" t="s">
        <v>430</v>
      </c>
      <c r="E41" s="55" t="s">
        <v>236</v>
      </c>
      <c r="F41" s="55" t="s">
        <v>407</v>
      </c>
      <c r="G41" s="55" t="s">
        <v>539</v>
      </c>
      <c r="H41" s="55" t="s">
        <v>540</v>
      </c>
      <c r="I41" s="125" t="s">
        <v>56</v>
      </c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</row>
    <row r="42">
      <c r="A42" s="137">
        <v>46287.0</v>
      </c>
      <c r="B42" s="123" t="s">
        <v>379</v>
      </c>
      <c r="C42" s="123" t="s">
        <v>530</v>
      </c>
      <c r="D42" s="123" t="s">
        <v>430</v>
      </c>
      <c r="E42" s="123" t="s">
        <v>236</v>
      </c>
      <c r="F42" s="123" t="s">
        <v>407</v>
      </c>
      <c r="G42" s="123" t="s">
        <v>539</v>
      </c>
      <c r="H42" s="55" t="s">
        <v>542</v>
      </c>
      <c r="I42" s="125" t="s">
        <v>56</v>
      </c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</row>
    <row r="43">
      <c r="A43" s="137">
        <v>46287.0</v>
      </c>
      <c r="B43" s="55" t="s">
        <v>379</v>
      </c>
      <c r="C43" s="55" t="s">
        <v>235</v>
      </c>
      <c r="D43" s="55" t="s">
        <v>430</v>
      </c>
      <c r="E43" s="55" t="s">
        <v>236</v>
      </c>
      <c r="F43" s="55" t="s">
        <v>407</v>
      </c>
      <c r="G43" s="55" t="s">
        <v>546</v>
      </c>
      <c r="H43" s="55" t="s">
        <v>533</v>
      </c>
      <c r="I43" s="125" t="s">
        <v>56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</row>
    <row r="44">
      <c r="A44" s="137">
        <v>46287.0</v>
      </c>
      <c r="B44" s="123" t="s">
        <v>379</v>
      </c>
      <c r="C44" s="123" t="s">
        <v>235</v>
      </c>
      <c r="D44" s="123" t="s">
        <v>430</v>
      </c>
      <c r="E44" s="123" t="s">
        <v>236</v>
      </c>
      <c r="F44" s="123" t="s">
        <v>407</v>
      </c>
      <c r="G44" s="123" t="s">
        <v>547</v>
      </c>
      <c r="H44" s="55" t="s">
        <v>548</v>
      </c>
      <c r="I44" s="125" t="s">
        <v>56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</row>
    <row r="45">
      <c r="A45" s="137">
        <v>46287.0</v>
      </c>
      <c r="B45" s="55" t="s">
        <v>379</v>
      </c>
      <c r="C45" s="55" t="s">
        <v>235</v>
      </c>
      <c r="D45" s="55" t="s">
        <v>430</v>
      </c>
      <c r="E45" s="55" t="s">
        <v>236</v>
      </c>
      <c r="F45" s="55" t="s">
        <v>407</v>
      </c>
      <c r="G45" s="55" t="s">
        <v>549</v>
      </c>
      <c r="H45" s="55" t="s">
        <v>550</v>
      </c>
      <c r="I45" s="125" t="s">
        <v>56</v>
      </c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</row>
    <row r="46">
      <c r="A46" s="137">
        <v>46287.0</v>
      </c>
      <c r="B46" s="123" t="s">
        <v>379</v>
      </c>
      <c r="C46" s="123" t="s">
        <v>235</v>
      </c>
      <c r="D46" s="123" t="s">
        <v>430</v>
      </c>
      <c r="E46" s="123" t="s">
        <v>236</v>
      </c>
      <c r="F46" s="123" t="s">
        <v>407</v>
      </c>
      <c r="G46" s="123" t="s">
        <v>551</v>
      </c>
      <c r="H46" s="55" t="s">
        <v>552</v>
      </c>
      <c r="I46" s="125" t="s">
        <v>56</v>
      </c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</row>
    <row r="47">
      <c r="A47" s="137">
        <v>46287.0</v>
      </c>
      <c r="B47" s="55" t="s">
        <v>379</v>
      </c>
      <c r="C47" s="55" t="s">
        <v>235</v>
      </c>
      <c r="D47" s="55" t="s">
        <v>430</v>
      </c>
      <c r="E47" s="55" t="s">
        <v>236</v>
      </c>
      <c r="F47" s="55" t="s">
        <v>407</v>
      </c>
      <c r="G47" s="55" t="s">
        <v>553</v>
      </c>
      <c r="H47" s="55" t="s">
        <v>554</v>
      </c>
      <c r="I47" s="125" t="s">
        <v>56</v>
      </c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</row>
    <row r="48">
      <c r="A48" s="137">
        <v>46287.0</v>
      </c>
      <c r="B48" s="123" t="s">
        <v>379</v>
      </c>
      <c r="C48" s="123" t="s">
        <v>235</v>
      </c>
      <c r="D48" s="123" t="s">
        <v>430</v>
      </c>
      <c r="E48" s="123" t="s">
        <v>236</v>
      </c>
      <c r="F48" s="123" t="s">
        <v>407</v>
      </c>
      <c r="G48" s="123" t="s">
        <v>557</v>
      </c>
      <c r="H48" s="55" t="s">
        <v>558</v>
      </c>
      <c r="I48" s="125" t="s">
        <v>56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</row>
    <row r="49">
      <c r="A49" s="137">
        <v>46287.0</v>
      </c>
      <c r="B49" s="55" t="s">
        <v>379</v>
      </c>
      <c r="C49" s="55" t="s">
        <v>559</v>
      </c>
      <c r="D49" s="55" t="s">
        <v>430</v>
      </c>
      <c r="E49" s="55" t="s">
        <v>236</v>
      </c>
      <c r="F49" s="55" t="s">
        <v>407</v>
      </c>
      <c r="G49" s="55" t="s">
        <v>560</v>
      </c>
      <c r="H49" s="55" t="s">
        <v>533</v>
      </c>
      <c r="I49" s="125" t="s">
        <v>56</v>
      </c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</row>
    <row r="50">
      <c r="A50" s="137">
        <v>46287.0</v>
      </c>
      <c r="B50" s="123" t="s">
        <v>379</v>
      </c>
      <c r="C50" s="123" t="s">
        <v>559</v>
      </c>
      <c r="D50" s="123" t="s">
        <v>430</v>
      </c>
      <c r="E50" s="123" t="s">
        <v>236</v>
      </c>
      <c r="F50" s="123" t="s">
        <v>407</v>
      </c>
      <c r="G50" s="123" t="s">
        <v>561</v>
      </c>
      <c r="H50" s="55" t="s">
        <v>562</v>
      </c>
      <c r="I50" s="125" t="s">
        <v>56</v>
      </c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</row>
    <row r="51">
      <c r="A51" s="137">
        <v>46287.0</v>
      </c>
      <c r="B51" s="55" t="s">
        <v>124</v>
      </c>
      <c r="C51" s="55" t="s">
        <v>563</v>
      </c>
      <c r="D51" s="55" t="s">
        <v>430</v>
      </c>
      <c r="E51" s="55" t="s">
        <v>236</v>
      </c>
      <c r="F51" s="55" t="s">
        <v>407</v>
      </c>
      <c r="G51" s="55" t="s">
        <v>564</v>
      </c>
      <c r="H51" s="55" t="s">
        <v>533</v>
      </c>
      <c r="I51" s="125" t="s">
        <v>56</v>
      </c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</row>
    <row r="52">
      <c r="A52" s="137">
        <v>46287.0</v>
      </c>
      <c r="B52" s="123" t="s">
        <v>124</v>
      </c>
      <c r="C52" s="123" t="s">
        <v>563</v>
      </c>
      <c r="D52" s="123" t="s">
        <v>430</v>
      </c>
      <c r="E52" s="123" t="s">
        <v>236</v>
      </c>
      <c r="F52" s="123" t="s">
        <v>407</v>
      </c>
      <c r="G52" s="123" t="s">
        <v>568</v>
      </c>
      <c r="H52" s="55" t="s">
        <v>569</v>
      </c>
      <c r="I52" s="125" t="s">
        <v>56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</row>
    <row r="53">
      <c r="A53" s="137">
        <v>46287.0</v>
      </c>
      <c r="B53" s="55" t="s">
        <v>124</v>
      </c>
      <c r="C53" s="55" t="s">
        <v>563</v>
      </c>
      <c r="D53" s="55" t="s">
        <v>430</v>
      </c>
      <c r="E53" s="55" t="s">
        <v>236</v>
      </c>
      <c r="F53" s="55" t="s">
        <v>407</v>
      </c>
      <c r="G53" s="55" t="s">
        <v>570</v>
      </c>
      <c r="H53" s="55" t="s">
        <v>571</v>
      </c>
      <c r="I53" s="125" t="s">
        <v>56</v>
      </c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</row>
    <row r="54">
      <c r="A54" s="137">
        <v>46287.0</v>
      </c>
      <c r="B54" s="123" t="s">
        <v>124</v>
      </c>
      <c r="C54" s="123" t="s">
        <v>563</v>
      </c>
      <c r="D54" s="123" t="s">
        <v>430</v>
      </c>
      <c r="E54" s="123" t="s">
        <v>236</v>
      </c>
      <c r="F54" s="123" t="s">
        <v>407</v>
      </c>
      <c r="G54" s="123" t="s">
        <v>572</v>
      </c>
      <c r="H54" s="55" t="s">
        <v>573</v>
      </c>
      <c r="I54" s="125" t="s">
        <v>56</v>
      </c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</row>
    <row r="55">
      <c r="A55" s="137">
        <v>46287.0</v>
      </c>
      <c r="B55" s="55" t="s">
        <v>379</v>
      </c>
      <c r="C55" s="55" t="s">
        <v>574</v>
      </c>
      <c r="D55" s="55" t="s">
        <v>430</v>
      </c>
      <c r="E55" s="55" t="s">
        <v>108</v>
      </c>
      <c r="F55" s="65" t="s">
        <v>407</v>
      </c>
      <c r="G55" s="55" t="s">
        <v>575</v>
      </c>
      <c r="H55" s="65" t="s">
        <v>576</v>
      </c>
      <c r="I55" s="125" t="s">
        <v>56</v>
      </c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</row>
    <row r="56">
      <c r="A56" s="137">
        <v>46287.0</v>
      </c>
      <c r="B56" s="123" t="s">
        <v>379</v>
      </c>
      <c r="C56" s="123" t="s">
        <v>574</v>
      </c>
      <c r="D56" s="123" t="s">
        <v>430</v>
      </c>
      <c r="E56" s="123" t="s">
        <v>108</v>
      </c>
      <c r="F56" s="65" t="s">
        <v>407</v>
      </c>
      <c r="G56" s="123" t="s">
        <v>577</v>
      </c>
      <c r="H56" s="65" t="s">
        <v>578</v>
      </c>
      <c r="I56" s="125" t="s">
        <v>56</v>
      </c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</row>
    <row r="57">
      <c r="A57" s="137">
        <v>46287.0</v>
      </c>
      <c r="B57" s="55" t="s">
        <v>379</v>
      </c>
      <c r="C57" s="55" t="s">
        <v>574</v>
      </c>
      <c r="D57" s="55" t="s">
        <v>430</v>
      </c>
      <c r="E57" s="55" t="s">
        <v>108</v>
      </c>
      <c r="F57" s="65" t="s">
        <v>407</v>
      </c>
      <c r="G57" s="55" t="s">
        <v>579</v>
      </c>
      <c r="H57" s="65" t="s">
        <v>580</v>
      </c>
      <c r="I57" s="125" t="s">
        <v>56</v>
      </c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</row>
    <row r="58">
      <c r="A58" s="137">
        <v>46287.0</v>
      </c>
      <c r="B58" s="123" t="s">
        <v>379</v>
      </c>
      <c r="C58" s="123" t="s">
        <v>574</v>
      </c>
      <c r="D58" s="123" t="s">
        <v>430</v>
      </c>
      <c r="E58" s="123" t="s">
        <v>108</v>
      </c>
      <c r="F58" s="65" t="s">
        <v>407</v>
      </c>
      <c r="G58" s="123" t="s">
        <v>587</v>
      </c>
      <c r="H58" s="65" t="s">
        <v>589</v>
      </c>
      <c r="I58" s="125" t="s">
        <v>56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>
      <c r="A59" s="137">
        <v>46287.0</v>
      </c>
      <c r="B59" s="55" t="s">
        <v>379</v>
      </c>
      <c r="C59" s="55" t="s">
        <v>590</v>
      </c>
      <c r="D59" s="55" t="s">
        <v>405</v>
      </c>
      <c r="E59" s="55" t="s">
        <v>108</v>
      </c>
      <c r="F59" s="65" t="s">
        <v>407</v>
      </c>
      <c r="G59" s="55" t="s">
        <v>591</v>
      </c>
      <c r="H59" s="65" t="s">
        <v>592</v>
      </c>
      <c r="I59" s="125" t="s">
        <v>56</v>
      </c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>
      <c r="A60" s="137">
        <v>46287.0</v>
      </c>
      <c r="B60" s="123" t="s">
        <v>379</v>
      </c>
      <c r="C60" s="123" t="s">
        <v>590</v>
      </c>
      <c r="D60" s="123" t="s">
        <v>405</v>
      </c>
      <c r="E60" s="123" t="s">
        <v>108</v>
      </c>
      <c r="F60" s="65" t="s">
        <v>407</v>
      </c>
      <c r="G60" s="123" t="s">
        <v>593</v>
      </c>
      <c r="H60" s="65" t="s">
        <v>594</v>
      </c>
      <c r="I60" s="125" t="s">
        <v>56</v>
      </c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>
      <c r="A61" s="137">
        <v>46287.0</v>
      </c>
      <c r="B61" s="55" t="s">
        <v>379</v>
      </c>
      <c r="C61" s="55" t="s">
        <v>92</v>
      </c>
      <c r="D61" s="55" t="s">
        <v>430</v>
      </c>
      <c r="E61" s="55" t="s">
        <v>108</v>
      </c>
      <c r="F61" s="65" t="s">
        <v>407</v>
      </c>
      <c r="G61" s="55" t="s">
        <v>595</v>
      </c>
      <c r="H61" s="65" t="s">
        <v>596</v>
      </c>
      <c r="I61" s="125" t="s">
        <v>56</v>
      </c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>
      <c r="A62" s="137">
        <v>46287.0</v>
      </c>
      <c r="B62" s="123" t="s">
        <v>379</v>
      </c>
      <c r="C62" s="123" t="s">
        <v>92</v>
      </c>
      <c r="D62" s="123" t="s">
        <v>430</v>
      </c>
      <c r="E62" s="123" t="s">
        <v>108</v>
      </c>
      <c r="F62" s="65" t="s">
        <v>407</v>
      </c>
      <c r="G62" s="123" t="s">
        <v>603</v>
      </c>
      <c r="H62" s="65" t="s">
        <v>604</v>
      </c>
      <c r="I62" s="125" t="s">
        <v>56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>
      <c r="A63" s="137">
        <v>46287.0</v>
      </c>
      <c r="B63" s="55" t="s">
        <v>379</v>
      </c>
      <c r="C63" s="55" t="s">
        <v>92</v>
      </c>
      <c r="D63" s="55" t="s">
        <v>430</v>
      </c>
      <c r="E63" s="55" t="s">
        <v>108</v>
      </c>
      <c r="F63" s="65" t="s">
        <v>407</v>
      </c>
      <c r="G63" s="55" t="s">
        <v>605</v>
      </c>
      <c r="H63" s="65" t="s">
        <v>606</v>
      </c>
      <c r="I63" s="125" t="s">
        <v>56</v>
      </c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>
      <c r="A64" s="137">
        <v>46287.0</v>
      </c>
      <c r="B64" s="123" t="s">
        <v>379</v>
      </c>
      <c r="C64" s="123" t="s">
        <v>92</v>
      </c>
      <c r="D64" s="123" t="s">
        <v>430</v>
      </c>
      <c r="E64" s="123" t="s">
        <v>108</v>
      </c>
      <c r="F64" s="65" t="s">
        <v>407</v>
      </c>
      <c r="G64" s="123" t="s">
        <v>607</v>
      </c>
      <c r="H64" s="65" t="s">
        <v>608</v>
      </c>
      <c r="I64" s="125" t="s">
        <v>56</v>
      </c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>
      <c r="A65" s="137">
        <v>46287.0</v>
      </c>
      <c r="B65" s="55" t="s">
        <v>379</v>
      </c>
      <c r="C65" s="55" t="s">
        <v>92</v>
      </c>
      <c r="D65" s="55" t="s">
        <v>430</v>
      </c>
      <c r="E65" s="55" t="s">
        <v>108</v>
      </c>
      <c r="F65" s="65" t="s">
        <v>407</v>
      </c>
      <c r="G65" s="55" t="s">
        <v>609</v>
      </c>
      <c r="H65" s="65" t="s">
        <v>589</v>
      </c>
      <c r="I65" s="125" t="s">
        <v>56</v>
      </c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>
      <c r="A66" s="137">
        <v>46287.0</v>
      </c>
      <c r="B66" s="160" t="s">
        <v>62</v>
      </c>
      <c r="C66" s="65" t="s">
        <v>293</v>
      </c>
      <c r="D66" s="55" t="s">
        <v>430</v>
      </c>
      <c r="E66" s="65" t="s">
        <v>297</v>
      </c>
      <c r="F66" s="55" t="s">
        <v>407</v>
      </c>
      <c r="G66" s="55" t="s">
        <v>612</v>
      </c>
      <c r="H66" s="55" t="s">
        <v>614</v>
      </c>
      <c r="I66" s="125" t="s">
        <v>56</v>
      </c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>
      <c r="A67" s="137">
        <v>46287.0</v>
      </c>
      <c r="B67" s="160" t="s">
        <v>62</v>
      </c>
      <c r="C67" s="65" t="s">
        <v>293</v>
      </c>
      <c r="D67" s="55" t="s">
        <v>430</v>
      </c>
      <c r="E67" s="65" t="s">
        <v>297</v>
      </c>
      <c r="F67" s="55" t="s">
        <v>407</v>
      </c>
      <c r="G67" s="55" t="s">
        <v>615</v>
      </c>
      <c r="H67" s="65" t="s">
        <v>616</v>
      </c>
      <c r="I67" s="125" t="s">
        <v>56</v>
      </c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>
      <c r="A68" s="137">
        <v>46287.0</v>
      </c>
      <c r="B68" s="160" t="s">
        <v>62</v>
      </c>
      <c r="C68" s="65" t="s">
        <v>293</v>
      </c>
      <c r="D68" s="55" t="s">
        <v>430</v>
      </c>
      <c r="E68" s="65" t="s">
        <v>297</v>
      </c>
      <c r="F68" s="55" t="s">
        <v>407</v>
      </c>
      <c r="G68" s="55" t="s">
        <v>617</v>
      </c>
      <c r="H68" s="55" t="s">
        <v>618</v>
      </c>
      <c r="I68" s="125" t="s">
        <v>56</v>
      </c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>
      <c r="A69" s="137">
        <v>46287.0</v>
      </c>
      <c r="B69" s="55" t="s">
        <v>124</v>
      </c>
      <c r="C69" s="65" t="s">
        <v>619</v>
      </c>
      <c r="D69" s="55" t="s">
        <v>430</v>
      </c>
      <c r="E69" s="65" t="s">
        <v>297</v>
      </c>
      <c r="F69" s="55" t="s">
        <v>407</v>
      </c>
      <c r="G69" s="55" t="s">
        <v>620</v>
      </c>
      <c r="H69" s="55" t="s">
        <v>621</v>
      </c>
      <c r="I69" s="125" t="s">
        <v>56</v>
      </c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>
      <c r="A70" s="137">
        <v>46287.0</v>
      </c>
      <c r="B70" s="55" t="s">
        <v>124</v>
      </c>
      <c r="C70" s="65" t="s">
        <v>619</v>
      </c>
      <c r="D70" s="55" t="s">
        <v>430</v>
      </c>
      <c r="E70" s="65" t="s">
        <v>297</v>
      </c>
      <c r="F70" s="55" t="s">
        <v>407</v>
      </c>
      <c r="G70" s="55" t="s">
        <v>622</v>
      </c>
      <c r="H70" s="55" t="s">
        <v>618</v>
      </c>
      <c r="I70" s="125" t="s">
        <v>56</v>
      </c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>
      <c r="A71" s="137">
        <v>46287.0</v>
      </c>
      <c r="B71" s="160" t="s">
        <v>62</v>
      </c>
      <c r="C71" s="65" t="s">
        <v>623</v>
      </c>
      <c r="D71" s="55" t="s">
        <v>430</v>
      </c>
      <c r="E71" s="65" t="s">
        <v>297</v>
      </c>
      <c r="F71" s="55" t="s">
        <v>407</v>
      </c>
      <c r="G71" s="55" t="s">
        <v>624</v>
      </c>
      <c r="H71" s="65" t="s">
        <v>626</v>
      </c>
      <c r="I71" s="125" t="s">
        <v>56</v>
      </c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>
      <c r="A72" s="137">
        <v>46287.0</v>
      </c>
      <c r="B72" s="160" t="s">
        <v>62</v>
      </c>
      <c r="C72" s="65" t="s">
        <v>623</v>
      </c>
      <c r="D72" s="55" t="s">
        <v>430</v>
      </c>
      <c r="E72" s="65" t="s">
        <v>297</v>
      </c>
      <c r="F72" s="55" t="s">
        <v>407</v>
      </c>
      <c r="G72" s="55" t="s">
        <v>628</v>
      </c>
      <c r="H72" s="55" t="s">
        <v>629</v>
      </c>
      <c r="I72" s="125" t="s">
        <v>56</v>
      </c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>
      <c r="A73" s="137">
        <v>46287.0</v>
      </c>
      <c r="B73" s="160" t="s">
        <v>62</v>
      </c>
      <c r="C73" s="65" t="s">
        <v>623</v>
      </c>
      <c r="D73" s="55" t="s">
        <v>430</v>
      </c>
      <c r="E73" s="65" t="s">
        <v>297</v>
      </c>
      <c r="F73" s="55" t="s">
        <v>407</v>
      </c>
      <c r="G73" s="55" t="s">
        <v>630</v>
      </c>
      <c r="H73" s="55" t="s">
        <v>618</v>
      </c>
      <c r="I73" s="125" t="s">
        <v>56</v>
      </c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>
      <c r="A74" s="137">
        <v>46287.0</v>
      </c>
      <c r="B74" s="123" t="s">
        <v>360</v>
      </c>
      <c r="C74" s="123" t="s">
        <v>631</v>
      </c>
      <c r="D74" s="123" t="s">
        <v>405</v>
      </c>
      <c r="E74" s="55" t="s">
        <v>227</v>
      </c>
      <c r="F74" s="161" t="s">
        <v>407</v>
      </c>
      <c r="G74" s="123" t="s">
        <v>632</v>
      </c>
      <c r="H74" s="123" t="s">
        <v>633</v>
      </c>
      <c r="I74" s="125" t="s">
        <v>56</v>
      </c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  <row r="75">
      <c r="A75" s="137">
        <v>46287.0</v>
      </c>
      <c r="B75" s="55" t="s">
        <v>360</v>
      </c>
      <c r="C75" s="55" t="s">
        <v>631</v>
      </c>
      <c r="D75" s="55" t="s">
        <v>405</v>
      </c>
      <c r="E75" s="55" t="s">
        <v>227</v>
      </c>
      <c r="F75" s="161" t="s">
        <v>407</v>
      </c>
      <c r="G75" s="55" t="s">
        <v>634</v>
      </c>
      <c r="H75" s="55" t="s">
        <v>635</v>
      </c>
      <c r="I75" s="125" t="s">
        <v>56</v>
      </c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</row>
    <row r="76">
      <c r="A76" s="137">
        <v>46287.0</v>
      </c>
      <c r="B76" s="123" t="s">
        <v>360</v>
      </c>
      <c r="C76" s="123" t="s">
        <v>636</v>
      </c>
      <c r="D76" s="123" t="s">
        <v>637</v>
      </c>
      <c r="E76" s="55" t="s">
        <v>227</v>
      </c>
      <c r="F76" s="161" t="s">
        <v>407</v>
      </c>
      <c r="G76" s="123" t="s">
        <v>638</v>
      </c>
      <c r="H76" s="123" t="s">
        <v>639</v>
      </c>
      <c r="I76" s="125" t="s">
        <v>56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</row>
    <row r="77">
      <c r="A77" s="137">
        <v>46287.0</v>
      </c>
      <c r="B77" s="55" t="s">
        <v>360</v>
      </c>
      <c r="C77" s="55" t="s">
        <v>636</v>
      </c>
      <c r="D77" s="55" t="s">
        <v>637</v>
      </c>
      <c r="E77" s="55" t="s">
        <v>227</v>
      </c>
      <c r="F77" s="161" t="s">
        <v>407</v>
      </c>
      <c r="G77" s="55" t="s">
        <v>638</v>
      </c>
      <c r="H77" s="55" t="s">
        <v>642</v>
      </c>
      <c r="I77" s="125" t="s">
        <v>56</v>
      </c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</row>
    <row r="78">
      <c r="A78" s="137">
        <v>46287.0</v>
      </c>
      <c r="B78" s="123" t="s">
        <v>360</v>
      </c>
      <c r="C78" s="123" t="s">
        <v>247</v>
      </c>
      <c r="D78" s="123" t="s">
        <v>637</v>
      </c>
      <c r="E78" s="55" t="s">
        <v>227</v>
      </c>
      <c r="F78" s="161" t="s">
        <v>407</v>
      </c>
      <c r="G78" s="123" t="s">
        <v>643</v>
      </c>
      <c r="H78" s="123" t="s">
        <v>644</v>
      </c>
      <c r="I78" s="125" t="s">
        <v>56</v>
      </c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</row>
    <row r="79">
      <c r="A79" s="137">
        <v>46287.0</v>
      </c>
      <c r="B79" s="55" t="s">
        <v>360</v>
      </c>
      <c r="C79" s="55" t="s">
        <v>631</v>
      </c>
      <c r="D79" s="161" t="s">
        <v>430</v>
      </c>
      <c r="E79" s="55" t="s">
        <v>227</v>
      </c>
      <c r="F79" s="161" t="s">
        <v>407</v>
      </c>
      <c r="G79" s="55" t="s">
        <v>645</v>
      </c>
      <c r="H79" s="55" t="s">
        <v>646</v>
      </c>
      <c r="I79" s="125" t="s">
        <v>56</v>
      </c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</row>
    <row r="80">
      <c r="A80" s="137">
        <v>46287.0</v>
      </c>
      <c r="B80" s="123" t="s">
        <v>62</v>
      </c>
      <c r="C80" s="123" t="s">
        <v>226</v>
      </c>
      <c r="D80" s="55" t="s">
        <v>430</v>
      </c>
      <c r="E80" s="55" t="s">
        <v>227</v>
      </c>
      <c r="F80" s="161" t="s">
        <v>407</v>
      </c>
      <c r="G80" s="123" t="s">
        <v>647</v>
      </c>
      <c r="H80" s="123" t="s">
        <v>648</v>
      </c>
      <c r="I80" s="125" t="s">
        <v>56</v>
      </c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</row>
    <row r="81">
      <c r="A81" s="137">
        <v>46287.0</v>
      </c>
      <c r="B81" s="55" t="s">
        <v>62</v>
      </c>
      <c r="C81" s="55" t="s">
        <v>226</v>
      </c>
      <c r="D81" s="55" t="s">
        <v>430</v>
      </c>
      <c r="E81" s="55" t="s">
        <v>227</v>
      </c>
      <c r="F81" s="161" t="s">
        <v>407</v>
      </c>
      <c r="G81" s="55" t="s">
        <v>649</v>
      </c>
      <c r="H81" s="55" t="s">
        <v>650</v>
      </c>
      <c r="I81" s="125" t="s">
        <v>56</v>
      </c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</row>
    <row r="82">
      <c r="A82" s="137">
        <v>46287.0</v>
      </c>
      <c r="B82" s="123" t="s">
        <v>62</v>
      </c>
      <c r="C82" s="123" t="s">
        <v>226</v>
      </c>
      <c r="D82" s="55" t="s">
        <v>430</v>
      </c>
      <c r="E82" s="55" t="s">
        <v>227</v>
      </c>
      <c r="F82" s="161" t="s">
        <v>407</v>
      </c>
      <c r="G82" s="123" t="s">
        <v>651</v>
      </c>
      <c r="H82" s="123" t="s">
        <v>652</v>
      </c>
      <c r="I82" s="125" t="s">
        <v>56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</row>
    <row r="83">
      <c r="A83" s="137">
        <v>46287.0</v>
      </c>
      <c r="B83" s="55" t="s">
        <v>62</v>
      </c>
      <c r="C83" s="55" t="s">
        <v>226</v>
      </c>
      <c r="D83" s="55" t="s">
        <v>430</v>
      </c>
      <c r="E83" s="55" t="s">
        <v>227</v>
      </c>
      <c r="F83" s="161" t="s">
        <v>407</v>
      </c>
      <c r="G83" s="55" t="s">
        <v>653</v>
      </c>
      <c r="H83" s="55" t="s">
        <v>646</v>
      </c>
      <c r="I83" s="125" t="s">
        <v>56</v>
      </c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</row>
    <row r="84">
      <c r="A84" s="137">
        <v>46287.0</v>
      </c>
      <c r="B84" s="123" t="s">
        <v>360</v>
      </c>
      <c r="C84" s="123" t="s">
        <v>636</v>
      </c>
      <c r="D84" s="161" t="s">
        <v>430</v>
      </c>
      <c r="E84" s="55" t="s">
        <v>227</v>
      </c>
      <c r="F84" s="162" t="s">
        <v>407</v>
      </c>
      <c r="G84" s="123" t="s">
        <v>659</v>
      </c>
      <c r="H84" s="123" t="s">
        <v>660</v>
      </c>
      <c r="I84" s="125" t="s">
        <v>56</v>
      </c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</row>
    <row r="85">
      <c r="A85" s="137">
        <v>46287.0</v>
      </c>
      <c r="B85" s="55" t="s">
        <v>360</v>
      </c>
      <c r="C85" s="55" t="s">
        <v>636</v>
      </c>
      <c r="D85" s="161" t="s">
        <v>430</v>
      </c>
      <c r="E85" s="55" t="s">
        <v>227</v>
      </c>
      <c r="F85" s="161" t="s">
        <v>407</v>
      </c>
      <c r="G85" s="55" t="s">
        <v>661</v>
      </c>
      <c r="H85" s="55" t="s">
        <v>662</v>
      </c>
      <c r="I85" s="125" t="s">
        <v>56</v>
      </c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</row>
    <row r="86">
      <c r="A86" s="137">
        <v>46287.0</v>
      </c>
      <c r="B86" s="123" t="s">
        <v>360</v>
      </c>
      <c r="C86" s="123" t="s">
        <v>636</v>
      </c>
      <c r="D86" s="161" t="s">
        <v>430</v>
      </c>
      <c r="E86" s="55" t="s">
        <v>227</v>
      </c>
      <c r="F86" s="162" t="s">
        <v>407</v>
      </c>
      <c r="G86" s="123" t="s">
        <v>663</v>
      </c>
      <c r="H86" s="123" t="s">
        <v>646</v>
      </c>
      <c r="I86" s="125" t="s">
        <v>56</v>
      </c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</row>
    <row r="87">
      <c r="A87" s="137">
        <v>46287.0</v>
      </c>
      <c r="B87" s="55" t="s">
        <v>124</v>
      </c>
      <c r="C87" s="55" t="s">
        <v>278</v>
      </c>
      <c r="D87" s="55" t="s">
        <v>430</v>
      </c>
      <c r="E87" s="55" t="s">
        <v>227</v>
      </c>
      <c r="F87" s="161" t="s">
        <v>407</v>
      </c>
      <c r="G87" s="55" t="s">
        <v>664</v>
      </c>
      <c r="H87" s="55" t="s">
        <v>665</v>
      </c>
      <c r="I87" s="125" t="s">
        <v>56</v>
      </c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</row>
    <row r="88">
      <c r="A88" s="137">
        <v>46287.0</v>
      </c>
      <c r="B88" s="123" t="s">
        <v>124</v>
      </c>
      <c r="C88" s="123" t="s">
        <v>278</v>
      </c>
      <c r="D88" s="55" t="s">
        <v>430</v>
      </c>
      <c r="E88" s="55" t="s">
        <v>227</v>
      </c>
      <c r="F88" s="161" t="s">
        <v>407</v>
      </c>
      <c r="G88" s="123" t="s">
        <v>666</v>
      </c>
      <c r="H88" s="123" t="s">
        <v>667</v>
      </c>
      <c r="I88" s="125" t="s">
        <v>56</v>
      </c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</row>
    <row r="89">
      <c r="A89" s="137">
        <v>46287.0</v>
      </c>
      <c r="B89" s="55" t="s">
        <v>124</v>
      </c>
      <c r="C89" s="55" t="s">
        <v>278</v>
      </c>
      <c r="D89" s="55" t="s">
        <v>430</v>
      </c>
      <c r="E89" s="55" t="s">
        <v>227</v>
      </c>
      <c r="F89" s="161" t="s">
        <v>407</v>
      </c>
      <c r="G89" s="55" t="s">
        <v>672</v>
      </c>
      <c r="H89" s="55" t="s">
        <v>673</v>
      </c>
      <c r="I89" s="125" t="s">
        <v>56</v>
      </c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</row>
    <row r="90">
      <c r="A90" s="137">
        <v>46287.0</v>
      </c>
      <c r="B90" s="123" t="s">
        <v>124</v>
      </c>
      <c r="C90" s="123" t="s">
        <v>278</v>
      </c>
      <c r="D90" s="55" t="s">
        <v>430</v>
      </c>
      <c r="E90" s="55" t="s">
        <v>227</v>
      </c>
      <c r="F90" s="161" t="s">
        <v>407</v>
      </c>
      <c r="G90" s="123" t="s">
        <v>674</v>
      </c>
      <c r="H90" s="123" t="s">
        <v>675</v>
      </c>
      <c r="I90" s="125" t="s">
        <v>56</v>
      </c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</row>
    <row r="91">
      <c r="A91" s="137">
        <v>46287.0</v>
      </c>
      <c r="B91" s="55" t="s">
        <v>124</v>
      </c>
      <c r="C91" s="55" t="s">
        <v>278</v>
      </c>
      <c r="D91" s="55" t="s">
        <v>430</v>
      </c>
      <c r="E91" s="55" t="s">
        <v>227</v>
      </c>
      <c r="F91" s="161" t="s">
        <v>407</v>
      </c>
      <c r="G91" s="55" t="s">
        <v>676</v>
      </c>
      <c r="H91" s="55" t="s">
        <v>677</v>
      </c>
      <c r="I91" s="125" t="s">
        <v>56</v>
      </c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</row>
    <row r="92">
      <c r="A92" s="137">
        <v>46287.0</v>
      </c>
      <c r="B92" s="123" t="s">
        <v>124</v>
      </c>
      <c r="C92" s="123" t="s">
        <v>278</v>
      </c>
      <c r="D92" s="55" t="s">
        <v>430</v>
      </c>
      <c r="E92" s="55" t="s">
        <v>227</v>
      </c>
      <c r="F92" s="161" t="s">
        <v>407</v>
      </c>
      <c r="G92" s="123" t="s">
        <v>678</v>
      </c>
      <c r="H92" s="123" t="s">
        <v>679</v>
      </c>
      <c r="I92" s="125" t="s">
        <v>56</v>
      </c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</row>
    <row r="93">
      <c r="A93" s="137">
        <v>46287.0</v>
      </c>
      <c r="B93" s="55" t="s">
        <v>124</v>
      </c>
      <c r="C93" s="55" t="s">
        <v>278</v>
      </c>
      <c r="D93" s="55" t="s">
        <v>430</v>
      </c>
      <c r="E93" s="55" t="s">
        <v>227</v>
      </c>
      <c r="F93" s="161" t="s">
        <v>407</v>
      </c>
      <c r="G93" s="55" t="s">
        <v>684</v>
      </c>
      <c r="H93" s="55" t="s">
        <v>685</v>
      </c>
      <c r="I93" s="125" t="s">
        <v>56</v>
      </c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</row>
    <row r="94">
      <c r="A94" s="137">
        <v>46287.0</v>
      </c>
      <c r="B94" s="123" t="s">
        <v>124</v>
      </c>
      <c r="C94" s="123" t="s">
        <v>278</v>
      </c>
      <c r="D94" s="55" t="s">
        <v>430</v>
      </c>
      <c r="E94" s="55" t="s">
        <v>227</v>
      </c>
      <c r="F94" s="161" t="s">
        <v>407</v>
      </c>
      <c r="G94" s="123" t="s">
        <v>689</v>
      </c>
      <c r="H94" s="123" t="s">
        <v>690</v>
      </c>
      <c r="I94" s="125" t="s">
        <v>56</v>
      </c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</row>
    <row r="95">
      <c r="A95" s="137">
        <v>46287.0</v>
      </c>
      <c r="B95" s="55" t="s">
        <v>124</v>
      </c>
      <c r="C95" s="55" t="s">
        <v>278</v>
      </c>
      <c r="D95" s="55" t="s">
        <v>430</v>
      </c>
      <c r="E95" s="55" t="s">
        <v>227</v>
      </c>
      <c r="F95" s="161" t="s">
        <v>407</v>
      </c>
      <c r="G95" s="55" t="s">
        <v>691</v>
      </c>
      <c r="H95" s="55" t="s">
        <v>646</v>
      </c>
      <c r="I95" s="125" t="s">
        <v>56</v>
      </c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</row>
    <row r="96">
      <c r="A96" s="137">
        <v>46287.0</v>
      </c>
      <c r="B96" s="123" t="s">
        <v>379</v>
      </c>
      <c r="C96" s="123" t="s">
        <v>692</v>
      </c>
      <c r="D96" s="161" t="s">
        <v>430</v>
      </c>
      <c r="E96" s="161" t="s">
        <v>227</v>
      </c>
      <c r="F96" s="161" t="s">
        <v>407</v>
      </c>
      <c r="G96" s="123" t="s">
        <v>693</v>
      </c>
      <c r="H96" s="123" t="s">
        <v>694</v>
      </c>
      <c r="I96" s="125" t="s">
        <v>56</v>
      </c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</row>
    <row r="97">
      <c r="A97" s="137">
        <v>46287.0</v>
      </c>
      <c r="B97" s="55" t="s">
        <v>379</v>
      </c>
      <c r="C97" s="55" t="s">
        <v>692</v>
      </c>
      <c r="D97" s="161" t="s">
        <v>430</v>
      </c>
      <c r="E97" s="161" t="s">
        <v>227</v>
      </c>
      <c r="F97" s="161" t="s">
        <v>407</v>
      </c>
      <c r="G97" s="55" t="s">
        <v>697</v>
      </c>
      <c r="H97" s="55" t="s">
        <v>698</v>
      </c>
      <c r="I97" s="125" t="s">
        <v>56</v>
      </c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</row>
    <row r="98">
      <c r="A98" s="137">
        <v>46287.0</v>
      </c>
      <c r="B98" s="123" t="s">
        <v>379</v>
      </c>
      <c r="C98" s="123" t="s">
        <v>692</v>
      </c>
      <c r="D98" s="161" t="s">
        <v>430</v>
      </c>
      <c r="E98" s="161" t="s">
        <v>227</v>
      </c>
      <c r="F98" s="161" t="s">
        <v>407</v>
      </c>
      <c r="G98" s="123" t="s">
        <v>701</v>
      </c>
      <c r="H98" s="123" t="s">
        <v>702</v>
      </c>
      <c r="I98" s="125" t="s">
        <v>56</v>
      </c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</row>
    <row r="99">
      <c r="A99" s="137">
        <v>46287.0</v>
      </c>
      <c r="B99" s="55" t="s">
        <v>379</v>
      </c>
      <c r="C99" s="55" t="s">
        <v>692</v>
      </c>
      <c r="D99" s="161" t="s">
        <v>430</v>
      </c>
      <c r="E99" s="161" t="s">
        <v>227</v>
      </c>
      <c r="F99" s="161" t="s">
        <v>407</v>
      </c>
      <c r="G99" s="55" t="s">
        <v>703</v>
      </c>
      <c r="H99" s="55" t="s">
        <v>704</v>
      </c>
      <c r="I99" s="125" t="s">
        <v>56</v>
      </c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</row>
    <row r="100">
      <c r="A100" s="137">
        <v>46287.0</v>
      </c>
      <c r="B100" s="123" t="s">
        <v>379</v>
      </c>
      <c r="C100" s="123" t="s">
        <v>692</v>
      </c>
      <c r="D100" s="161" t="s">
        <v>430</v>
      </c>
      <c r="E100" s="161" t="s">
        <v>227</v>
      </c>
      <c r="F100" s="161" t="s">
        <v>407</v>
      </c>
      <c r="G100" s="123" t="s">
        <v>705</v>
      </c>
      <c r="H100" s="123" t="s">
        <v>706</v>
      </c>
      <c r="I100" s="125" t="s">
        <v>56</v>
      </c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</row>
    <row r="101">
      <c r="A101" s="137">
        <v>46287.0</v>
      </c>
      <c r="B101" s="55" t="s">
        <v>379</v>
      </c>
      <c r="C101" s="55" t="s">
        <v>692</v>
      </c>
      <c r="D101" s="161" t="s">
        <v>430</v>
      </c>
      <c r="E101" s="161" t="s">
        <v>227</v>
      </c>
      <c r="F101" s="161" t="s">
        <v>407</v>
      </c>
      <c r="G101" s="55" t="s">
        <v>707</v>
      </c>
      <c r="H101" s="55" t="s">
        <v>710</v>
      </c>
      <c r="I101" s="125" t="s">
        <v>56</v>
      </c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</row>
    <row r="102">
      <c r="A102" s="137">
        <v>46287.0</v>
      </c>
      <c r="B102" s="123" t="s">
        <v>379</v>
      </c>
      <c r="C102" s="123" t="s">
        <v>692</v>
      </c>
      <c r="D102" s="161" t="s">
        <v>430</v>
      </c>
      <c r="E102" s="161" t="s">
        <v>227</v>
      </c>
      <c r="F102" s="161" t="s">
        <v>407</v>
      </c>
      <c r="G102" s="123" t="s">
        <v>711</v>
      </c>
      <c r="H102" s="123" t="s">
        <v>646</v>
      </c>
      <c r="I102" s="125" t="s">
        <v>56</v>
      </c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</row>
    <row r="103">
      <c r="A103" s="137">
        <v>46287.0</v>
      </c>
      <c r="B103" s="30" t="s">
        <v>62</v>
      </c>
      <c r="C103" s="30" t="s">
        <v>712</v>
      </c>
      <c r="D103" s="30" t="s">
        <v>430</v>
      </c>
      <c r="E103" s="160" t="s">
        <v>67</v>
      </c>
      <c r="F103" s="30" t="s">
        <v>407</v>
      </c>
      <c r="G103" s="30" t="s">
        <v>713</v>
      </c>
      <c r="H103" s="30" t="s">
        <v>714</v>
      </c>
      <c r="I103" s="125" t="s">
        <v>56</v>
      </c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</row>
    <row r="104">
      <c r="A104" s="137">
        <v>46287.0</v>
      </c>
      <c r="B104" s="186" t="s">
        <v>62</v>
      </c>
      <c r="C104" s="186" t="s">
        <v>712</v>
      </c>
      <c r="D104" s="186" t="s">
        <v>430</v>
      </c>
      <c r="E104" s="188" t="s">
        <v>67</v>
      </c>
      <c r="F104" s="186" t="s">
        <v>407</v>
      </c>
      <c r="G104" s="186" t="s">
        <v>715</v>
      </c>
      <c r="H104" s="186" t="s">
        <v>716</v>
      </c>
      <c r="I104" s="125" t="s">
        <v>56</v>
      </c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</row>
    <row r="105">
      <c r="A105" s="137">
        <v>46287.0</v>
      </c>
      <c r="B105" s="30" t="s">
        <v>124</v>
      </c>
      <c r="C105" s="30" t="s">
        <v>724</v>
      </c>
      <c r="D105" s="30" t="s">
        <v>430</v>
      </c>
      <c r="E105" s="160" t="s">
        <v>67</v>
      </c>
      <c r="F105" s="160" t="s">
        <v>407</v>
      </c>
      <c r="G105" s="30" t="s">
        <v>726</v>
      </c>
      <c r="H105" s="30" t="s">
        <v>716</v>
      </c>
      <c r="I105" s="125" t="s">
        <v>56</v>
      </c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</row>
    <row r="106">
      <c r="A106" s="137">
        <v>46287.0</v>
      </c>
      <c r="B106" s="186" t="s">
        <v>124</v>
      </c>
      <c r="C106" s="186" t="s">
        <v>724</v>
      </c>
      <c r="D106" s="186" t="s">
        <v>430</v>
      </c>
      <c r="E106" s="188" t="s">
        <v>67</v>
      </c>
      <c r="F106" s="186" t="s">
        <v>407</v>
      </c>
      <c r="G106" s="186" t="s">
        <v>727</v>
      </c>
      <c r="H106" s="30" t="s">
        <v>728</v>
      </c>
      <c r="I106" s="125" t="s">
        <v>56</v>
      </c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</row>
    <row r="107">
      <c r="A107" s="137">
        <v>46287.0</v>
      </c>
      <c r="B107" s="30" t="s">
        <v>124</v>
      </c>
      <c r="C107" s="30" t="s">
        <v>63</v>
      </c>
      <c r="D107" s="30" t="s">
        <v>430</v>
      </c>
      <c r="E107" s="160" t="s">
        <v>67</v>
      </c>
      <c r="F107" s="160" t="s">
        <v>407</v>
      </c>
      <c r="G107" s="30" t="s">
        <v>729</v>
      </c>
      <c r="H107" s="30" t="s">
        <v>716</v>
      </c>
      <c r="I107" s="125" t="s">
        <v>56</v>
      </c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</row>
    <row r="108">
      <c r="A108" s="137">
        <v>46287.0</v>
      </c>
      <c r="B108" s="186" t="s">
        <v>124</v>
      </c>
      <c r="C108" s="186" t="s">
        <v>63</v>
      </c>
      <c r="D108" s="186" t="s">
        <v>430</v>
      </c>
      <c r="E108" s="188" t="s">
        <v>67</v>
      </c>
      <c r="F108" s="186" t="s">
        <v>407</v>
      </c>
      <c r="G108" s="186" t="s">
        <v>730</v>
      </c>
      <c r="H108" s="186" t="s">
        <v>731</v>
      </c>
      <c r="I108" s="125" t="s">
        <v>56</v>
      </c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</row>
    <row r="109">
      <c r="A109" s="137">
        <v>46287.0</v>
      </c>
      <c r="B109" s="30" t="s">
        <v>124</v>
      </c>
      <c r="C109" s="30" t="s">
        <v>63</v>
      </c>
      <c r="D109" s="30" t="s">
        <v>430</v>
      </c>
      <c r="E109" s="160" t="s">
        <v>67</v>
      </c>
      <c r="F109" s="30" t="s">
        <v>407</v>
      </c>
      <c r="G109" s="30" t="s">
        <v>738</v>
      </c>
      <c r="H109" s="30" t="s">
        <v>739</v>
      </c>
      <c r="I109" s="125" t="s">
        <v>56</v>
      </c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</row>
    <row r="110">
      <c r="A110" s="137">
        <v>46287.0</v>
      </c>
      <c r="B110" s="186" t="s">
        <v>62</v>
      </c>
      <c r="C110" s="186" t="s">
        <v>449</v>
      </c>
      <c r="D110" s="186" t="s">
        <v>430</v>
      </c>
      <c r="E110" s="188" t="s">
        <v>67</v>
      </c>
      <c r="F110" s="186" t="s">
        <v>407</v>
      </c>
      <c r="G110" s="186" t="s">
        <v>740</v>
      </c>
      <c r="H110" s="186" t="s">
        <v>741</v>
      </c>
      <c r="I110" s="125" t="s">
        <v>56</v>
      </c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</row>
    <row r="111">
      <c r="A111" s="137">
        <v>46287.0</v>
      </c>
      <c r="B111" s="30" t="s">
        <v>62</v>
      </c>
      <c r="C111" s="30" t="s">
        <v>449</v>
      </c>
      <c r="D111" s="58" t="s">
        <v>430</v>
      </c>
      <c r="E111" s="30" t="s">
        <v>67</v>
      </c>
      <c r="F111" s="30" t="s">
        <v>407</v>
      </c>
      <c r="G111" s="58" t="s">
        <v>742</v>
      </c>
      <c r="H111" s="30" t="s">
        <v>716</v>
      </c>
      <c r="I111" s="125" t="s">
        <v>56</v>
      </c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</row>
    <row r="112">
      <c r="A112" s="137">
        <v>46287.0</v>
      </c>
      <c r="B112" s="186" t="s">
        <v>379</v>
      </c>
      <c r="C112" s="186" t="s">
        <v>743</v>
      </c>
      <c r="D112" s="58" t="s">
        <v>430</v>
      </c>
      <c r="E112" s="186" t="s">
        <v>67</v>
      </c>
      <c r="F112" s="186" t="s">
        <v>407</v>
      </c>
      <c r="G112" s="197" t="s">
        <v>744</v>
      </c>
      <c r="H112" s="197" t="s">
        <v>716</v>
      </c>
      <c r="I112" s="125" t="s">
        <v>56</v>
      </c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</row>
    <row r="113">
      <c r="A113" s="137">
        <v>46287.0</v>
      </c>
      <c r="B113" s="30" t="s">
        <v>360</v>
      </c>
      <c r="C113" s="30" t="s">
        <v>745</v>
      </c>
      <c r="D113" s="58" t="s">
        <v>430</v>
      </c>
      <c r="E113" s="30" t="s">
        <v>67</v>
      </c>
      <c r="F113" s="30" t="s">
        <v>407</v>
      </c>
      <c r="G113" s="58" t="s">
        <v>746</v>
      </c>
      <c r="H113" s="58" t="s">
        <v>716</v>
      </c>
      <c r="I113" s="125" t="s">
        <v>56</v>
      </c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</row>
    <row r="114">
      <c r="A114" s="137">
        <v>46287.0</v>
      </c>
      <c r="B114" s="123" t="s">
        <v>124</v>
      </c>
      <c r="C114" s="123" t="s">
        <v>750</v>
      </c>
      <c r="D114" s="123" t="s">
        <v>430</v>
      </c>
      <c r="E114" s="123" t="s">
        <v>127</v>
      </c>
      <c r="F114" s="186" t="s">
        <v>407</v>
      </c>
      <c r="G114" s="55" t="s">
        <v>751</v>
      </c>
      <c r="H114" s="123" t="s">
        <v>752</v>
      </c>
      <c r="I114" s="125" t="s">
        <v>56</v>
      </c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</row>
    <row r="115">
      <c r="A115" s="137">
        <v>46287.0</v>
      </c>
      <c r="B115" s="55" t="s">
        <v>62</v>
      </c>
      <c r="C115" s="55" t="s">
        <v>753</v>
      </c>
      <c r="D115" s="55" t="s">
        <v>430</v>
      </c>
      <c r="E115" s="55" t="s">
        <v>127</v>
      </c>
      <c r="F115" s="30" t="s">
        <v>407</v>
      </c>
      <c r="G115" s="55" t="s">
        <v>754</v>
      </c>
      <c r="H115" s="55" t="s">
        <v>755</v>
      </c>
      <c r="I115" s="125" t="s">
        <v>56</v>
      </c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</row>
    <row r="116">
      <c r="A116" s="137">
        <v>46287.0</v>
      </c>
      <c r="B116" s="123" t="s">
        <v>62</v>
      </c>
      <c r="C116" s="123" t="s">
        <v>312</v>
      </c>
      <c r="D116" s="123" t="s">
        <v>756</v>
      </c>
      <c r="E116" s="123" t="s">
        <v>127</v>
      </c>
      <c r="F116" s="186" t="s">
        <v>407</v>
      </c>
      <c r="G116" s="123" t="s">
        <v>757</v>
      </c>
      <c r="H116" s="55" t="s">
        <v>758</v>
      </c>
      <c r="I116" s="125" t="s">
        <v>56</v>
      </c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</row>
    <row r="117">
      <c r="A117" s="137">
        <v>46287.0</v>
      </c>
      <c r="B117" s="55" t="s">
        <v>62</v>
      </c>
      <c r="C117" s="55" t="s">
        <v>312</v>
      </c>
      <c r="D117" s="55" t="s">
        <v>756</v>
      </c>
      <c r="E117" s="55" t="s">
        <v>127</v>
      </c>
      <c r="F117" s="30" t="s">
        <v>407</v>
      </c>
      <c r="G117" s="55" t="s">
        <v>759</v>
      </c>
      <c r="H117" s="55" t="s">
        <v>760</v>
      </c>
      <c r="I117" s="125" t="s">
        <v>56</v>
      </c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</row>
    <row r="118">
      <c r="A118" s="137">
        <v>46287.0</v>
      </c>
      <c r="B118" s="123" t="s">
        <v>62</v>
      </c>
      <c r="C118" s="123" t="s">
        <v>312</v>
      </c>
      <c r="D118" s="123" t="s">
        <v>756</v>
      </c>
      <c r="E118" s="123" t="s">
        <v>127</v>
      </c>
      <c r="F118" s="186" t="s">
        <v>407</v>
      </c>
      <c r="G118" s="123" t="s">
        <v>761</v>
      </c>
      <c r="H118" s="55" t="s">
        <v>762</v>
      </c>
      <c r="I118" s="125" t="s">
        <v>56</v>
      </c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</row>
    <row r="119">
      <c r="A119" s="137">
        <v>46287.0</v>
      </c>
      <c r="B119" s="55" t="s">
        <v>62</v>
      </c>
      <c r="C119" s="55" t="s">
        <v>312</v>
      </c>
      <c r="D119" s="55" t="s">
        <v>756</v>
      </c>
      <c r="E119" s="55" t="s">
        <v>127</v>
      </c>
      <c r="F119" s="30" t="s">
        <v>407</v>
      </c>
      <c r="G119" s="55" t="s">
        <v>763</v>
      </c>
      <c r="H119" s="55" t="s">
        <v>764</v>
      </c>
      <c r="I119" s="125" t="s">
        <v>56</v>
      </c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</row>
    <row r="120">
      <c r="A120" s="137">
        <v>46287.0</v>
      </c>
      <c r="B120" s="123" t="s">
        <v>62</v>
      </c>
      <c r="C120" s="123" t="s">
        <v>312</v>
      </c>
      <c r="D120" s="123" t="s">
        <v>756</v>
      </c>
      <c r="E120" s="123" t="s">
        <v>127</v>
      </c>
      <c r="F120" s="186" t="s">
        <v>407</v>
      </c>
      <c r="G120" s="123" t="s">
        <v>765</v>
      </c>
      <c r="H120" s="55" t="s">
        <v>766</v>
      </c>
      <c r="I120" s="125" t="s">
        <v>56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</row>
    <row r="121">
      <c r="A121" s="137">
        <v>46287.0</v>
      </c>
      <c r="B121" s="55" t="s">
        <v>62</v>
      </c>
      <c r="C121" s="55" t="s">
        <v>312</v>
      </c>
      <c r="D121" s="55" t="s">
        <v>756</v>
      </c>
      <c r="E121" s="55" t="s">
        <v>127</v>
      </c>
      <c r="F121" s="30" t="s">
        <v>407</v>
      </c>
      <c r="G121" s="55" t="s">
        <v>767</v>
      </c>
      <c r="H121" s="55" t="s">
        <v>768</v>
      </c>
      <c r="I121" s="125" t="s">
        <v>56</v>
      </c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</row>
    <row r="122">
      <c r="A122" s="137">
        <v>46287.0</v>
      </c>
      <c r="B122" s="123" t="s">
        <v>379</v>
      </c>
      <c r="C122" s="123" t="s">
        <v>769</v>
      </c>
      <c r="D122" s="123" t="s">
        <v>430</v>
      </c>
      <c r="E122" s="123" t="s">
        <v>127</v>
      </c>
      <c r="F122" s="186" t="s">
        <v>407</v>
      </c>
      <c r="G122" s="123" t="s">
        <v>770</v>
      </c>
      <c r="H122" s="55" t="s">
        <v>755</v>
      </c>
      <c r="I122" s="125" t="s">
        <v>56</v>
      </c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</row>
    <row r="123">
      <c r="A123" s="137">
        <v>46287.0</v>
      </c>
      <c r="B123" s="55" t="s">
        <v>62</v>
      </c>
      <c r="C123" s="55" t="s">
        <v>303</v>
      </c>
      <c r="D123" s="55" t="s">
        <v>756</v>
      </c>
      <c r="E123" s="55" t="s">
        <v>127</v>
      </c>
      <c r="F123" s="30" t="s">
        <v>407</v>
      </c>
      <c r="G123" s="55" t="s">
        <v>771</v>
      </c>
      <c r="H123" s="55" t="s">
        <v>772</v>
      </c>
      <c r="I123" s="125" t="s">
        <v>56</v>
      </c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</row>
    <row r="124">
      <c r="A124" s="137">
        <v>46287.0</v>
      </c>
      <c r="B124" s="123" t="s">
        <v>62</v>
      </c>
      <c r="C124" s="123" t="s">
        <v>303</v>
      </c>
      <c r="D124" s="123" t="s">
        <v>430</v>
      </c>
      <c r="E124" s="123" t="s">
        <v>127</v>
      </c>
      <c r="F124" s="186" t="s">
        <v>407</v>
      </c>
      <c r="G124" s="123" t="s">
        <v>773</v>
      </c>
      <c r="H124" s="123" t="s">
        <v>755</v>
      </c>
      <c r="I124" s="125" t="s">
        <v>56</v>
      </c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</row>
    <row r="125">
      <c r="A125" s="137">
        <v>46287.0</v>
      </c>
      <c r="B125" s="55" t="s">
        <v>62</v>
      </c>
      <c r="C125" s="55" t="s">
        <v>303</v>
      </c>
      <c r="D125" s="55" t="s">
        <v>430</v>
      </c>
      <c r="E125" s="55" t="s">
        <v>127</v>
      </c>
      <c r="F125" s="30" t="s">
        <v>407</v>
      </c>
      <c r="G125" s="55" t="s">
        <v>774</v>
      </c>
      <c r="H125" s="55" t="s">
        <v>775</v>
      </c>
      <c r="I125" s="125" t="s">
        <v>56</v>
      </c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</row>
    <row r="126">
      <c r="A126" s="137">
        <v>46287.0</v>
      </c>
      <c r="B126" s="123" t="s">
        <v>62</v>
      </c>
      <c r="C126" s="123" t="s">
        <v>303</v>
      </c>
      <c r="D126" s="123" t="s">
        <v>430</v>
      </c>
      <c r="E126" s="123" t="s">
        <v>127</v>
      </c>
      <c r="F126" s="186" t="s">
        <v>407</v>
      </c>
      <c r="G126" s="123" t="s">
        <v>776</v>
      </c>
      <c r="H126" s="55" t="s">
        <v>777</v>
      </c>
      <c r="I126" s="125" t="s">
        <v>56</v>
      </c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</row>
    <row r="127">
      <c r="A127" s="137">
        <v>46287.0</v>
      </c>
      <c r="B127" s="55" t="s">
        <v>62</v>
      </c>
      <c r="C127" s="55" t="s">
        <v>303</v>
      </c>
      <c r="D127" s="55" t="s">
        <v>430</v>
      </c>
      <c r="E127" s="55" t="s">
        <v>127</v>
      </c>
      <c r="F127" s="30" t="s">
        <v>407</v>
      </c>
      <c r="G127" s="55" t="s">
        <v>778</v>
      </c>
      <c r="H127" s="55" t="s">
        <v>779</v>
      </c>
      <c r="I127" s="125" t="s">
        <v>56</v>
      </c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</row>
    <row r="128">
      <c r="A128" s="137">
        <v>46287.0</v>
      </c>
      <c r="B128" s="123" t="s">
        <v>124</v>
      </c>
      <c r="C128" s="123" t="s">
        <v>780</v>
      </c>
      <c r="D128" s="123" t="s">
        <v>430</v>
      </c>
      <c r="E128" s="123" t="s">
        <v>127</v>
      </c>
      <c r="F128" s="186" t="s">
        <v>407</v>
      </c>
      <c r="G128" s="55" t="s">
        <v>781</v>
      </c>
      <c r="H128" s="123" t="s">
        <v>752</v>
      </c>
      <c r="I128" s="125" t="s">
        <v>56</v>
      </c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</row>
    <row r="129">
      <c r="A129" s="137">
        <v>46287.0</v>
      </c>
      <c r="B129" s="55" t="s">
        <v>62</v>
      </c>
      <c r="C129" s="55" t="s">
        <v>168</v>
      </c>
      <c r="D129" s="55" t="s">
        <v>430</v>
      </c>
      <c r="E129" s="55" t="s">
        <v>127</v>
      </c>
      <c r="F129" s="30" t="s">
        <v>407</v>
      </c>
      <c r="G129" s="55" t="s">
        <v>782</v>
      </c>
      <c r="H129" s="55" t="s">
        <v>755</v>
      </c>
      <c r="I129" s="125" t="s">
        <v>56</v>
      </c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</row>
    <row r="130">
      <c r="A130" s="137">
        <v>46287.0</v>
      </c>
      <c r="B130" s="123" t="s">
        <v>62</v>
      </c>
      <c r="C130" s="123" t="s">
        <v>168</v>
      </c>
      <c r="D130" s="123" t="s">
        <v>430</v>
      </c>
      <c r="E130" s="123" t="s">
        <v>127</v>
      </c>
      <c r="F130" s="186" t="s">
        <v>407</v>
      </c>
      <c r="G130" s="123" t="s">
        <v>783</v>
      </c>
      <c r="H130" s="55" t="s">
        <v>784</v>
      </c>
      <c r="I130" s="125" t="s">
        <v>56</v>
      </c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</row>
    <row r="131">
      <c r="A131" s="137">
        <v>46287.0</v>
      </c>
      <c r="B131" s="55" t="s">
        <v>62</v>
      </c>
      <c r="C131" s="55" t="s">
        <v>168</v>
      </c>
      <c r="D131" s="55" t="s">
        <v>430</v>
      </c>
      <c r="E131" s="55" t="s">
        <v>127</v>
      </c>
      <c r="F131" s="30" t="s">
        <v>407</v>
      </c>
      <c r="G131" s="55" t="s">
        <v>785</v>
      </c>
      <c r="H131" s="55" t="s">
        <v>786</v>
      </c>
      <c r="I131" s="125" t="s">
        <v>56</v>
      </c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</row>
    <row r="132">
      <c r="A132" s="137">
        <v>46287.0</v>
      </c>
      <c r="B132" s="123" t="s">
        <v>62</v>
      </c>
      <c r="C132" s="123" t="s">
        <v>168</v>
      </c>
      <c r="D132" s="123" t="s">
        <v>430</v>
      </c>
      <c r="E132" s="123" t="s">
        <v>127</v>
      </c>
      <c r="F132" s="186" t="s">
        <v>407</v>
      </c>
      <c r="G132" s="123" t="s">
        <v>787</v>
      </c>
      <c r="H132" s="55" t="s">
        <v>788</v>
      </c>
      <c r="I132" s="125" t="s">
        <v>56</v>
      </c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</row>
    <row r="133">
      <c r="A133" s="137">
        <v>46287.0</v>
      </c>
      <c r="B133" s="55" t="s">
        <v>62</v>
      </c>
      <c r="C133" s="55" t="s">
        <v>168</v>
      </c>
      <c r="D133" s="55" t="s">
        <v>430</v>
      </c>
      <c r="E133" s="55" t="s">
        <v>127</v>
      </c>
      <c r="F133" s="30" t="s">
        <v>407</v>
      </c>
      <c r="G133" s="55" t="s">
        <v>789</v>
      </c>
      <c r="H133" s="55" t="s">
        <v>790</v>
      </c>
      <c r="I133" s="125" t="s">
        <v>56</v>
      </c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</row>
    <row r="134">
      <c r="A134" s="137">
        <v>46287.0</v>
      </c>
      <c r="B134" s="123" t="s">
        <v>360</v>
      </c>
      <c r="C134" s="123" t="s">
        <v>363</v>
      </c>
      <c r="D134" s="123" t="s">
        <v>637</v>
      </c>
      <c r="E134" s="123" t="s">
        <v>230</v>
      </c>
      <c r="F134" s="123" t="s">
        <v>407</v>
      </c>
      <c r="G134" s="123" t="s">
        <v>791</v>
      </c>
      <c r="H134" s="123" t="s">
        <v>792</v>
      </c>
      <c r="I134" s="125" t="s">
        <v>56</v>
      </c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</row>
    <row r="135">
      <c r="A135" s="137">
        <v>46287.0</v>
      </c>
      <c r="B135" s="55" t="s">
        <v>360</v>
      </c>
      <c r="C135" s="55" t="s">
        <v>363</v>
      </c>
      <c r="D135" s="55" t="s">
        <v>637</v>
      </c>
      <c r="E135" s="55" t="s">
        <v>230</v>
      </c>
      <c r="F135" s="55" t="s">
        <v>407</v>
      </c>
      <c r="G135" s="55" t="s">
        <v>793</v>
      </c>
      <c r="H135" s="55" t="s">
        <v>794</v>
      </c>
      <c r="I135" s="125" t="s">
        <v>56</v>
      </c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</row>
    <row r="136">
      <c r="A136" s="137">
        <v>46287.0</v>
      </c>
      <c r="B136" s="123" t="s">
        <v>360</v>
      </c>
      <c r="C136" s="123" t="s">
        <v>363</v>
      </c>
      <c r="D136" s="123" t="s">
        <v>637</v>
      </c>
      <c r="E136" s="123" t="s">
        <v>230</v>
      </c>
      <c r="F136" s="123" t="s">
        <v>407</v>
      </c>
      <c r="G136" s="123" t="s">
        <v>795</v>
      </c>
      <c r="H136" s="123" t="s">
        <v>796</v>
      </c>
      <c r="I136" s="125" t="s">
        <v>56</v>
      </c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</row>
    <row r="137">
      <c r="A137" s="137">
        <v>46287.0</v>
      </c>
      <c r="B137" s="55" t="s">
        <v>360</v>
      </c>
      <c r="C137" s="55" t="s">
        <v>228</v>
      </c>
      <c r="D137" s="55" t="s">
        <v>637</v>
      </c>
      <c r="E137" s="55" t="s">
        <v>230</v>
      </c>
      <c r="F137" s="55" t="s">
        <v>407</v>
      </c>
      <c r="G137" s="55" t="s">
        <v>797</v>
      </c>
      <c r="H137" s="55" t="s">
        <v>798</v>
      </c>
      <c r="I137" s="125" t="s">
        <v>56</v>
      </c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</row>
    <row r="138">
      <c r="A138" s="137">
        <v>46287.0</v>
      </c>
      <c r="B138" s="123" t="s">
        <v>360</v>
      </c>
      <c r="C138" s="123" t="s">
        <v>228</v>
      </c>
      <c r="D138" s="123" t="s">
        <v>637</v>
      </c>
      <c r="E138" s="123" t="s">
        <v>230</v>
      </c>
      <c r="F138" s="123" t="s">
        <v>407</v>
      </c>
      <c r="G138" s="123" t="s">
        <v>799</v>
      </c>
      <c r="H138" s="123" t="s">
        <v>800</v>
      </c>
      <c r="I138" s="125" t="s">
        <v>56</v>
      </c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</row>
    <row r="139">
      <c r="A139" s="137">
        <v>46287.0</v>
      </c>
      <c r="B139" s="55" t="s">
        <v>360</v>
      </c>
      <c r="C139" s="55" t="s">
        <v>228</v>
      </c>
      <c r="D139" s="55" t="s">
        <v>637</v>
      </c>
      <c r="E139" s="55" t="s">
        <v>230</v>
      </c>
      <c r="F139" s="55" t="s">
        <v>407</v>
      </c>
      <c r="G139" s="55" t="s">
        <v>801</v>
      </c>
      <c r="H139" s="55" t="s">
        <v>802</v>
      </c>
      <c r="I139" s="125" t="s">
        <v>56</v>
      </c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</row>
    <row r="140">
      <c r="A140" s="137">
        <v>46287.0</v>
      </c>
      <c r="B140" s="123" t="s">
        <v>360</v>
      </c>
      <c r="C140" s="123" t="s">
        <v>246</v>
      </c>
      <c r="D140" s="123" t="s">
        <v>803</v>
      </c>
      <c r="E140" s="123" t="s">
        <v>230</v>
      </c>
      <c r="F140" s="123" t="s">
        <v>407</v>
      </c>
      <c r="G140" s="123" t="s">
        <v>804</v>
      </c>
      <c r="H140" s="123" t="s">
        <v>805</v>
      </c>
      <c r="I140" s="125" t="s">
        <v>56</v>
      </c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</row>
    <row r="141">
      <c r="A141" s="137">
        <v>46287.0</v>
      </c>
      <c r="B141" s="55" t="s">
        <v>360</v>
      </c>
      <c r="C141" s="55" t="s">
        <v>363</v>
      </c>
      <c r="D141" s="55" t="s">
        <v>637</v>
      </c>
      <c r="E141" s="55" t="s">
        <v>230</v>
      </c>
      <c r="F141" s="55" t="s">
        <v>407</v>
      </c>
      <c r="G141" s="55" t="s">
        <v>806</v>
      </c>
      <c r="H141" s="55" t="s">
        <v>807</v>
      </c>
      <c r="I141" s="125" t="s">
        <v>56</v>
      </c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</row>
    <row r="142">
      <c r="A142" s="137">
        <v>46287.0</v>
      </c>
      <c r="B142" s="123" t="s">
        <v>360</v>
      </c>
      <c r="C142" s="123" t="s">
        <v>681</v>
      </c>
      <c r="D142" s="123" t="s">
        <v>637</v>
      </c>
      <c r="E142" s="123" t="s">
        <v>230</v>
      </c>
      <c r="F142" s="123" t="s">
        <v>407</v>
      </c>
      <c r="G142" s="123" t="s">
        <v>808</v>
      </c>
      <c r="H142" s="123" t="s">
        <v>809</v>
      </c>
      <c r="I142" s="125" t="s">
        <v>56</v>
      </c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</row>
    <row r="143">
      <c r="A143" s="137">
        <v>46287.0</v>
      </c>
      <c r="B143" s="55" t="s">
        <v>360</v>
      </c>
      <c r="C143" s="55" t="s">
        <v>681</v>
      </c>
      <c r="D143" s="55" t="s">
        <v>637</v>
      </c>
      <c r="E143" s="55" t="s">
        <v>230</v>
      </c>
      <c r="F143" s="55" t="s">
        <v>407</v>
      </c>
      <c r="G143" s="55" t="s">
        <v>810</v>
      </c>
      <c r="H143" s="55" t="s">
        <v>811</v>
      </c>
      <c r="I143" s="125" t="s">
        <v>56</v>
      </c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</row>
    <row r="144">
      <c r="A144" s="137">
        <v>46287.0</v>
      </c>
      <c r="B144" s="123" t="s">
        <v>360</v>
      </c>
      <c r="C144" s="123" t="s">
        <v>681</v>
      </c>
      <c r="D144" s="123" t="s">
        <v>637</v>
      </c>
      <c r="E144" s="123" t="s">
        <v>230</v>
      </c>
      <c r="F144" s="123" t="s">
        <v>407</v>
      </c>
      <c r="G144" s="123" t="s">
        <v>812</v>
      </c>
      <c r="H144" s="123" t="s">
        <v>813</v>
      </c>
      <c r="I144" s="125" t="s">
        <v>56</v>
      </c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</row>
    <row r="145">
      <c r="A145" s="137">
        <v>46287.0</v>
      </c>
      <c r="B145" s="55" t="s">
        <v>360</v>
      </c>
      <c r="C145" s="55" t="s">
        <v>228</v>
      </c>
      <c r="D145" s="55" t="s">
        <v>430</v>
      </c>
      <c r="E145" s="55" t="s">
        <v>230</v>
      </c>
      <c r="F145" s="55" t="s">
        <v>407</v>
      </c>
      <c r="G145" s="55" t="s">
        <v>814</v>
      </c>
      <c r="H145" s="55" t="s">
        <v>815</v>
      </c>
      <c r="I145" s="125" t="s">
        <v>56</v>
      </c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</row>
    <row r="146">
      <c r="A146" s="137">
        <v>46287.0</v>
      </c>
      <c r="B146" s="123" t="s">
        <v>360</v>
      </c>
      <c r="C146" s="123" t="s">
        <v>228</v>
      </c>
      <c r="D146" s="123" t="s">
        <v>430</v>
      </c>
      <c r="E146" s="123" t="s">
        <v>230</v>
      </c>
      <c r="F146" s="123" t="s">
        <v>407</v>
      </c>
      <c r="G146" s="123" t="s">
        <v>816</v>
      </c>
      <c r="H146" s="123" t="s">
        <v>817</v>
      </c>
      <c r="I146" s="125" t="s">
        <v>56</v>
      </c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</row>
    <row r="147">
      <c r="A147" s="137">
        <v>46287.0</v>
      </c>
      <c r="B147" s="55" t="s">
        <v>360</v>
      </c>
      <c r="C147" s="55" t="s">
        <v>228</v>
      </c>
      <c r="D147" s="55" t="s">
        <v>430</v>
      </c>
      <c r="E147" s="55" t="s">
        <v>230</v>
      </c>
      <c r="F147" s="55" t="s">
        <v>407</v>
      </c>
      <c r="G147" s="55" t="s">
        <v>818</v>
      </c>
      <c r="H147" s="55" t="s">
        <v>819</v>
      </c>
      <c r="I147" s="125" t="s">
        <v>56</v>
      </c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</row>
    <row r="148">
      <c r="A148" s="137">
        <v>46287.0</v>
      </c>
      <c r="B148" s="123" t="s">
        <v>360</v>
      </c>
      <c r="C148" s="123" t="s">
        <v>228</v>
      </c>
      <c r="D148" s="123" t="s">
        <v>430</v>
      </c>
      <c r="E148" s="123" t="s">
        <v>230</v>
      </c>
      <c r="F148" s="123" t="s">
        <v>407</v>
      </c>
      <c r="G148" s="123" t="s">
        <v>820</v>
      </c>
      <c r="H148" s="123" t="s">
        <v>821</v>
      </c>
      <c r="I148" s="125" t="s">
        <v>56</v>
      </c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</row>
    <row r="149">
      <c r="A149" s="137">
        <v>46287.0</v>
      </c>
      <c r="B149" s="55" t="s">
        <v>360</v>
      </c>
      <c r="C149" s="55" t="s">
        <v>228</v>
      </c>
      <c r="D149" s="55" t="s">
        <v>430</v>
      </c>
      <c r="E149" s="55" t="s">
        <v>230</v>
      </c>
      <c r="F149" s="55" t="s">
        <v>407</v>
      </c>
      <c r="G149" s="55" t="s">
        <v>822</v>
      </c>
      <c r="H149" s="55" t="s">
        <v>823</v>
      </c>
      <c r="I149" s="125" t="s">
        <v>56</v>
      </c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</row>
    <row r="150">
      <c r="A150" s="137">
        <v>46287.0</v>
      </c>
      <c r="B150" s="123" t="s">
        <v>360</v>
      </c>
      <c r="C150" s="123" t="s">
        <v>228</v>
      </c>
      <c r="D150" s="123" t="s">
        <v>430</v>
      </c>
      <c r="E150" s="123" t="s">
        <v>230</v>
      </c>
      <c r="F150" s="123" t="s">
        <v>407</v>
      </c>
      <c r="G150" s="123" t="s">
        <v>824</v>
      </c>
      <c r="H150" s="123" t="s">
        <v>825</v>
      </c>
      <c r="I150" s="125" t="s">
        <v>56</v>
      </c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</row>
    <row r="151">
      <c r="A151" s="137">
        <v>46287.0</v>
      </c>
      <c r="B151" s="55" t="s">
        <v>360</v>
      </c>
      <c r="C151" s="55" t="s">
        <v>228</v>
      </c>
      <c r="D151" s="55" t="s">
        <v>430</v>
      </c>
      <c r="E151" s="55" t="s">
        <v>230</v>
      </c>
      <c r="F151" s="55" t="s">
        <v>407</v>
      </c>
      <c r="G151" s="55" t="s">
        <v>826</v>
      </c>
      <c r="H151" s="55" t="s">
        <v>827</v>
      </c>
      <c r="I151" s="125" t="s">
        <v>56</v>
      </c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</row>
    <row r="152">
      <c r="A152" s="137">
        <v>46287.0</v>
      </c>
      <c r="B152" s="123" t="s">
        <v>360</v>
      </c>
      <c r="C152" s="123" t="s">
        <v>363</v>
      </c>
      <c r="D152" s="123" t="s">
        <v>430</v>
      </c>
      <c r="E152" s="123" t="s">
        <v>230</v>
      </c>
      <c r="F152" s="123" t="s">
        <v>407</v>
      </c>
      <c r="G152" s="123" t="s">
        <v>828</v>
      </c>
      <c r="H152" s="123" t="s">
        <v>829</v>
      </c>
      <c r="I152" s="125" t="s">
        <v>56</v>
      </c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</row>
    <row r="153">
      <c r="A153" s="137">
        <v>46287.0</v>
      </c>
      <c r="B153" s="55" t="s">
        <v>360</v>
      </c>
      <c r="C153" s="55" t="s">
        <v>363</v>
      </c>
      <c r="D153" s="55" t="s">
        <v>430</v>
      </c>
      <c r="E153" s="55" t="s">
        <v>230</v>
      </c>
      <c r="F153" s="55" t="s">
        <v>407</v>
      </c>
      <c r="G153" s="55" t="s">
        <v>830</v>
      </c>
      <c r="H153" s="55" t="s">
        <v>831</v>
      </c>
      <c r="I153" s="125" t="s">
        <v>56</v>
      </c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</row>
    <row r="154">
      <c r="A154" s="137">
        <v>46287.0</v>
      </c>
      <c r="B154" s="123" t="s">
        <v>360</v>
      </c>
      <c r="C154" s="123" t="s">
        <v>363</v>
      </c>
      <c r="D154" s="123" t="s">
        <v>430</v>
      </c>
      <c r="E154" s="123" t="s">
        <v>230</v>
      </c>
      <c r="F154" s="123" t="s">
        <v>407</v>
      </c>
      <c r="G154" s="123" t="s">
        <v>832</v>
      </c>
      <c r="H154" s="123" t="s">
        <v>833</v>
      </c>
      <c r="I154" s="125" t="s">
        <v>56</v>
      </c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</row>
    <row r="155">
      <c r="A155" s="137">
        <v>46287.0</v>
      </c>
      <c r="B155" s="55" t="s">
        <v>360</v>
      </c>
      <c r="C155" s="55" t="s">
        <v>363</v>
      </c>
      <c r="D155" s="55" t="s">
        <v>430</v>
      </c>
      <c r="E155" s="55" t="s">
        <v>230</v>
      </c>
      <c r="F155" s="55" t="s">
        <v>407</v>
      </c>
      <c r="G155" s="55" t="s">
        <v>834</v>
      </c>
      <c r="H155" s="55" t="s">
        <v>835</v>
      </c>
      <c r="I155" s="125" t="s">
        <v>56</v>
      </c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</row>
    <row r="156">
      <c r="A156" s="137">
        <v>46287.0</v>
      </c>
      <c r="B156" s="123" t="s">
        <v>360</v>
      </c>
      <c r="C156" s="123" t="s">
        <v>363</v>
      </c>
      <c r="D156" s="123" t="s">
        <v>430</v>
      </c>
      <c r="E156" s="123" t="s">
        <v>230</v>
      </c>
      <c r="F156" s="123" t="s">
        <v>407</v>
      </c>
      <c r="G156" s="123" t="s">
        <v>836</v>
      </c>
      <c r="H156" s="123" t="s">
        <v>837</v>
      </c>
      <c r="I156" s="125" t="s">
        <v>56</v>
      </c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</row>
    <row r="157">
      <c r="A157" s="137">
        <v>46287.0</v>
      </c>
      <c r="B157" s="55" t="s">
        <v>360</v>
      </c>
      <c r="C157" s="55" t="s">
        <v>363</v>
      </c>
      <c r="D157" s="55" t="s">
        <v>430</v>
      </c>
      <c r="E157" s="55" t="s">
        <v>230</v>
      </c>
      <c r="F157" s="55" t="s">
        <v>407</v>
      </c>
      <c r="G157" s="55" t="s">
        <v>838</v>
      </c>
      <c r="H157" s="55" t="s">
        <v>839</v>
      </c>
      <c r="I157" s="125" t="s">
        <v>56</v>
      </c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</row>
    <row r="158">
      <c r="A158" s="137">
        <v>46287.0</v>
      </c>
      <c r="B158" s="123" t="s">
        <v>360</v>
      </c>
      <c r="C158" s="123" t="s">
        <v>363</v>
      </c>
      <c r="D158" s="123" t="s">
        <v>430</v>
      </c>
      <c r="E158" s="123" t="s">
        <v>230</v>
      </c>
      <c r="F158" s="123" t="s">
        <v>407</v>
      </c>
      <c r="G158" s="123" t="s">
        <v>840</v>
      </c>
      <c r="H158" s="123" t="s">
        <v>825</v>
      </c>
      <c r="I158" s="125" t="s">
        <v>56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</row>
    <row r="159">
      <c r="A159" s="137">
        <v>46287.0</v>
      </c>
      <c r="B159" s="55" t="s">
        <v>360</v>
      </c>
      <c r="C159" s="55" t="s">
        <v>363</v>
      </c>
      <c r="D159" s="55" t="s">
        <v>430</v>
      </c>
      <c r="E159" s="55" t="s">
        <v>230</v>
      </c>
      <c r="F159" s="55" t="s">
        <v>407</v>
      </c>
      <c r="G159" s="55" t="s">
        <v>841</v>
      </c>
      <c r="H159" s="55" t="s">
        <v>842</v>
      </c>
      <c r="I159" s="125" t="s">
        <v>56</v>
      </c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</row>
    <row r="160">
      <c r="A160" s="137">
        <v>46287.0</v>
      </c>
      <c r="B160" s="186" t="s">
        <v>379</v>
      </c>
      <c r="C160" s="123" t="s">
        <v>843</v>
      </c>
      <c r="D160" s="65" t="s">
        <v>430</v>
      </c>
      <c r="E160" s="123" t="s">
        <v>723</v>
      </c>
      <c r="F160" s="123" t="s">
        <v>407</v>
      </c>
      <c r="G160" s="123" t="s">
        <v>844</v>
      </c>
      <c r="H160" s="61" t="s">
        <v>845</v>
      </c>
      <c r="I160" s="125" t="s">
        <v>56</v>
      </c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</row>
    <row r="161">
      <c r="A161" s="137">
        <v>46287.0</v>
      </c>
      <c r="B161" s="30" t="s">
        <v>379</v>
      </c>
      <c r="C161" s="55" t="s">
        <v>843</v>
      </c>
      <c r="D161" s="65" t="s">
        <v>430</v>
      </c>
      <c r="E161" s="55" t="s">
        <v>723</v>
      </c>
      <c r="F161" s="55" t="s">
        <v>407</v>
      </c>
      <c r="G161" s="55" t="s">
        <v>846</v>
      </c>
      <c r="H161" s="142" t="s">
        <v>589</v>
      </c>
      <c r="I161" s="125" t="s">
        <v>56</v>
      </c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</row>
    <row r="162">
      <c r="A162" s="137">
        <v>46287.0</v>
      </c>
      <c r="B162" s="186" t="s">
        <v>379</v>
      </c>
      <c r="C162" s="123" t="s">
        <v>843</v>
      </c>
      <c r="D162" s="65" t="s">
        <v>430</v>
      </c>
      <c r="E162" s="123" t="s">
        <v>723</v>
      </c>
      <c r="F162" s="123" t="s">
        <v>407</v>
      </c>
      <c r="G162" s="123" t="s">
        <v>847</v>
      </c>
      <c r="H162" s="61" t="s">
        <v>848</v>
      </c>
      <c r="I162" s="125" t="s">
        <v>56</v>
      </c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</row>
    <row r="163">
      <c r="A163" s="137">
        <v>46287.0</v>
      </c>
      <c r="B163" s="30" t="s">
        <v>379</v>
      </c>
      <c r="C163" s="55" t="s">
        <v>849</v>
      </c>
      <c r="D163" s="65" t="s">
        <v>430</v>
      </c>
      <c r="E163" s="55" t="s">
        <v>723</v>
      </c>
      <c r="F163" s="55" t="s">
        <v>407</v>
      </c>
      <c r="G163" s="55" t="s">
        <v>850</v>
      </c>
      <c r="H163" s="142" t="s">
        <v>589</v>
      </c>
      <c r="I163" s="125" t="s">
        <v>56</v>
      </c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</row>
    <row r="164">
      <c r="A164" s="137">
        <v>46287.0</v>
      </c>
      <c r="B164" s="186" t="s">
        <v>379</v>
      </c>
      <c r="C164" s="123" t="s">
        <v>849</v>
      </c>
      <c r="D164" s="65" t="s">
        <v>430</v>
      </c>
      <c r="E164" s="123" t="s">
        <v>723</v>
      </c>
      <c r="F164" s="123" t="s">
        <v>407</v>
      </c>
      <c r="G164" s="123" t="s">
        <v>851</v>
      </c>
      <c r="H164" s="123" t="s">
        <v>852</v>
      </c>
      <c r="I164" s="125" t="s">
        <v>56</v>
      </c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</row>
    <row r="165">
      <c r="A165" s="137">
        <v>46287.0</v>
      </c>
      <c r="B165" s="55" t="s">
        <v>124</v>
      </c>
      <c r="C165" s="55" t="s">
        <v>718</v>
      </c>
      <c r="D165" s="65" t="s">
        <v>430</v>
      </c>
      <c r="E165" s="55" t="s">
        <v>723</v>
      </c>
      <c r="F165" s="55" t="s">
        <v>407</v>
      </c>
      <c r="G165" s="55" t="s">
        <v>853</v>
      </c>
      <c r="H165" s="65" t="s">
        <v>854</v>
      </c>
      <c r="I165" s="125" t="s">
        <v>56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</row>
    <row r="166">
      <c r="A166" s="137">
        <v>46287.0</v>
      </c>
      <c r="B166" s="55" t="s">
        <v>124</v>
      </c>
      <c r="C166" s="123" t="s">
        <v>718</v>
      </c>
      <c r="D166" s="65" t="s">
        <v>430</v>
      </c>
      <c r="E166" s="123" t="s">
        <v>723</v>
      </c>
      <c r="F166" s="123" t="s">
        <v>407</v>
      </c>
      <c r="G166" s="123" t="s">
        <v>855</v>
      </c>
      <c r="H166" s="123" t="s">
        <v>856</v>
      </c>
      <c r="I166" s="125" t="s">
        <v>56</v>
      </c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</row>
    <row r="167">
      <c r="A167" s="137">
        <v>46287.0</v>
      </c>
      <c r="B167" s="55" t="s">
        <v>124</v>
      </c>
      <c r="C167" s="55" t="s">
        <v>718</v>
      </c>
      <c r="D167" s="65" t="s">
        <v>430</v>
      </c>
      <c r="E167" s="55" t="s">
        <v>723</v>
      </c>
      <c r="F167" s="55" t="s">
        <v>407</v>
      </c>
      <c r="G167" s="55" t="s">
        <v>857</v>
      </c>
      <c r="H167" s="65" t="s">
        <v>858</v>
      </c>
      <c r="I167" s="125" t="s">
        <v>56</v>
      </c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</row>
    <row r="168">
      <c r="A168" s="137">
        <v>46287.0</v>
      </c>
      <c r="B168" s="55" t="s">
        <v>124</v>
      </c>
      <c r="C168" s="123" t="s">
        <v>718</v>
      </c>
      <c r="D168" s="65" t="s">
        <v>430</v>
      </c>
      <c r="E168" s="123" t="s">
        <v>723</v>
      </c>
      <c r="F168" s="123" t="s">
        <v>407</v>
      </c>
      <c r="G168" s="123" t="s">
        <v>859</v>
      </c>
      <c r="H168" s="142" t="s">
        <v>589</v>
      </c>
      <c r="I168" s="125" t="s">
        <v>56</v>
      </c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</row>
    <row r="169">
      <c r="A169" s="137">
        <v>46287.0</v>
      </c>
      <c r="B169" s="55" t="s">
        <v>62</v>
      </c>
      <c r="C169" s="55" t="s">
        <v>860</v>
      </c>
      <c r="D169" s="65" t="s">
        <v>430</v>
      </c>
      <c r="E169" s="55" t="s">
        <v>723</v>
      </c>
      <c r="F169" s="55" t="s">
        <v>407</v>
      </c>
      <c r="G169" s="65" t="s">
        <v>861</v>
      </c>
      <c r="H169" s="65" t="s">
        <v>862</v>
      </c>
      <c r="I169" s="125" t="s">
        <v>56</v>
      </c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</row>
    <row r="170">
      <c r="A170" s="137">
        <v>46287.0</v>
      </c>
      <c r="B170" s="55" t="s">
        <v>62</v>
      </c>
      <c r="C170" s="123" t="s">
        <v>860</v>
      </c>
      <c r="D170" s="65" t="s">
        <v>430</v>
      </c>
      <c r="E170" s="123" t="s">
        <v>723</v>
      </c>
      <c r="F170" s="123" t="s">
        <v>407</v>
      </c>
      <c r="G170" s="123" t="s">
        <v>863</v>
      </c>
      <c r="H170" s="123" t="s">
        <v>864</v>
      </c>
      <c r="I170" s="125" t="s">
        <v>56</v>
      </c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</row>
    <row r="171">
      <c r="A171" s="137">
        <v>46287.0</v>
      </c>
      <c r="B171" s="55" t="s">
        <v>62</v>
      </c>
      <c r="C171" s="55" t="s">
        <v>860</v>
      </c>
      <c r="D171" s="65" t="s">
        <v>430</v>
      </c>
      <c r="E171" s="55" t="s">
        <v>723</v>
      </c>
      <c r="F171" s="55" t="s">
        <v>407</v>
      </c>
      <c r="G171" s="55" t="s">
        <v>865</v>
      </c>
      <c r="H171" s="55" t="s">
        <v>866</v>
      </c>
      <c r="I171" s="125" t="s">
        <v>56</v>
      </c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</row>
    <row r="172">
      <c r="A172" s="137">
        <v>46287.0</v>
      </c>
      <c r="B172" s="55" t="s">
        <v>62</v>
      </c>
      <c r="C172" s="123" t="s">
        <v>860</v>
      </c>
      <c r="D172" s="65" t="s">
        <v>430</v>
      </c>
      <c r="E172" s="123" t="s">
        <v>723</v>
      </c>
      <c r="F172" s="123" t="s">
        <v>407</v>
      </c>
      <c r="G172" s="123" t="s">
        <v>867</v>
      </c>
      <c r="H172" s="61" t="s">
        <v>868</v>
      </c>
      <c r="I172" s="125" t="s">
        <v>56</v>
      </c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</row>
    <row r="173">
      <c r="A173" s="137">
        <v>46287.0</v>
      </c>
      <c r="B173" s="55" t="s">
        <v>62</v>
      </c>
      <c r="C173" s="55" t="s">
        <v>860</v>
      </c>
      <c r="D173" s="65" t="s">
        <v>430</v>
      </c>
      <c r="E173" s="55" t="s">
        <v>723</v>
      </c>
      <c r="F173" s="55" t="s">
        <v>407</v>
      </c>
      <c r="G173" s="55" t="s">
        <v>869</v>
      </c>
      <c r="H173" s="142" t="s">
        <v>589</v>
      </c>
      <c r="I173" s="125" t="s">
        <v>56</v>
      </c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</row>
    <row r="174">
      <c r="A174" s="137">
        <v>46287.0</v>
      </c>
      <c r="B174" s="55" t="s">
        <v>62</v>
      </c>
      <c r="C174" s="123" t="s">
        <v>870</v>
      </c>
      <c r="D174" s="65" t="s">
        <v>430</v>
      </c>
      <c r="E174" s="123" t="s">
        <v>723</v>
      </c>
      <c r="F174" s="123" t="s">
        <v>407</v>
      </c>
      <c r="G174" s="123" t="s">
        <v>871</v>
      </c>
      <c r="H174" s="61" t="s">
        <v>872</v>
      </c>
      <c r="I174" s="125" t="s">
        <v>56</v>
      </c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</row>
    <row r="175">
      <c r="A175" s="137">
        <v>46287.0</v>
      </c>
      <c r="B175" s="55" t="s">
        <v>62</v>
      </c>
      <c r="C175" s="55" t="s">
        <v>870</v>
      </c>
      <c r="D175" s="65" t="s">
        <v>430</v>
      </c>
      <c r="E175" s="55" t="s">
        <v>723</v>
      </c>
      <c r="F175" s="55" t="s">
        <v>407</v>
      </c>
      <c r="G175" s="55" t="s">
        <v>873</v>
      </c>
      <c r="H175" s="65" t="s">
        <v>874</v>
      </c>
      <c r="I175" s="125" t="s">
        <v>56</v>
      </c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</row>
    <row r="176">
      <c r="A176" s="137">
        <v>46287.0</v>
      </c>
      <c r="B176" s="55" t="s">
        <v>62</v>
      </c>
      <c r="C176" s="123" t="s">
        <v>870</v>
      </c>
      <c r="D176" s="65" t="s">
        <v>430</v>
      </c>
      <c r="E176" s="123" t="s">
        <v>723</v>
      </c>
      <c r="F176" s="123" t="s">
        <v>407</v>
      </c>
      <c r="G176" s="123" t="s">
        <v>875</v>
      </c>
      <c r="H176" s="142" t="s">
        <v>589</v>
      </c>
      <c r="I176" s="125" t="s">
        <v>56</v>
      </c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</row>
    <row r="177">
      <c r="A177" s="137">
        <v>46287.0</v>
      </c>
      <c r="B177" s="161" t="s">
        <v>360</v>
      </c>
      <c r="C177" s="161" t="s">
        <v>876</v>
      </c>
      <c r="D177" s="161" t="s">
        <v>637</v>
      </c>
      <c r="E177" s="161" t="s">
        <v>43</v>
      </c>
      <c r="F177" s="161" t="s">
        <v>407</v>
      </c>
      <c r="G177" s="161" t="s">
        <v>877</v>
      </c>
      <c r="H177" s="161" t="s">
        <v>878</v>
      </c>
      <c r="I177" s="125" t="s">
        <v>56</v>
      </c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</row>
    <row r="178">
      <c r="A178" s="137">
        <v>46287.0</v>
      </c>
      <c r="B178" s="123" t="s">
        <v>360</v>
      </c>
      <c r="C178" s="123" t="s">
        <v>879</v>
      </c>
      <c r="D178" s="123" t="s">
        <v>637</v>
      </c>
      <c r="E178" s="123" t="s">
        <v>43</v>
      </c>
      <c r="F178" s="123" t="s">
        <v>407</v>
      </c>
      <c r="G178" s="123" t="s">
        <v>880</v>
      </c>
      <c r="H178" s="123" t="s">
        <v>881</v>
      </c>
      <c r="I178" s="125" t="s">
        <v>56</v>
      </c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</row>
    <row r="179">
      <c r="A179" s="137">
        <v>46287.0</v>
      </c>
      <c r="B179" s="55" t="s">
        <v>360</v>
      </c>
      <c r="C179" s="55" t="s">
        <v>883</v>
      </c>
      <c r="D179" s="55" t="s">
        <v>637</v>
      </c>
      <c r="E179" s="55" t="s">
        <v>43</v>
      </c>
      <c r="F179" s="55" t="s">
        <v>407</v>
      </c>
      <c r="G179" s="55" t="s">
        <v>884</v>
      </c>
      <c r="H179" s="55" t="s">
        <v>885</v>
      </c>
      <c r="I179" s="125" t="s">
        <v>56</v>
      </c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</row>
    <row r="180">
      <c r="A180" s="137">
        <v>46287.0</v>
      </c>
      <c r="B180" s="123" t="s">
        <v>360</v>
      </c>
      <c r="C180" s="123" t="s">
        <v>883</v>
      </c>
      <c r="D180" s="123" t="s">
        <v>637</v>
      </c>
      <c r="E180" s="123" t="s">
        <v>43</v>
      </c>
      <c r="F180" s="123" t="s">
        <v>407</v>
      </c>
      <c r="G180" s="123" t="s">
        <v>886</v>
      </c>
      <c r="H180" s="123" t="s">
        <v>887</v>
      </c>
      <c r="I180" s="125" t="s">
        <v>56</v>
      </c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</row>
    <row r="181">
      <c r="A181" s="137">
        <v>46287.0</v>
      </c>
      <c r="B181" s="55" t="s">
        <v>360</v>
      </c>
      <c r="C181" s="55" t="s">
        <v>888</v>
      </c>
      <c r="D181" s="55" t="s">
        <v>637</v>
      </c>
      <c r="E181" s="55" t="s">
        <v>43</v>
      </c>
      <c r="F181" s="55" t="s">
        <v>407</v>
      </c>
      <c r="G181" s="55" t="s">
        <v>889</v>
      </c>
      <c r="H181" s="55" t="s">
        <v>890</v>
      </c>
      <c r="I181" s="125" t="s">
        <v>56</v>
      </c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</row>
    <row r="182">
      <c r="A182" s="137">
        <v>46287.0</v>
      </c>
      <c r="B182" s="123" t="s">
        <v>360</v>
      </c>
      <c r="C182" s="123" t="s">
        <v>103</v>
      </c>
      <c r="D182" s="123" t="s">
        <v>405</v>
      </c>
      <c r="E182" s="123" t="s">
        <v>43</v>
      </c>
      <c r="F182" s="123" t="s">
        <v>407</v>
      </c>
      <c r="G182" s="123" t="s">
        <v>891</v>
      </c>
      <c r="H182" s="123" t="s">
        <v>892</v>
      </c>
      <c r="I182" s="125" t="s">
        <v>56</v>
      </c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</row>
    <row r="183">
      <c r="A183" s="137">
        <v>46287.0</v>
      </c>
      <c r="B183" s="55" t="s">
        <v>360</v>
      </c>
      <c r="C183" s="55" t="s">
        <v>204</v>
      </c>
      <c r="D183" s="55" t="s">
        <v>405</v>
      </c>
      <c r="E183" s="55" t="s">
        <v>43</v>
      </c>
      <c r="F183" s="55" t="s">
        <v>407</v>
      </c>
      <c r="G183" s="55" t="s">
        <v>893</v>
      </c>
      <c r="H183" s="55" t="s">
        <v>894</v>
      </c>
      <c r="I183" s="125" t="s">
        <v>56</v>
      </c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</row>
    <row r="184">
      <c r="A184" s="137">
        <v>46287.0</v>
      </c>
      <c r="B184" s="123" t="s">
        <v>360</v>
      </c>
      <c r="C184" s="123" t="s">
        <v>895</v>
      </c>
      <c r="D184" s="123" t="s">
        <v>637</v>
      </c>
      <c r="E184" s="123" t="s">
        <v>43</v>
      </c>
      <c r="F184" s="123" t="s">
        <v>407</v>
      </c>
      <c r="G184" s="123" t="s">
        <v>896</v>
      </c>
      <c r="H184" s="123" t="s">
        <v>897</v>
      </c>
      <c r="I184" s="125" t="s">
        <v>56</v>
      </c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</row>
    <row r="185">
      <c r="A185" s="137">
        <v>46287.0</v>
      </c>
      <c r="B185" s="55" t="s">
        <v>360</v>
      </c>
      <c r="C185" s="55" t="s">
        <v>895</v>
      </c>
      <c r="D185" s="55" t="s">
        <v>637</v>
      </c>
      <c r="E185" s="55" t="s">
        <v>43</v>
      </c>
      <c r="F185" s="55" t="s">
        <v>407</v>
      </c>
      <c r="G185" s="55" t="s">
        <v>898</v>
      </c>
      <c r="H185" s="55" t="s">
        <v>899</v>
      </c>
      <c r="I185" s="125" t="s">
        <v>56</v>
      </c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</row>
    <row r="186">
      <c r="A186" s="137">
        <v>46287.0</v>
      </c>
      <c r="B186" s="123" t="s">
        <v>360</v>
      </c>
      <c r="C186" s="123" t="s">
        <v>181</v>
      </c>
      <c r="D186" s="123" t="s">
        <v>637</v>
      </c>
      <c r="E186" s="123" t="s">
        <v>43</v>
      </c>
      <c r="F186" s="123" t="s">
        <v>407</v>
      </c>
      <c r="G186" s="123" t="s">
        <v>900</v>
      </c>
      <c r="H186" s="123" t="s">
        <v>901</v>
      </c>
      <c r="I186" s="125" t="s">
        <v>56</v>
      </c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</row>
    <row r="187">
      <c r="A187" s="137">
        <v>46287.0</v>
      </c>
      <c r="B187" s="55" t="s">
        <v>62</v>
      </c>
      <c r="C187" s="55" t="s">
        <v>509</v>
      </c>
      <c r="D187" s="55" t="s">
        <v>405</v>
      </c>
      <c r="E187" s="55" t="s">
        <v>43</v>
      </c>
      <c r="F187" s="55" t="s">
        <v>407</v>
      </c>
      <c r="G187" s="55" t="s">
        <v>902</v>
      </c>
      <c r="H187" s="55" t="s">
        <v>903</v>
      </c>
      <c r="I187" s="125" t="s">
        <v>56</v>
      </c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</row>
    <row r="188">
      <c r="A188" s="137">
        <v>46287.0</v>
      </c>
      <c r="B188" s="123" t="s">
        <v>62</v>
      </c>
      <c r="C188" s="123" t="s">
        <v>303</v>
      </c>
      <c r="D188" s="123" t="s">
        <v>405</v>
      </c>
      <c r="E188" s="123" t="s">
        <v>43</v>
      </c>
      <c r="F188" s="123" t="s">
        <v>407</v>
      </c>
      <c r="G188" s="123" t="s">
        <v>904</v>
      </c>
      <c r="H188" s="123" t="s">
        <v>905</v>
      </c>
      <c r="I188" s="125" t="s">
        <v>56</v>
      </c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</row>
    <row r="189">
      <c r="A189" s="137">
        <v>46287.0</v>
      </c>
      <c r="B189" s="55" t="s">
        <v>360</v>
      </c>
      <c r="C189" s="55" t="s">
        <v>906</v>
      </c>
      <c r="D189" s="55" t="s">
        <v>405</v>
      </c>
      <c r="E189" s="55" t="s">
        <v>43</v>
      </c>
      <c r="F189" s="55" t="s">
        <v>407</v>
      </c>
      <c r="G189" s="55" t="s">
        <v>907</v>
      </c>
      <c r="H189" s="55" t="s">
        <v>908</v>
      </c>
      <c r="I189" s="125" t="s">
        <v>56</v>
      </c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</row>
    <row r="190">
      <c r="A190" s="137">
        <v>46287.0</v>
      </c>
      <c r="B190" s="123" t="s">
        <v>360</v>
      </c>
      <c r="C190" s="123" t="s">
        <v>910</v>
      </c>
      <c r="D190" s="123" t="s">
        <v>405</v>
      </c>
      <c r="E190" s="123" t="s">
        <v>43</v>
      </c>
      <c r="F190" s="123" t="s">
        <v>407</v>
      </c>
      <c r="G190" s="123" t="s">
        <v>911</v>
      </c>
      <c r="H190" s="123" t="s">
        <v>912</v>
      </c>
      <c r="I190" s="125" t="s">
        <v>56</v>
      </c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</row>
    <row r="191">
      <c r="A191" s="137">
        <v>46287.0</v>
      </c>
      <c r="B191" s="238" t="s">
        <v>62</v>
      </c>
      <c r="C191" s="238" t="s">
        <v>458</v>
      </c>
      <c r="D191" s="238" t="s">
        <v>405</v>
      </c>
      <c r="E191" s="238" t="s">
        <v>43</v>
      </c>
      <c r="F191" s="238" t="s">
        <v>407</v>
      </c>
      <c r="G191" s="238" t="s">
        <v>913</v>
      </c>
      <c r="H191" s="238" t="s">
        <v>914</v>
      </c>
      <c r="I191" s="125" t="s">
        <v>56</v>
      </c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</row>
    <row r="192">
      <c r="A192" s="137">
        <v>46287.0</v>
      </c>
      <c r="B192" s="162" t="s">
        <v>62</v>
      </c>
      <c r="C192" s="162" t="s">
        <v>915</v>
      </c>
      <c r="D192" s="162" t="s">
        <v>430</v>
      </c>
      <c r="E192" s="162" t="s">
        <v>43</v>
      </c>
      <c r="F192" s="162" t="s">
        <v>407</v>
      </c>
      <c r="G192" s="162" t="s">
        <v>916</v>
      </c>
      <c r="H192" s="162" t="s">
        <v>917</v>
      </c>
      <c r="I192" s="125" t="s">
        <v>56</v>
      </c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</row>
    <row r="193">
      <c r="A193" s="137">
        <v>46287.0</v>
      </c>
      <c r="B193" s="55" t="s">
        <v>62</v>
      </c>
      <c r="C193" s="55" t="s">
        <v>915</v>
      </c>
      <c r="D193" s="55" t="s">
        <v>430</v>
      </c>
      <c r="E193" s="55" t="s">
        <v>43</v>
      </c>
      <c r="F193" s="55" t="s">
        <v>407</v>
      </c>
      <c r="G193" s="55" t="s">
        <v>918</v>
      </c>
      <c r="H193" s="55" t="s">
        <v>919</v>
      </c>
      <c r="I193" s="125" t="s">
        <v>56</v>
      </c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</row>
    <row r="194">
      <c r="A194" s="137">
        <v>46287.0</v>
      </c>
      <c r="B194" s="123" t="s">
        <v>62</v>
      </c>
      <c r="C194" s="123" t="s">
        <v>207</v>
      </c>
      <c r="D194" s="123" t="s">
        <v>430</v>
      </c>
      <c r="E194" s="123" t="s">
        <v>43</v>
      </c>
      <c r="F194" s="123" t="s">
        <v>407</v>
      </c>
      <c r="G194" s="123" t="s">
        <v>920</v>
      </c>
      <c r="H194" s="123" t="s">
        <v>917</v>
      </c>
      <c r="I194" s="125" t="s">
        <v>56</v>
      </c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</row>
    <row r="195">
      <c r="A195" s="137">
        <v>46287.0</v>
      </c>
      <c r="B195" s="55" t="s">
        <v>62</v>
      </c>
      <c r="C195" s="55" t="s">
        <v>396</v>
      </c>
      <c r="D195" s="55" t="s">
        <v>430</v>
      </c>
      <c r="E195" s="55" t="s">
        <v>43</v>
      </c>
      <c r="F195" s="55" t="s">
        <v>407</v>
      </c>
      <c r="G195" s="55" t="s">
        <v>921</v>
      </c>
      <c r="H195" s="55" t="s">
        <v>917</v>
      </c>
      <c r="I195" s="125" t="s">
        <v>56</v>
      </c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</row>
    <row r="196">
      <c r="A196" s="137">
        <v>46287.0</v>
      </c>
      <c r="B196" s="123" t="s">
        <v>62</v>
      </c>
      <c r="C196" s="123" t="s">
        <v>396</v>
      </c>
      <c r="D196" s="123" t="s">
        <v>430</v>
      </c>
      <c r="E196" s="123" t="s">
        <v>43</v>
      </c>
      <c r="F196" s="123" t="s">
        <v>407</v>
      </c>
      <c r="G196" s="123" t="s">
        <v>922</v>
      </c>
      <c r="H196" s="123" t="s">
        <v>923</v>
      </c>
      <c r="I196" s="125" t="s">
        <v>56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</row>
    <row r="197">
      <c r="A197" s="137">
        <v>46287.0</v>
      </c>
      <c r="B197" s="55" t="s">
        <v>62</v>
      </c>
      <c r="C197" s="55" t="s">
        <v>924</v>
      </c>
      <c r="D197" s="55" t="s">
        <v>430</v>
      </c>
      <c r="E197" s="55" t="s">
        <v>43</v>
      </c>
      <c r="F197" s="55" t="s">
        <v>407</v>
      </c>
      <c r="G197" s="55" t="s">
        <v>925</v>
      </c>
      <c r="H197" s="55" t="s">
        <v>917</v>
      </c>
      <c r="I197" s="125" t="s">
        <v>56</v>
      </c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</row>
    <row r="198">
      <c r="A198" s="137">
        <v>46287.0</v>
      </c>
      <c r="B198" s="123" t="s">
        <v>360</v>
      </c>
      <c r="C198" s="123" t="s">
        <v>176</v>
      </c>
      <c r="D198" s="123" t="s">
        <v>430</v>
      </c>
      <c r="E198" s="123" t="s">
        <v>43</v>
      </c>
      <c r="F198" s="123" t="s">
        <v>407</v>
      </c>
      <c r="G198" s="123" t="s">
        <v>926</v>
      </c>
      <c r="H198" s="123" t="s">
        <v>917</v>
      </c>
      <c r="I198" s="125" t="s">
        <v>56</v>
      </c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</row>
    <row r="199">
      <c r="A199" s="137">
        <v>46287.0</v>
      </c>
      <c r="B199" s="55" t="s">
        <v>360</v>
      </c>
      <c r="C199" s="55" t="s">
        <v>176</v>
      </c>
      <c r="D199" s="55" t="s">
        <v>430</v>
      </c>
      <c r="E199" s="55" t="s">
        <v>43</v>
      </c>
      <c r="F199" s="55" t="s">
        <v>407</v>
      </c>
      <c r="G199" s="55" t="s">
        <v>927</v>
      </c>
      <c r="H199" s="55" t="s">
        <v>928</v>
      </c>
      <c r="I199" s="125" t="s">
        <v>56</v>
      </c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</row>
    <row r="200">
      <c r="A200" s="137">
        <v>46287.0</v>
      </c>
      <c r="B200" s="123" t="s">
        <v>360</v>
      </c>
      <c r="C200" s="123" t="s">
        <v>176</v>
      </c>
      <c r="D200" s="123" t="s">
        <v>430</v>
      </c>
      <c r="E200" s="123" t="s">
        <v>43</v>
      </c>
      <c r="F200" s="123" t="s">
        <v>407</v>
      </c>
      <c r="G200" s="123" t="s">
        <v>929</v>
      </c>
      <c r="H200" s="123" t="s">
        <v>930</v>
      </c>
      <c r="I200" s="125" t="s">
        <v>56</v>
      </c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</row>
    <row r="201">
      <c r="A201" s="137">
        <v>46287.0</v>
      </c>
      <c r="B201" s="55" t="s">
        <v>360</v>
      </c>
      <c r="C201" s="55" t="s">
        <v>176</v>
      </c>
      <c r="D201" s="55" t="s">
        <v>430</v>
      </c>
      <c r="E201" s="55" t="s">
        <v>43</v>
      </c>
      <c r="F201" s="55" t="s">
        <v>407</v>
      </c>
      <c r="G201" s="55" t="s">
        <v>931</v>
      </c>
      <c r="H201" s="55" t="s">
        <v>932</v>
      </c>
      <c r="I201" s="125" t="s">
        <v>56</v>
      </c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</row>
    <row r="202">
      <c r="A202" s="137">
        <v>46287.0</v>
      </c>
      <c r="B202" s="123" t="s">
        <v>360</v>
      </c>
      <c r="C202" s="123" t="s">
        <v>933</v>
      </c>
      <c r="D202" s="123" t="s">
        <v>430</v>
      </c>
      <c r="E202" s="123" t="s">
        <v>43</v>
      </c>
      <c r="F202" s="123" t="s">
        <v>407</v>
      </c>
      <c r="G202" s="123" t="s">
        <v>934</v>
      </c>
      <c r="H202" s="123" t="s">
        <v>917</v>
      </c>
      <c r="I202" s="125" t="s">
        <v>56</v>
      </c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</row>
    <row r="203">
      <c r="A203" s="137">
        <v>46287.0</v>
      </c>
      <c r="B203" s="55" t="s">
        <v>360</v>
      </c>
      <c r="C203" s="55" t="s">
        <v>933</v>
      </c>
      <c r="D203" s="55" t="s">
        <v>430</v>
      </c>
      <c r="E203" s="55" t="s">
        <v>43</v>
      </c>
      <c r="F203" s="55" t="s">
        <v>407</v>
      </c>
      <c r="G203" s="55" t="s">
        <v>935</v>
      </c>
      <c r="H203" s="55" t="s">
        <v>936</v>
      </c>
      <c r="I203" s="125" t="s">
        <v>56</v>
      </c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</row>
    <row r="204">
      <c r="A204" s="137">
        <v>46287.0</v>
      </c>
      <c r="B204" s="123" t="s">
        <v>124</v>
      </c>
      <c r="C204" s="123" t="s">
        <v>937</v>
      </c>
      <c r="D204" s="123" t="s">
        <v>430</v>
      </c>
      <c r="E204" s="123" t="s">
        <v>43</v>
      </c>
      <c r="F204" s="123" t="s">
        <v>407</v>
      </c>
      <c r="G204" s="123" t="s">
        <v>938</v>
      </c>
      <c r="H204" s="123" t="s">
        <v>917</v>
      </c>
      <c r="I204" s="125" t="s">
        <v>56</v>
      </c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</row>
    <row r="205">
      <c r="A205" s="137">
        <v>46287.0</v>
      </c>
      <c r="B205" s="55" t="s">
        <v>360</v>
      </c>
      <c r="C205" s="55" t="s">
        <v>221</v>
      </c>
      <c r="D205" s="55" t="s">
        <v>430</v>
      </c>
      <c r="E205" s="55" t="s">
        <v>43</v>
      </c>
      <c r="F205" s="55" t="s">
        <v>407</v>
      </c>
      <c r="G205" s="55" t="s">
        <v>939</v>
      </c>
      <c r="H205" s="55" t="s">
        <v>917</v>
      </c>
      <c r="I205" s="125" t="s">
        <v>56</v>
      </c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</row>
    <row r="206">
      <c r="A206" s="137">
        <v>46287.0</v>
      </c>
      <c r="B206" s="123" t="s">
        <v>62</v>
      </c>
      <c r="C206" s="123" t="s">
        <v>139</v>
      </c>
      <c r="D206" s="123" t="s">
        <v>430</v>
      </c>
      <c r="E206" s="123" t="s">
        <v>43</v>
      </c>
      <c r="F206" s="123" t="s">
        <v>407</v>
      </c>
      <c r="G206" s="123" t="s">
        <v>940</v>
      </c>
      <c r="H206" s="123" t="s">
        <v>917</v>
      </c>
      <c r="I206" s="125" t="s">
        <v>56</v>
      </c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</row>
    <row r="207">
      <c r="A207" s="137">
        <v>46287.0</v>
      </c>
      <c r="B207" s="55" t="s">
        <v>360</v>
      </c>
      <c r="C207" s="55" t="s">
        <v>879</v>
      </c>
      <c r="D207" s="55" t="s">
        <v>430</v>
      </c>
      <c r="E207" s="55" t="s">
        <v>43</v>
      </c>
      <c r="F207" s="55" t="s">
        <v>407</v>
      </c>
      <c r="G207" s="55" t="s">
        <v>941</v>
      </c>
      <c r="H207" s="55" t="s">
        <v>917</v>
      </c>
      <c r="I207" s="125" t="s">
        <v>56</v>
      </c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</row>
    <row r="208">
      <c r="A208" s="137">
        <v>46287.0</v>
      </c>
      <c r="B208" s="123" t="s">
        <v>360</v>
      </c>
      <c r="C208" s="123" t="s">
        <v>942</v>
      </c>
      <c r="D208" s="123" t="s">
        <v>430</v>
      </c>
      <c r="E208" s="123" t="s">
        <v>43</v>
      </c>
      <c r="F208" s="123" t="s">
        <v>407</v>
      </c>
      <c r="G208" s="123" t="s">
        <v>943</v>
      </c>
      <c r="H208" s="123" t="s">
        <v>917</v>
      </c>
      <c r="I208" s="125" t="s">
        <v>56</v>
      </c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</row>
    <row r="209">
      <c r="A209" s="137">
        <v>46287.0</v>
      </c>
      <c r="B209" s="55" t="s">
        <v>124</v>
      </c>
      <c r="C209" s="55" t="s">
        <v>134</v>
      </c>
      <c r="D209" s="55" t="s">
        <v>430</v>
      </c>
      <c r="E209" s="55" t="s">
        <v>43</v>
      </c>
      <c r="F209" s="55" t="s">
        <v>407</v>
      </c>
      <c r="G209" s="55" t="s">
        <v>944</v>
      </c>
      <c r="H209" s="55" t="s">
        <v>917</v>
      </c>
      <c r="I209" s="125" t="s">
        <v>56</v>
      </c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</row>
    <row r="210">
      <c r="A210" s="137">
        <v>46287.0</v>
      </c>
      <c r="B210" s="123" t="s">
        <v>124</v>
      </c>
      <c r="C210" s="123" t="s">
        <v>217</v>
      </c>
      <c r="D210" s="123" t="s">
        <v>430</v>
      </c>
      <c r="E210" s="123" t="s">
        <v>43</v>
      </c>
      <c r="F210" s="123" t="s">
        <v>407</v>
      </c>
      <c r="G210" s="123" t="s">
        <v>945</v>
      </c>
      <c r="H210" s="123" t="s">
        <v>917</v>
      </c>
      <c r="I210" s="125" t="s">
        <v>56</v>
      </c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</row>
    <row r="211">
      <c r="A211" s="137">
        <v>46287.0</v>
      </c>
      <c r="B211" s="55" t="s">
        <v>360</v>
      </c>
      <c r="C211" s="55" t="s">
        <v>288</v>
      </c>
      <c r="D211" s="55" t="s">
        <v>430</v>
      </c>
      <c r="E211" s="55" t="s">
        <v>43</v>
      </c>
      <c r="F211" s="55" t="s">
        <v>407</v>
      </c>
      <c r="G211" s="55" t="s">
        <v>946</v>
      </c>
      <c r="H211" s="55" t="s">
        <v>917</v>
      </c>
      <c r="I211" s="125" t="s">
        <v>56</v>
      </c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</row>
    <row r="212">
      <c r="A212" s="137">
        <v>46287.0</v>
      </c>
      <c r="B212" s="123" t="s">
        <v>124</v>
      </c>
      <c r="C212" s="123" t="s">
        <v>947</v>
      </c>
      <c r="D212" s="123" t="s">
        <v>430</v>
      </c>
      <c r="E212" s="123" t="s">
        <v>43</v>
      </c>
      <c r="F212" s="123" t="s">
        <v>407</v>
      </c>
      <c r="G212" s="123" t="s">
        <v>948</v>
      </c>
      <c r="H212" s="123" t="s">
        <v>917</v>
      </c>
      <c r="I212" s="125" t="s">
        <v>56</v>
      </c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</row>
    <row r="213">
      <c r="A213" s="137">
        <v>46287.0</v>
      </c>
      <c r="B213" s="55" t="s">
        <v>124</v>
      </c>
      <c r="C213" s="55" t="s">
        <v>949</v>
      </c>
      <c r="D213" s="55" t="s">
        <v>430</v>
      </c>
      <c r="E213" s="55" t="s">
        <v>43</v>
      </c>
      <c r="F213" s="55" t="s">
        <v>407</v>
      </c>
      <c r="G213" s="55" t="s">
        <v>950</v>
      </c>
      <c r="H213" s="55" t="s">
        <v>917</v>
      </c>
      <c r="I213" s="125" t="s">
        <v>56</v>
      </c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</row>
    <row r="214">
      <c r="A214" s="137">
        <v>46287.0</v>
      </c>
      <c r="B214" s="123" t="s">
        <v>124</v>
      </c>
      <c r="C214" s="123" t="s">
        <v>404</v>
      </c>
      <c r="D214" s="123" t="s">
        <v>430</v>
      </c>
      <c r="E214" s="123" t="s">
        <v>43</v>
      </c>
      <c r="F214" s="123" t="s">
        <v>407</v>
      </c>
      <c r="G214" s="123" t="s">
        <v>951</v>
      </c>
      <c r="H214" s="123" t="s">
        <v>917</v>
      </c>
      <c r="I214" s="125" t="s">
        <v>56</v>
      </c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</row>
    <row r="215">
      <c r="A215" s="137">
        <v>46287.0</v>
      </c>
      <c r="B215" s="55" t="s">
        <v>124</v>
      </c>
      <c r="C215" s="55" t="s">
        <v>157</v>
      </c>
      <c r="D215" s="55" t="s">
        <v>430</v>
      </c>
      <c r="E215" s="55" t="s">
        <v>43</v>
      </c>
      <c r="F215" s="55" t="s">
        <v>407</v>
      </c>
      <c r="G215" s="55" t="s">
        <v>952</v>
      </c>
      <c r="H215" s="55" t="s">
        <v>917</v>
      </c>
      <c r="I215" s="125" t="s">
        <v>56</v>
      </c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</row>
    <row r="216">
      <c r="A216" s="137">
        <v>46287.0</v>
      </c>
      <c r="B216" s="123" t="s">
        <v>124</v>
      </c>
      <c r="C216" s="123" t="s">
        <v>157</v>
      </c>
      <c r="D216" s="123" t="s">
        <v>430</v>
      </c>
      <c r="E216" s="123" t="s">
        <v>43</v>
      </c>
      <c r="F216" s="123" t="s">
        <v>407</v>
      </c>
      <c r="G216" s="123" t="s">
        <v>953</v>
      </c>
      <c r="H216" s="186" t="s">
        <v>954</v>
      </c>
      <c r="I216" s="125" t="s">
        <v>56</v>
      </c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</row>
    <row r="217">
      <c r="A217" s="137">
        <v>46287.0</v>
      </c>
      <c r="B217" s="55" t="s">
        <v>62</v>
      </c>
      <c r="C217" s="55" t="s">
        <v>174</v>
      </c>
      <c r="D217" s="55" t="s">
        <v>430</v>
      </c>
      <c r="E217" s="55" t="s">
        <v>43</v>
      </c>
      <c r="F217" s="55" t="s">
        <v>407</v>
      </c>
      <c r="G217" s="55" t="s">
        <v>955</v>
      </c>
      <c r="H217" s="55" t="s">
        <v>917</v>
      </c>
      <c r="I217" s="125" t="s">
        <v>56</v>
      </c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</row>
    <row r="218">
      <c r="A218" s="137">
        <v>46287.0</v>
      </c>
      <c r="B218" s="123" t="s">
        <v>360</v>
      </c>
      <c r="C218" s="123" t="s">
        <v>211</v>
      </c>
      <c r="D218" s="123" t="s">
        <v>430</v>
      </c>
      <c r="E218" s="123" t="s">
        <v>43</v>
      </c>
      <c r="F218" s="123" t="s">
        <v>407</v>
      </c>
      <c r="G218" s="123" t="s">
        <v>956</v>
      </c>
      <c r="H218" s="123" t="s">
        <v>917</v>
      </c>
      <c r="I218" s="125" t="s">
        <v>56</v>
      </c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</row>
    <row r="219">
      <c r="A219" s="137">
        <v>46287.0</v>
      </c>
      <c r="B219" s="55" t="s">
        <v>62</v>
      </c>
      <c r="C219" s="55" t="s">
        <v>208</v>
      </c>
      <c r="D219" s="55" t="s">
        <v>430</v>
      </c>
      <c r="E219" s="55" t="s">
        <v>43</v>
      </c>
      <c r="F219" s="55" t="s">
        <v>407</v>
      </c>
      <c r="G219" s="55" t="s">
        <v>957</v>
      </c>
      <c r="H219" s="55" t="s">
        <v>917</v>
      </c>
      <c r="I219" s="125" t="s">
        <v>56</v>
      </c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</row>
    <row r="220">
      <c r="A220" s="137">
        <v>46287.0</v>
      </c>
      <c r="B220" s="123" t="s">
        <v>124</v>
      </c>
      <c r="C220" s="123" t="s">
        <v>184</v>
      </c>
      <c r="D220" s="123" t="s">
        <v>430</v>
      </c>
      <c r="E220" s="123" t="s">
        <v>43</v>
      </c>
      <c r="F220" s="123" t="s">
        <v>407</v>
      </c>
      <c r="G220" s="123" t="s">
        <v>958</v>
      </c>
      <c r="H220" s="123" t="s">
        <v>917</v>
      </c>
      <c r="I220" s="125" t="s">
        <v>56</v>
      </c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</row>
    <row r="221">
      <c r="A221" s="137">
        <v>46287.0</v>
      </c>
      <c r="B221" s="55" t="s">
        <v>62</v>
      </c>
      <c r="C221" s="55" t="s">
        <v>959</v>
      </c>
      <c r="D221" s="55" t="s">
        <v>430</v>
      </c>
      <c r="E221" s="55" t="s">
        <v>43</v>
      </c>
      <c r="F221" s="55" t="s">
        <v>407</v>
      </c>
      <c r="G221" s="55" t="s">
        <v>960</v>
      </c>
      <c r="H221" s="55" t="s">
        <v>917</v>
      </c>
      <c r="I221" s="125" t="s">
        <v>56</v>
      </c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</row>
    <row r="222">
      <c r="A222" s="137">
        <v>46287.0</v>
      </c>
      <c r="B222" s="123" t="s">
        <v>62</v>
      </c>
      <c r="C222" s="123" t="s">
        <v>959</v>
      </c>
      <c r="D222" s="123" t="s">
        <v>430</v>
      </c>
      <c r="E222" s="123" t="s">
        <v>43</v>
      </c>
      <c r="F222" s="123" t="s">
        <v>407</v>
      </c>
      <c r="G222" s="123" t="s">
        <v>961</v>
      </c>
      <c r="H222" s="123" t="s">
        <v>962</v>
      </c>
      <c r="I222" s="125" t="s">
        <v>56</v>
      </c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</row>
    <row r="223">
      <c r="A223" s="137">
        <v>46287.0</v>
      </c>
      <c r="B223" s="55" t="s">
        <v>360</v>
      </c>
      <c r="C223" s="55" t="s">
        <v>963</v>
      </c>
      <c r="D223" s="55" t="s">
        <v>430</v>
      </c>
      <c r="E223" s="55" t="s">
        <v>43</v>
      </c>
      <c r="F223" s="55" t="s">
        <v>407</v>
      </c>
      <c r="G223" s="55" t="s">
        <v>964</v>
      </c>
      <c r="H223" s="55" t="s">
        <v>917</v>
      </c>
      <c r="I223" s="125" t="s">
        <v>56</v>
      </c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</row>
    <row r="224">
      <c r="A224" s="137">
        <v>46287.0</v>
      </c>
      <c r="B224" s="123" t="s">
        <v>360</v>
      </c>
      <c r="C224" s="123" t="s">
        <v>965</v>
      </c>
      <c r="D224" s="123" t="s">
        <v>430</v>
      </c>
      <c r="E224" s="123" t="s">
        <v>43</v>
      </c>
      <c r="F224" s="123" t="s">
        <v>407</v>
      </c>
      <c r="G224" s="123" t="s">
        <v>966</v>
      </c>
      <c r="H224" s="123" t="s">
        <v>917</v>
      </c>
      <c r="I224" s="125" t="s">
        <v>56</v>
      </c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</row>
    <row r="225">
      <c r="A225" s="137">
        <v>46287.0</v>
      </c>
      <c r="B225" s="55" t="s">
        <v>360</v>
      </c>
      <c r="C225" s="55" t="s">
        <v>967</v>
      </c>
      <c r="D225" s="55" t="s">
        <v>430</v>
      </c>
      <c r="E225" s="55" t="s">
        <v>43</v>
      </c>
      <c r="F225" s="55" t="s">
        <v>407</v>
      </c>
      <c r="G225" s="55" t="s">
        <v>968</v>
      </c>
      <c r="H225" s="55" t="s">
        <v>917</v>
      </c>
      <c r="I225" s="125" t="s">
        <v>56</v>
      </c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</row>
    <row r="226">
      <c r="A226" s="137">
        <v>46287.0</v>
      </c>
      <c r="B226" s="123" t="s">
        <v>360</v>
      </c>
      <c r="C226" s="123" t="s">
        <v>103</v>
      </c>
      <c r="D226" s="123" t="s">
        <v>430</v>
      </c>
      <c r="E226" s="123" t="s">
        <v>43</v>
      </c>
      <c r="F226" s="123" t="s">
        <v>407</v>
      </c>
      <c r="G226" s="123" t="s">
        <v>969</v>
      </c>
      <c r="H226" s="123" t="s">
        <v>917</v>
      </c>
      <c r="I226" s="125" t="s">
        <v>56</v>
      </c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</row>
    <row r="227">
      <c r="A227" s="137">
        <v>46287.0</v>
      </c>
      <c r="B227" s="55" t="s">
        <v>360</v>
      </c>
      <c r="C227" s="55" t="s">
        <v>204</v>
      </c>
      <c r="D227" s="55" t="s">
        <v>430</v>
      </c>
      <c r="E227" s="55" t="s">
        <v>43</v>
      </c>
      <c r="F227" s="55" t="s">
        <v>407</v>
      </c>
      <c r="G227" s="55" t="s">
        <v>970</v>
      </c>
      <c r="H227" s="55" t="s">
        <v>917</v>
      </c>
      <c r="I227" s="125" t="s">
        <v>56</v>
      </c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</row>
    <row r="228">
      <c r="A228" s="137">
        <v>46287.0</v>
      </c>
      <c r="B228" s="123" t="s">
        <v>360</v>
      </c>
      <c r="C228" s="123" t="s">
        <v>971</v>
      </c>
      <c r="D228" s="123" t="s">
        <v>430</v>
      </c>
      <c r="E228" s="123" t="s">
        <v>43</v>
      </c>
      <c r="F228" s="123" t="s">
        <v>407</v>
      </c>
      <c r="G228" s="123" t="s">
        <v>972</v>
      </c>
      <c r="H228" s="123" t="s">
        <v>917</v>
      </c>
      <c r="I228" s="125" t="s">
        <v>56</v>
      </c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</row>
    <row r="229">
      <c r="A229" s="137">
        <v>46287.0</v>
      </c>
      <c r="B229" s="55" t="s">
        <v>360</v>
      </c>
      <c r="C229" s="55" t="s">
        <v>372</v>
      </c>
      <c r="D229" s="55" t="s">
        <v>430</v>
      </c>
      <c r="E229" s="55" t="s">
        <v>43</v>
      </c>
      <c r="F229" s="55" t="s">
        <v>407</v>
      </c>
      <c r="G229" s="55" t="s">
        <v>973</v>
      </c>
      <c r="H229" s="55" t="s">
        <v>917</v>
      </c>
      <c r="I229" s="125" t="s">
        <v>56</v>
      </c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</row>
    <row r="230">
      <c r="A230" s="137">
        <v>46287.0</v>
      </c>
      <c r="B230" s="123" t="s">
        <v>360</v>
      </c>
      <c r="C230" s="123" t="s">
        <v>888</v>
      </c>
      <c r="D230" s="123" t="s">
        <v>430</v>
      </c>
      <c r="E230" s="123" t="s">
        <v>43</v>
      </c>
      <c r="F230" s="123" t="s">
        <v>407</v>
      </c>
      <c r="G230" s="123" t="s">
        <v>974</v>
      </c>
      <c r="H230" s="123" t="s">
        <v>917</v>
      </c>
      <c r="I230" s="125" t="s">
        <v>56</v>
      </c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</row>
    <row r="231">
      <c r="A231" s="137">
        <v>46287.0</v>
      </c>
      <c r="B231" s="55" t="s">
        <v>360</v>
      </c>
      <c r="C231" s="55" t="s">
        <v>372</v>
      </c>
      <c r="D231" s="55" t="s">
        <v>430</v>
      </c>
      <c r="E231" s="55" t="s">
        <v>43</v>
      </c>
      <c r="F231" s="55" t="s">
        <v>407</v>
      </c>
      <c r="G231" s="55" t="s">
        <v>975</v>
      </c>
      <c r="H231" s="55" t="s">
        <v>976</v>
      </c>
      <c r="I231" s="125" t="s">
        <v>56</v>
      </c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</row>
    <row r="232">
      <c r="A232" s="137">
        <v>46287.0</v>
      </c>
      <c r="B232" s="123" t="s">
        <v>360</v>
      </c>
      <c r="C232" s="123" t="s">
        <v>971</v>
      </c>
      <c r="D232" s="123" t="s">
        <v>430</v>
      </c>
      <c r="E232" s="123" t="s">
        <v>43</v>
      </c>
      <c r="F232" s="123" t="s">
        <v>407</v>
      </c>
      <c r="G232" s="123" t="s">
        <v>977</v>
      </c>
      <c r="H232" s="123" t="s">
        <v>978</v>
      </c>
      <c r="I232" s="125" t="s">
        <v>56</v>
      </c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</row>
    <row r="233">
      <c r="A233" s="137">
        <v>46287.0</v>
      </c>
      <c r="B233" s="55" t="s">
        <v>360</v>
      </c>
      <c r="C233" s="55" t="s">
        <v>979</v>
      </c>
      <c r="D233" s="55" t="s">
        <v>430</v>
      </c>
      <c r="E233" s="55" t="s">
        <v>43</v>
      </c>
      <c r="F233" s="55" t="s">
        <v>407</v>
      </c>
      <c r="G233" s="55" t="s">
        <v>980</v>
      </c>
      <c r="H233" s="55" t="s">
        <v>917</v>
      </c>
      <c r="I233" s="125" t="s">
        <v>56</v>
      </c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</row>
    <row r="234">
      <c r="A234" s="137">
        <v>46287.0</v>
      </c>
      <c r="B234" s="123" t="s">
        <v>360</v>
      </c>
      <c r="C234" s="123" t="s">
        <v>264</v>
      </c>
      <c r="D234" s="123" t="s">
        <v>430</v>
      </c>
      <c r="E234" s="123" t="s">
        <v>43</v>
      </c>
      <c r="F234" s="123" t="s">
        <v>407</v>
      </c>
      <c r="G234" s="123" t="s">
        <v>981</v>
      </c>
      <c r="H234" s="123" t="s">
        <v>917</v>
      </c>
      <c r="I234" s="125" t="s">
        <v>56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</row>
    <row r="235">
      <c r="A235" s="137">
        <v>46287.0</v>
      </c>
      <c r="B235" s="55" t="s">
        <v>360</v>
      </c>
      <c r="C235" s="55" t="s">
        <v>446</v>
      </c>
      <c r="D235" s="55" t="s">
        <v>430</v>
      </c>
      <c r="E235" s="55" t="s">
        <v>43</v>
      </c>
      <c r="F235" s="55" t="s">
        <v>407</v>
      </c>
      <c r="G235" s="55" t="s">
        <v>982</v>
      </c>
      <c r="H235" s="55" t="s">
        <v>917</v>
      </c>
      <c r="I235" s="125" t="s">
        <v>56</v>
      </c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</row>
    <row r="236">
      <c r="A236" s="137">
        <v>46287.0</v>
      </c>
      <c r="B236" s="123" t="s">
        <v>360</v>
      </c>
      <c r="C236" s="123" t="s">
        <v>983</v>
      </c>
      <c r="D236" s="123" t="s">
        <v>430</v>
      </c>
      <c r="E236" s="123" t="s">
        <v>43</v>
      </c>
      <c r="F236" s="123" t="s">
        <v>407</v>
      </c>
      <c r="G236" s="123" t="s">
        <v>984</v>
      </c>
      <c r="H236" s="123" t="s">
        <v>917</v>
      </c>
      <c r="I236" s="125" t="s">
        <v>56</v>
      </c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</row>
    <row r="237">
      <c r="A237" s="137">
        <v>46287.0</v>
      </c>
      <c r="B237" s="55" t="s">
        <v>360</v>
      </c>
      <c r="C237" s="55" t="s">
        <v>455</v>
      </c>
      <c r="D237" s="55" t="s">
        <v>430</v>
      </c>
      <c r="E237" s="55" t="s">
        <v>43</v>
      </c>
      <c r="F237" s="55" t="s">
        <v>407</v>
      </c>
      <c r="G237" s="55" t="s">
        <v>985</v>
      </c>
      <c r="H237" s="55" t="s">
        <v>917</v>
      </c>
      <c r="I237" s="125" t="s">
        <v>56</v>
      </c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</row>
    <row r="238">
      <c r="A238" s="137">
        <v>46287.0</v>
      </c>
      <c r="B238" s="123" t="s">
        <v>360</v>
      </c>
      <c r="C238" s="123" t="s">
        <v>986</v>
      </c>
      <c r="D238" s="123" t="s">
        <v>430</v>
      </c>
      <c r="E238" s="123" t="s">
        <v>43</v>
      </c>
      <c r="F238" s="123" t="s">
        <v>407</v>
      </c>
      <c r="G238" s="123" t="s">
        <v>987</v>
      </c>
      <c r="H238" s="123" t="s">
        <v>917</v>
      </c>
      <c r="I238" s="125" t="s">
        <v>56</v>
      </c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</row>
    <row r="239">
      <c r="A239" s="137">
        <v>46287.0</v>
      </c>
      <c r="B239" s="55" t="s">
        <v>360</v>
      </c>
      <c r="C239" s="55" t="s">
        <v>986</v>
      </c>
      <c r="D239" s="55" t="s">
        <v>430</v>
      </c>
      <c r="E239" s="55" t="s">
        <v>43</v>
      </c>
      <c r="F239" s="55" t="s">
        <v>407</v>
      </c>
      <c r="G239" s="55" t="s">
        <v>988</v>
      </c>
      <c r="H239" s="55" t="s">
        <v>989</v>
      </c>
      <c r="I239" s="125" t="s">
        <v>56</v>
      </c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</row>
    <row r="240">
      <c r="A240" s="137">
        <v>46287.0</v>
      </c>
      <c r="B240" s="123" t="s">
        <v>360</v>
      </c>
      <c r="C240" s="123" t="s">
        <v>983</v>
      </c>
      <c r="D240" s="123" t="s">
        <v>430</v>
      </c>
      <c r="E240" s="123" t="s">
        <v>43</v>
      </c>
      <c r="F240" s="123" t="s">
        <v>407</v>
      </c>
      <c r="G240" s="123" t="s">
        <v>990</v>
      </c>
      <c r="H240" s="123" t="s">
        <v>991</v>
      </c>
      <c r="I240" s="125" t="s">
        <v>56</v>
      </c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</row>
    <row r="241">
      <c r="A241" s="137">
        <v>46287.0</v>
      </c>
      <c r="B241" s="55" t="s">
        <v>360</v>
      </c>
      <c r="C241" s="55" t="s">
        <v>906</v>
      </c>
      <c r="D241" s="55" t="s">
        <v>637</v>
      </c>
      <c r="E241" s="55" t="s">
        <v>43</v>
      </c>
      <c r="F241" s="55" t="s">
        <v>407</v>
      </c>
      <c r="G241" s="55" t="s">
        <v>992</v>
      </c>
      <c r="H241" s="55" t="s">
        <v>993</v>
      </c>
      <c r="I241" s="125" t="s">
        <v>56</v>
      </c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</row>
    <row r="242">
      <c r="A242" s="137">
        <v>46287.0</v>
      </c>
      <c r="B242" s="123" t="s">
        <v>62</v>
      </c>
      <c r="C242" s="123" t="s">
        <v>37</v>
      </c>
      <c r="D242" s="123" t="s">
        <v>430</v>
      </c>
      <c r="E242" s="123" t="s">
        <v>43</v>
      </c>
      <c r="F242" s="123" t="s">
        <v>407</v>
      </c>
      <c r="G242" s="123" t="s">
        <v>994</v>
      </c>
      <c r="H242" s="123" t="s">
        <v>917</v>
      </c>
      <c r="I242" s="125" t="s">
        <v>56</v>
      </c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</row>
    <row r="243">
      <c r="A243" s="137">
        <v>46287.0</v>
      </c>
      <c r="B243" s="55" t="s">
        <v>62</v>
      </c>
      <c r="C243" s="55" t="s">
        <v>118</v>
      </c>
      <c r="D243" s="55" t="s">
        <v>430</v>
      </c>
      <c r="E243" s="55" t="s">
        <v>43</v>
      </c>
      <c r="F243" s="55" t="s">
        <v>407</v>
      </c>
      <c r="G243" s="55" t="s">
        <v>995</v>
      </c>
      <c r="H243" s="55" t="s">
        <v>917</v>
      </c>
      <c r="I243" s="125" t="s">
        <v>56</v>
      </c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</row>
    <row r="244">
      <c r="A244" s="137">
        <v>46287.0</v>
      </c>
      <c r="B244" s="123" t="s">
        <v>62</v>
      </c>
      <c r="C244" s="123" t="s">
        <v>163</v>
      </c>
      <c r="D244" s="123" t="s">
        <v>430</v>
      </c>
      <c r="E244" s="123" t="s">
        <v>43</v>
      </c>
      <c r="F244" s="123" t="s">
        <v>407</v>
      </c>
      <c r="G244" s="123" t="s">
        <v>996</v>
      </c>
      <c r="H244" s="123" t="s">
        <v>917</v>
      </c>
      <c r="I244" s="125" t="s">
        <v>56</v>
      </c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</row>
    <row r="245">
      <c r="A245" s="137">
        <v>46287.0</v>
      </c>
      <c r="B245" s="55" t="s">
        <v>360</v>
      </c>
      <c r="C245" s="55" t="s">
        <v>181</v>
      </c>
      <c r="D245" s="55" t="s">
        <v>430</v>
      </c>
      <c r="E245" s="55" t="s">
        <v>43</v>
      </c>
      <c r="F245" s="55" t="s">
        <v>407</v>
      </c>
      <c r="G245" s="55" t="s">
        <v>997</v>
      </c>
      <c r="H245" s="55" t="s">
        <v>917</v>
      </c>
      <c r="I245" s="125" t="s">
        <v>56</v>
      </c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</row>
    <row r="246">
      <c r="A246" s="137">
        <v>46287.0</v>
      </c>
      <c r="B246" s="140" t="s">
        <v>360</v>
      </c>
      <c r="C246" s="140" t="s">
        <v>188</v>
      </c>
      <c r="D246" s="140" t="s">
        <v>430</v>
      </c>
      <c r="E246" s="140" t="s">
        <v>43</v>
      </c>
      <c r="F246" s="140" t="s">
        <v>407</v>
      </c>
      <c r="G246" s="140" t="s">
        <v>998</v>
      </c>
      <c r="H246" s="140" t="s">
        <v>917</v>
      </c>
      <c r="I246" s="125" t="s">
        <v>56</v>
      </c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</row>
    <row r="247">
      <c r="A247" s="137">
        <v>46287.0</v>
      </c>
      <c r="B247" s="55" t="s">
        <v>360</v>
      </c>
      <c r="C247" s="55" t="s">
        <v>895</v>
      </c>
      <c r="D247" s="55" t="s">
        <v>637</v>
      </c>
      <c r="E247" s="55" t="s">
        <v>43</v>
      </c>
      <c r="F247" s="55" t="s">
        <v>407</v>
      </c>
      <c r="G247" s="55" t="s">
        <v>999</v>
      </c>
      <c r="H247" s="55" t="s">
        <v>1000</v>
      </c>
      <c r="I247" s="125" t="s">
        <v>56</v>
      </c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</row>
    <row r="248">
      <c r="A248" s="137">
        <v>46287.0</v>
      </c>
      <c r="B248" s="123" t="s">
        <v>124</v>
      </c>
      <c r="C248" s="123" t="s">
        <v>125</v>
      </c>
      <c r="D248" s="123" t="s">
        <v>405</v>
      </c>
      <c r="E248" s="61" t="s">
        <v>52</v>
      </c>
      <c r="F248" s="61" t="s">
        <v>407</v>
      </c>
      <c r="G248" s="123" t="s">
        <v>1001</v>
      </c>
      <c r="H248" s="61" t="s">
        <v>1002</v>
      </c>
      <c r="I248" s="125" t="s">
        <v>56</v>
      </c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</row>
    <row r="249">
      <c r="A249" s="137">
        <v>46287.0</v>
      </c>
      <c r="B249" s="55" t="s">
        <v>124</v>
      </c>
      <c r="C249" s="55" t="s">
        <v>125</v>
      </c>
      <c r="D249" s="55" t="s">
        <v>405</v>
      </c>
      <c r="E249" s="65" t="s">
        <v>52</v>
      </c>
      <c r="F249" s="65" t="s">
        <v>407</v>
      </c>
      <c r="G249" s="55" t="s">
        <v>1003</v>
      </c>
      <c r="H249" s="65" t="s">
        <v>1004</v>
      </c>
      <c r="I249" s="125" t="s">
        <v>56</v>
      </c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</row>
    <row r="250">
      <c r="A250" s="137">
        <v>46287.0</v>
      </c>
      <c r="B250" s="123" t="s">
        <v>124</v>
      </c>
      <c r="C250" s="123" t="s">
        <v>125</v>
      </c>
      <c r="D250" s="123" t="s">
        <v>405</v>
      </c>
      <c r="E250" s="61" t="s">
        <v>52</v>
      </c>
      <c r="F250" s="61" t="s">
        <v>407</v>
      </c>
      <c r="G250" s="123" t="s">
        <v>1005</v>
      </c>
      <c r="H250" s="61" t="s">
        <v>1006</v>
      </c>
      <c r="I250" s="125" t="s">
        <v>56</v>
      </c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</row>
    <row r="251">
      <c r="A251" s="137">
        <v>46287.0</v>
      </c>
      <c r="B251" s="55" t="s">
        <v>124</v>
      </c>
      <c r="C251" s="55" t="s">
        <v>71</v>
      </c>
      <c r="D251" s="55" t="s">
        <v>405</v>
      </c>
      <c r="E251" s="65" t="s">
        <v>52</v>
      </c>
      <c r="F251" s="65" t="s">
        <v>407</v>
      </c>
      <c r="G251" s="55" t="s">
        <v>1007</v>
      </c>
      <c r="H251" s="65" t="s">
        <v>1008</v>
      </c>
      <c r="I251" s="125" t="s">
        <v>56</v>
      </c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</row>
    <row r="252">
      <c r="A252" s="137">
        <v>46287.0</v>
      </c>
      <c r="B252" s="123" t="s">
        <v>124</v>
      </c>
      <c r="C252" s="123" t="s">
        <v>71</v>
      </c>
      <c r="D252" s="123" t="s">
        <v>405</v>
      </c>
      <c r="E252" s="61" t="s">
        <v>52</v>
      </c>
      <c r="F252" s="61" t="s">
        <v>407</v>
      </c>
      <c r="G252" s="123" t="s">
        <v>1009</v>
      </c>
      <c r="H252" s="61" t="s">
        <v>1010</v>
      </c>
      <c r="I252" s="125" t="s">
        <v>56</v>
      </c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</row>
    <row r="253">
      <c r="A253" s="137">
        <v>46287.0</v>
      </c>
      <c r="B253" s="55" t="s">
        <v>124</v>
      </c>
      <c r="C253" s="55" t="s">
        <v>1011</v>
      </c>
      <c r="D253" s="55" t="s">
        <v>405</v>
      </c>
      <c r="E253" s="65" t="s">
        <v>52</v>
      </c>
      <c r="F253" s="65" t="s">
        <v>407</v>
      </c>
      <c r="G253" s="55" t="s">
        <v>1012</v>
      </c>
      <c r="H253" s="65" t="s">
        <v>1013</v>
      </c>
      <c r="I253" s="125" t="s">
        <v>56</v>
      </c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</row>
    <row r="254">
      <c r="A254" s="137">
        <v>46287.0</v>
      </c>
      <c r="B254" s="123" t="s">
        <v>124</v>
      </c>
      <c r="C254" s="123" t="s">
        <v>1011</v>
      </c>
      <c r="D254" s="123" t="s">
        <v>405</v>
      </c>
      <c r="E254" s="61" t="s">
        <v>52</v>
      </c>
      <c r="F254" s="61" t="s">
        <v>407</v>
      </c>
      <c r="G254" s="123" t="s">
        <v>1014</v>
      </c>
      <c r="H254" s="61" t="s">
        <v>1015</v>
      </c>
      <c r="I254" s="125" t="s">
        <v>56</v>
      </c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</row>
    <row r="255">
      <c r="A255" s="137">
        <v>46287.0</v>
      </c>
      <c r="B255" s="55" t="s">
        <v>360</v>
      </c>
      <c r="C255" s="55" t="s">
        <v>681</v>
      </c>
      <c r="D255" s="55" t="s">
        <v>637</v>
      </c>
      <c r="E255" s="65" t="s">
        <v>52</v>
      </c>
      <c r="F255" s="65" t="s">
        <v>407</v>
      </c>
      <c r="G255" s="55" t="s">
        <v>1016</v>
      </c>
      <c r="H255" s="65" t="s">
        <v>1017</v>
      </c>
      <c r="I255" s="125" t="s">
        <v>56</v>
      </c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</row>
    <row r="256">
      <c r="A256" s="137">
        <v>46287.0</v>
      </c>
      <c r="B256" s="123" t="s">
        <v>360</v>
      </c>
      <c r="C256" s="123" t="s">
        <v>681</v>
      </c>
      <c r="D256" s="123" t="s">
        <v>637</v>
      </c>
      <c r="E256" s="61" t="s">
        <v>52</v>
      </c>
      <c r="F256" s="61" t="s">
        <v>407</v>
      </c>
      <c r="G256" s="123" t="s">
        <v>1018</v>
      </c>
      <c r="H256" s="61" t="s">
        <v>1019</v>
      </c>
      <c r="I256" s="125" t="s">
        <v>56</v>
      </c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</row>
    <row r="257">
      <c r="A257" s="137">
        <v>46287.0</v>
      </c>
      <c r="B257" s="55" t="s">
        <v>360</v>
      </c>
      <c r="C257" s="55" t="s">
        <v>681</v>
      </c>
      <c r="D257" s="55" t="s">
        <v>637</v>
      </c>
      <c r="E257" s="65" t="s">
        <v>52</v>
      </c>
      <c r="F257" s="65" t="s">
        <v>407</v>
      </c>
      <c r="G257" s="55" t="s">
        <v>1020</v>
      </c>
      <c r="H257" s="65" t="s">
        <v>1021</v>
      </c>
      <c r="I257" s="125" t="s">
        <v>56</v>
      </c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</row>
    <row r="258">
      <c r="A258" s="137">
        <v>46287.0</v>
      </c>
      <c r="B258" s="123" t="s">
        <v>124</v>
      </c>
      <c r="C258" s="123" t="s">
        <v>238</v>
      </c>
      <c r="D258" s="123" t="s">
        <v>430</v>
      </c>
      <c r="E258" s="61" t="s">
        <v>52</v>
      </c>
      <c r="F258" s="61" t="s">
        <v>407</v>
      </c>
      <c r="G258" s="123" t="s">
        <v>1022</v>
      </c>
      <c r="H258" s="61" t="s">
        <v>1023</v>
      </c>
      <c r="I258" s="125" t="s">
        <v>56</v>
      </c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</row>
    <row r="259">
      <c r="A259" s="137">
        <v>46287.0</v>
      </c>
      <c r="B259" s="55" t="s">
        <v>62</v>
      </c>
      <c r="C259" s="55" t="s">
        <v>237</v>
      </c>
      <c r="D259" s="55" t="s">
        <v>430</v>
      </c>
      <c r="E259" s="65" t="s">
        <v>52</v>
      </c>
      <c r="F259" s="65" t="s">
        <v>407</v>
      </c>
      <c r="G259" s="55" t="s">
        <v>1024</v>
      </c>
      <c r="H259" s="65" t="s">
        <v>1025</v>
      </c>
      <c r="I259" s="125" t="s">
        <v>56</v>
      </c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</row>
    <row r="260">
      <c r="A260" s="137">
        <v>46287.0</v>
      </c>
      <c r="B260" s="123" t="s">
        <v>124</v>
      </c>
      <c r="C260" s="123" t="s">
        <v>1026</v>
      </c>
      <c r="D260" s="123" t="s">
        <v>430</v>
      </c>
      <c r="E260" s="61" t="s">
        <v>52</v>
      </c>
      <c r="F260" s="61" t="s">
        <v>407</v>
      </c>
      <c r="G260" s="123" t="s">
        <v>1027</v>
      </c>
      <c r="H260" s="61" t="s">
        <v>1025</v>
      </c>
      <c r="I260" s="125" t="s">
        <v>56</v>
      </c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</row>
    <row r="261">
      <c r="A261" s="137">
        <v>46287.0</v>
      </c>
      <c r="B261" s="55" t="s">
        <v>124</v>
      </c>
      <c r="C261" s="55" t="s">
        <v>1026</v>
      </c>
      <c r="D261" s="55" t="s">
        <v>430</v>
      </c>
      <c r="E261" s="65" t="s">
        <v>52</v>
      </c>
      <c r="F261" s="65" t="s">
        <v>407</v>
      </c>
      <c r="G261" s="55" t="s">
        <v>1028</v>
      </c>
      <c r="H261" s="65" t="s">
        <v>1029</v>
      </c>
      <c r="I261" s="125" t="s">
        <v>56</v>
      </c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</row>
    <row r="262">
      <c r="A262" s="137">
        <v>46287.0</v>
      </c>
      <c r="B262" s="123" t="s">
        <v>124</v>
      </c>
      <c r="C262" s="123" t="s">
        <v>1026</v>
      </c>
      <c r="D262" s="123" t="s">
        <v>430</v>
      </c>
      <c r="E262" s="61" t="s">
        <v>52</v>
      </c>
      <c r="F262" s="61" t="s">
        <v>407</v>
      </c>
      <c r="G262" s="123" t="s">
        <v>1030</v>
      </c>
      <c r="H262" s="123" t="s">
        <v>1031</v>
      </c>
      <c r="I262" s="125" t="s">
        <v>56</v>
      </c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</row>
    <row r="263">
      <c r="A263" s="137">
        <v>46287.0</v>
      </c>
      <c r="B263" s="55" t="s">
        <v>124</v>
      </c>
      <c r="C263" s="55" t="s">
        <v>1026</v>
      </c>
      <c r="D263" s="55" t="s">
        <v>430</v>
      </c>
      <c r="E263" s="65" t="s">
        <v>52</v>
      </c>
      <c r="F263" s="65" t="s">
        <v>407</v>
      </c>
      <c r="G263" s="55" t="s">
        <v>1032</v>
      </c>
      <c r="H263" s="55" t="s">
        <v>1033</v>
      </c>
      <c r="I263" s="125" t="s">
        <v>56</v>
      </c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</row>
    <row r="264">
      <c r="A264" s="137">
        <v>46287.0</v>
      </c>
      <c r="B264" s="123" t="s">
        <v>124</v>
      </c>
      <c r="C264" s="123" t="s">
        <v>1026</v>
      </c>
      <c r="D264" s="123" t="s">
        <v>430</v>
      </c>
      <c r="E264" s="61" t="s">
        <v>52</v>
      </c>
      <c r="F264" s="61" t="s">
        <v>407</v>
      </c>
      <c r="G264" s="123" t="s">
        <v>1034</v>
      </c>
      <c r="H264" s="123" t="s">
        <v>1035</v>
      </c>
      <c r="I264" s="125" t="s">
        <v>56</v>
      </c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</row>
    <row r="265">
      <c r="A265" s="137">
        <v>46287.0</v>
      </c>
      <c r="B265" s="55" t="s">
        <v>124</v>
      </c>
      <c r="C265" s="55" t="s">
        <v>1026</v>
      </c>
      <c r="D265" s="55" t="s">
        <v>430</v>
      </c>
      <c r="E265" s="65" t="s">
        <v>52</v>
      </c>
      <c r="F265" s="65" t="s">
        <v>407</v>
      </c>
      <c r="G265" s="55" t="s">
        <v>1036</v>
      </c>
      <c r="H265" s="55" t="s">
        <v>1037</v>
      </c>
      <c r="I265" s="125" t="s">
        <v>56</v>
      </c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</row>
    <row r="266">
      <c r="A266" s="137">
        <v>46287.0</v>
      </c>
      <c r="B266" s="123" t="s">
        <v>124</v>
      </c>
      <c r="C266" s="123" t="s">
        <v>474</v>
      </c>
      <c r="D266" s="123" t="s">
        <v>430</v>
      </c>
      <c r="E266" s="61" t="s">
        <v>52</v>
      </c>
      <c r="F266" s="61" t="s">
        <v>407</v>
      </c>
      <c r="G266" s="123" t="s">
        <v>1038</v>
      </c>
      <c r="H266" s="61" t="s">
        <v>1039</v>
      </c>
      <c r="I266" s="125" t="s">
        <v>56</v>
      </c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</row>
    <row r="267">
      <c r="A267" s="137">
        <v>46287.0</v>
      </c>
      <c r="B267" s="55" t="s">
        <v>124</v>
      </c>
      <c r="C267" s="55" t="s">
        <v>474</v>
      </c>
      <c r="D267" s="55" t="s">
        <v>430</v>
      </c>
      <c r="E267" s="65" t="s">
        <v>52</v>
      </c>
      <c r="F267" s="65" t="s">
        <v>407</v>
      </c>
      <c r="G267" s="55" t="s">
        <v>1040</v>
      </c>
      <c r="H267" s="65" t="s">
        <v>1025</v>
      </c>
      <c r="I267" s="125" t="s">
        <v>56</v>
      </c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</row>
    <row r="268">
      <c r="A268" s="137">
        <v>46287.0</v>
      </c>
      <c r="B268" s="123" t="s">
        <v>124</v>
      </c>
      <c r="C268" s="123" t="s">
        <v>474</v>
      </c>
      <c r="D268" s="123" t="s">
        <v>430</v>
      </c>
      <c r="E268" s="61" t="s">
        <v>52</v>
      </c>
      <c r="F268" s="61" t="s">
        <v>407</v>
      </c>
      <c r="G268" s="123" t="s">
        <v>1041</v>
      </c>
      <c r="H268" s="123" t="s">
        <v>1042</v>
      </c>
      <c r="I268" s="125" t="s">
        <v>56</v>
      </c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</row>
    <row r="269">
      <c r="A269" s="137">
        <v>46287.0</v>
      </c>
      <c r="B269" s="55" t="s">
        <v>124</v>
      </c>
      <c r="C269" s="55" t="s">
        <v>474</v>
      </c>
      <c r="D269" s="55" t="s">
        <v>430</v>
      </c>
      <c r="E269" s="65" t="s">
        <v>52</v>
      </c>
      <c r="F269" s="65" t="s">
        <v>407</v>
      </c>
      <c r="G269" s="55" t="s">
        <v>1043</v>
      </c>
      <c r="H269" s="55" t="s">
        <v>1044</v>
      </c>
      <c r="I269" s="125" t="s">
        <v>56</v>
      </c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</row>
    <row r="270">
      <c r="A270" s="137">
        <v>46287.0</v>
      </c>
      <c r="B270" s="123" t="s">
        <v>62</v>
      </c>
      <c r="C270" s="123" t="s">
        <v>1045</v>
      </c>
      <c r="D270" s="123" t="s">
        <v>430</v>
      </c>
      <c r="E270" s="61" t="s">
        <v>52</v>
      </c>
      <c r="F270" s="61" t="s">
        <v>407</v>
      </c>
      <c r="G270" s="123" t="s">
        <v>1046</v>
      </c>
      <c r="H270" s="61" t="s">
        <v>1047</v>
      </c>
      <c r="I270" s="125" t="s">
        <v>56</v>
      </c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</row>
    <row r="271">
      <c r="A271" s="137">
        <v>46287.0</v>
      </c>
      <c r="B271" s="55" t="s">
        <v>62</v>
      </c>
      <c r="C271" s="55" t="s">
        <v>1045</v>
      </c>
      <c r="D271" s="55" t="s">
        <v>430</v>
      </c>
      <c r="E271" s="65" t="s">
        <v>52</v>
      </c>
      <c r="F271" s="65" t="s">
        <v>407</v>
      </c>
      <c r="G271" s="55" t="s">
        <v>1048</v>
      </c>
      <c r="H271" s="65" t="s">
        <v>1025</v>
      </c>
      <c r="I271" s="125" t="s">
        <v>56</v>
      </c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</row>
    <row r="272">
      <c r="A272" s="137">
        <v>46287.0</v>
      </c>
      <c r="B272" s="123" t="s">
        <v>62</v>
      </c>
      <c r="C272" s="123" t="s">
        <v>1045</v>
      </c>
      <c r="D272" s="123" t="s">
        <v>430</v>
      </c>
      <c r="E272" s="61" t="s">
        <v>52</v>
      </c>
      <c r="F272" s="61" t="s">
        <v>407</v>
      </c>
      <c r="G272" s="123" t="s">
        <v>1049</v>
      </c>
      <c r="H272" s="61" t="s">
        <v>1050</v>
      </c>
      <c r="I272" s="125" t="s">
        <v>56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</row>
    <row r="273">
      <c r="A273" s="137">
        <v>46287.0</v>
      </c>
      <c r="B273" s="55" t="s">
        <v>360</v>
      </c>
      <c r="C273" s="55" t="s">
        <v>910</v>
      </c>
      <c r="D273" s="55" t="s">
        <v>430</v>
      </c>
      <c r="E273" s="65" t="s">
        <v>52</v>
      </c>
      <c r="F273" s="65" t="s">
        <v>407</v>
      </c>
      <c r="G273" s="55" t="s">
        <v>1051</v>
      </c>
      <c r="H273" s="65" t="s">
        <v>1052</v>
      </c>
      <c r="I273" s="125" t="s">
        <v>56</v>
      </c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</row>
    <row r="274">
      <c r="A274" s="137">
        <v>46287.0</v>
      </c>
      <c r="B274" s="123" t="s">
        <v>124</v>
      </c>
      <c r="C274" s="123" t="s">
        <v>1011</v>
      </c>
      <c r="D274" s="123" t="s">
        <v>430</v>
      </c>
      <c r="E274" s="61" t="s">
        <v>52</v>
      </c>
      <c r="F274" s="123" t="s">
        <v>407</v>
      </c>
      <c r="G274" s="123" t="s">
        <v>1053</v>
      </c>
      <c r="H274" s="61" t="s">
        <v>1025</v>
      </c>
      <c r="I274" s="125" t="s">
        <v>56</v>
      </c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</row>
    <row r="275">
      <c r="A275" s="137">
        <v>46287.0</v>
      </c>
      <c r="B275" s="55" t="s">
        <v>124</v>
      </c>
      <c r="C275" s="55" t="s">
        <v>1011</v>
      </c>
      <c r="D275" s="55" t="s">
        <v>430</v>
      </c>
      <c r="E275" s="65" t="s">
        <v>52</v>
      </c>
      <c r="F275" s="65" t="s">
        <v>407</v>
      </c>
      <c r="G275" s="55" t="s">
        <v>1054</v>
      </c>
      <c r="H275" s="65" t="s">
        <v>1055</v>
      </c>
      <c r="I275" s="125" t="s">
        <v>56</v>
      </c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</row>
    <row r="276">
      <c r="A276" s="137">
        <v>46287.0</v>
      </c>
      <c r="B276" s="123" t="s">
        <v>124</v>
      </c>
      <c r="C276" s="123" t="s">
        <v>1011</v>
      </c>
      <c r="D276" s="123" t="s">
        <v>430</v>
      </c>
      <c r="E276" s="61" t="s">
        <v>52</v>
      </c>
      <c r="F276" s="123" t="s">
        <v>407</v>
      </c>
      <c r="G276" s="123" t="s">
        <v>1056</v>
      </c>
      <c r="H276" s="61" t="s">
        <v>1057</v>
      </c>
      <c r="I276" s="125" t="s">
        <v>56</v>
      </c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</row>
    <row r="277">
      <c r="A277" s="137">
        <v>46287.0</v>
      </c>
      <c r="B277" s="55" t="s">
        <v>360</v>
      </c>
      <c r="C277" s="55" t="s">
        <v>910</v>
      </c>
      <c r="D277" s="65" t="s">
        <v>430</v>
      </c>
      <c r="E277" s="55" t="s">
        <v>52</v>
      </c>
      <c r="F277" s="55" t="s">
        <v>407</v>
      </c>
      <c r="G277" s="55" t="s">
        <v>1058</v>
      </c>
      <c r="H277" s="65" t="s">
        <v>1025</v>
      </c>
      <c r="I277" s="125" t="s">
        <v>56</v>
      </c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</row>
    <row r="278">
      <c r="A278" s="137">
        <v>46287.0</v>
      </c>
      <c r="B278" s="123" t="s">
        <v>62</v>
      </c>
      <c r="C278" s="123" t="s">
        <v>1059</v>
      </c>
      <c r="D278" s="61" t="s">
        <v>430</v>
      </c>
      <c r="E278" s="123" t="s">
        <v>52</v>
      </c>
      <c r="F278" s="123" t="s">
        <v>407</v>
      </c>
      <c r="G278" s="123" t="s">
        <v>1060</v>
      </c>
      <c r="H278" s="61" t="s">
        <v>1025</v>
      </c>
      <c r="I278" s="125" t="s">
        <v>56</v>
      </c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</row>
    <row r="279">
      <c r="A279" s="137">
        <v>46287.0</v>
      </c>
      <c r="B279" s="55" t="s">
        <v>62</v>
      </c>
      <c r="C279" s="55" t="s">
        <v>1045</v>
      </c>
      <c r="D279" s="65" t="s">
        <v>430</v>
      </c>
      <c r="E279" s="55" t="s">
        <v>52</v>
      </c>
      <c r="F279" s="55" t="s">
        <v>407</v>
      </c>
      <c r="G279" s="55" t="s">
        <v>1061</v>
      </c>
      <c r="H279" s="245" t="s">
        <v>1062</v>
      </c>
      <c r="I279" s="125" t="s">
        <v>56</v>
      </c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</row>
    <row r="280">
      <c r="A280" s="137">
        <v>46287.0</v>
      </c>
      <c r="B280" s="123" t="s">
        <v>124</v>
      </c>
      <c r="C280" s="123" t="s">
        <v>33</v>
      </c>
      <c r="D280" s="61" t="s">
        <v>430</v>
      </c>
      <c r="E280" s="123" t="s">
        <v>52</v>
      </c>
      <c r="F280" s="123" t="s">
        <v>407</v>
      </c>
      <c r="G280" s="123" t="s">
        <v>1063</v>
      </c>
      <c r="H280" s="61" t="s">
        <v>1064</v>
      </c>
      <c r="I280" s="125" t="s">
        <v>56</v>
      </c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</row>
    <row r="281">
      <c r="A281" s="137">
        <v>46287.0</v>
      </c>
      <c r="B281" s="55" t="s">
        <v>124</v>
      </c>
      <c r="C281" s="55" t="s">
        <v>33</v>
      </c>
      <c r="D281" s="65" t="s">
        <v>430</v>
      </c>
      <c r="E281" s="55" t="s">
        <v>52</v>
      </c>
      <c r="F281" s="55" t="s">
        <v>407</v>
      </c>
      <c r="G281" s="55" t="s">
        <v>1065</v>
      </c>
      <c r="H281" s="65" t="s">
        <v>1066</v>
      </c>
      <c r="I281" s="125" t="s">
        <v>56</v>
      </c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</row>
    <row r="282">
      <c r="A282" s="137">
        <v>46287.0</v>
      </c>
      <c r="B282" s="123" t="s">
        <v>360</v>
      </c>
      <c r="C282" s="123" t="s">
        <v>247</v>
      </c>
      <c r="D282" s="61" t="s">
        <v>430</v>
      </c>
      <c r="E282" s="123" t="s">
        <v>52</v>
      </c>
      <c r="F282" s="123" t="s">
        <v>407</v>
      </c>
      <c r="G282" s="123" t="s">
        <v>1067</v>
      </c>
      <c r="H282" s="61" t="s">
        <v>1068</v>
      </c>
      <c r="I282" s="125" t="s">
        <v>56</v>
      </c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</row>
    <row r="283">
      <c r="A283" s="137">
        <v>46287.0</v>
      </c>
      <c r="B283" s="55" t="s">
        <v>124</v>
      </c>
      <c r="C283" s="55" t="s">
        <v>241</v>
      </c>
      <c r="D283" s="65" t="s">
        <v>430</v>
      </c>
      <c r="E283" s="55" t="s">
        <v>52</v>
      </c>
      <c r="F283" s="65" t="s">
        <v>407</v>
      </c>
      <c r="G283" s="55" t="s">
        <v>1069</v>
      </c>
      <c r="H283" s="65" t="s">
        <v>1070</v>
      </c>
      <c r="I283" s="125" t="s">
        <v>56</v>
      </c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</row>
    <row r="284">
      <c r="A284" s="137">
        <v>46287.0</v>
      </c>
      <c r="B284" s="123" t="s">
        <v>124</v>
      </c>
      <c r="C284" s="123" t="s">
        <v>241</v>
      </c>
      <c r="D284" s="61" t="s">
        <v>430</v>
      </c>
      <c r="E284" s="123" t="s">
        <v>52</v>
      </c>
      <c r="F284" s="61" t="s">
        <v>407</v>
      </c>
      <c r="G284" s="123" t="s">
        <v>1071</v>
      </c>
      <c r="H284" s="123" t="s">
        <v>1072</v>
      </c>
      <c r="I284" s="125" t="s">
        <v>56</v>
      </c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</row>
    <row r="285">
      <c r="A285" s="137">
        <v>46287.0</v>
      </c>
      <c r="B285" s="55" t="s">
        <v>124</v>
      </c>
      <c r="C285" s="55" t="s">
        <v>241</v>
      </c>
      <c r="D285" s="65" t="s">
        <v>430</v>
      </c>
      <c r="E285" s="55" t="s">
        <v>52</v>
      </c>
      <c r="F285" s="55" t="s">
        <v>407</v>
      </c>
      <c r="G285" s="55" t="s">
        <v>1073</v>
      </c>
      <c r="H285" s="245" t="s">
        <v>1074</v>
      </c>
      <c r="I285" s="125" t="s">
        <v>56</v>
      </c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</row>
    <row r="286">
      <c r="A286" s="137">
        <v>46287.0</v>
      </c>
      <c r="B286" s="123" t="s">
        <v>124</v>
      </c>
      <c r="C286" s="123" t="s">
        <v>241</v>
      </c>
      <c r="D286" s="61" t="s">
        <v>430</v>
      </c>
      <c r="E286" s="123" t="s">
        <v>52</v>
      </c>
      <c r="F286" s="123" t="s">
        <v>407</v>
      </c>
      <c r="G286" s="123" t="s">
        <v>1075</v>
      </c>
      <c r="H286" s="123" t="s">
        <v>1076</v>
      </c>
      <c r="I286" s="125" t="s">
        <v>56</v>
      </c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</row>
    <row r="287">
      <c r="A287" s="137">
        <v>46287.0</v>
      </c>
      <c r="B287" s="55" t="s">
        <v>124</v>
      </c>
      <c r="C287" s="55" t="s">
        <v>241</v>
      </c>
      <c r="D287" s="65" t="s">
        <v>430</v>
      </c>
      <c r="E287" s="55" t="s">
        <v>52</v>
      </c>
      <c r="F287" s="55" t="s">
        <v>407</v>
      </c>
      <c r="G287" s="55" t="s">
        <v>1077</v>
      </c>
      <c r="H287" s="142" t="s">
        <v>1078</v>
      </c>
      <c r="I287" s="125" t="s">
        <v>56</v>
      </c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</row>
    <row r="288">
      <c r="A288" s="137">
        <v>46287.0</v>
      </c>
      <c r="B288" s="123" t="s">
        <v>124</v>
      </c>
      <c r="C288" s="123" t="s">
        <v>241</v>
      </c>
      <c r="D288" s="61" t="s">
        <v>430</v>
      </c>
      <c r="E288" s="123" t="s">
        <v>52</v>
      </c>
      <c r="F288" s="123" t="s">
        <v>407</v>
      </c>
      <c r="G288" s="123" t="s">
        <v>1079</v>
      </c>
      <c r="H288" s="142" t="s">
        <v>1080</v>
      </c>
      <c r="I288" s="125" t="s">
        <v>56</v>
      </c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</row>
    <row r="289">
      <c r="A289" s="137">
        <v>46287.0</v>
      </c>
      <c r="B289" s="55" t="s">
        <v>124</v>
      </c>
      <c r="C289" s="55" t="s">
        <v>241</v>
      </c>
      <c r="D289" s="65" t="s">
        <v>430</v>
      </c>
      <c r="E289" s="55" t="s">
        <v>52</v>
      </c>
      <c r="F289" s="55" t="s">
        <v>407</v>
      </c>
      <c r="G289" s="65" t="s">
        <v>1081</v>
      </c>
      <c r="H289" s="65" t="s">
        <v>1082</v>
      </c>
      <c r="I289" s="125" t="s">
        <v>56</v>
      </c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</row>
    <row r="290">
      <c r="A290" s="137">
        <v>46287.0</v>
      </c>
      <c r="B290" s="123" t="s">
        <v>124</v>
      </c>
      <c r="C290" s="61" t="s">
        <v>33</v>
      </c>
      <c r="D290" s="61" t="s">
        <v>430</v>
      </c>
      <c r="E290" s="123" t="s">
        <v>52</v>
      </c>
      <c r="F290" s="123" t="s">
        <v>407</v>
      </c>
      <c r="G290" s="61" t="s">
        <v>1083</v>
      </c>
      <c r="H290" s="61" t="s">
        <v>1082</v>
      </c>
      <c r="I290" s="125" t="s">
        <v>56</v>
      </c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</row>
    <row r="291">
      <c r="A291" s="137">
        <v>46287.0</v>
      </c>
      <c r="B291" s="55" t="s">
        <v>62</v>
      </c>
      <c r="C291" s="55" t="s">
        <v>1084</v>
      </c>
      <c r="D291" s="65" t="s">
        <v>430</v>
      </c>
      <c r="E291" s="55" t="s">
        <v>52</v>
      </c>
      <c r="F291" s="55" t="s">
        <v>407</v>
      </c>
      <c r="G291" s="55" t="s">
        <v>1085</v>
      </c>
      <c r="H291" s="65" t="s">
        <v>1082</v>
      </c>
      <c r="I291" s="125" t="s">
        <v>56</v>
      </c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</row>
    <row r="292">
      <c r="A292" s="137">
        <v>46287.0</v>
      </c>
      <c r="B292" s="123" t="s">
        <v>62</v>
      </c>
      <c r="C292" s="123" t="s">
        <v>1084</v>
      </c>
      <c r="D292" s="61" t="s">
        <v>430</v>
      </c>
      <c r="E292" s="123" t="s">
        <v>52</v>
      </c>
      <c r="F292" s="123" t="s">
        <v>407</v>
      </c>
      <c r="G292" s="123" t="s">
        <v>1086</v>
      </c>
      <c r="H292" s="142" t="s">
        <v>1087</v>
      </c>
      <c r="I292" s="125" t="s">
        <v>56</v>
      </c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</row>
    <row r="293">
      <c r="A293" s="137">
        <v>46287.0</v>
      </c>
      <c r="B293" s="55" t="s">
        <v>360</v>
      </c>
      <c r="C293" s="55" t="s">
        <v>250</v>
      </c>
      <c r="D293" s="65" t="s">
        <v>430</v>
      </c>
      <c r="E293" s="55" t="s">
        <v>52</v>
      </c>
      <c r="F293" s="55" t="s">
        <v>407</v>
      </c>
      <c r="G293" s="55" t="s">
        <v>1088</v>
      </c>
      <c r="H293" s="65" t="s">
        <v>1089</v>
      </c>
      <c r="I293" s="125" t="s">
        <v>56</v>
      </c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</row>
    <row r="294">
      <c r="A294" s="137">
        <v>46287.0</v>
      </c>
      <c r="B294" s="123" t="s">
        <v>360</v>
      </c>
      <c r="C294" s="123" t="s">
        <v>250</v>
      </c>
      <c r="D294" s="61" t="s">
        <v>430</v>
      </c>
      <c r="E294" s="123" t="s">
        <v>52</v>
      </c>
      <c r="F294" s="61" t="s">
        <v>407</v>
      </c>
      <c r="G294" s="123" t="s">
        <v>1090</v>
      </c>
      <c r="H294" s="61" t="s">
        <v>1091</v>
      </c>
      <c r="I294" s="125" t="s">
        <v>56</v>
      </c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</row>
    <row r="295">
      <c r="A295" s="137">
        <v>46287.0</v>
      </c>
      <c r="B295" s="55" t="s">
        <v>360</v>
      </c>
      <c r="C295" s="55" t="s">
        <v>250</v>
      </c>
      <c r="D295" s="65" t="s">
        <v>430</v>
      </c>
      <c r="E295" s="55" t="s">
        <v>52</v>
      </c>
      <c r="F295" s="65" t="s">
        <v>407</v>
      </c>
      <c r="G295" s="55" t="s">
        <v>1092</v>
      </c>
      <c r="H295" s="65" t="s">
        <v>1082</v>
      </c>
      <c r="I295" s="125" t="s">
        <v>56</v>
      </c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</row>
    <row r="296">
      <c r="A296" s="137">
        <v>46287.0</v>
      </c>
      <c r="B296" s="123" t="s">
        <v>360</v>
      </c>
      <c r="C296" s="61" t="s">
        <v>1093</v>
      </c>
      <c r="D296" s="61" t="s">
        <v>430</v>
      </c>
      <c r="E296" s="61" t="s">
        <v>52</v>
      </c>
      <c r="F296" s="61" t="s">
        <v>407</v>
      </c>
      <c r="G296" s="61" t="s">
        <v>1094</v>
      </c>
      <c r="H296" s="61" t="s">
        <v>1082</v>
      </c>
      <c r="I296" s="125" t="s">
        <v>56</v>
      </c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</row>
    <row r="297">
      <c r="A297" s="137">
        <v>46287.0</v>
      </c>
      <c r="B297" s="55" t="s">
        <v>360</v>
      </c>
      <c r="C297" s="65" t="s">
        <v>1093</v>
      </c>
      <c r="D297" s="65" t="s">
        <v>430</v>
      </c>
      <c r="E297" s="65" t="s">
        <v>52</v>
      </c>
      <c r="F297" s="65" t="s">
        <v>407</v>
      </c>
      <c r="G297" s="65" t="s">
        <v>1095</v>
      </c>
      <c r="H297" s="65" t="s">
        <v>1091</v>
      </c>
      <c r="I297" s="125" t="s">
        <v>56</v>
      </c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</row>
    <row r="298">
      <c r="A298" s="137">
        <v>46287.0</v>
      </c>
      <c r="B298" s="123" t="s">
        <v>62</v>
      </c>
      <c r="C298" s="61" t="s">
        <v>1096</v>
      </c>
      <c r="D298" s="61" t="s">
        <v>430</v>
      </c>
      <c r="E298" s="61" t="s">
        <v>52</v>
      </c>
      <c r="F298" s="61" t="s">
        <v>407</v>
      </c>
      <c r="G298" s="61" t="s">
        <v>1097</v>
      </c>
      <c r="H298" s="61" t="s">
        <v>1082</v>
      </c>
      <c r="I298" s="125" t="s">
        <v>56</v>
      </c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</row>
    <row r="299">
      <c r="A299" s="137">
        <v>46287.0</v>
      </c>
      <c r="B299" s="55" t="s">
        <v>360</v>
      </c>
      <c r="C299" s="65" t="s">
        <v>246</v>
      </c>
      <c r="D299" s="65" t="s">
        <v>430</v>
      </c>
      <c r="E299" s="65" t="s">
        <v>52</v>
      </c>
      <c r="F299" s="65" t="s">
        <v>407</v>
      </c>
      <c r="G299" s="65" t="s">
        <v>1098</v>
      </c>
      <c r="H299" s="65" t="s">
        <v>1082</v>
      </c>
      <c r="I299" s="125" t="s">
        <v>56</v>
      </c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</row>
    <row r="300">
      <c r="A300" s="137">
        <v>46287.0</v>
      </c>
      <c r="B300" s="123" t="s">
        <v>360</v>
      </c>
      <c r="C300" s="61" t="s">
        <v>246</v>
      </c>
      <c r="D300" s="61" t="s">
        <v>430</v>
      </c>
      <c r="E300" s="61" t="s">
        <v>52</v>
      </c>
      <c r="F300" s="61" t="s">
        <v>407</v>
      </c>
      <c r="G300" s="61" t="s">
        <v>1099</v>
      </c>
      <c r="H300" s="61" t="s">
        <v>1100</v>
      </c>
      <c r="I300" s="125" t="s">
        <v>56</v>
      </c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</row>
    <row r="301">
      <c r="A301" s="137">
        <v>46287.0</v>
      </c>
      <c r="B301" s="55" t="s">
        <v>360</v>
      </c>
      <c r="C301" s="65" t="s">
        <v>247</v>
      </c>
      <c r="D301" s="65" t="s">
        <v>430</v>
      </c>
      <c r="E301" s="65" t="s">
        <v>52</v>
      </c>
      <c r="F301" s="65" t="s">
        <v>407</v>
      </c>
      <c r="G301" s="65" t="s">
        <v>1101</v>
      </c>
      <c r="H301" s="65" t="s">
        <v>1082</v>
      </c>
      <c r="I301" s="125" t="s">
        <v>56</v>
      </c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</row>
    <row r="302">
      <c r="A302" s="137">
        <v>46287.0</v>
      </c>
      <c r="B302" s="123" t="s">
        <v>360</v>
      </c>
      <c r="C302" s="61" t="s">
        <v>247</v>
      </c>
      <c r="D302" s="61" t="s">
        <v>430</v>
      </c>
      <c r="E302" s="61" t="s">
        <v>52</v>
      </c>
      <c r="F302" s="61" t="s">
        <v>407</v>
      </c>
      <c r="G302" s="61" t="s">
        <v>1102</v>
      </c>
      <c r="H302" s="61" t="s">
        <v>1100</v>
      </c>
      <c r="I302" s="125" t="s">
        <v>56</v>
      </c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</row>
    <row r="303">
      <c r="A303" s="137">
        <v>46287.0</v>
      </c>
      <c r="B303" s="161" t="s">
        <v>124</v>
      </c>
      <c r="C303" s="161" t="s">
        <v>581</v>
      </c>
      <c r="D303" s="161" t="s">
        <v>430</v>
      </c>
      <c r="E303" s="161" t="s">
        <v>586</v>
      </c>
      <c r="F303" s="65" t="s">
        <v>407</v>
      </c>
      <c r="G303" s="161" t="s">
        <v>1103</v>
      </c>
      <c r="H303" s="161" t="s">
        <v>1104</v>
      </c>
      <c r="I303" s="125" t="s">
        <v>56</v>
      </c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</row>
    <row r="304">
      <c r="A304" s="137">
        <v>46287.0</v>
      </c>
      <c r="B304" s="55" t="s">
        <v>124</v>
      </c>
      <c r="C304" s="55" t="s">
        <v>581</v>
      </c>
      <c r="D304" s="55" t="s">
        <v>430</v>
      </c>
      <c r="E304" s="161" t="s">
        <v>586</v>
      </c>
      <c r="F304" s="61" t="s">
        <v>407</v>
      </c>
      <c r="G304" s="162" t="s">
        <v>1105</v>
      </c>
      <c r="H304" s="55" t="s">
        <v>1106</v>
      </c>
      <c r="I304" s="125" t="s">
        <v>56</v>
      </c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</row>
    <row r="305">
      <c r="A305" s="137">
        <v>46287.0</v>
      </c>
      <c r="B305" s="55" t="s">
        <v>124</v>
      </c>
      <c r="C305" s="55" t="s">
        <v>581</v>
      </c>
      <c r="D305" s="161" t="s">
        <v>430</v>
      </c>
      <c r="E305" s="161" t="s">
        <v>586</v>
      </c>
      <c r="F305" s="65" t="s">
        <v>407</v>
      </c>
      <c r="G305" s="161" t="s">
        <v>1107</v>
      </c>
      <c r="H305" s="55" t="s">
        <v>1108</v>
      </c>
      <c r="I305" s="125" t="s">
        <v>56</v>
      </c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</row>
    <row r="306">
      <c r="A306" s="137">
        <v>46287.0</v>
      </c>
      <c r="B306" s="55" t="s">
        <v>62</v>
      </c>
      <c r="C306" s="55" t="s">
        <v>1109</v>
      </c>
      <c r="D306" s="161" t="s">
        <v>430</v>
      </c>
      <c r="E306" s="161" t="s">
        <v>586</v>
      </c>
      <c r="F306" s="61" t="s">
        <v>407</v>
      </c>
      <c r="G306" s="162" t="s">
        <v>1110</v>
      </c>
      <c r="H306" s="55" t="s">
        <v>1111</v>
      </c>
      <c r="I306" s="125" t="s">
        <v>56</v>
      </c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</row>
    <row r="307">
      <c r="A307" s="137">
        <v>46287.0</v>
      </c>
      <c r="B307" s="55" t="s">
        <v>62</v>
      </c>
      <c r="C307" s="55" t="s">
        <v>1109</v>
      </c>
      <c r="D307" s="161" t="s">
        <v>430</v>
      </c>
      <c r="E307" s="161" t="s">
        <v>586</v>
      </c>
      <c r="F307" s="65" t="s">
        <v>407</v>
      </c>
      <c r="G307" s="161" t="s">
        <v>1112</v>
      </c>
      <c r="H307" s="55" t="s">
        <v>1113</v>
      </c>
      <c r="I307" s="125" t="s">
        <v>56</v>
      </c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>
      <c r="A308" s="137">
        <v>46287.0</v>
      </c>
      <c r="B308" s="55" t="s">
        <v>62</v>
      </c>
      <c r="C308" s="55" t="s">
        <v>1109</v>
      </c>
      <c r="D308" s="161" t="s">
        <v>430</v>
      </c>
      <c r="E308" s="161" t="s">
        <v>586</v>
      </c>
      <c r="F308" s="61" t="s">
        <v>407</v>
      </c>
      <c r="G308" s="162" t="s">
        <v>1114</v>
      </c>
      <c r="H308" s="55" t="s">
        <v>1115</v>
      </c>
      <c r="I308" s="125" t="s">
        <v>56</v>
      </c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</row>
    <row r="309">
      <c r="A309" s="137">
        <v>46287.0</v>
      </c>
      <c r="B309" s="55" t="s">
        <v>62</v>
      </c>
      <c r="C309" s="55" t="s">
        <v>1109</v>
      </c>
      <c r="D309" s="161" t="s">
        <v>430</v>
      </c>
      <c r="E309" s="161" t="s">
        <v>586</v>
      </c>
      <c r="F309" s="65" t="s">
        <v>407</v>
      </c>
      <c r="G309" s="161" t="s">
        <v>1116</v>
      </c>
      <c r="H309" s="55" t="s">
        <v>1106</v>
      </c>
      <c r="I309" s="125" t="s">
        <v>56</v>
      </c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</row>
    <row r="310">
      <c r="A310" s="137">
        <v>46287.0</v>
      </c>
      <c r="B310" s="161" t="s">
        <v>124</v>
      </c>
      <c r="C310" s="161" t="s">
        <v>563</v>
      </c>
      <c r="D310" s="161" t="s">
        <v>803</v>
      </c>
      <c r="E310" s="55" t="s">
        <v>105</v>
      </c>
      <c r="F310" s="61" t="s">
        <v>407</v>
      </c>
      <c r="G310" s="161" t="s">
        <v>1117</v>
      </c>
      <c r="H310" s="161" t="s">
        <v>1118</v>
      </c>
      <c r="I310" s="125" t="s">
        <v>56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</row>
    <row r="311">
      <c r="A311" s="137">
        <v>46287.0</v>
      </c>
      <c r="B311" s="55" t="s">
        <v>360</v>
      </c>
      <c r="C311" s="55" t="s">
        <v>1119</v>
      </c>
      <c r="D311" s="55" t="s">
        <v>405</v>
      </c>
      <c r="E311" s="55" t="s">
        <v>105</v>
      </c>
      <c r="F311" s="65" t="s">
        <v>407</v>
      </c>
      <c r="G311" s="55" t="s">
        <v>1120</v>
      </c>
      <c r="H311" s="55" t="s">
        <v>1121</v>
      </c>
      <c r="I311" s="125" t="s">
        <v>56</v>
      </c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</row>
    <row r="312">
      <c r="A312" s="137">
        <v>46287.0</v>
      </c>
      <c r="B312" s="55" t="s">
        <v>360</v>
      </c>
      <c r="C312" s="55" t="s">
        <v>1119</v>
      </c>
      <c r="D312" s="55" t="s">
        <v>405</v>
      </c>
      <c r="E312" s="55" t="s">
        <v>105</v>
      </c>
      <c r="F312" s="61" t="s">
        <v>407</v>
      </c>
      <c r="G312" s="55" t="s">
        <v>1122</v>
      </c>
      <c r="H312" s="55" t="s">
        <v>1123</v>
      </c>
      <c r="I312" s="125" t="s">
        <v>56</v>
      </c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</row>
    <row r="313">
      <c r="A313" s="137">
        <v>46287.0</v>
      </c>
      <c r="B313" s="55" t="s">
        <v>360</v>
      </c>
      <c r="C313" s="55" t="s">
        <v>1119</v>
      </c>
      <c r="D313" s="55" t="s">
        <v>405</v>
      </c>
      <c r="E313" s="55" t="s">
        <v>105</v>
      </c>
      <c r="F313" s="65" t="s">
        <v>407</v>
      </c>
      <c r="G313" s="55" t="s">
        <v>1124</v>
      </c>
      <c r="H313" s="55" t="s">
        <v>1125</v>
      </c>
      <c r="I313" s="125" t="s">
        <v>56</v>
      </c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</row>
    <row r="314">
      <c r="A314" s="137">
        <v>46287.0</v>
      </c>
      <c r="B314" s="55" t="s">
        <v>360</v>
      </c>
      <c r="C314" s="55" t="s">
        <v>1126</v>
      </c>
      <c r="D314" s="55" t="s">
        <v>430</v>
      </c>
      <c r="E314" s="55" t="s">
        <v>105</v>
      </c>
      <c r="F314" s="61" t="s">
        <v>407</v>
      </c>
      <c r="G314" s="55" t="s">
        <v>1127</v>
      </c>
      <c r="H314" s="55" t="s">
        <v>1128</v>
      </c>
      <c r="I314" s="125" t="s">
        <v>56</v>
      </c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</row>
    <row r="315">
      <c r="A315" s="137">
        <v>46287.0</v>
      </c>
      <c r="B315" s="55" t="s">
        <v>360</v>
      </c>
      <c r="C315" s="55" t="s">
        <v>1126</v>
      </c>
      <c r="D315" s="55" t="s">
        <v>430</v>
      </c>
      <c r="E315" s="55" t="s">
        <v>105</v>
      </c>
      <c r="F315" s="65" t="s">
        <v>407</v>
      </c>
      <c r="G315" s="55" t="s">
        <v>1129</v>
      </c>
      <c r="H315" s="55" t="s">
        <v>1130</v>
      </c>
      <c r="I315" s="125" t="s">
        <v>56</v>
      </c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</row>
    <row r="316">
      <c r="A316" s="137">
        <v>46287.0</v>
      </c>
      <c r="B316" s="55" t="s">
        <v>124</v>
      </c>
      <c r="C316" s="55" t="s">
        <v>563</v>
      </c>
      <c r="D316" s="55" t="s">
        <v>405</v>
      </c>
      <c r="E316" s="55" t="s">
        <v>105</v>
      </c>
      <c r="F316" s="61" t="s">
        <v>407</v>
      </c>
      <c r="G316" s="161" t="s">
        <v>1131</v>
      </c>
      <c r="H316" s="55" t="s">
        <v>1132</v>
      </c>
      <c r="I316" s="125" t="s">
        <v>56</v>
      </c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</row>
    <row r="317">
      <c r="A317" s="137">
        <v>46287.0</v>
      </c>
      <c r="B317" s="55" t="s">
        <v>62</v>
      </c>
      <c r="C317" s="55" t="s">
        <v>77</v>
      </c>
      <c r="D317" s="55" t="s">
        <v>430</v>
      </c>
      <c r="E317" s="55" t="s">
        <v>105</v>
      </c>
      <c r="F317" s="65" t="s">
        <v>407</v>
      </c>
      <c r="G317" s="55" t="s">
        <v>1133</v>
      </c>
      <c r="H317" s="55" t="s">
        <v>1134</v>
      </c>
      <c r="I317" s="125" t="s">
        <v>56</v>
      </c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</row>
    <row r="318">
      <c r="A318" s="137">
        <v>46287.0</v>
      </c>
      <c r="B318" s="55" t="s">
        <v>379</v>
      </c>
      <c r="C318" s="55" t="s">
        <v>1135</v>
      </c>
      <c r="D318" s="55" t="s">
        <v>430</v>
      </c>
      <c r="E318" s="55" t="s">
        <v>105</v>
      </c>
      <c r="F318" s="61" t="s">
        <v>407</v>
      </c>
      <c r="G318" s="55" t="s">
        <v>1136</v>
      </c>
      <c r="H318" s="55" t="s">
        <v>1137</v>
      </c>
      <c r="I318" s="125" t="s">
        <v>56</v>
      </c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</row>
    <row r="319">
      <c r="A319" s="137">
        <v>46287.0</v>
      </c>
      <c r="B319" s="161" t="s">
        <v>124</v>
      </c>
      <c r="C319" s="161" t="s">
        <v>420</v>
      </c>
      <c r="D319" s="161" t="s">
        <v>430</v>
      </c>
      <c r="E319" s="161" t="s">
        <v>105</v>
      </c>
      <c r="F319" s="65" t="s">
        <v>407</v>
      </c>
      <c r="G319" s="161" t="s">
        <v>1138</v>
      </c>
      <c r="H319" s="161" t="s">
        <v>1139</v>
      </c>
      <c r="I319" s="125" t="s">
        <v>56</v>
      </c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</row>
    <row r="320">
      <c r="A320" s="137">
        <v>46287.0</v>
      </c>
      <c r="B320" s="161" t="s">
        <v>124</v>
      </c>
      <c r="C320" s="161" t="s">
        <v>420</v>
      </c>
      <c r="D320" s="161" t="s">
        <v>430</v>
      </c>
      <c r="E320" s="161" t="s">
        <v>105</v>
      </c>
      <c r="F320" s="61" t="s">
        <v>407</v>
      </c>
      <c r="G320" s="161" t="s">
        <v>1140</v>
      </c>
      <c r="H320" s="55" t="s">
        <v>1141</v>
      </c>
      <c r="I320" s="125" t="s">
        <v>56</v>
      </c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</row>
    <row r="321">
      <c r="A321" s="137">
        <v>46287.0</v>
      </c>
      <c r="B321" s="161" t="s">
        <v>124</v>
      </c>
      <c r="C321" s="161" t="s">
        <v>420</v>
      </c>
      <c r="D321" s="161" t="s">
        <v>430</v>
      </c>
      <c r="E321" s="161" t="s">
        <v>105</v>
      </c>
      <c r="F321" s="65" t="s">
        <v>407</v>
      </c>
      <c r="G321" s="161" t="s">
        <v>1142</v>
      </c>
      <c r="H321" s="55" t="s">
        <v>1143</v>
      </c>
      <c r="I321" s="125" t="s">
        <v>56</v>
      </c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</row>
    <row r="322">
      <c r="A322" s="137">
        <v>46287.0</v>
      </c>
      <c r="B322" s="161" t="s">
        <v>124</v>
      </c>
      <c r="C322" s="161" t="s">
        <v>420</v>
      </c>
      <c r="D322" s="161" t="s">
        <v>430</v>
      </c>
      <c r="E322" s="161" t="s">
        <v>105</v>
      </c>
      <c r="F322" s="61" t="s">
        <v>407</v>
      </c>
      <c r="G322" s="161" t="s">
        <v>1144</v>
      </c>
      <c r="H322" s="55" t="s">
        <v>1143</v>
      </c>
      <c r="I322" s="125" t="s">
        <v>56</v>
      </c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</row>
    <row r="323">
      <c r="A323" s="137">
        <v>46287.0</v>
      </c>
      <c r="B323" s="161" t="s">
        <v>124</v>
      </c>
      <c r="C323" s="161" t="s">
        <v>420</v>
      </c>
      <c r="D323" s="161" t="s">
        <v>430</v>
      </c>
      <c r="E323" s="161" t="s">
        <v>105</v>
      </c>
      <c r="F323" s="65" t="s">
        <v>407</v>
      </c>
      <c r="G323" s="161" t="s">
        <v>1145</v>
      </c>
      <c r="H323" s="55" t="s">
        <v>1146</v>
      </c>
      <c r="I323" s="125" t="s">
        <v>56</v>
      </c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</row>
    <row r="324">
      <c r="A324" s="137">
        <v>46287.0</v>
      </c>
      <c r="B324" s="161" t="s">
        <v>124</v>
      </c>
      <c r="C324" s="161" t="s">
        <v>420</v>
      </c>
      <c r="D324" s="161" t="s">
        <v>430</v>
      </c>
      <c r="E324" s="161" t="s">
        <v>105</v>
      </c>
      <c r="F324" s="61" t="s">
        <v>407</v>
      </c>
      <c r="G324" s="161" t="s">
        <v>1147</v>
      </c>
      <c r="H324" s="55" t="s">
        <v>1130</v>
      </c>
      <c r="I324" s="125" t="s">
        <v>56</v>
      </c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</row>
    <row r="325">
      <c r="A325" s="137">
        <v>46287.0</v>
      </c>
      <c r="B325" s="55" t="s">
        <v>360</v>
      </c>
      <c r="C325" s="55" t="s">
        <v>1148</v>
      </c>
      <c r="D325" s="55" t="s">
        <v>430</v>
      </c>
      <c r="E325" s="161" t="s">
        <v>105</v>
      </c>
      <c r="F325" s="65" t="s">
        <v>407</v>
      </c>
      <c r="G325" s="55" t="s">
        <v>1149</v>
      </c>
      <c r="H325" s="55" t="s">
        <v>1130</v>
      </c>
      <c r="I325" s="125" t="s">
        <v>56</v>
      </c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</row>
    <row r="326">
      <c r="A326" s="137">
        <v>46287.0</v>
      </c>
      <c r="B326" s="55" t="s">
        <v>360</v>
      </c>
      <c r="C326" s="55" t="s">
        <v>1119</v>
      </c>
      <c r="D326" s="55" t="s">
        <v>430</v>
      </c>
      <c r="E326" s="161" t="s">
        <v>105</v>
      </c>
      <c r="F326" s="61" t="s">
        <v>407</v>
      </c>
      <c r="G326" s="55" t="s">
        <v>1150</v>
      </c>
      <c r="H326" s="55" t="s">
        <v>1130</v>
      </c>
      <c r="I326" s="125" t="s">
        <v>56</v>
      </c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</row>
    <row r="327">
      <c r="A327" s="137">
        <v>46287.0</v>
      </c>
      <c r="B327" s="55" t="s">
        <v>62</v>
      </c>
      <c r="C327" s="55" t="s">
        <v>77</v>
      </c>
      <c r="D327" s="55" t="s">
        <v>430</v>
      </c>
      <c r="E327" s="161" t="s">
        <v>105</v>
      </c>
      <c r="F327" s="65" t="s">
        <v>407</v>
      </c>
      <c r="G327" s="55" t="s">
        <v>1151</v>
      </c>
      <c r="H327" s="55" t="s">
        <v>1152</v>
      </c>
      <c r="I327" s="125" t="s">
        <v>56</v>
      </c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</row>
    <row r="328">
      <c r="A328" s="137">
        <v>46287.0</v>
      </c>
      <c r="B328" s="55" t="s">
        <v>124</v>
      </c>
      <c r="C328" s="55" t="s">
        <v>374</v>
      </c>
      <c r="D328" s="55" t="s">
        <v>430</v>
      </c>
      <c r="E328" s="161" t="s">
        <v>105</v>
      </c>
      <c r="F328" s="61" t="s">
        <v>407</v>
      </c>
      <c r="G328" s="55" t="s">
        <v>1153</v>
      </c>
      <c r="H328" s="55" t="s">
        <v>1154</v>
      </c>
      <c r="I328" s="125" t="s">
        <v>56</v>
      </c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</row>
    <row r="329">
      <c r="A329" s="137">
        <v>46287.0</v>
      </c>
      <c r="B329" s="55" t="s">
        <v>124</v>
      </c>
      <c r="C329" s="55" t="s">
        <v>374</v>
      </c>
      <c r="D329" s="55" t="s">
        <v>430</v>
      </c>
      <c r="E329" s="161" t="s">
        <v>105</v>
      </c>
      <c r="F329" s="65" t="s">
        <v>407</v>
      </c>
      <c r="G329" s="55" t="s">
        <v>1155</v>
      </c>
      <c r="H329" s="55" t="s">
        <v>1156</v>
      </c>
      <c r="I329" s="125" t="s">
        <v>56</v>
      </c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</row>
    <row r="330">
      <c r="A330" s="137">
        <v>46287.0</v>
      </c>
      <c r="B330" s="55" t="s">
        <v>124</v>
      </c>
      <c r="C330" s="55" t="s">
        <v>125</v>
      </c>
      <c r="D330" s="55" t="s">
        <v>430</v>
      </c>
      <c r="E330" s="161" t="s">
        <v>105</v>
      </c>
      <c r="F330" s="61" t="s">
        <v>407</v>
      </c>
      <c r="G330" s="55" t="s">
        <v>1157</v>
      </c>
      <c r="H330" s="55" t="s">
        <v>1154</v>
      </c>
      <c r="I330" s="125" t="s">
        <v>56</v>
      </c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</row>
    <row r="331">
      <c r="A331" s="137">
        <v>46287.0</v>
      </c>
      <c r="B331" s="55" t="s">
        <v>379</v>
      </c>
      <c r="C331" s="55" t="s">
        <v>1158</v>
      </c>
      <c r="D331" s="55" t="s">
        <v>430</v>
      </c>
      <c r="E331" s="161" t="s">
        <v>105</v>
      </c>
      <c r="F331" s="65" t="s">
        <v>407</v>
      </c>
      <c r="G331" s="55" t="s">
        <v>1159</v>
      </c>
      <c r="H331" s="55" t="s">
        <v>1160</v>
      </c>
      <c r="I331" s="125" t="s">
        <v>56</v>
      </c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</row>
    <row r="332">
      <c r="A332" s="137">
        <v>46287.0</v>
      </c>
      <c r="B332" s="123" t="s">
        <v>62</v>
      </c>
      <c r="C332" s="123" t="s">
        <v>79</v>
      </c>
      <c r="D332" s="65" t="s">
        <v>430</v>
      </c>
      <c r="E332" s="123" t="s">
        <v>84</v>
      </c>
      <c r="F332" s="123" t="s">
        <v>407</v>
      </c>
      <c r="G332" s="123" t="s">
        <v>1161</v>
      </c>
      <c r="H332" s="61" t="s">
        <v>1162</v>
      </c>
      <c r="I332" s="125" t="s">
        <v>56</v>
      </c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</row>
    <row r="333">
      <c r="A333" s="137">
        <v>46287.0</v>
      </c>
      <c r="B333" s="55" t="s">
        <v>62</v>
      </c>
      <c r="C333" s="55" t="s">
        <v>79</v>
      </c>
      <c r="D333" s="65" t="s">
        <v>430</v>
      </c>
      <c r="E333" s="55" t="s">
        <v>84</v>
      </c>
      <c r="F333" s="55" t="s">
        <v>407</v>
      </c>
      <c r="G333" s="55" t="s">
        <v>1163</v>
      </c>
      <c r="H333" s="65" t="s">
        <v>1164</v>
      </c>
      <c r="I333" s="125" t="s">
        <v>56</v>
      </c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</row>
    <row r="334">
      <c r="A334" s="137">
        <v>46287.0</v>
      </c>
      <c r="B334" s="123" t="s">
        <v>62</v>
      </c>
      <c r="C334" s="123" t="s">
        <v>79</v>
      </c>
      <c r="D334" s="65" t="s">
        <v>430</v>
      </c>
      <c r="E334" s="123" t="s">
        <v>84</v>
      </c>
      <c r="F334" s="123" t="s">
        <v>407</v>
      </c>
      <c r="G334" s="123" t="s">
        <v>1165</v>
      </c>
      <c r="H334" s="61" t="s">
        <v>1166</v>
      </c>
      <c r="I334" s="125" t="s">
        <v>56</v>
      </c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</row>
    <row r="335">
      <c r="A335" s="137">
        <v>46287.0</v>
      </c>
      <c r="B335" s="55" t="s">
        <v>62</v>
      </c>
      <c r="C335" s="55" t="s">
        <v>79</v>
      </c>
      <c r="D335" s="65" t="s">
        <v>430</v>
      </c>
      <c r="E335" s="55" t="s">
        <v>84</v>
      </c>
      <c r="F335" s="55" t="s">
        <v>407</v>
      </c>
      <c r="G335" s="55" t="s">
        <v>1167</v>
      </c>
      <c r="H335" s="55" t="s">
        <v>1168</v>
      </c>
      <c r="I335" s="125" t="s">
        <v>56</v>
      </c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</row>
    <row r="336">
      <c r="A336" s="137">
        <v>46287.0</v>
      </c>
      <c r="B336" s="123" t="s">
        <v>62</v>
      </c>
      <c r="C336" s="123" t="s">
        <v>79</v>
      </c>
      <c r="D336" s="65" t="s">
        <v>430</v>
      </c>
      <c r="E336" s="123" t="s">
        <v>84</v>
      </c>
      <c r="F336" s="123" t="s">
        <v>407</v>
      </c>
      <c r="G336" s="61" t="s">
        <v>1169</v>
      </c>
      <c r="H336" s="61" t="s">
        <v>1170</v>
      </c>
      <c r="I336" s="125" t="s">
        <v>56</v>
      </c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</row>
    <row r="337">
      <c r="A337" s="137">
        <v>46287.0</v>
      </c>
      <c r="B337" s="55" t="s">
        <v>62</v>
      </c>
      <c r="C337" s="55" t="s">
        <v>79</v>
      </c>
      <c r="D337" s="65" t="s">
        <v>430</v>
      </c>
      <c r="E337" s="55" t="s">
        <v>84</v>
      </c>
      <c r="F337" s="55" t="s">
        <v>407</v>
      </c>
      <c r="G337" s="55" t="s">
        <v>1171</v>
      </c>
      <c r="H337" s="65" t="s">
        <v>1172</v>
      </c>
      <c r="I337" s="125" t="s">
        <v>56</v>
      </c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</row>
    <row r="338">
      <c r="A338" s="137">
        <v>46287.0</v>
      </c>
      <c r="B338" s="123" t="s">
        <v>62</v>
      </c>
      <c r="C338" s="123" t="s">
        <v>79</v>
      </c>
      <c r="D338" s="65" t="s">
        <v>430</v>
      </c>
      <c r="E338" s="123" t="s">
        <v>84</v>
      </c>
      <c r="F338" s="123" t="s">
        <v>407</v>
      </c>
      <c r="G338" s="123" t="s">
        <v>1173</v>
      </c>
      <c r="H338" s="61" t="s">
        <v>618</v>
      </c>
      <c r="I338" s="125" t="s">
        <v>56</v>
      </c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</row>
    <row r="339">
      <c r="A339" s="137">
        <v>46287.0</v>
      </c>
      <c r="B339" s="65" t="s">
        <v>360</v>
      </c>
      <c r="C339" s="55" t="s">
        <v>1174</v>
      </c>
      <c r="D339" s="65" t="s">
        <v>430</v>
      </c>
      <c r="E339" s="55" t="s">
        <v>84</v>
      </c>
      <c r="F339" s="55" t="s">
        <v>407</v>
      </c>
      <c r="G339" s="55" t="s">
        <v>1175</v>
      </c>
      <c r="H339" s="65" t="s">
        <v>1176</v>
      </c>
      <c r="I339" s="125" t="s">
        <v>56</v>
      </c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</row>
    <row r="340">
      <c r="A340" s="137">
        <v>46287.0</v>
      </c>
      <c r="B340" s="61" t="s">
        <v>360</v>
      </c>
      <c r="C340" s="123" t="s">
        <v>1174</v>
      </c>
      <c r="D340" s="65" t="s">
        <v>430</v>
      </c>
      <c r="E340" s="123" t="s">
        <v>84</v>
      </c>
      <c r="F340" s="123" t="s">
        <v>407</v>
      </c>
      <c r="G340" s="123" t="s">
        <v>1177</v>
      </c>
      <c r="H340" s="61" t="s">
        <v>1178</v>
      </c>
      <c r="I340" s="125" t="s">
        <v>56</v>
      </c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</row>
    <row r="341">
      <c r="A341" s="137">
        <v>46287.0</v>
      </c>
      <c r="B341" s="65" t="s">
        <v>360</v>
      </c>
      <c r="C341" s="55" t="s">
        <v>1174</v>
      </c>
      <c r="D341" s="65" t="s">
        <v>430</v>
      </c>
      <c r="E341" s="55" t="s">
        <v>84</v>
      </c>
      <c r="F341" s="55" t="s">
        <v>407</v>
      </c>
      <c r="G341" s="55" t="s">
        <v>1179</v>
      </c>
      <c r="H341" s="65" t="s">
        <v>618</v>
      </c>
      <c r="I341" s="125" t="s">
        <v>56</v>
      </c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</row>
    <row r="342">
      <c r="A342" s="137">
        <v>46287.0</v>
      </c>
      <c r="B342" s="123" t="s">
        <v>360</v>
      </c>
      <c r="C342" s="123" t="s">
        <v>288</v>
      </c>
      <c r="D342" s="123" t="s">
        <v>405</v>
      </c>
      <c r="E342" s="123" t="s">
        <v>75</v>
      </c>
      <c r="F342" s="123" t="s">
        <v>407</v>
      </c>
      <c r="G342" s="123" t="s">
        <v>1180</v>
      </c>
      <c r="H342" s="123" t="s">
        <v>1181</v>
      </c>
      <c r="I342" s="125" t="s">
        <v>56</v>
      </c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</row>
    <row r="343">
      <c r="A343" s="137">
        <v>46287.0</v>
      </c>
      <c r="B343" s="55" t="s">
        <v>124</v>
      </c>
      <c r="C343" s="55" t="s">
        <v>465</v>
      </c>
      <c r="D343" s="55" t="s">
        <v>405</v>
      </c>
      <c r="E343" s="55" t="s">
        <v>75</v>
      </c>
      <c r="F343" s="55" t="s">
        <v>407</v>
      </c>
      <c r="G343" s="55" t="s">
        <v>1182</v>
      </c>
      <c r="H343" s="55" t="s">
        <v>1183</v>
      </c>
      <c r="I343" s="125" t="s">
        <v>56</v>
      </c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</row>
    <row r="344">
      <c r="A344" s="137">
        <v>46287.0</v>
      </c>
      <c r="B344" s="123" t="s">
        <v>124</v>
      </c>
      <c r="C344" s="123" t="s">
        <v>465</v>
      </c>
      <c r="D344" s="123" t="s">
        <v>405</v>
      </c>
      <c r="E344" s="123" t="s">
        <v>75</v>
      </c>
      <c r="F344" s="123" t="s">
        <v>407</v>
      </c>
      <c r="G344" s="123" t="s">
        <v>1184</v>
      </c>
      <c r="H344" s="123" t="s">
        <v>1185</v>
      </c>
      <c r="I344" s="125" t="s">
        <v>56</v>
      </c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</row>
    <row r="345">
      <c r="A345" s="137">
        <v>46287.0</v>
      </c>
      <c r="B345" s="55" t="s">
        <v>124</v>
      </c>
      <c r="C345" s="55" t="s">
        <v>465</v>
      </c>
      <c r="D345" s="55" t="s">
        <v>405</v>
      </c>
      <c r="E345" s="55" t="s">
        <v>75</v>
      </c>
      <c r="F345" s="55" t="s">
        <v>407</v>
      </c>
      <c r="G345" s="55" t="s">
        <v>1186</v>
      </c>
      <c r="H345" s="55" t="s">
        <v>1187</v>
      </c>
      <c r="I345" s="125" t="s">
        <v>56</v>
      </c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</row>
    <row r="346">
      <c r="A346" s="137">
        <v>46287.0</v>
      </c>
      <c r="B346" s="123" t="s">
        <v>124</v>
      </c>
      <c r="C346" s="123" t="s">
        <v>465</v>
      </c>
      <c r="D346" s="123" t="s">
        <v>405</v>
      </c>
      <c r="E346" s="123" t="s">
        <v>75</v>
      </c>
      <c r="F346" s="123" t="s">
        <v>407</v>
      </c>
      <c r="G346" s="123" t="s">
        <v>1188</v>
      </c>
      <c r="H346" s="123" t="s">
        <v>1189</v>
      </c>
      <c r="I346" s="125" t="s">
        <v>56</v>
      </c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</row>
    <row r="347">
      <c r="A347" s="137">
        <v>46287.0</v>
      </c>
      <c r="B347" s="55" t="s">
        <v>124</v>
      </c>
      <c r="C347" s="55" t="s">
        <v>465</v>
      </c>
      <c r="D347" s="55" t="s">
        <v>405</v>
      </c>
      <c r="E347" s="55" t="s">
        <v>75</v>
      </c>
      <c r="F347" s="55" t="s">
        <v>407</v>
      </c>
      <c r="G347" s="55" t="s">
        <v>1190</v>
      </c>
      <c r="H347" s="55" t="s">
        <v>1191</v>
      </c>
      <c r="I347" s="125" t="s">
        <v>56</v>
      </c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</row>
    <row r="348">
      <c r="A348" s="137">
        <v>46287.0</v>
      </c>
      <c r="B348" s="123" t="s">
        <v>124</v>
      </c>
      <c r="C348" s="123" t="s">
        <v>465</v>
      </c>
      <c r="D348" s="123" t="s">
        <v>405</v>
      </c>
      <c r="E348" s="123" t="s">
        <v>75</v>
      </c>
      <c r="F348" s="123" t="s">
        <v>407</v>
      </c>
      <c r="G348" s="123" t="s">
        <v>1192</v>
      </c>
      <c r="H348" s="123" t="s">
        <v>1193</v>
      </c>
      <c r="I348" s="125" t="s">
        <v>56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</row>
    <row r="349">
      <c r="A349" s="137">
        <v>46287.0</v>
      </c>
      <c r="B349" s="55" t="s">
        <v>379</v>
      </c>
      <c r="C349" s="55" t="s">
        <v>380</v>
      </c>
      <c r="D349" s="55" t="s">
        <v>430</v>
      </c>
      <c r="E349" s="55" t="s">
        <v>75</v>
      </c>
      <c r="F349" s="55" t="s">
        <v>407</v>
      </c>
      <c r="G349" s="55" t="s">
        <v>1194</v>
      </c>
      <c r="H349" s="55" t="s">
        <v>1195</v>
      </c>
      <c r="I349" s="125" t="s">
        <v>56</v>
      </c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</row>
    <row r="350">
      <c r="A350" s="137">
        <v>46287.0</v>
      </c>
      <c r="B350" s="123" t="s">
        <v>379</v>
      </c>
      <c r="C350" s="123" t="s">
        <v>380</v>
      </c>
      <c r="D350" s="123" t="s">
        <v>430</v>
      </c>
      <c r="E350" s="123" t="s">
        <v>75</v>
      </c>
      <c r="F350" s="123" t="s">
        <v>407</v>
      </c>
      <c r="G350" s="123" t="s">
        <v>1196</v>
      </c>
      <c r="H350" s="123" t="s">
        <v>1197</v>
      </c>
      <c r="I350" s="125" t="s">
        <v>56</v>
      </c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</row>
    <row r="351">
      <c r="A351" s="137">
        <v>46287.0</v>
      </c>
      <c r="B351" s="55" t="s">
        <v>379</v>
      </c>
      <c r="C351" s="55" t="s">
        <v>380</v>
      </c>
      <c r="D351" s="55" t="s">
        <v>430</v>
      </c>
      <c r="E351" s="55" t="s">
        <v>75</v>
      </c>
      <c r="F351" s="55" t="s">
        <v>407</v>
      </c>
      <c r="G351" s="55" t="s">
        <v>1198</v>
      </c>
      <c r="H351" s="55" t="s">
        <v>1199</v>
      </c>
      <c r="I351" s="125" t="s">
        <v>56</v>
      </c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</row>
    <row r="352">
      <c r="A352" s="137">
        <v>46287.0</v>
      </c>
      <c r="B352" s="123" t="s">
        <v>379</v>
      </c>
      <c r="C352" s="123" t="s">
        <v>380</v>
      </c>
      <c r="D352" s="123" t="s">
        <v>430</v>
      </c>
      <c r="E352" s="123" t="s">
        <v>75</v>
      </c>
      <c r="F352" s="123" t="s">
        <v>407</v>
      </c>
      <c r="G352" s="123" t="s">
        <v>1200</v>
      </c>
      <c r="H352" s="123" t="s">
        <v>1201</v>
      </c>
      <c r="I352" s="125" t="s">
        <v>56</v>
      </c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</row>
    <row r="353">
      <c r="A353" s="137">
        <v>46287.0</v>
      </c>
      <c r="B353" s="55" t="s">
        <v>379</v>
      </c>
      <c r="C353" s="55" t="s">
        <v>380</v>
      </c>
      <c r="D353" s="55" t="s">
        <v>430</v>
      </c>
      <c r="E353" s="55" t="s">
        <v>75</v>
      </c>
      <c r="F353" s="55" t="s">
        <v>407</v>
      </c>
      <c r="G353" s="55" t="s">
        <v>1202</v>
      </c>
      <c r="H353" s="55" t="s">
        <v>1203</v>
      </c>
      <c r="I353" s="125" t="s">
        <v>56</v>
      </c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</row>
    <row r="354">
      <c r="A354" s="137">
        <v>46287.0</v>
      </c>
      <c r="B354" s="123" t="s">
        <v>379</v>
      </c>
      <c r="C354" s="123" t="s">
        <v>380</v>
      </c>
      <c r="D354" s="123" t="s">
        <v>430</v>
      </c>
      <c r="E354" s="123" t="s">
        <v>75</v>
      </c>
      <c r="F354" s="123" t="s">
        <v>407</v>
      </c>
      <c r="G354" s="123" t="s">
        <v>1204</v>
      </c>
      <c r="H354" s="123" t="s">
        <v>1205</v>
      </c>
      <c r="I354" s="125" t="s">
        <v>56</v>
      </c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</row>
    <row r="355">
      <c r="A355" s="137">
        <v>46287.0</v>
      </c>
      <c r="B355" s="55" t="s">
        <v>379</v>
      </c>
      <c r="C355" s="55" t="s">
        <v>380</v>
      </c>
      <c r="D355" s="55" t="s">
        <v>430</v>
      </c>
      <c r="E355" s="55" t="s">
        <v>75</v>
      </c>
      <c r="F355" s="55" t="s">
        <v>407</v>
      </c>
      <c r="G355" s="55" t="s">
        <v>1206</v>
      </c>
      <c r="H355" s="55" t="s">
        <v>1207</v>
      </c>
      <c r="I355" s="125" t="s">
        <v>56</v>
      </c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</row>
    <row r="356">
      <c r="A356" s="137">
        <v>46287.0</v>
      </c>
      <c r="B356" s="123" t="s">
        <v>379</v>
      </c>
      <c r="C356" s="123" t="s">
        <v>380</v>
      </c>
      <c r="D356" s="123" t="s">
        <v>430</v>
      </c>
      <c r="E356" s="123" t="s">
        <v>75</v>
      </c>
      <c r="F356" s="123" t="s">
        <v>407</v>
      </c>
      <c r="G356" s="123" t="s">
        <v>1208</v>
      </c>
      <c r="H356" s="123" t="s">
        <v>1209</v>
      </c>
      <c r="I356" s="125" t="s">
        <v>56</v>
      </c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</row>
    <row r="357">
      <c r="A357" s="137">
        <v>46287.0</v>
      </c>
      <c r="B357" s="55" t="s">
        <v>360</v>
      </c>
      <c r="C357" s="55" t="s">
        <v>745</v>
      </c>
      <c r="D357" s="55" t="s">
        <v>637</v>
      </c>
      <c r="E357" s="55" t="s">
        <v>75</v>
      </c>
      <c r="F357" s="55" t="s">
        <v>407</v>
      </c>
      <c r="G357" s="55" t="s">
        <v>1210</v>
      </c>
      <c r="H357" s="55" t="s">
        <v>1211</v>
      </c>
      <c r="I357" s="125" t="s">
        <v>56</v>
      </c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</row>
    <row r="358">
      <c r="A358" s="137">
        <v>46287.0</v>
      </c>
      <c r="B358" s="123" t="s">
        <v>124</v>
      </c>
      <c r="C358" s="123" t="s">
        <v>1212</v>
      </c>
      <c r="D358" s="123" t="s">
        <v>1213</v>
      </c>
      <c r="E358" s="123" t="s">
        <v>75</v>
      </c>
      <c r="F358" s="123" t="s">
        <v>407</v>
      </c>
      <c r="G358" s="123" t="s">
        <v>1214</v>
      </c>
      <c r="H358" s="123" t="s">
        <v>1215</v>
      </c>
      <c r="I358" s="125" t="s">
        <v>56</v>
      </c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</row>
    <row r="359">
      <c r="A359" s="137">
        <v>46287.0</v>
      </c>
      <c r="B359" s="55" t="s">
        <v>124</v>
      </c>
      <c r="C359" s="55" t="s">
        <v>128</v>
      </c>
      <c r="D359" s="55" t="s">
        <v>1213</v>
      </c>
      <c r="E359" s="55" t="s">
        <v>75</v>
      </c>
      <c r="F359" s="55" t="s">
        <v>407</v>
      </c>
      <c r="G359" s="55" t="s">
        <v>1216</v>
      </c>
      <c r="H359" s="55" t="s">
        <v>1217</v>
      </c>
      <c r="I359" s="125" t="s">
        <v>56</v>
      </c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</row>
    <row r="360">
      <c r="A360" s="137">
        <v>46287.0</v>
      </c>
      <c r="B360" s="123" t="s">
        <v>360</v>
      </c>
      <c r="C360" s="123" t="s">
        <v>288</v>
      </c>
      <c r="D360" s="123" t="s">
        <v>637</v>
      </c>
      <c r="E360" s="123" t="s">
        <v>75</v>
      </c>
      <c r="F360" s="123" t="s">
        <v>407</v>
      </c>
      <c r="G360" s="123" t="s">
        <v>1218</v>
      </c>
      <c r="H360" s="123" t="s">
        <v>1219</v>
      </c>
      <c r="I360" s="125" t="s">
        <v>56</v>
      </c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</row>
    <row r="361">
      <c r="A361" s="137">
        <v>46287.0</v>
      </c>
      <c r="B361" s="55" t="s">
        <v>124</v>
      </c>
      <c r="C361" s="55" t="s">
        <v>63</v>
      </c>
      <c r="D361" s="55" t="s">
        <v>1213</v>
      </c>
      <c r="E361" s="55" t="s">
        <v>75</v>
      </c>
      <c r="F361" s="55" t="s">
        <v>407</v>
      </c>
      <c r="G361" s="55" t="s">
        <v>1220</v>
      </c>
      <c r="H361" s="55" t="s">
        <v>1221</v>
      </c>
      <c r="I361" s="125" t="s">
        <v>56</v>
      </c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</row>
    <row r="362">
      <c r="A362" s="137">
        <v>46287.0</v>
      </c>
      <c r="B362" s="123" t="s">
        <v>124</v>
      </c>
      <c r="C362" s="123" t="s">
        <v>63</v>
      </c>
      <c r="D362" s="123" t="s">
        <v>1213</v>
      </c>
      <c r="E362" s="123" t="s">
        <v>75</v>
      </c>
      <c r="F362" s="123" t="s">
        <v>407</v>
      </c>
      <c r="G362" s="123" t="s">
        <v>1222</v>
      </c>
      <c r="H362" s="123" t="s">
        <v>1223</v>
      </c>
      <c r="I362" s="125" t="s">
        <v>56</v>
      </c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</row>
    <row r="363">
      <c r="A363" s="137">
        <v>46287.0</v>
      </c>
      <c r="B363" s="55" t="s">
        <v>124</v>
      </c>
      <c r="C363" s="55" t="s">
        <v>63</v>
      </c>
      <c r="D363" s="55" t="s">
        <v>1213</v>
      </c>
      <c r="E363" s="55" t="s">
        <v>75</v>
      </c>
      <c r="F363" s="55" t="s">
        <v>407</v>
      </c>
      <c r="G363" s="55" t="s">
        <v>1224</v>
      </c>
      <c r="H363" s="55" t="s">
        <v>1225</v>
      </c>
      <c r="I363" s="125" t="s">
        <v>56</v>
      </c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</row>
    <row r="364">
      <c r="A364" s="137">
        <v>46287.0</v>
      </c>
      <c r="B364" s="123" t="s">
        <v>124</v>
      </c>
      <c r="C364" s="123" t="s">
        <v>63</v>
      </c>
      <c r="D364" s="123" t="s">
        <v>1213</v>
      </c>
      <c r="E364" s="123" t="s">
        <v>75</v>
      </c>
      <c r="F364" s="123" t="s">
        <v>407</v>
      </c>
      <c r="G364" s="123" t="s">
        <v>1226</v>
      </c>
      <c r="H364" s="123" t="s">
        <v>1227</v>
      </c>
      <c r="I364" s="125" t="s">
        <v>56</v>
      </c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</row>
    <row r="365">
      <c r="A365" s="137">
        <v>46287.0</v>
      </c>
      <c r="B365" s="55" t="s">
        <v>360</v>
      </c>
      <c r="C365" s="55" t="s">
        <v>264</v>
      </c>
      <c r="D365" s="55" t="s">
        <v>637</v>
      </c>
      <c r="E365" s="55" t="s">
        <v>75</v>
      </c>
      <c r="F365" s="55" t="s">
        <v>407</v>
      </c>
      <c r="G365" s="55" t="s">
        <v>1228</v>
      </c>
      <c r="H365" s="55" t="s">
        <v>1229</v>
      </c>
      <c r="I365" s="125" t="s">
        <v>56</v>
      </c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</row>
    <row r="366">
      <c r="A366" s="137">
        <v>46287.0</v>
      </c>
      <c r="B366" s="123" t="s">
        <v>124</v>
      </c>
      <c r="C366" s="123" t="s">
        <v>1230</v>
      </c>
      <c r="D366" s="123" t="s">
        <v>405</v>
      </c>
      <c r="E366" s="123" t="s">
        <v>75</v>
      </c>
      <c r="F366" s="123" t="s">
        <v>407</v>
      </c>
      <c r="G366" s="123" t="s">
        <v>1231</v>
      </c>
      <c r="H366" s="123" t="s">
        <v>1232</v>
      </c>
      <c r="I366" s="125" t="s">
        <v>56</v>
      </c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</row>
    <row r="367">
      <c r="A367" s="137">
        <v>46287.0</v>
      </c>
      <c r="B367" s="55" t="s">
        <v>124</v>
      </c>
      <c r="C367" s="55" t="s">
        <v>259</v>
      </c>
      <c r="D367" s="55" t="s">
        <v>430</v>
      </c>
      <c r="E367" s="55" t="s">
        <v>75</v>
      </c>
      <c r="F367" s="55" t="s">
        <v>407</v>
      </c>
      <c r="G367" s="55" t="s">
        <v>1233</v>
      </c>
      <c r="H367" s="55" t="s">
        <v>1234</v>
      </c>
      <c r="I367" s="125" t="s">
        <v>56</v>
      </c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</row>
    <row r="368">
      <c r="A368" s="137">
        <v>46287.0</v>
      </c>
      <c r="B368" s="123" t="s">
        <v>124</v>
      </c>
      <c r="C368" s="123" t="s">
        <v>259</v>
      </c>
      <c r="D368" s="123" t="s">
        <v>430</v>
      </c>
      <c r="E368" s="123" t="s">
        <v>75</v>
      </c>
      <c r="F368" s="123" t="s">
        <v>407</v>
      </c>
      <c r="G368" s="123" t="s">
        <v>1235</v>
      </c>
      <c r="H368" s="123" t="s">
        <v>1236</v>
      </c>
      <c r="I368" s="125" t="s">
        <v>56</v>
      </c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</row>
    <row r="369">
      <c r="A369" s="137">
        <v>46287.0</v>
      </c>
      <c r="B369" s="55" t="s">
        <v>124</v>
      </c>
      <c r="C369" s="55" t="s">
        <v>259</v>
      </c>
      <c r="D369" s="55" t="s">
        <v>430</v>
      </c>
      <c r="E369" s="55" t="s">
        <v>75</v>
      </c>
      <c r="F369" s="55" t="s">
        <v>407</v>
      </c>
      <c r="G369" s="55" t="s">
        <v>1237</v>
      </c>
      <c r="H369" s="55" t="s">
        <v>1238</v>
      </c>
      <c r="I369" s="125" t="s">
        <v>56</v>
      </c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</row>
    <row r="370">
      <c r="A370" s="137">
        <v>46287.0</v>
      </c>
      <c r="B370" s="123" t="s">
        <v>124</v>
      </c>
      <c r="C370" s="123" t="s">
        <v>259</v>
      </c>
      <c r="D370" s="123" t="s">
        <v>430</v>
      </c>
      <c r="E370" s="123" t="s">
        <v>75</v>
      </c>
      <c r="F370" s="123" t="s">
        <v>407</v>
      </c>
      <c r="G370" s="123" t="s">
        <v>1239</v>
      </c>
      <c r="H370" s="123" t="s">
        <v>1240</v>
      </c>
      <c r="I370" s="125" t="s">
        <v>56</v>
      </c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</row>
    <row r="371">
      <c r="A371" s="137">
        <v>46287.0</v>
      </c>
      <c r="B371" s="55" t="s">
        <v>124</v>
      </c>
      <c r="C371" s="55" t="s">
        <v>259</v>
      </c>
      <c r="D371" s="55" t="s">
        <v>430</v>
      </c>
      <c r="E371" s="55" t="s">
        <v>75</v>
      </c>
      <c r="F371" s="55" t="s">
        <v>407</v>
      </c>
      <c r="G371" s="55" t="s">
        <v>1241</v>
      </c>
      <c r="H371" s="55" t="s">
        <v>1242</v>
      </c>
      <c r="I371" s="125" t="s">
        <v>56</v>
      </c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</row>
    <row r="372">
      <c r="A372" s="137">
        <v>46287.0</v>
      </c>
      <c r="B372" s="123" t="s">
        <v>62</v>
      </c>
      <c r="C372" s="123" t="s">
        <v>268</v>
      </c>
      <c r="D372" s="123" t="s">
        <v>430</v>
      </c>
      <c r="E372" s="123" t="s">
        <v>75</v>
      </c>
      <c r="F372" s="123" t="s">
        <v>407</v>
      </c>
      <c r="G372" s="123" t="s">
        <v>1243</v>
      </c>
      <c r="H372" s="123" t="s">
        <v>1244</v>
      </c>
      <c r="I372" s="125" t="s">
        <v>56</v>
      </c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</row>
    <row r="373">
      <c r="A373" s="137">
        <v>46287.0</v>
      </c>
      <c r="B373" s="55" t="s">
        <v>62</v>
      </c>
      <c r="C373" s="55" t="s">
        <v>268</v>
      </c>
      <c r="D373" s="55" t="s">
        <v>430</v>
      </c>
      <c r="E373" s="55" t="s">
        <v>75</v>
      </c>
      <c r="F373" s="55" t="s">
        <v>407</v>
      </c>
      <c r="G373" s="55" t="s">
        <v>1245</v>
      </c>
      <c r="H373" s="55" t="s">
        <v>1246</v>
      </c>
      <c r="I373" s="125" t="s">
        <v>56</v>
      </c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</row>
    <row r="374">
      <c r="A374" s="137">
        <v>46287.0</v>
      </c>
      <c r="B374" s="123" t="s">
        <v>62</v>
      </c>
      <c r="C374" s="123" t="s">
        <v>268</v>
      </c>
      <c r="D374" s="123" t="s">
        <v>430</v>
      </c>
      <c r="E374" s="123" t="s">
        <v>75</v>
      </c>
      <c r="F374" s="123" t="s">
        <v>407</v>
      </c>
      <c r="G374" s="123" t="s">
        <v>1247</v>
      </c>
      <c r="H374" s="123" t="s">
        <v>1248</v>
      </c>
      <c r="I374" s="125" t="s">
        <v>56</v>
      </c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</row>
    <row r="375">
      <c r="A375" s="137">
        <v>46287.0</v>
      </c>
      <c r="B375" s="55" t="s">
        <v>62</v>
      </c>
      <c r="C375" s="55" t="s">
        <v>268</v>
      </c>
      <c r="D375" s="55" t="s">
        <v>430</v>
      </c>
      <c r="E375" s="55" t="s">
        <v>75</v>
      </c>
      <c r="F375" s="55" t="s">
        <v>407</v>
      </c>
      <c r="G375" s="55" t="s">
        <v>1249</v>
      </c>
      <c r="H375" s="55" t="s">
        <v>1250</v>
      </c>
      <c r="I375" s="125" t="s">
        <v>56</v>
      </c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</row>
    <row r="376">
      <c r="A376" s="137">
        <v>46287.0</v>
      </c>
      <c r="B376" s="123" t="s">
        <v>62</v>
      </c>
      <c r="C376" s="123" t="s">
        <v>268</v>
      </c>
      <c r="D376" s="123" t="s">
        <v>430</v>
      </c>
      <c r="E376" s="123" t="s">
        <v>75</v>
      </c>
      <c r="F376" s="123" t="s">
        <v>407</v>
      </c>
      <c r="G376" s="123" t="s">
        <v>1251</v>
      </c>
      <c r="H376" s="123" t="s">
        <v>1252</v>
      </c>
      <c r="I376" s="125" t="s">
        <v>56</v>
      </c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</row>
    <row r="377">
      <c r="A377" s="137">
        <v>46287.0</v>
      </c>
      <c r="B377" s="55" t="s">
        <v>62</v>
      </c>
      <c r="C377" s="55" t="s">
        <v>268</v>
      </c>
      <c r="D377" s="55" t="s">
        <v>430</v>
      </c>
      <c r="E377" s="55" t="s">
        <v>75</v>
      </c>
      <c r="F377" s="55" t="s">
        <v>407</v>
      </c>
      <c r="G377" s="55" t="s">
        <v>1253</v>
      </c>
      <c r="H377" s="55" t="s">
        <v>1242</v>
      </c>
      <c r="I377" s="125" t="s">
        <v>56</v>
      </c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</row>
    <row r="378">
      <c r="A378" s="137">
        <v>46287.0</v>
      </c>
      <c r="B378" s="123" t="s">
        <v>124</v>
      </c>
      <c r="C378" s="123" t="s">
        <v>128</v>
      </c>
      <c r="D378" s="123" t="s">
        <v>430</v>
      </c>
      <c r="E378" s="123" t="s">
        <v>75</v>
      </c>
      <c r="F378" s="123" t="s">
        <v>407</v>
      </c>
      <c r="G378" s="123" t="s">
        <v>1254</v>
      </c>
      <c r="H378" s="123" t="s">
        <v>1255</v>
      </c>
      <c r="I378" s="125" t="s">
        <v>56</v>
      </c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</row>
    <row r="379">
      <c r="A379" s="137">
        <v>46287.0</v>
      </c>
      <c r="B379" s="55" t="s">
        <v>124</v>
      </c>
      <c r="C379" s="55" t="s">
        <v>128</v>
      </c>
      <c r="D379" s="55" t="s">
        <v>430</v>
      </c>
      <c r="E379" s="55" t="s">
        <v>75</v>
      </c>
      <c r="F379" s="55" t="s">
        <v>407</v>
      </c>
      <c r="G379" s="55" t="s">
        <v>1256</v>
      </c>
      <c r="H379" s="55" t="s">
        <v>1242</v>
      </c>
      <c r="I379" s="125" t="s">
        <v>56</v>
      </c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</row>
    <row r="380">
      <c r="A380" s="137">
        <v>46287.0</v>
      </c>
      <c r="B380" s="123" t="s">
        <v>124</v>
      </c>
      <c r="C380" s="123" t="s">
        <v>1257</v>
      </c>
      <c r="D380" s="123" t="s">
        <v>430</v>
      </c>
      <c r="E380" s="123" t="s">
        <v>75</v>
      </c>
      <c r="F380" s="123" t="s">
        <v>407</v>
      </c>
      <c r="G380" s="123" t="s">
        <v>1258</v>
      </c>
      <c r="H380" s="123" t="s">
        <v>1259</v>
      </c>
      <c r="I380" s="125" t="s">
        <v>56</v>
      </c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</row>
    <row r="381">
      <c r="A381" s="137">
        <v>46287.0</v>
      </c>
      <c r="B381" s="55" t="s">
        <v>124</v>
      </c>
      <c r="C381" s="55" t="s">
        <v>1257</v>
      </c>
      <c r="D381" s="55" t="s">
        <v>430</v>
      </c>
      <c r="E381" s="55" t="s">
        <v>75</v>
      </c>
      <c r="F381" s="55" t="s">
        <v>407</v>
      </c>
      <c r="G381" s="55" t="s">
        <v>1260</v>
      </c>
      <c r="H381" s="55" t="s">
        <v>1261</v>
      </c>
      <c r="I381" s="125" t="s">
        <v>56</v>
      </c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</row>
    <row r="382">
      <c r="A382" s="137">
        <v>46287.0</v>
      </c>
      <c r="B382" s="123" t="s">
        <v>124</v>
      </c>
      <c r="C382" s="123" t="s">
        <v>1257</v>
      </c>
      <c r="D382" s="123" t="s">
        <v>430</v>
      </c>
      <c r="E382" s="123" t="s">
        <v>75</v>
      </c>
      <c r="F382" s="123" t="s">
        <v>407</v>
      </c>
      <c r="G382" s="123" t="s">
        <v>1262</v>
      </c>
      <c r="H382" s="123" t="s">
        <v>1242</v>
      </c>
      <c r="I382" s="125" t="s">
        <v>56</v>
      </c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</row>
    <row r="383">
      <c r="A383" s="137">
        <v>46287.0</v>
      </c>
      <c r="B383" s="55" t="s">
        <v>379</v>
      </c>
      <c r="C383" s="55" t="s">
        <v>380</v>
      </c>
      <c r="D383" s="55" t="s">
        <v>430</v>
      </c>
      <c r="E383" s="55" t="s">
        <v>75</v>
      </c>
      <c r="F383" s="55" t="s">
        <v>407</v>
      </c>
      <c r="G383" s="55" t="s">
        <v>1263</v>
      </c>
      <c r="H383" s="55" t="s">
        <v>1025</v>
      </c>
      <c r="I383" s="125" t="s">
        <v>56</v>
      </c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</row>
    <row r="384">
      <c r="A384" s="137">
        <v>46287.0</v>
      </c>
      <c r="B384" s="123" t="s">
        <v>379</v>
      </c>
      <c r="C384" s="123" t="s">
        <v>1264</v>
      </c>
      <c r="D384" s="123" t="s">
        <v>430</v>
      </c>
      <c r="E384" s="123" t="s">
        <v>75</v>
      </c>
      <c r="F384" s="123" t="s">
        <v>407</v>
      </c>
      <c r="G384" s="123" t="s">
        <v>1265</v>
      </c>
      <c r="H384" s="123" t="s">
        <v>1025</v>
      </c>
      <c r="I384" s="125" t="s">
        <v>56</v>
      </c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</row>
    <row r="385">
      <c r="A385" s="137">
        <v>46287.0</v>
      </c>
      <c r="B385" s="55" t="s">
        <v>379</v>
      </c>
      <c r="C385" s="55" t="s">
        <v>1266</v>
      </c>
      <c r="D385" s="55" t="s">
        <v>430</v>
      </c>
      <c r="E385" s="55" t="s">
        <v>75</v>
      </c>
      <c r="F385" s="55" t="s">
        <v>407</v>
      </c>
      <c r="G385" s="55" t="s">
        <v>1267</v>
      </c>
      <c r="H385" s="55" t="s">
        <v>1025</v>
      </c>
      <c r="I385" s="125" t="s">
        <v>56</v>
      </c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</row>
    <row r="386">
      <c r="A386" s="137">
        <v>46287.0</v>
      </c>
      <c r="B386" s="123" t="s">
        <v>379</v>
      </c>
      <c r="C386" s="123" t="s">
        <v>1268</v>
      </c>
      <c r="D386" s="123" t="s">
        <v>430</v>
      </c>
      <c r="E386" s="123" t="s">
        <v>75</v>
      </c>
      <c r="F386" s="123" t="s">
        <v>407</v>
      </c>
      <c r="G386" s="123" t="s">
        <v>1269</v>
      </c>
      <c r="H386" s="123" t="s">
        <v>1025</v>
      </c>
      <c r="I386" s="125" t="s">
        <v>56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</row>
    <row r="387">
      <c r="A387" s="137">
        <v>46287.0</v>
      </c>
      <c r="B387" s="55" t="s">
        <v>379</v>
      </c>
      <c r="C387" s="55" t="s">
        <v>1270</v>
      </c>
      <c r="D387" s="55" t="s">
        <v>430</v>
      </c>
      <c r="E387" s="55" t="s">
        <v>75</v>
      </c>
      <c r="F387" s="55" t="s">
        <v>407</v>
      </c>
      <c r="G387" s="55" t="s">
        <v>1271</v>
      </c>
      <c r="H387" s="55" t="s">
        <v>1272</v>
      </c>
      <c r="I387" s="125" t="s">
        <v>56</v>
      </c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</row>
    <row r="388">
      <c r="A388" s="137">
        <v>46287.0</v>
      </c>
      <c r="B388" s="123" t="s">
        <v>379</v>
      </c>
      <c r="C388" s="123" t="s">
        <v>1270</v>
      </c>
      <c r="D388" s="123" t="s">
        <v>430</v>
      </c>
      <c r="E388" s="123" t="s">
        <v>75</v>
      </c>
      <c r="F388" s="123" t="s">
        <v>407</v>
      </c>
      <c r="G388" s="123" t="s">
        <v>1273</v>
      </c>
      <c r="H388" s="123" t="s">
        <v>1025</v>
      </c>
      <c r="I388" s="125" t="s">
        <v>56</v>
      </c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</row>
    <row r="389">
      <c r="A389" s="137">
        <v>46287.0</v>
      </c>
      <c r="B389" s="55" t="s">
        <v>379</v>
      </c>
      <c r="C389" s="55" t="s">
        <v>1274</v>
      </c>
      <c r="D389" s="55" t="s">
        <v>430</v>
      </c>
      <c r="E389" s="55" t="s">
        <v>75</v>
      </c>
      <c r="F389" s="55" t="s">
        <v>407</v>
      </c>
      <c r="G389" s="55" t="s">
        <v>1275</v>
      </c>
      <c r="H389" s="55" t="s">
        <v>1276</v>
      </c>
      <c r="I389" s="125" t="s">
        <v>56</v>
      </c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</row>
    <row r="390">
      <c r="A390" s="137">
        <v>46287.0</v>
      </c>
      <c r="B390" s="123" t="s">
        <v>379</v>
      </c>
      <c r="C390" s="123" t="s">
        <v>1274</v>
      </c>
      <c r="D390" s="123" t="s">
        <v>430</v>
      </c>
      <c r="E390" s="123" t="s">
        <v>75</v>
      </c>
      <c r="F390" s="123" t="s">
        <v>407</v>
      </c>
      <c r="G390" s="123" t="s">
        <v>1277</v>
      </c>
      <c r="H390" s="123" t="s">
        <v>1278</v>
      </c>
      <c r="I390" s="125" t="s">
        <v>56</v>
      </c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</row>
    <row r="391">
      <c r="A391" s="137">
        <v>46287.0</v>
      </c>
      <c r="B391" s="55" t="s">
        <v>379</v>
      </c>
      <c r="C391" s="55" t="s">
        <v>1274</v>
      </c>
      <c r="D391" s="55" t="s">
        <v>430</v>
      </c>
      <c r="E391" s="55" t="s">
        <v>75</v>
      </c>
      <c r="F391" s="55" t="s">
        <v>407</v>
      </c>
      <c r="G391" s="55" t="s">
        <v>1279</v>
      </c>
      <c r="H391" s="55" t="s">
        <v>1280</v>
      </c>
      <c r="I391" s="125" t="s">
        <v>56</v>
      </c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</row>
    <row r="392">
      <c r="A392" s="137">
        <v>46287.0</v>
      </c>
      <c r="B392" s="123" t="s">
        <v>379</v>
      </c>
      <c r="C392" s="123" t="s">
        <v>1274</v>
      </c>
      <c r="D392" s="123" t="s">
        <v>430</v>
      </c>
      <c r="E392" s="123" t="s">
        <v>75</v>
      </c>
      <c r="F392" s="123" t="s">
        <v>407</v>
      </c>
      <c r="G392" s="123" t="s">
        <v>1281</v>
      </c>
      <c r="H392" s="123" t="s">
        <v>1282</v>
      </c>
      <c r="I392" s="125" t="s">
        <v>56</v>
      </c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</row>
    <row r="393">
      <c r="A393" s="137">
        <v>46287.0</v>
      </c>
      <c r="B393" s="55" t="s">
        <v>379</v>
      </c>
      <c r="C393" s="55" t="s">
        <v>1274</v>
      </c>
      <c r="D393" s="55" t="s">
        <v>430</v>
      </c>
      <c r="E393" s="55" t="s">
        <v>75</v>
      </c>
      <c r="F393" s="55" t="s">
        <v>407</v>
      </c>
      <c r="G393" s="55" t="s">
        <v>1283</v>
      </c>
      <c r="H393" s="55" t="s">
        <v>1284</v>
      </c>
      <c r="I393" s="125" t="s">
        <v>56</v>
      </c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</row>
    <row r="394">
      <c r="A394" s="137">
        <v>46287.0</v>
      </c>
      <c r="B394" s="123" t="s">
        <v>379</v>
      </c>
      <c r="C394" s="123" t="s">
        <v>1274</v>
      </c>
      <c r="D394" s="123" t="s">
        <v>430</v>
      </c>
      <c r="E394" s="123" t="s">
        <v>75</v>
      </c>
      <c r="F394" s="123" t="s">
        <v>407</v>
      </c>
      <c r="G394" s="123" t="s">
        <v>1285</v>
      </c>
      <c r="H394" s="123" t="s">
        <v>1286</v>
      </c>
      <c r="I394" s="125" t="s">
        <v>56</v>
      </c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</row>
    <row r="395">
      <c r="A395" s="137">
        <v>46287.0</v>
      </c>
      <c r="B395" s="55" t="s">
        <v>379</v>
      </c>
      <c r="C395" s="55" t="s">
        <v>1274</v>
      </c>
      <c r="D395" s="55" t="s">
        <v>430</v>
      </c>
      <c r="E395" s="55" t="s">
        <v>75</v>
      </c>
      <c r="F395" s="55" t="s">
        <v>407</v>
      </c>
      <c r="G395" s="55" t="s">
        <v>1287</v>
      </c>
      <c r="H395" s="55" t="s">
        <v>1288</v>
      </c>
      <c r="I395" s="125" t="s">
        <v>56</v>
      </c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</row>
    <row r="396">
      <c r="A396" s="137">
        <v>46287.0</v>
      </c>
      <c r="B396" s="123" t="s">
        <v>379</v>
      </c>
      <c r="C396" s="123" t="s">
        <v>1274</v>
      </c>
      <c r="D396" s="123" t="s">
        <v>430</v>
      </c>
      <c r="E396" s="123" t="s">
        <v>75</v>
      </c>
      <c r="F396" s="123" t="s">
        <v>407</v>
      </c>
      <c r="G396" s="123" t="s">
        <v>1289</v>
      </c>
      <c r="H396" s="123" t="s">
        <v>1025</v>
      </c>
      <c r="I396" s="125" t="s">
        <v>56</v>
      </c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</row>
    <row r="397">
      <c r="A397" s="137">
        <v>46287.0</v>
      </c>
      <c r="B397" s="55" t="s">
        <v>124</v>
      </c>
      <c r="C397" s="55" t="s">
        <v>253</v>
      </c>
      <c r="D397" s="55" t="s">
        <v>430</v>
      </c>
      <c r="E397" s="55" t="s">
        <v>75</v>
      </c>
      <c r="F397" s="55" t="s">
        <v>407</v>
      </c>
      <c r="G397" s="55" t="s">
        <v>1290</v>
      </c>
      <c r="H397" s="55" t="s">
        <v>1291</v>
      </c>
      <c r="I397" s="125" t="s">
        <v>56</v>
      </c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</row>
    <row r="398">
      <c r="A398" s="137">
        <v>46287.0</v>
      </c>
      <c r="B398" s="123" t="s">
        <v>124</v>
      </c>
      <c r="C398" s="123" t="s">
        <v>253</v>
      </c>
      <c r="D398" s="123" t="s">
        <v>430</v>
      </c>
      <c r="E398" s="123" t="s">
        <v>75</v>
      </c>
      <c r="F398" s="123" t="s">
        <v>407</v>
      </c>
      <c r="G398" s="123" t="s">
        <v>1292</v>
      </c>
      <c r="H398" s="123" t="s">
        <v>1293</v>
      </c>
      <c r="I398" s="125" t="s">
        <v>56</v>
      </c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</row>
    <row r="399">
      <c r="A399" s="137">
        <v>46287.0</v>
      </c>
      <c r="B399" s="55" t="s">
        <v>124</v>
      </c>
      <c r="C399" s="55" t="s">
        <v>253</v>
      </c>
      <c r="D399" s="55" t="s">
        <v>430</v>
      </c>
      <c r="E399" s="55" t="s">
        <v>75</v>
      </c>
      <c r="F399" s="55" t="s">
        <v>407</v>
      </c>
      <c r="G399" s="55" t="s">
        <v>1294</v>
      </c>
      <c r="H399" s="55" t="s">
        <v>1295</v>
      </c>
      <c r="I399" s="125" t="s">
        <v>56</v>
      </c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</row>
    <row r="400">
      <c r="A400" s="137">
        <v>46287.0</v>
      </c>
      <c r="B400" s="123" t="s">
        <v>360</v>
      </c>
      <c r="C400" s="123" t="s">
        <v>1296</v>
      </c>
      <c r="D400" s="123" t="s">
        <v>430</v>
      </c>
      <c r="E400" s="123" t="s">
        <v>75</v>
      </c>
      <c r="F400" s="123" t="s">
        <v>407</v>
      </c>
      <c r="G400" s="123" t="s">
        <v>1297</v>
      </c>
      <c r="H400" s="123" t="s">
        <v>1298</v>
      </c>
      <c r="I400" s="125" t="s">
        <v>56</v>
      </c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</row>
    <row r="401">
      <c r="A401" s="137">
        <v>46287.0</v>
      </c>
      <c r="B401" s="55" t="s">
        <v>360</v>
      </c>
      <c r="C401" s="55" t="s">
        <v>1296</v>
      </c>
      <c r="D401" s="55" t="s">
        <v>430</v>
      </c>
      <c r="E401" s="55" t="s">
        <v>75</v>
      </c>
      <c r="F401" s="55" t="s">
        <v>407</v>
      </c>
      <c r="G401" s="55" t="s">
        <v>1299</v>
      </c>
      <c r="H401" s="55" t="s">
        <v>1295</v>
      </c>
      <c r="I401" s="125" t="s">
        <v>56</v>
      </c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</row>
    <row r="402">
      <c r="A402" s="137">
        <v>46287.0</v>
      </c>
      <c r="B402" s="123" t="s">
        <v>360</v>
      </c>
      <c r="C402" s="123" t="s">
        <v>257</v>
      </c>
      <c r="D402" s="123" t="s">
        <v>430</v>
      </c>
      <c r="E402" s="123" t="s">
        <v>75</v>
      </c>
      <c r="F402" s="123" t="s">
        <v>407</v>
      </c>
      <c r="G402" s="123" t="s">
        <v>1300</v>
      </c>
      <c r="H402" s="123" t="s">
        <v>1298</v>
      </c>
      <c r="I402" s="125" t="s">
        <v>56</v>
      </c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</row>
    <row r="403">
      <c r="A403" s="137">
        <v>46287.0</v>
      </c>
      <c r="B403" s="55" t="s">
        <v>360</v>
      </c>
      <c r="C403" s="55" t="s">
        <v>257</v>
      </c>
      <c r="D403" s="55" t="s">
        <v>430</v>
      </c>
      <c r="E403" s="55" t="s">
        <v>75</v>
      </c>
      <c r="F403" s="55" t="s">
        <v>407</v>
      </c>
      <c r="G403" s="55" t="s">
        <v>1301</v>
      </c>
      <c r="H403" s="55" t="s">
        <v>1295</v>
      </c>
      <c r="I403" s="125" t="s">
        <v>56</v>
      </c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</row>
    <row r="404">
      <c r="A404" s="137">
        <v>46287.0</v>
      </c>
      <c r="B404" s="123" t="s">
        <v>124</v>
      </c>
      <c r="C404" s="123" t="s">
        <v>353</v>
      </c>
      <c r="D404" s="123" t="s">
        <v>430</v>
      </c>
      <c r="E404" s="123" t="s">
        <v>75</v>
      </c>
      <c r="F404" s="123" t="s">
        <v>407</v>
      </c>
      <c r="G404" s="123" t="s">
        <v>1302</v>
      </c>
      <c r="H404" s="123" t="s">
        <v>1303</v>
      </c>
      <c r="I404" s="125" t="s">
        <v>56</v>
      </c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</row>
    <row r="405">
      <c r="A405" s="137">
        <v>46287.0</v>
      </c>
      <c r="B405" s="55" t="s">
        <v>124</v>
      </c>
      <c r="C405" s="55" t="s">
        <v>353</v>
      </c>
      <c r="D405" s="55" t="s">
        <v>430</v>
      </c>
      <c r="E405" s="55" t="s">
        <v>75</v>
      </c>
      <c r="F405" s="55" t="s">
        <v>407</v>
      </c>
      <c r="G405" s="55" t="s">
        <v>1304</v>
      </c>
      <c r="H405" s="55" t="s">
        <v>1305</v>
      </c>
      <c r="I405" s="125" t="s">
        <v>56</v>
      </c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</row>
    <row r="406">
      <c r="A406" s="137">
        <v>46287.0</v>
      </c>
      <c r="B406" s="123" t="s">
        <v>124</v>
      </c>
      <c r="C406" s="123" t="s">
        <v>353</v>
      </c>
      <c r="D406" s="123" t="s">
        <v>430</v>
      </c>
      <c r="E406" s="123" t="s">
        <v>75</v>
      </c>
      <c r="F406" s="123" t="s">
        <v>407</v>
      </c>
      <c r="G406" s="123" t="s">
        <v>1306</v>
      </c>
      <c r="H406" s="123" t="s">
        <v>1307</v>
      </c>
      <c r="I406" s="125" t="s">
        <v>56</v>
      </c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</row>
    <row r="407">
      <c r="A407" s="137">
        <v>46287.0</v>
      </c>
      <c r="B407" s="55" t="s">
        <v>124</v>
      </c>
      <c r="C407" s="55" t="s">
        <v>353</v>
      </c>
      <c r="D407" s="55" t="s">
        <v>430</v>
      </c>
      <c r="E407" s="55" t="s">
        <v>75</v>
      </c>
      <c r="F407" s="55" t="s">
        <v>407</v>
      </c>
      <c r="G407" s="55" t="s">
        <v>1308</v>
      </c>
      <c r="H407" s="55" t="s">
        <v>1309</v>
      </c>
      <c r="I407" s="125" t="s">
        <v>56</v>
      </c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</row>
    <row r="408">
      <c r="A408" s="137">
        <v>46287.0</v>
      </c>
      <c r="B408" s="123" t="s">
        <v>124</v>
      </c>
      <c r="C408" s="123" t="s">
        <v>353</v>
      </c>
      <c r="D408" s="123" t="s">
        <v>430</v>
      </c>
      <c r="E408" s="123" t="s">
        <v>75</v>
      </c>
      <c r="F408" s="123" t="s">
        <v>407</v>
      </c>
      <c r="G408" s="123" t="s">
        <v>1310</v>
      </c>
      <c r="H408" s="123" t="s">
        <v>1295</v>
      </c>
      <c r="I408" s="125" t="s">
        <v>56</v>
      </c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</row>
    <row r="409">
      <c r="A409" s="137">
        <v>46287.0</v>
      </c>
      <c r="B409" s="55" t="s">
        <v>124</v>
      </c>
      <c r="C409" s="55" t="s">
        <v>1311</v>
      </c>
      <c r="D409" s="161" t="s">
        <v>430</v>
      </c>
      <c r="E409" s="161" t="s">
        <v>307</v>
      </c>
      <c r="F409" s="161" t="s">
        <v>407</v>
      </c>
      <c r="G409" s="55" t="s">
        <v>1312</v>
      </c>
      <c r="H409" s="65" t="s">
        <v>1313</v>
      </c>
      <c r="I409" s="125" t="s">
        <v>56</v>
      </c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</row>
    <row r="410">
      <c r="A410" s="137">
        <v>46287.0</v>
      </c>
      <c r="B410" s="123" t="s">
        <v>124</v>
      </c>
      <c r="C410" s="123" t="s">
        <v>1311</v>
      </c>
      <c r="D410" s="161" t="s">
        <v>430</v>
      </c>
      <c r="E410" s="161" t="s">
        <v>307</v>
      </c>
      <c r="F410" s="161" t="s">
        <v>407</v>
      </c>
      <c r="G410" s="123" t="s">
        <v>1314</v>
      </c>
      <c r="H410" s="61" t="s">
        <v>1315</v>
      </c>
      <c r="I410" s="125" t="s">
        <v>56</v>
      </c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</row>
    <row r="411">
      <c r="A411" s="137">
        <v>46287.0</v>
      </c>
      <c r="B411" s="55" t="s">
        <v>62</v>
      </c>
      <c r="C411" s="55" t="s">
        <v>399</v>
      </c>
      <c r="D411" s="161" t="s">
        <v>430</v>
      </c>
      <c r="E411" s="161" t="s">
        <v>307</v>
      </c>
      <c r="F411" s="161" t="s">
        <v>407</v>
      </c>
      <c r="G411" s="55" t="s">
        <v>1316</v>
      </c>
      <c r="H411" s="65" t="s">
        <v>1317</v>
      </c>
      <c r="I411" s="125" t="s">
        <v>56</v>
      </c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</row>
    <row r="412">
      <c r="A412" s="137">
        <v>46287.0</v>
      </c>
      <c r="B412" s="123" t="s">
        <v>62</v>
      </c>
      <c r="C412" s="123" t="s">
        <v>399</v>
      </c>
      <c r="D412" s="161" t="s">
        <v>430</v>
      </c>
      <c r="E412" s="161" t="s">
        <v>307</v>
      </c>
      <c r="F412" s="161" t="s">
        <v>407</v>
      </c>
      <c r="G412" s="123" t="s">
        <v>1318</v>
      </c>
      <c r="H412" s="61" t="s">
        <v>1319</v>
      </c>
      <c r="I412" s="125" t="s">
        <v>56</v>
      </c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</row>
    <row r="413">
      <c r="A413" s="137">
        <v>46287.0</v>
      </c>
      <c r="B413" s="55" t="s">
        <v>62</v>
      </c>
      <c r="C413" s="55" t="s">
        <v>399</v>
      </c>
      <c r="D413" s="161" t="s">
        <v>430</v>
      </c>
      <c r="E413" s="161" t="s">
        <v>307</v>
      </c>
      <c r="F413" s="161" t="s">
        <v>407</v>
      </c>
      <c r="G413" s="55" t="s">
        <v>1320</v>
      </c>
      <c r="H413" s="65" t="s">
        <v>1321</v>
      </c>
      <c r="I413" s="125" t="s">
        <v>56</v>
      </c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</row>
    <row r="414">
      <c r="A414" s="137">
        <v>46287.0</v>
      </c>
      <c r="B414" s="123" t="s">
        <v>62</v>
      </c>
      <c r="C414" s="123" t="s">
        <v>399</v>
      </c>
      <c r="D414" s="161" t="s">
        <v>430</v>
      </c>
      <c r="E414" s="161" t="s">
        <v>307</v>
      </c>
      <c r="F414" s="161" t="s">
        <v>407</v>
      </c>
      <c r="G414" s="123" t="s">
        <v>1322</v>
      </c>
      <c r="H414" s="61" t="s">
        <v>1323</v>
      </c>
      <c r="I414" s="125" t="s">
        <v>56</v>
      </c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</row>
    <row r="415">
      <c r="A415" s="137">
        <v>46287.0</v>
      </c>
      <c r="B415" s="55" t="s">
        <v>62</v>
      </c>
      <c r="C415" s="55" t="s">
        <v>399</v>
      </c>
      <c r="D415" s="161" t="s">
        <v>430</v>
      </c>
      <c r="E415" s="161" t="s">
        <v>307</v>
      </c>
      <c r="F415" s="161" t="s">
        <v>407</v>
      </c>
      <c r="G415" s="55" t="s">
        <v>1324</v>
      </c>
      <c r="H415" s="65" t="s">
        <v>1325</v>
      </c>
      <c r="I415" s="125" t="s">
        <v>56</v>
      </c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</row>
    <row r="416">
      <c r="A416" s="137">
        <v>46287.0</v>
      </c>
      <c r="B416" s="123" t="s">
        <v>62</v>
      </c>
      <c r="C416" s="123" t="s">
        <v>399</v>
      </c>
      <c r="D416" s="161" t="s">
        <v>430</v>
      </c>
      <c r="E416" s="161" t="s">
        <v>307</v>
      </c>
      <c r="F416" s="161" t="s">
        <v>407</v>
      </c>
      <c r="G416" s="123" t="s">
        <v>1326</v>
      </c>
      <c r="H416" s="61" t="s">
        <v>1327</v>
      </c>
      <c r="I416" s="125" t="s">
        <v>56</v>
      </c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</row>
    <row r="417">
      <c r="A417" s="137">
        <v>46287.0</v>
      </c>
      <c r="B417" s="55" t="s">
        <v>62</v>
      </c>
      <c r="C417" s="55" t="s">
        <v>399</v>
      </c>
      <c r="D417" s="161" t="s">
        <v>430</v>
      </c>
      <c r="E417" s="161" t="s">
        <v>307</v>
      </c>
      <c r="F417" s="161" t="s">
        <v>407</v>
      </c>
      <c r="G417" s="55" t="s">
        <v>1328</v>
      </c>
      <c r="H417" s="65" t="s">
        <v>1313</v>
      </c>
      <c r="I417" s="125" t="s">
        <v>56</v>
      </c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</row>
    <row r="418">
      <c r="A418" s="137">
        <v>46287.0</v>
      </c>
      <c r="B418" s="123" t="s">
        <v>62</v>
      </c>
      <c r="C418" s="123" t="s">
        <v>399</v>
      </c>
      <c r="D418" s="161" t="s">
        <v>430</v>
      </c>
      <c r="E418" s="161" t="s">
        <v>307</v>
      </c>
      <c r="F418" s="161" t="s">
        <v>407</v>
      </c>
      <c r="G418" s="123" t="s">
        <v>1329</v>
      </c>
      <c r="H418" s="61" t="s">
        <v>1330</v>
      </c>
      <c r="I418" s="125" t="s">
        <v>56</v>
      </c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</row>
    <row r="419">
      <c r="A419" s="137">
        <v>46287.0</v>
      </c>
      <c r="B419" s="55" t="s">
        <v>360</v>
      </c>
      <c r="C419" s="55" t="s">
        <v>681</v>
      </c>
      <c r="D419" s="161" t="s">
        <v>430</v>
      </c>
      <c r="E419" s="161" t="s">
        <v>307</v>
      </c>
      <c r="F419" s="161" t="s">
        <v>407</v>
      </c>
      <c r="G419" s="55" t="s">
        <v>1331</v>
      </c>
      <c r="H419" s="65" t="s">
        <v>1332</v>
      </c>
      <c r="I419" s="125" t="s">
        <v>56</v>
      </c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</row>
    <row r="420">
      <c r="A420" s="137">
        <v>46287.0</v>
      </c>
      <c r="B420" s="123" t="s">
        <v>360</v>
      </c>
      <c r="C420" s="123" t="s">
        <v>681</v>
      </c>
      <c r="D420" s="161" t="s">
        <v>430</v>
      </c>
      <c r="E420" s="161" t="s">
        <v>307</v>
      </c>
      <c r="F420" s="161" t="s">
        <v>407</v>
      </c>
      <c r="G420" s="123" t="s">
        <v>1333</v>
      </c>
      <c r="H420" s="61" t="s">
        <v>1334</v>
      </c>
      <c r="I420" s="125" t="s">
        <v>56</v>
      </c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</row>
    <row r="421">
      <c r="A421" s="137">
        <v>46287.0</v>
      </c>
      <c r="B421" s="55" t="s">
        <v>360</v>
      </c>
      <c r="C421" s="55" t="s">
        <v>681</v>
      </c>
      <c r="D421" s="161" t="s">
        <v>430</v>
      </c>
      <c r="E421" s="161" t="s">
        <v>307</v>
      </c>
      <c r="F421" s="161" t="s">
        <v>407</v>
      </c>
      <c r="G421" s="55" t="s">
        <v>1335</v>
      </c>
      <c r="H421" s="65" t="s">
        <v>1336</v>
      </c>
      <c r="I421" s="125" t="s">
        <v>56</v>
      </c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</row>
    <row r="422">
      <c r="A422" s="137">
        <v>46287.0</v>
      </c>
      <c r="B422" s="123" t="s">
        <v>360</v>
      </c>
      <c r="C422" s="123" t="s">
        <v>681</v>
      </c>
      <c r="D422" s="161" t="s">
        <v>430</v>
      </c>
      <c r="E422" s="161" t="s">
        <v>307</v>
      </c>
      <c r="F422" s="161" t="s">
        <v>407</v>
      </c>
      <c r="G422" s="123" t="s">
        <v>1337</v>
      </c>
      <c r="H422" s="61" t="s">
        <v>1313</v>
      </c>
      <c r="I422" s="125" t="s">
        <v>56</v>
      </c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</row>
    <row r="423">
      <c r="A423" s="137">
        <v>46287.0</v>
      </c>
      <c r="B423" s="55" t="s">
        <v>124</v>
      </c>
      <c r="C423" s="55" t="s">
        <v>1338</v>
      </c>
      <c r="D423" s="161" t="s">
        <v>430</v>
      </c>
      <c r="E423" s="161" t="s">
        <v>307</v>
      </c>
      <c r="F423" s="161" t="s">
        <v>407</v>
      </c>
      <c r="G423" s="55" t="s">
        <v>1339</v>
      </c>
      <c r="H423" s="65" t="s">
        <v>1313</v>
      </c>
      <c r="I423" s="125" t="s">
        <v>56</v>
      </c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</row>
    <row r="424">
      <c r="A424" s="137">
        <v>46287.0</v>
      </c>
      <c r="B424" s="123" t="s">
        <v>124</v>
      </c>
      <c r="C424" s="123" t="s">
        <v>1338</v>
      </c>
      <c r="D424" s="161" t="s">
        <v>430</v>
      </c>
      <c r="E424" s="161" t="s">
        <v>307</v>
      </c>
      <c r="F424" s="161" t="s">
        <v>407</v>
      </c>
      <c r="G424" s="123" t="s">
        <v>1340</v>
      </c>
      <c r="H424" s="61" t="s">
        <v>1341</v>
      </c>
      <c r="I424" s="125" t="s">
        <v>56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</row>
    <row r="425">
      <c r="A425" s="137">
        <v>46287.0</v>
      </c>
      <c r="B425" s="55" t="s">
        <v>62</v>
      </c>
      <c r="C425" s="55" t="s">
        <v>1342</v>
      </c>
      <c r="D425" s="161" t="s">
        <v>430</v>
      </c>
      <c r="E425" s="161" t="s">
        <v>307</v>
      </c>
      <c r="F425" s="161" t="s">
        <v>407</v>
      </c>
      <c r="G425" s="55" t="s">
        <v>1343</v>
      </c>
      <c r="H425" s="65" t="s">
        <v>1344</v>
      </c>
      <c r="I425" s="125" t="s">
        <v>56</v>
      </c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</row>
    <row r="426">
      <c r="A426" s="137">
        <v>46287.0</v>
      </c>
      <c r="B426" s="123" t="s">
        <v>62</v>
      </c>
      <c r="C426" s="123" t="s">
        <v>1342</v>
      </c>
      <c r="D426" s="161" t="s">
        <v>430</v>
      </c>
      <c r="E426" s="161" t="s">
        <v>307</v>
      </c>
      <c r="F426" s="161" t="s">
        <v>407</v>
      </c>
      <c r="G426" s="123" t="s">
        <v>1345</v>
      </c>
      <c r="H426" s="61" t="s">
        <v>1313</v>
      </c>
      <c r="I426" s="125" t="s">
        <v>56</v>
      </c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</row>
    <row r="427">
      <c r="A427" s="255">
        <v>46287.0</v>
      </c>
      <c r="B427" s="256" t="s">
        <v>360</v>
      </c>
      <c r="C427" s="256" t="s">
        <v>1346</v>
      </c>
      <c r="D427" s="256" t="s">
        <v>430</v>
      </c>
      <c r="E427" s="256" t="s">
        <v>43</v>
      </c>
      <c r="F427" s="256" t="s">
        <v>407</v>
      </c>
      <c r="G427" s="256">
        <v>141026.0</v>
      </c>
      <c r="H427" s="256" t="s">
        <v>1347</v>
      </c>
      <c r="I427" s="256" t="s">
        <v>56</v>
      </c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</row>
    <row r="428">
      <c r="A428" s="255">
        <v>46287.0</v>
      </c>
      <c r="B428" s="256" t="s">
        <v>360</v>
      </c>
      <c r="C428" s="256" t="s">
        <v>1346</v>
      </c>
      <c r="D428" s="256" t="s">
        <v>430</v>
      </c>
      <c r="E428" s="256" t="s">
        <v>43</v>
      </c>
      <c r="F428" s="256" t="s">
        <v>407</v>
      </c>
      <c r="G428" s="256">
        <v>141025.0</v>
      </c>
      <c r="H428" s="256" t="s">
        <v>1348</v>
      </c>
      <c r="I428" s="256" t="s">
        <v>56</v>
      </c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</row>
    <row r="429">
      <c r="A429" s="137"/>
      <c r="B429" s="125"/>
      <c r="C429" s="125"/>
      <c r="D429" s="125"/>
      <c r="E429" s="125"/>
      <c r="F429" s="125"/>
      <c r="G429" s="126"/>
      <c r="H429" s="126"/>
      <c r="I429" s="125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</row>
    <row r="430">
      <c r="A430" s="137"/>
      <c r="B430" s="125"/>
      <c r="C430" s="125"/>
      <c r="D430" s="125"/>
      <c r="E430" s="125"/>
      <c r="F430" s="125"/>
      <c r="G430" s="126"/>
      <c r="H430" s="126"/>
      <c r="I430" s="125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</row>
    <row r="431">
      <c r="A431" s="137"/>
      <c r="B431" s="125"/>
      <c r="C431" s="125"/>
      <c r="D431" s="125"/>
      <c r="E431" s="125"/>
      <c r="F431" s="125"/>
      <c r="G431" s="126"/>
      <c r="H431" s="126"/>
      <c r="I431" s="125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</row>
    <row r="432">
      <c r="A432" s="137"/>
      <c r="B432" s="125"/>
      <c r="C432" s="125"/>
      <c r="D432" s="125"/>
      <c r="E432" s="125"/>
      <c r="F432" s="125"/>
      <c r="G432" s="126"/>
      <c r="H432" s="126"/>
      <c r="I432" s="125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</row>
    <row r="433">
      <c r="A433" s="137"/>
      <c r="B433" s="125"/>
      <c r="C433" s="125"/>
      <c r="D433" s="125"/>
      <c r="E433" s="125"/>
      <c r="F433" s="125"/>
      <c r="G433" s="126"/>
      <c r="H433" s="126"/>
      <c r="I433" s="125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</row>
    <row r="434">
      <c r="A434" s="137"/>
      <c r="B434" s="125"/>
      <c r="C434" s="125"/>
      <c r="D434" s="125"/>
      <c r="E434" s="125"/>
      <c r="F434" s="125"/>
      <c r="G434" s="126"/>
      <c r="H434" s="126"/>
      <c r="I434" s="125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</row>
    <row r="435">
      <c r="A435" s="137"/>
      <c r="B435" s="125"/>
      <c r="C435" s="125"/>
      <c r="D435" s="125"/>
      <c r="E435" s="125"/>
      <c r="F435" s="125"/>
      <c r="G435" s="126"/>
      <c r="H435" s="126"/>
      <c r="I435" s="125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</row>
    <row r="436">
      <c r="A436" s="137"/>
      <c r="B436" s="125"/>
      <c r="C436" s="125"/>
      <c r="D436" s="125"/>
      <c r="E436" s="125"/>
      <c r="F436" s="125"/>
      <c r="G436" s="126"/>
      <c r="H436" s="126"/>
      <c r="I436" s="125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</row>
    <row r="437">
      <c r="A437" s="137"/>
      <c r="B437" s="125"/>
      <c r="C437" s="257"/>
      <c r="D437" s="125"/>
      <c r="E437" s="125"/>
      <c r="F437" s="125"/>
      <c r="G437" s="257"/>
      <c r="H437" s="257"/>
      <c r="I437" s="125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</row>
    <row r="438">
      <c r="A438" s="137"/>
      <c r="B438" s="125"/>
      <c r="C438" s="125"/>
      <c r="D438" s="125"/>
      <c r="E438" s="125"/>
      <c r="F438" s="125"/>
      <c r="G438" s="125"/>
      <c r="H438" s="125"/>
      <c r="I438" s="125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</row>
    <row r="439">
      <c r="A439" s="137"/>
      <c r="B439" s="125"/>
      <c r="C439" s="125"/>
      <c r="D439" s="125"/>
      <c r="E439" s="125"/>
      <c r="F439" s="125"/>
      <c r="G439" s="125"/>
      <c r="H439" s="125"/>
      <c r="I439" s="125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</row>
    <row r="440">
      <c r="A440" s="137"/>
      <c r="B440" s="125"/>
      <c r="C440" s="125"/>
      <c r="D440" s="125"/>
      <c r="E440" s="125"/>
      <c r="F440" s="125"/>
      <c r="G440" s="125"/>
      <c r="H440" s="125"/>
      <c r="I440" s="125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</row>
    <row r="441">
      <c r="A441" s="137"/>
      <c r="B441" s="125"/>
      <c r="C441" s="125"/>
      <c r="D441" s="125"/>
      <c r="E441" s="125"/>
      <c r="F441" s="125"/>
      <c r="G441" s="125"/>
      <c r="H441" s="125"/>
      <c r="I441" s="125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</row>
    <row r="442">
      <c r="A442" s="258"/>
      <c r="B442" s="123"/>
      <c r="C442" s="123"/>
      <c r="D442" s="61"/>
      <c r="E442" s="123"/>
      <c r="F442" s="123"/>
      <c r="G442" s="123"/>
      <c r="H442" s="61"/>
      <c r="I442" s="123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</row>
    <row r="443">
      <c r="A443" s="259"/>
      <c r="B443" s="55"/>
      <c r="C443" s="55"/>
      <c r="D443" s="55"/>
      <c r="E443" s="55"/>
      <c r="F443" s="260"/>
      <c r="G443" s="55"/>
      <c r="H443" s="55"/>
      <c r="I443" s="55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</row>
    <row r="444">
      <c r="A444" s="258"/>
      <c r="B444" s="123"/>
      <c r="C444" s="123"/>
      <c r="D444" s="123"/>
      <c r="E444" s="123"/>
      <c r="F444" s="261"/>
      <c r="G444" s="123"/>
      <c r="H444" s="123"/>
      <c r="I444" s="123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</row>
    <row r="445">
      <c r="A445" s="259"/>
      <c r="B445" s="55"/>
      <c r="C445" s="55"/>
      <c r="D445" s="55"/>
      <c r="E445" s="55"/>
      <c r="F445" s="55"/>
      <c r="G445" s="55"/>
      <c r="H445" s="55"/>
      <c r="I445" s="55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</row>
    <row r="446">
      <c r="A446" s="258"/>
      <c r="B446" s="123"/>
      <c r="C446" s="123"/>
      <c r="D446" s="123"/>
      <c r="E446" s="123"/>
      <c r="F446" s="123"/>
      <c r="G446" s="123"/>
      <c r="H446" s="123"/>
      <c r="I446" s="123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</row>
    <row r="447">
      <c r="A447" s="259"/>
      <c r="B447" s="55"/>
      <c r="C447" s="55"/>
      <c r="D447" s="55"/>
      <c r="E447" s="55"/>
      <c r="F447" s="55"/>
      <c r="G447" s="55"/>
      <c r="H447" s="55"/>
      <c r="I447" s="55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</row>
    <row r="448">
      <c r="A448" s="258"/>
      <c r="B448" s="123"/>
      <c r="C448" s="123"/>
      <c r="D448" s="123"/>
      <c r="E448" s="123"/>
      <c r="F448" s="123"/>
      <c r="G448" s="123"/>
      <c r="H448" s="123"/>
      <c r="I448" s="123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</row>
    <row r="449">
      <c r="A449" s="259"/>
      <c r="B449" s="55"/>
      <c r="C449" s="55"/>
      <c r="D449" s="55"/>
      <c r="E449" s="55"/>
      <c r="F449" s="55"/>
      <c r="G449" s="55"/>
      <c r="H449" s="55"/>
      <c r="I449" s="55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</row>
    <row r="450">
      <c r="A450" s="258"/>
      <c r="B450" s="123"/>
      <c r="C450" s="123"/>
      <c r="D450" s="123"/>
      <c r="E450" s="123"/>
      <c r="F450" s="123"/>
      <c r="G450" s="123"/>
      <c r="H450" s="123"/>
      <c r="I450" s="123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</row>
    <row r="451">
      <c r="A451" s="259"/>
      <c r="B451" s="55"/>
      <c r="C451" s="55"/>
      <c r="D451" s="55"/>
      <c r="E451" s="55"/>
      <c r="F451" s="260"/>
      <c r="G451" s="55"/>
      <c r="H451" s="55"/>
      <c r="I451" s="55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</row>
    <row r="452">
      <c r="A452" s="258"/>
      <c r="B452" s="123"/>
      <c r="C452" s="123"/>
      <c r="D452" s="123"/>
      <c r="E452" s="123"/>
      <c r="F452" s="261"/>
      <c r="G452" s="123"/>
      <c r="H452" s="123"/>
      <c r="I452" s="123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</row>
    <row r="453">
      <c r="A453" s="259"/>
      <c r="B453" s="55"/>
      <c r="C453" s="55"/>
      <c r="D453" s="55"/>
      <c r="E453" s="55"/>
      <c r="F453" s="55"/>
      <c r="G453" s="55"/>
      <c r="H453" s="55"/>
      <c r="I453" s="55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</row>
    <row r="454">
      <c r="A454" s="258"/>
      <c r="B454" s="123"/>
      <c r="C454" s="123"/>
      <c r="D454" s="123"/>
      <c r="E454" s="123"/>
      <c r="F454" s="123"/>
      <c r="G454" s="123"/>
      <c r="H454" s="123"/>
      <c r="I454" s="123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</row>
    <row r="455">
      <c r="A455" s="259"/>
      <c r="B455" s="55"/>
      <c r="C455" s="55"/>
      <c r="D455" s="55"/>
      <c r="E455" s="55"/>
      <c r="F455" s="55"/>
      <c r="G455" s="55"/>
      <c r="H455" s="55"/>
      <c r="I455" s="55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</row>
    <row r="456">
      <c r="A456" s="258"/>
      <c r="B456" s="123"/>
      <c r="C456" s="123"/>
      <c r="D456" s="123"/>
      <c r="E456" s="123"/>
      <c r="F456" s="123"/>
      <c r="G456" s="123"/>
      <c r="H456" s="123"/>
      <c r="I456" s="123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</row>
    <row r="457">
      <c r="A457" s="259"/>
      <c r="B457" s="55"/>
      <c r="C457" s="55"/>
      <c r="D457" s="55"/>
      <c r="E457" s="55"/>
      <c r="F457" s="55"/>
      <c r="G457" s="55"/>
      <c r="H457" s="55"/>
      <c r="I457" s="55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</row>
    <row r="458">
      <c r="A458" s="258"/>
      <c r="B458" s="123"/>
      <c r="C458" s="123"/>
      <c r="D458" s="123"/>
      <c r="E458" s="123"/>
      <c r="F458" s="123"/>
      <c r="G458" s="123"/>
      <c r="H458" s="123"/>
      <c r="I458" s="123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</row>
    <row r="459">
      <c r="A459" s="259"/>
      <c r="B459" s="55"/>
      <c r="C459" s="55"/>
      <c r="D459" s="55"/>
      <c r="E459" s="55"/>
      <c r="F459" s="55"/>
      <c r="G459" s="55"/>
      <c r="H459" s="55"/>
      <c r="I459" s="55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</row>
    <row r="460">
      <c r="A460" s="258"/>
      <c r="B460" s="123"/>
      <c r="C460" s="262"/>
      <c r="D460" s="123"/>
      <c r="E460" s="61"/>
      <c r="F460" s="123"/>
      <c r="G460" s="123"/>
      <c r="H460" s="123"/>
      <c r="I460" s="123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</row>
    <row r="461">
      <c r="A461" s="259"/>
      <c r="B461" s="55"/>
      <c r="C461" s="263"/>
      <c r="D461" s="55"/>
      <c r="E461" s="65"/>
      <c r="F461" s="55"/>
      <c r="G461" s="55"/>
      <c r="H461" s="55"/>
      <c r="I461" s="55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</row>
    <row r="462">
      <c r="A462" s="258"/>
      <c r="B462" s="123"/>
      <c r="C462" s="262"/>
      <c r="D462" s="123"/>
      <c r="E462" s="61"/>
      <c r="F462" s="123"/>
      <c r="G462" s="123"/>
      <c r="H462" s="123"/>
      <c r="I462" s="123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</row>
    <row r="463">
      <c r="A463" s="259"/>
      <c r="B463" s="55"/>
      <c r="C463" s="263"/>
      <c r="D463" s="55"/>
      <c r="E463" s="65"/>
      <c r="F463" s="55"/>
      <c r="G463" s="55"/>
      <c r="H463" s="55"/>
      <c r="I463" s="55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</row>
    <row r="464">
      <c r="A464" s="258"/>
      <c r="B464" s="123"/>
      <c r="C464" s="262"/>
      <c r="D464" s="123"/>
      <c r="E464" s="61"/>
      <c r="F464" s="123"/>
      <c r="G464" s="123"/>
      <c r="H464" s="123"/>
      <c r="I464" s="123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</row>
    <row r="465">
      <c r="A465" s="259"/>
      <c r="B465" s="55"/>
      <c r="C465" s="263"/>
      <c r="D465" s="55"/>
      <c r="E465" s="65"/>
      <c r="F465" s="55"/>
      <c r="G465" s="55"/>
      <c r="H465" s="55"/>
      <c r="I465" s="55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</row>
    <row r="466">
      <c r="A466" s="258"/>
      <c r="B466" s="123"/>
      <c r="C466" s="262"/>
      <c r="D466" s="123"/>
      <c r="E466" s="61"/>
      <c r="F466" s="123"/>
      <c r="G466" s="123"/>
      <c r="H466" s="123"/>
      <c r="I466" s="123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>
      <c r="A467" s="259"/>
      <c r="B467" s="55"/>
      <c r="C467" s="263"/>
      <c r="D467" s="55"/>
      <c r="E467" s="65"/>
      <c r="F467" s="55"/>
      <c r="G467" s="55"/>
      <c r="H467" s="55"/>
      <c r="I467" s="55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>
      <c r="A468" s="258"/>
      <c r="B468" s="123"/>
      <c r="C468" s="262"/>
      <c r="D468" s="123"/>
      <c r="E468" s="61"/>
      <c r="F468" s="123"/>
      <c r="G468" s="123"/>
      <c r="H468" s="123"/>
      <c r="I468" s="123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>
      <c r="A469" s="259"/>
      <c r="B469" s="55"/>
      <c r="C469" s="263"/>
      <c r="D469" s="55"/>
      <c r="E469" s="65"/>
      <c r="F469" s="55"/>
      <c r="G469" s="55"/>
      <c r="H469" s="55"/>
      <c r="I469" s="55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>
      <c r="A470" s="258"/>
      <c r="B470" s="123"/>
      <c r="C470" s="262"/>
      <c r="D470" s="123"/>
      <c r="E470" s="61"/>
      <c r="F470" s="123"/>
      <c r="G470" s="123"/>
      <c r="H470" s="123"/>
      <c r="I470" s="123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</row>
    <row r="471">
      <c r="A471" s="259"/>
      <c r="B471" s="55"/>
      <c r="C471" s="263"/>
      <c r="D471" s="55"/>
      <c r="E471" s="65"/>
      <c r="F471" s="55"/>
      <c r="G471" s="55"/>
      <c r="H471" s="55"/>
      <c r="I471" s="55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</row>
    <row r="472">
      <c r="A472" s="258"/>
      <c r="B472" s="123"/>
      <c r="C472" s="262"/>
      <c r="D472" s="123"/>
      <c r="E472" s="61"/>
      <c r="F472" s="123"/>
      <c r="G472" s="123"/>
      <c r="H472" s="123"/>
      <c r="I472" s="123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</row>
    <row r="473">
      <c r="A473" s="259"/>
      <c r="B473" s="55"/>
      <c r="C473" s="263"/>
      <c r="D473" s="55"/>
      <c r="E473" s="65"/>
      <c r="F473" s="55"/>
      <c r="G473" s="55"/>
      <c r="H473" s="55"/>
      <c r="I473" s="55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</row>
    <row r="474">
      <c r="A474" s="258"/>
      <c r="B474" s="123"/>
      <c r="C474" s="262"/>
      <c r="D474" s="123"/>
      <c r="E474" s="61"/>
      <c r="F474" s="123"/>
      <c r="G474" s="123"/>
      <c r="H474" s="123"/>
      <c r="I474" s="123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</row>
    <row r="475">
      <c r="A475" s="259"/>
      <c r="B475" s="55"/>
      <c r="C475" s="263"/>
      <c r="D475" s="55"/>
      <c r="E475" s="65"/>
      <c r="F475" s="55"/>
      <c r="G475" s="55"/>
      <c r="H475" s="55"/>
      <c r="I475" s="55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</row>
    <row r="476">
      <c r="A476" s="258"/>
      <c r="B476" s="123"/>
      <c r="C476" s="262"/>
      <c r="D476" s="123"/>
      <c r="E476" s="61"/>
      <c r="F476" s="123"/>
      <c r="G476" s="123"/>
      <c r="H476" s="123"/>
      <c r="I476" s="123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</row>
    <row r="477">
      <c r="A477" s="32"/>
      <c r="B477" s="55"/>
      <c r="C477" s="55"/>
      <c r="D477" s="65"/>
      <c r="E477" s="55"/>
      <c r="F477" s="55"/>
      <c r="G477" s="55"/>
      <c r="H477" s="55"/>
      <c r="I477" s="55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</row>
    <row r="478">
      <c r="A478" s="32"/>
      <c r="B478" s="55"/>
      <c r="C478" s="55"/>
      <c r="D478" s="65"/>
      <c r="E478" s="55"/>
      <c r="F478" s="55"/>
      <c r="G478" s="55"/>
      <c r="H478" s="55"/>
      <c r="I478" s="55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</row>
    <row r="479">
      <c r="A479" s="32"/>
      <c r="B479" s="55"/>
      <c r="C479" s="55"/>
      <c r="D479" s="65"/>
      <c r="E479" s="55"/>
      <c r="F479" s="55"/>
      <c r="G479" s="55"/>
      <c r="H479" s="55"/>
      <c r="I479" s="55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</row>
    <row r="480">
      <c r="A480" s="32"/>
      <c r="B480" s="55"/>
      <c r="C480" s="55"/>
      <c r="D480" s="65"/>
      <c r="E480" s="55"/>
      <c r="F480" s="55"/>
      <c r="G480" s="55"/>
      <c r="H480" s="55"/>
      <c r="I480" s="55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</row>
    <row r="481">
      <c r="A481" s="32"/>
      <c r="B481" s="55"/>
      <c r="C481" s="55"/>
      <c r="D481" s="55"/>
      <c r="E481" s="65"/>
      <c r="F481" s="65"/>
      <c r="G481" s="55"/>
      <c r="H481" s="65"/>
      <c r="I481" s="55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</row>
    <row r="482">
      <c r="A482" s="32"/>
      <c r="B482" s="55"/>
      <c r="C482" s="55"/>
      <c r="D482" s="55"/>
      <c r="E482" s="65"/>
      <c r="F482" s="65"/>
      <c r="G482" s="55"/>
      <c r="H482" s="65"/>
      <c r="I482" s="55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</row>
    <row r="483">
      <c r="A483" s="32"/>
      <c r="B483" s="55"/>
      <c r="C483" s="55"/>
      <c r="D483" s="55"/>
      <c r="E483" s="65"/>
      <c r="F483" s="65"/>
      <c r="G483" s="55"/>
      <c r="H483" s="65"/>
      <c r="I483" s="55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</row>
    <row r="484">
      <c r="A484" s="32"/>
      <c r="B484" s="55"/>
      <c r="C484" s="55"/>
      <c r="D484" s="55"/>
      <c r="E484" s="65"/>
      <c r="F484" s="65"/>
      <c r="G484" s="55"/>
      <c r="H484" s="65"/>
      <c r="I484" s="55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</row>
    <row r="485">
      <c r="A485" s="32"/>
      <c r="B485" s="55"/>
      <c r="C485" s="55"/>
      <c r="D485" s="55"/>
      <c r="E485" s="65"/>
      <c r="F485" s="65"/>
      <c r="G485" s="55"/>
      <c r="H485" s="65"/>
      <c r="I485" s="55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</row>
    <row r="486">
      <c r="A486" s="32"/>
      <c r="B486" s="55"/>
      <c r="C486" s="55"/>
      <c r="D486" s="55"/>
      <c r="E486" s="65"/>
      <c r="F486" s="65"/>
      <c r="G486" s="55"/>
      <c r="H486" s="65"/>
      <c r="I486" s="55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</row>
    <row r="487">
      <c r="A487" s="32"/>
      <c r="B487" s="55"/>
      <c r="C487" s="55"/>
      <c r="D487" s="55"/>
      <c r="E487" s="65"/>
      <c r="F487" s="65"/>
      <c r="G487" s="55"/>
      <c r="H487" s="65"/>
      <c r="I487" s="55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</row>
    <row r="488">
      <c r="A488" s="32"/>
      <c r="B488" s="55"/>
      <c r="C488" s="55"/>
      <c r="D488" s="55"/>
      <c r="E488" s="65"/>
      <c r="F488" s="65"/>
      <c r="G488" s="55"/>
      <c r="H488" s="65"/>
      <c r="I488" s="55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</row>
    <row r="489">
      <c r="A489" s="32"/>
      <c r="B489" s="55"/>
      <c r="C489" s="55"/>
      <c r="D489" s="55"/>
      <c r="E489" s="65"/>
      <c r="F489" s="65"/>
      <c r="G489" s="55"/>
      <c r="H489" s="65"/>
      <c r="I489" s="55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</row>
    <row r="490">
      <c r="A490" s="32"/>
      <c r="B490" s="55"/>
      <c r="C490" s="55"/>
      <c r="D490" s="55"/>
      <c r="E490" s="65"/>
      <c r="F490" s="65"/>
      <c r="G490" s="55"/>
      <c r="H490" s="65"/>
      <c r="I490" s="55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</row>
    <row r="491">
      <c r="A491" s="32"/>
      <c r="B491" s="55"/>
      <c r="C491" s="55"/>
      <c r="D491" s="55"/>
      <c r="E491" s="65"/>
      <c r="F491" s="65"/>
      <c r="G491" s="55"/>
      <c r="H491" s="65"/>
      <c r="I491" s="55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</row>
    <row r="492">
      <c r="A492" s="32"/>
      <c r="B492" s="55"/>
      <c r="C492" s="55"/>
      <c r="D492" s="55"/>
      <c r="E492" s="65"/>
      <c r="F492" s="65"/>
      <c r="G492" s="55"/>
      <c r="H492" s="65"/>
      <c r="I492" s="55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</row>
    <row r="493">
      <c r="A493" s="32"/>
      <c r="B493" s="55"/>
      <c r="C493" s="55"/>
      <c r="D493" s="55"/>
      <c r="E493" s="65"/>
      <c r="F493" s="65"/>
      <c r="G493" s="55"/>
      <c r="H493" s="65"/>
      <c r="I493" s="55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</row>
    <row r="494">
      <c r="A494" s="32"/>
      <c r="B494" s="55"/>
      <c r="C494" s="55"/>
      <c r="D494" s="55"/>
      <c r="E494" s="65"/>
      <c r="F494" s="65"/>
      <c r="G494" s="55"/>
      <c r="H494" s="65"/>
      <c r="I494" s="55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</row>
    <row r="495">
      <c r="A495" s="32"/>
      <c r="B495" s="55"/>
      <c r="C495" s="55"/>
      <c r="D495" s="55"/>
      <c r="E495" s="65"/>
      <c r="F495" s="65"/>
      <c r="G495" s="55"/>
      <c r="H495" s="65"/>
      <c r="I495" s="55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</row>
    <row r="496">
      <c r="A496" s="32"/>
      <c r="B496" s="55"/>
      <c r="C496" s="55"/>
      <c r="D496" s="55"/>
      <c r="E496" s="65"/>
      <c r="F496" s="65"/>
      <c r="G496" s="55"/>
      <c r="H496" s="65"/>
      <c r="I496" s="55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</row>
    <row r="497">
      <c r="A497" s="32"/>
      <c r="B497" s="55"/>
      <c r="C497" s="55"/>
      <c r="D497" s="55"/>
      <c r="E497" s="65"/>
      <c r="F497" s="65"/>
      <c r="G497" s="55"/>
      <c r="H497" s="65"/>
      <c r="I497" s="55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</row>
    <row r="498">
      <c r="A498" s="32"/>
      <c r="B498" s="55"/>
      <c r="C498" s="55"/>
      <c r="D498" s="55"/>
      <c r="E498" s="65"/>
      <c r="F498" s="65"/>
      <c r="G498" s="55"/>
      <c r="H498" s="65"/>
      <c r="I498" s="55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</row>
    <row r="499">
      <c r="A499" s="32"/>
      <c r="B499" s="55"/>
      <c r="C499" s="55"/>
      <c r="D499" s="55"/>
      <c r="E499" s="55"/>
      <c r="F499" s="55"/>
      <c r="G499" s="55"/>
      <c r="H499" s="55"/>
      <c r="I499" s="55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</row>
    <row r="500">
      <c r="A500" s="32"/>
      <c r="B500" s="55"/>
      <c r="C500" s="55"/>
      <c r="D500" s="55"/>
      <c r="E500" s="55"/>
      <c r="F500" s="55"/>
      <c r="G500" s="55"/>
      <c r="H500" s="55"/>
      <c r="I500" s="55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</row>
    <row r="501">
      <c r="A501" s="32"/>
      <c r="B501" s="55"/>
      <c r="C501" s="55"/>
      <c r="D501" s="55"/>
      <c r="E501" s="55"/>
      <c r="F501" s="55"/>
      <c r="G501" s="55"/>
      <c r="H501" s="55"/>
      <c r="I501" s="55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</row>
    <row r="502">
      <c r="A502" s="32"/>
      <c r="B502" s="55"/>
      <c r="C502" s="55"/>
      <c r="D502" s="55"/>
      <c r="E502" s="55"/>
      <c r="F502" s="55"/>
      <c r="G502" s="55"/>
      <c r="H502" s="55"/>
      <c r="I502" s="55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</row>
    <row r="503">
      <c r="A503" s="32"/>
      <c r="B503" s="55"/>
      <c r="C503" s="55"/>
      <c r="D503" s="55"/>
      <c r="E503" s="55"/>
      <c r="F503" s="55"/>
      <c r="G503" s="55"/>
      <c r="H503" s="55"/>
      <c r="I503" s="55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</row>
    <row r="504">
      <c r="A504" s="32"/>
      <c r="B504" s="55"/>
      <c r="C504" s="55"/>
      <c r="D504" s="55"/>
      <c r="E504" s="55"/>
      <c r="F504" s="55"/>
      <c r="G504" s="55"/>
      <c r="H504" s="55"/>
      <c r="I504" s="55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</row>
    <row r="505">
      <c r="A505" s="32"/>
      <c r="B505" s="55"/>
      <c r="C505" s="55"/>
      <c r="D505" s="55"/>
      <c r="E505" s="55"/>
      <c r="F505" s="55"/>
      <c r="G505" s="55"/>
      <c r="H505" s="55"/>
      <c r="I505" s="55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</row>
    <row r="506">
      <c r="A506" s="32"/>
      <c r="B506" s="55"/>
      <c r="C506" s="55"/>
      <c r="D506" s="55"/>
      <c r="E506" s="55"/>
      <c r="F506" s="55"/>
      <c r="G506" s="55"/>
      <c r="H506" s="55"/>
      <c r="I506" s="55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</row>
    <row r="507">
      <c r="A507" s="32"/>
      <c r="B507" s="55"/>
      <c r="C507" s="55"/>
      <c r="D507" s="55"/>
      <c r="E507" s="55"/>
      <c r="F507" s="55"/>
      <c r="G507" s="55"/>
      <c r="H507" s="55"/>
      <c r="I507" s="55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</row>
    <row r="508">
      <c r="A508" s="32"/>
      <c r="B508" s="55"/>
      <c r="C508" s="55"/>
      <c r="D508" s="55"/>
      <c r="E508" s="55"/>
      <c r="F508" s="55"/>
      <c r="G508" s="55"/>
      <c r="H508" s="55"/>
      <c r="I508" s="55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</row>
    <row r="509">
      <c r="A509" s="32"/>
      <c r="B509" s="55"/>
      <c r="C509" s="55"/>
      <c r="D509" s="55"/>
      <c r="E509" s="55"/>
      <c r="F509" s="55"/>
      <c r="G509" s="55"/>
      <c r="H509" s="55"/>
      <c r="I509" s="55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</row>
    <row r="510">
      <c r="A510" s="32"/>
      <c r="B510" s="55"/>
      <c r="C510" s="55"/>
      <c r="D510" s="55"/>
      <c r="E510" s="55"/>
      <c r="F510" s="55"/>
      <c r="G510" s="55"/>
      <c r="H510" s="55"/>
      <c r="I510" s="55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</row>
    <row r="511">
      <c r="A511" s="32"/>
      <c r="B511" s="55"/>
      <c r="C511" s="55"/>
      <c r="D511" s="55"/>
      <c r="E511" s="55"/>
      <c r="F511" s="55"/>
      <c r="G511" s="55"/>
      <c r="H511" s="55"/>
      <c r="I511" s="55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</row>
    <row r="512">
      <c r="A512" s="32"/>
      <c r="B512" s="55"/>
      <c r="C512" s="55"/>
      <c r="D512" s="55"/>
      <c r="E512" s="55"/>
      <c r="F512" s="55"/>
      <c r="G512" s="55"/>
      <c r="H512" s="55"/>
      <c r="I512" s="55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</row>
    <row r="513">
      <c r="A513" s="32"/>
      <c r="B513" s="55"/>
      <c r="C513" s="55"/>
      <c r="D513" s="55"/>
      <c r="E513" s="55"/>
      <c r="F513" s="55"/>
      <c r="G513" s="55"/>
      <c r="H513" s="55"/>
      <c r="I513" s="55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</row>
    <row r="514">
      <c r="A514" s="32"/>
      <c r="B514" s="55"/>
      <c r="C514" s="55"/>
      <c r="D514" s="55"/>
      <c r="E514" s="55"/>
      <c r="F514" s="55"/>
      <c r="G514" s="55"/>
      <c r="H514" s="55"/>
      <c r="I514" s="55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</row>
    <row r="515">
      <c r="A515" s="32"/>
      <c r="B515" s="55"/>
      <c r="C515" s="55"/>
      <c r="D515" s="55"/>
      <c r="E515" s="55"/>
      <c r="F515" s="55"/>
      <c r="G515" s="55"/>
      <c r="H515" s="55"/>
      <c r="I515" s="55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</row>
    <row r="516">
      <c r="A516" s="32"/>
      <c r="B516" s="55"/>
      <c r="C516" s="55"/>
      <c r="D516" s="55"/>
      <c r="E516" s="55"/>
      <c r="F516" s="55"/>
      <c r="G516" s="55"/>
      <c r="H516" s="55"/>
      <c r="I516" s="55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</row>
    <row r="517">
      <c r="A517" s="32"/>
      <c r="B517" s="55"/>
      <c r="C517" s="55"/>
      <c r="D517" s="55"/>
      <c r="E517" s="55"/>
      <c r="F517" s="55"/>
      <c r="G517" s="55"/>
      <c r="H517" s="55"/>
      <c r="I517" s="55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</row>
    <row r="518">
      <c r="A518" s="32"/>
      <c r="B518" s="55"/>
      <c r="C518" s="55"/>
      <c r="D518" s="55"/>
      <c r="E518" s="55"/>
      <c r="F518" s="55"/>
      <c r="G518" s="55"/>
      <c r="H518" s="55"/>
      <c r="I518" s="55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</row>
    <row r="519">
      <c r="A519" s="32"/>
      <c r="B519" s="55"/>
      <c r="C519" s="55"/>
      <c r="D519" s="55"/>
      <c r="E519" s="55"/>
      <c r="F519" s="55"/>
      <c r="G519" s="55"/>
      <c r="H519" s="55"/>
      <c r="I519" s="55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</row>
    <row r="520">
      <c r="A520" s="32"/>
      <c r="B520" s="55"/>
      <c r="C520" s="55"/>
      <c r="D520" s="55"/>
      <c r="E520" s="55"/>
      <c r="F520" s="55"/>
      <c r="G520" s="55"/>
      <c r="H520" s="55"/>
      <c r="I520" s="55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</row>
    <row r="521">
      <c r="A521" s="32"/>
      <c r="B521" s="55"/>
      <c r="C521" s="55"/>
      <c r="D521" s="55"/>
      <c r="E521" s="55"/>
      <c r="F521" s="55"/>
      <c r="G521" s="55"/>
      <c r="H521" s="55"/>
      <c r="I521" s="55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</row>
    <row r="522">
      <c r="A522" s="32"/>
      <c r="B522" s="55"/>
      <c r="C522" s="55"/>
      <c r="D522" s="55"/>
      <c r="E522" s="55"/>
      <c r="F522" s="55"/>
      <c r="G522" s="55"/>
      <c r="H522" s="55"/>
      <c r="I522" s="55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</row>
    <row r="523">
      <c r="A523" s="32"/>
      <c r="B523" s="55"/>
      <c r="C523" s="55"/>
      <c r="D523" s="55"/>
      <c r="E523" s="55"/>
      <c r="F523" s="55"/>
      <c r="G523" s="55"/>
      <c r="H523" s="55"/>
      <c r="I523" s="55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</row>
    <row r="524">
      <c r="A524" s="32"/>
      <c r="B524" s="55"/>
      <c r="C524" s="55"/>
      <c r="D524" s="55"/>
      <c r="E524" s="55"/>
      <c r="F524" s="55"/>
      <c r="G524" s="55"/>
      <c r="H524" s="55"/>
      <c r="I524" s="55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</row>
    <row r="525">
      <c r="A525" s="32"/>
      <c r="B525" s="55"/>
      <c r="C525" s="55"/>
      <c r="D525" s="55"/>
      <c r="E525" s="55"/>
      <c r="F525" s="55"/>
      <c r="G525" s="55"/>
      <c r="H525" s="55"/>
      <c r="I525" s="55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</row>
    <row r="526">
      <c r="A526" s="32"/>
      <c r="B526" s="55"/>
      <c r="C526" s="55"/>
      <c r="D526" s="55"/>
      <c r="E526" s="55"/>
      <c r="F526" s="55"/>
      <c r="G526" s="55"/>
      <c r="H526" s="55"/>
      <c r="I526" s="55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</row>
    <row r="527">
      <c r="A527" s="32"/>
      <c r="B527" s="55"/>
      <c r="C527" s="55"/>
      <c r="D527" s="55"/>
      <c r="E527" s="55"/>
      <c r="F527" s="55"/>
      <c r="G527" s="55"/>
      <c r="H527" s="55"/>
      <c r="I527" s="55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</row>
    <row r="528">
      <c r="A528" s="32"/>
      <c r="B528" s="55"/>
      <c r="C528" s="55"/>
      <c r="D528" s="55"/>
      <c r="E528" s="55"/>
      <c r="F528" s="55"/>
      <c r="G528" s="55"/>
      <c r="H528" s="55"/>
      <c r="I528" s="55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</row>
    <row r="529">
      <c r="A529" s="32"/>
      <c r="B529" s="55"/>
      <c r="C529" s="55"/>
      <c r="D529" s="55"/>
      <c r="E529" s="55"/>
      <c r="F529" s="55"/>
      <c r="G529" s="55"/>
      <c r="H529" s="55"/>
      <c r="I529" s="55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</row>
    <row r="530">
      <c r="A530" s="32"/>
      <c r="B530" s="55"/>
      <c r="C530" s="55"/>
      <c r="D530" s="55"/>
      <c r="E530" s="55"/>
      <c r="F530" s="55"/>
      <c r="G530" s="55"/>
      <c r="H530" s="55"/>
      <c r="I530" s="55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</row>
    <row r="531">
      <c r="A531" s="32"/>
      <c r="B531" s="55"/>
      <c r="C531" s="55"/>
      <c r="D531" s="55"/>
      <c r="E531" s="55"/>
      <c r="F531" s="55"/>
      <c r="G531" s="55"/>
      <c r="H531" s="55"/>
      <c r="I531" s="55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</row>
    <row r="532">
      <c r="A532" s="32"/>
      <c r="B532" s="55"/>
      <c r="C532" s="55"/>
      <c r="D532" s="55"/>
      <c r="E532" s="55"/>
      <c r="F532" s="55"/>
      <c r="G532" s="55"/>
      <c r="H532" s="55"/>
      <c r="I532" s="55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</row>
    <row r="533">
      <c r="A533" s="32"/>
      <c r="B533" s="55"/>
      <c r="C533" s="55"/>
      <c r="D533" s="55"/>
      <c r="E533" s="55"/>
      <c r="F533" s="55"/>
      <c r="G533" s="55"/>
      <c r="H533" s="55"/>
      <c r="I533" s="55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</row>
    <row r="534">
      <c r="A534" s="32"/>
      <c r="B534" s="55"/>
      <c r="C534" s="55"/>
      <c r="D534" s="55"/>
      <c r="E534" s="55"/>
      <c r="F534" s="55"/>
      <c r="G534" s="55"/>
      <c r="H534" s="55"/>
      <c r="I534" s="55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</row>
    <row r="535">
      <c r="A535" s="32"/>
      <c r="B535" s="55"/>
      <c r="C535" s="55"/>
      <c r="D535" s="55"/>
      <c r="E535" s="55"/>
      <c r="F535" s="55"/>
      <c r="G535" s="55"/>
      <c r="H535" s="55"/>
      <c r="I535" s="55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</row>
    <row r="536">
      <c r="A536" s="32"/>
      <c r="B536" s="55"/>
      <c r="C536" s="55"/>
      <c r="D536" s="55"/>
      <c r="E536" s="55"/>
      <c r="F536" s="55"/>
      <c r="G536" s="55"/>
      <c r="H536" s="55"/>
      <c r="I536" s="55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</row>
    <row r="537">
      <c r="A537" s="32"/>
      <c r="B537" s="55"/>
      <c r="C537" s="55"/>
      <c r="D537" s="55"/>
      <c r="E537" s="55"/>
      <c r="F537" s="55"/>
      <c r="G537" s="55"/>
      <c r="H537" s="55"/>
      <c r="I537" s="55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</row>
    <row r="538">
      <c r="A538" s="32"/>
      <c r="B538" s="55"/>
      <c r="C538" s="55"/>
      <c r="D538" s="55"/>
      <c r="E538" s="55"/>
      <c r="F538" s="55"/>
      <c r="G538" s="55"/>
      <c r="H538" s="55"/>
      <c r="I538" s="55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</row>
    <row r="539">
      <c r="A539" s="32"/>
      <c r="B539" s="55"/>
      <c r="C539" s="55"/>
      <c r="D539" s="55"/>
      <c r="E539" s="55"/>
      <c r="F539" s="55"/>
      <c r="G539" s="55"/>
      <c r="H539" s="55"/>
      <c r="I539" s="55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</row>
    <row r="540">
      <c r="A540" s="32"/>
      <c r="B540" s="55"/>
      <c r="C540" s="55"/>
      <c r="D540" s="55"/>
      <c r="E540" s="55"/>
      <c r="F540" s="55"/>
      <c r="G540" s="55"/>
      <c r="H540" s="55"/>
      <c r="I540" s="55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</row>
    <row r="541">
      <c r="A541" s="32"/>
      <c r="B541" s="55"/>
      <c r="C541" s="55"/>
      <c r="D541" s="55"/>
      <c r="E541" s="55"/>
      <c r="F541" s="55"/>
      <c r="G541" s="55"/>
      <c r="H541" s="55"/>
      <c r="I541" s="55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</row>
    <row r="542">
      <c r="A542" s="32"/>
      <c r="B542" s="55"/>
      <c r="C542" s="55"/>
      <c r="D542" s="55"/>
      <c r="E542" s="55"/>
      <c r="F542" s="55"/>
      <c r="G542" s="55"/>
      <c r="H542" s="55"/>
      <c r="I542" s="55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</row>
    <row r="543">
      <c r="A543" s="32"/>
      <c r="B543" s="55"/>
      <c r="C543" s="55"/>
      <c r="D543" s="55"/>
      <c r="E543" s="55"/>
      <c r="F543" s="55"/>
      <c r="G543" s="55"/>
      <c r="H543" s="55"/>
      <c r="I543" s="55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</row>
    <row r="544">
      <c r="A544" s="32"/>
      <c r="B544" s="55"/>
      <c r="C544" s="55"/>
      <c r="D544" s="55"/>
      <c r="E544" s="55"/>
      <c r="F544" s="55"/>
      <c r="G544" s="55"/>
      <c r="H544" s="55"/>
      <c r="I544" s="55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</row>
    <row r="545">
      <c r="A545" s="32"/>
      <c r="B545" s="55"/>
      <c r="C545" s="55"/>
      <c r="D545" s="55"/>
      <c r="E545" s="55"/>
      <c r="F545" s="55"/>
      <c r="G545" s="55"/>
      <c r="H545" s="55"/>
      <c r="I545" s="55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</row>
    <row r="546">
      <c r="A546" s="32"/>
      <c r="B546" s="55"/>
      <c r="C546" s="55"/>
      <c r="D546" s="55"/>
      <c r="E546" s="55"/>
      <c r="F546" s="55"/>
      <c r="G546" s="55"/>
      <c r="H546" s="55"/>
      <c r="I546" s="55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</row>
    <row r="547">
      <c r="A547" s="32"/>
      <c r="B547" s="55"/>
      <c r="C547" s="55"/>
      <c r="D547" s="55"/>
      <c r="E547" s="55"/>
      <c r="F547" s="55"/>
      <c r="G547" s="55"/>
      <c r="H547" s="55"/>
      <c r="I547" s="55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>
      <c r="A548" s="32"/>
      <c r="B548" s="55"/>
      <c r="C548" s="55"/>
      <c r="D548" s="55"/>
      <c r="E548" s="55"/>
      <c r="F548" s="55"/>
      <c r="G548" s="55"/>
      <c r="H548" s="55"/>
      <c r="I548" s="55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</row>
    <row r="549">
      <c r="A549" s="32"/>
      <c r="B549" s="55"/>
      <c r="C549" s="55"/>
      <c r="D549" s="55"/>
      <c r="E549" s="55"/>
      <c r="F549" s="55"/>
      <c r="G549" s="55"/>
      <c r="H549" s="55"/>
      <c r="I549" s="55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</row>
    <row r="550">
      <c r="A550" s="32"/>
      <c r="B550" s="55"/>
      <c r="C550" s="55"/>
      <c r="D550" s="55"/>
      <c r="E550" s="55"/>
      <c r="F550" s="55"/>
      <c r="G550" s="55"/>
      <c r="H550" s="55"/>
      <c r="I550" s="55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</row>
    <row r="551">
      <c r="A551" s="32"/>
      <c r="B551" s="55"/>
      <c r="C551" s="55"/>
      <c r="D551" s="55"/>
      <c r="E551" s="55"/>
      <c r="F551" s="55"/>
      <c r="G551" s="55"/>
      <c r="H551" s="55"/>
      <c r="I551" s="55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</row>
    <row r="552">
      <c r="A552" s="32"/>
      <c r="B552" s="55"/>
      <c r="C552" s="55"/>
      <c r="D552" s="55"/>
      <c r="E552" s="55"/>
      <c r="F552" s="55"/>
      <c r="G552" s="55"/>
      <c r="H552" s="55"/>
      <c r="I552" s="55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</row>
    <row r="553">
      <c r="A553" s="32"/>
      <c r="B553" s="55"/>
      <c r="C553" s="55"/>
      <c r="D553" s="55"/>
      <c r="E553" s="55"/>
      <c r="F553" s="55"/>
      <c r="G553" s="55"/>
      <c r="H553" s="55"/>
      <c r="I553" s="55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</row>
    <row r="554">
      <c r="A554" s="32"/>
      <c r="B554" s="55"/>
      <c r="C554" s="55"/>
      <c r="D554" s="55"/>
      <c r="E554" s="55"/>
      <c r="F554" s="55"/>
      <c r="G554" s="55"/>
      <c r="H554" s="55"/>
      <c r="I554" s="55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</row>
    <row r="555">
      <c r="A555" s="32"/>
      <c r="B555" s="55"/>
      <c r="C555" s="55"/>
      <c r="D555" s="55"/>
      <c r="E555" s="55"/>
      <c r="F555" s="55"/>
      <c r="G555" s="55"/>
      <c r="H555" s="55"/>
      <c r="I555" s="55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</row>
    <row r="556">
      <c r="A556" s="32"/>
      <c r="B556" s="55"/>
      <c r="C556" s="55"/>
      <c r="D556" s="55"/>
      <c r="E556" s="55"/>
      <c r="F556" s="55"/>
      <c r="G556" s="55"/>
      <c r="H556" s="55"/>
      <c r="I556" s="55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</row>
    <row r="557">
      <c r="A557" s="32"/>
      <c r="B557" s="55"/>
      <c r="C557" s="55"/>
      <c r="D557" s="55"/>
      <c r="E557" s="55"/>
      <c r="F557" s="55"/>
      <c r="G557" s="55"/>
      <c r="H557" s="55"/>
      <c r="I557" s="55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</row>
    <row r="558">
      <c r="A558" s="32"/>
      <c r="B558" s="55"/>
      <c r="C558" s="55"/>
      <c r="D558" s="55"/>
      <c r="E558" s="55"/>
      <c r="F558" s="55"/>
      <c r="G558" s="55"/>
      <c r="H558" s="55"/>
      <c r="I558" s="55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</row>
    <row r="559">
      <c r="A559" s="32"/>
      <c r="B559" s="55"/>
      <c r="C559" s="55"/>
      <c r="D559" s="55"/>
      <c r="E559" s="55"/>
      <c r="F559" s="55"/>
      <c r="G559" s="55"/>
      <c r="H559" s="55"/>
      <c r="I559" s="55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</row>
    <row r="560">
      <c r="A560" s="32"/>
      <c r="B560" s="55"/>
      <c r="C560" s="55"/>
      <c r="D560" s="55"/>
      <c r="E560" s="55"/>
      <c r="F560" s="55"/>
      <c r="G560" s="55"/>
      <c r="H560" s="55"/>
      <c r="I560" s="55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</row>
    <row r="561">
      <c r="A561" s="32"/>
      <c r="B561" s="55"/>
      <c r="C561" s="55"/>
      <c r="D561" s="55"/>
      <c r="E561" s="55"/>
      <c r="F561" s="55"/>
      <c r="G561" s="55"/>
      <c r="H561" s="55"/>
      <c r="I561" s="55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</row>
    <row r="562">
      <c r="A562" s="32"/>
      <c r="B562" s="55"/>
      <c r="C562" s="55"/>
      <c r="D562" s="55"/>
      <c r="E562" s="55"/>
      <c r="F562" s="55"/>
      <c r="G562" s="55"/>
      <c r="H562" s="55"/>
      <c r="I562" s="55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</row>
    <row r="563">
      <c r="A563" s="32"/>
      <c r="B563" s="55"/>
      <c r="C563" s="55"/>
      <c r="D563" s="55"/>
      <c r="E563" s="55"/>
      <c r="F563" s="55"/>
      <c r="G563" s="55"/>
      <c r="H563" s="55"/>
      <c r="I563" s="55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</row>
    <row r="564">
      <c r="A564" s="32"/>
      <c r="B564" s="55"/>
      <c r="C564" s="55"/>
      <c r="D564" s="55"/>
      <c r="E564" s="55"/>
      <c r="F564" s="55"/>
      <c r="G564" s="55"/>
      <c r="H564" s="55"/>
      <c r="I564" s="55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</row>
    <row r="565">
      <c r="A565" s="32"/>
      <c r="B565" s="55"/>
      <c r="C565" s="55"/>
      <c r="D565" s="55"/>
      <c r="E565" s="55"/>
      <c r="F565" s="55"/>
      <c r="G565" s="55"/>
      <c r="H565" s="55"/>
      <c r="I565" s="55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</row>
    <row r="566">
      <c r="A566" s="32"/>
      <c r="B566" s="55"/>
      <c r="C566" s="55"/>
      <c r="D566" s="55"/>
      <c r="E566" s="55"/>
      <c r="F566" s="55"/>
      <c r="G566" s="55"/>
      <c r="H566" s="55"/>
      <c r="I566" s="55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</row>
    <row r="567">
      <c r="A567" s="32"/>
      <c r="B567" s="55"/>
      <c r="C567" s="55"/>
      <c r="D567" s="55"/>
      <c r="E567" s="55"/>
      <c r="F567" s="55"/>
      <c r="G567" s="55"/>
      <c r="H567" s="55"/>
      <c r="I567" s="55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</row>
    <row r="568">
      <c r="A568" s="32"/>
      <c r="B568" s="55"/>
      <c r="C568" s="55"/>
      <c r="D568" s="55"/>
      <c r="E568" s="55"/>
      <c r="F568" s="55"/>
      <c r="G568" s="55"/>
      <c r="H568" s="55"/>
      <c r="I568" s="55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</row>
    <row r="569">
      <c r="A569" s="32"/>
      <c r="B569" s="55"/>
      <c r="C569" s="55"/>
      <c r="D569" s="55"/>
      <c r="E569" s="55"/>
      <c r="F569" s="55"/>
      <c r="G569" s="55"/>
      <c r="H569" s="55"/>
      <c r="I569" s="55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</row>
    <row r="570">
      <c r="A570" s="32"/>
      <c r="B570" s="55"/>
      <c r="C570" s="55"/>
      <c r="D570" s="55"/>
      <c r="E570" s="55"/>
      <c r="F570" s="55"/>
      <c r="G570" s="55"/>
      <c r="H570" s="55"/>
      <c r="I570" s="55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</row>
    <row r="571">
      <c r="A571" s="32"/>
      <c r="B571" s="55"/>
      <c r="C571" s="55"/>
      <c r="D571" s="55"/>
      <c r="E571" s="55"/>
      <c r="F571" s="55"/>
      <c r="G571" s="55"/>
      <c r="H571" s="55"/>
      <c r="I571" s="55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</row>
    <row r="572">
      <c r="A572" s="32"/>
      <c r="B572" s="55"/>
      <c r="C572" s="55"/>
      <c r="D572" s="55"/>
      <c r="E572" s="55"/>
      <c r="F572" s="55"/>
      <c r="G572" s="55"/>
      <c r="H572" s="55"/>
      <c r="I572" s="55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</row>
    <row r="573">
      <c r="A573" s="32"/>
      <c r="B573" s="55"/>
      <c r="C573" s="55"/>
      <c r="D573" s="55"/>
      <c r="E573" s="55"/>
      <c r="F573" s="55"/>
      <c r="G573" s="55"/>
      <c r="H573" s="55"/>
      <c r="I573" s="55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</row>
    <row r="574">
      <c r="A574" s="32"/>
      <c r="B574" s="55"/>
      <c r="C574" s="55"/>
      <c r="D574" s="55"/>
      <c r="E574" s="55"/>
      <c r="F574" s="55"/>
      <c r="G574" s="55"/>
      <c r="H574" s="55"/>
      <c r="I574" s="55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</row>
    <row r="575">
      <c r="A575" s="32"/>
      <c r="B575" s="55"/>
      <c r="C575" s="55"/>
      <c r="D575" s="55"/>
      <c r="E575" s="55"/>
      <c r="F575" s="55"/>
      <c r="G575" s="55"/>
      <c r="H575" s="55"/>
      <c r="I575" s="55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</row>
    <row r="576">
      <c r="A576" s="32"/>
      <c r="B576" s="55"/>
      <c r="C576" s="55"/>
      <c r="D576" s="55"/>
      <c r="E576" s="55"/>
      <c r="F576" s="55"/>
      <c r="G576" s="55"/>
      <c r="H576" s="55"/>
      <c r="I576" s="55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</row>
    <row r="577">
      <c r="A577" s="32"/>
      <c r="B577" s="55"/>
      <c r="C577" s="55"/>
      <c r="D577" s="55"/>
      <c r="E577" s="55"/>
      <c r="F577" s="55"/>
      <c r="G577" s="55"/>
      <c r="H577" s="55"/>
      <c r="I577" s="55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</row>
    <row r="578">
      <c r="A578" s="32"/>
      <c r="B578" s="55"/>
      <c r="C578" s="55"/>
      <c r="D578" s="55"/>
      <c r="E578" s="55"/>
      <c r="F578" s="55"/>
      <c r="G578" s="55"/>
      <c r="H578" s="55"/>
      <c r="I578" s="55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</row>
    <row r="579">
      <c r="A579" s="32"/>
      <c r="B579" s="55"/>
      <c r="C579" s="55"/>
      <c r="D579" s="55"/>
      <c r="E579" s="55"/>
      <c r="F579" s="55"/>
      <c r="G579" s="55"/>
      <c r="H579" s="55"/>
      <c r="I579" s="55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</row>
    <row r="580">
      <c r="A580" s="32"/>
      <c r="B580" s="55"/>
      <c r="C580" s="55"/>
      <c r="D580" s="55"/>
      <c r="E580" s="55"/>
      <c r="F580" s="55"/>
      <c r="G580" s="55"/>
      <c r="H580" s="55"/>
      <c r="I580" s="55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</row>
    <row r="581">
      <c r="A581" s="32"/>
      <c r="B581" s="55"/>
      <c r="C581" s="55"/>
      <c r="D581" s="55"/>
      <c r="E581" s="55"/>
      <c r="F581" s="55"/>
      <c r="G581" s="55"/>
      <c r="H581" s="55"/>
      <c r="I581" s="55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</row>
    <row r="582">
      <c r="A582" s="32"/>
      <c r="B582" s="55"/>
      <c r="C582" s="55"/>
      <c r="D582" s="55"/>
      <c r="E582" s="55"/>
      <c r="F582" s="55"/>
      <c r="G582" s="55"/>
      <c r="H582" s="55"/>
      <c r="I582" s="55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</row>
    <row r="583">
      <c r="A583" s="32"/>
      <c r="B583" s="55"/>
      <c r="C583" s="55"/>
      <c r="D583" s="55"/>
      <c r="E583" s="55"/>
      <c r="F583" s="55"/>
      <c r="G583" s="55"/>
      <c r="H583" s="55"/>
      <c r="I583" s="55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</row>
    <row r="584">
      <c r="A584" s="32"/>
      <c r="B584" s="55"/>
      <c r="C584" s="55"/>
      <c r="D584" s="55"/>
      <c r="E584" s="55"/>
      <c r="F584" s="55"/>
      <c r="G584" s="55"/>
      <c r="H584" s="55"/>
      <c r="I584" s="55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</row>
    <row r="585">
      <c r="A585" s="32"/>
      <c r="B585" s="55"/>
      <c r="C585" s="55"/>
      <c r="D585" s="55"/>
      <c r="E585" s="55"/>
      <c r="F585" s="55"/>
      <c r="G585" s="55"/>
      <c r="H585" s="55"/>
      <c r="I585" s="55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</row>
    <row r="586">
      <c r="A586" s="32"/>
      <c r="B586" s="55"/>
      <c r="C586" s="55"/>
      <c r="D586" s="55"/>
      <c r="E586" s="55"/>
      <c r="F586" s="55"/>
      <c r="G586" s="55"/>
      <c r="H586" s="55"/>
      <c r="I586" s="55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</row>
    <row r="587">
      <c r="A587" s="32"/>
      <c r="B587" s="55"/>
      <c r="C587" s="55"/>
      <c r="D587" s="55"/>
      <c r="E587" s="55"/>
      <c r="F587" s="55"/>
      <c r="G587" s="55"/>
      <c r="H587" s="55"/>
      <c r="I587" s="55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</row>
    <row r="588">
      <c r="A588" s="32"/>
      <c r="B588" s="55"/>
      <c r="C588" s="55"/>
      <c r="D588" s="55"/>
      <c r="E588" s="55"/>
      <c r="F588" s="55"/>
      <c r="G588" s="55"/>
      <c r="H588" s="55"/>
      <c r="I588" s="55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</row>
    <row r="589">
      <c r="A589" s="32"/>
      <c r="B589" s="55"/>
      <c r="C589" s="55"/>
      <c r="D589" s="55"/>
      <c r="E589" s="55"/>
      <c r="F589" s="55"/>
      <c r="G589" s="55"/>
      <c r="H589" s="55"/>
      <c r="I589" s="55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</row>
    <row r="590">
      <c r="A590" s="32"/>
      <c r="B590" s="55"/>
      <c r="C590" s="55"/>
      <c r="D590" s="55"/>
      <c r="E590" s="55"/>
      <c r="F590" s="55"/>
      <c r="G590" s="55"/>
      <c r="H590" s="55"/>
      <c r="I590" s="55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</row>
    <row r="591">
      <c r="A591" s="32"/>
      <c r="B591" s="55"/>
      <c r="C591" s="55"/>
      <c r="D591" s="55"/>
      <c r="E591" s="55"/>
      <c r="F591" s="55"/>
      <c r="G591" s="55"/>
      <c r="H591" s="55"/>
      <c r="I591" s="55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</row>
    <row r="592">
      <c r="A592" s="32"/>
      <c r="B592" s="55"/>
      <c r="C592" s="55"/>
      <c r="D592" s="55"/>
      <c r="E592" s="55"/>
      <c r="F592" s="55"/>
      <c r="G592" s="55"/>
      <c r="H592" s="55"/>
      <c r="I592" s="55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</row>
    <row r="593">
      <c r="A593" s="32"/>
      <c r="B593" s="55"/>
      <c r="C593" s="55"/>
      <c r="D593" s="55"/>
      <c r="E593" s="55"/>
      <c r="F593" s="55"/>
      <c r="G593" s="55"/>
      <c r="H593" s="55"/>
      <c r="I593" s="55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</row>
    <row r="594">
      <c r="A594" s="32"/>
      <c r="B594" s="55"/>
      <c r="C594" s="55"/>
      <c r="D594" s="55"/>
      <c r="E594" s="55"/>
      <c r="F594" s="55"/>
      <c r="G594" s="55"/>
      <c r="H594" s="55"/>
      <c r="I594" s="55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</row>
    <row r="595">
      <c r="A595" s="32"/>
      <c r="B595" s="55"/>
      <c r="C595" s="55"/>
      <c r="D595" s="55"/>
      <c r="E595" s="55"/>
      <c r="F595" s="55"/>
      <c r="G595" s="55"/>
      <c r="H595" s="55"/>
      <c r="I595" s="55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</row>
    <row r="596">
      <c r="A596" s="32"/>
      <c r="B596" s="55"/>
      <c r="C596" s="55"/>
      <c r="D596" s="55"/>
      <c r="E596" s="55"/>
      <c r="F596" s="55"/>
      <c r="G596" s="55"/>
      <c r="H596" s="55"/>
      <c r="I596" s="55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</row>
    <row r="597">
      <c r="A597" s="32"/>
      <c r="B597" s="55"/>
      <c r="C597" s="55"/>
      <c r="D597" s="55"/>
      <c r="E597" s="55"/>
      <c r="F597" s="55"/>
      <c r="G597" s="55"/>
      <c r="H597" s="55"/>
      <c r="I597" s="55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</row>
    <row r="598">
      <c r="A598" s="32"/>
      <c r="B598" s="55"/>
      <c r="C598" s="55"/>
      <c r="D598" s="55"/>
      <c r="E598" s="55"/>
      <c r="F598" s="55"/>
      <c r="G598" s="55"/>
      <c r="H598" s="55"/>
      <c r="I598" s="55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</row>
    <row r="599">
      <c r="A599" s="32"/>
      <c r="B599" s="55"/>
      <c r="C599" s="55"/>
      <c r="D599" s="55"/>
      <c r="E599" s="55"/>
      <c r="F599" s="55"/>
      <c r="G599" s="55"/>
      <c r="H599" s="55"/>
      <c r="I599" s="55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</row>
    <row r="600">
      <c r="A600" s="32"/>
      <c r="B600" s="55"/>
      <c r="C600" s="55"/>
      <c r="D600" s="55"/>
      <c r="E600" s="55"/>
      <c r="F600" s="55"/>
      <c r="G600" s="55"/>
      <c r="H600" s="55"/>
      <c r="I600" s="55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</row>
    <row r="601">
      <c r="A601" s="32"/>
      <c r="B601" s="55"/>
      <c r="C601" s="55"/>
      <c r="D601" s="55"/>
      <c r="E601" s="55"/>
      <c r="F601" s="55"/>
      <c r="G601" s="55"/>
      <c r="H601" s="55"/>
      <c r="I601" s="55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</row>
    <row r="602">
      <c r="A602" s="32"/>
      <c r="B602" s="55"/>
      <c r="C602" s="55"/>
      <c r="D602" s="55"/>
      <c r="E602" s="55"/>
      <c r="F602" s="55"/>
      <c r="G602" s="55"/>
      <c r="H602" s="55"/>
      <c r="I602" s="55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</row>
    <row r="603">
      <c r="A603" s="32"/>
      <c r="B603" s="55"/>
      <c r="C603" s="55"/>
      <c r="D603" s="55"/>
      <c r="E603" s="55"/>
      <c r="F603" s="55"/>
      <c r="G603" s="55"/>
      <c r="H603" s="55"/>
      <c r="I603" s="55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</row>
    <row r="604">
      <c r="A604" s="32"/>
      <c r="B604" s="55"/>
      <c r="C604" s="55"/>
      <c r="D604" s="55"/>
      <c r="E604" s="55"/>
      <c r="F604" s="55"/>
      <c r="G604" s="55"/>
      <c r="H604" s="55"/>
      <c r="I604" s="55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</row>
    <row r="605">
      <c r="A605" s="32"/>
      <c r="B605" s="55"/>
      <c r="C605" s="55"/>
      <c r="D605" s="55"/>
      <c r="E605" s="55"/>
      <c r="F605" s="55"/>
      <c r="G605" s="55"/>
      <c r="H605" s="55"/>
      <c r="I605" s="55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</row>
    <row r="606">
      <c r="A606" s="32"/>
      <c r="B606" s="55"/>
      <c r="C606" s="55"/>
      <c r="D606" s="55"/>
      <c r="E606" s="55"/>
      <c r="F606" s="55"/>
      <c r="G606" s="55"/>
      <c r="H606" s="55"/>
      <c r="I606" s="55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</row>
    <row r="607">
      <c r="A607" s="32"/>
      <c r="B607" s="55"/>
      <c r="C607" s="55"/>
      <c r="D607" s="55"/>
      <c r="E607" s="55"/>
      <c r="F607" s="55"/>
      <c r="G607" s="55"/>
      <c r="H607" s="55"/>
      <c r="I607" s="55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</row>
    <row r="608">
      <c r="A608" s="32"/>
      <c r="B608" s="55"/>
      <c r="C608" s="55"/>
      <c r="D608" s="55"/>
      <c r="E608" s="55"/>
      <c r="F608" s="55"/>
      <c r="G608" s="55"/>
      <c r="H608" s="55"/>
      <c r="I608" s="55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</row>
    <row r="609">
      <c r="A609" s="32"/>
      <c r="B609" s="55"/>
      <c r="C609" s="55"/>
      <c r="D609" s="55"/>
      <c r="E609" s="55"/>
      <c r="F609" s="55"/>
      <c r="G609" s="55"/>
      <c r="H609" s="55"/>
      <c r="I609" s="55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</row>
    <row r="610">
      <c r="A610" s="32"/>
      <c r="B610" s="55"/>
      <c r="C610" s="55"/>
      <c r="D610" s="55"/>
      <c r="E610" s="55"/>
      <c r="F610" s="55"/>
      <c r="G610" s="55"/>
      <c r="H610" s="55"/>
      <c r="I610" s="55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</row>
    <row r="611">
      <c r="A611" s="32"/>
      <c r="B611" s="55"/>
      <c r="C611" s="55"/>
      <c r="D611" s="55"/>
      <c r="E611" s="55"/>
      <c r="F611" s="55"/>
      <c r="G611" s="55"/>
      <c r="H611" s="55"/>
      <c r="I611" s="55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</row>
    <row r="612">
      <c r="A612" s="32"/>
      <c r="B612" s="55"/>
      <c r="C612" s="55"/>
      <c r="D612" s="55"/>
      <c r="E612" s="55"/>
      <c r="F612" s="55"/>
      <c r="G612" s="55"/>
      <c r="H612" s="55"/>
      <c r="I612" s="55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</row>
    <row r="613">
      <c r="A613" s="32"/>
      <c r="B613" s="55"/>
      <c r="C613" s="55"/>
      <c r="D613" s="55"/>
      <c r="E613" s="55"/>
      <c r="F613" s="55"/>
      <c r="G613" s="55"/>
      <c r="H613" s="55"/>
      <c r="I613" s="55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</row>
    <row r="614">
      <c r="A614" s="32"/>
      <c r="B614" s="55"/>
      <c r="C614" s="55"/>
      <c r="D614" s="55"/>
      <c r="E614" s="55"/>
      <c r="F614" s="55"/>
      <c r="G614" s="55"/>
      <c r="H614" s="55"/>
      <c r="I614" s="55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</row>
    <row r="615">
      <c r="A615" s="32"/>
      <c r="B615" s="55"/>
      <c r="C615" s="55"/>
      <c r="D615" s="55"/>
      <c r="E615" s="55"/>
      <c r="F615" s="55"/>
      <c r="G615" s="55"/>
      <c r="H615" s="55"/>
      <c r="I615" s="55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</row>
    <row r="616">
      <c r="A616" s="32"/>
      <c r="B616" s="55"/>
      <c r="C616" s="55"/>
      <c r="D616" s="55"/>
      <c r="E616" s="55"/>
      <c r="F616" s="55"/>
      <c r="G616" s="55"/>
      <c r="H616" s="55"/>
      <c r="I616" s="55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</row>
    <row r="617">
      <c r="A617" s="32"/>
      <c r="B617" s="55"/>
      <c r="C617" s="55"/>
      <c r="D617" s="55"/>
      <c r="E617" s="55"/>
      <c r="F617" s="55"/>
      <c r="G617" s="55"/>
      <c r="H617" s="55"/>
      <c r="I617" s="55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</row>
    <row r="618">
      <c r="A618" s="32"/>
      <c r="B618" s="55"/>
      <c r="C618" s="55"/>
      <c r="D618" s="55"/>
      <c r="E618" s="55"/>
      <c r="F618" s="55"/>
      <c r="G618" s="55"/>
      <c r="H618" s="55"/>
      <c r="I618" s="55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</row>
    <row r="619">
      <c r="A619" s="32"/>
      <c r="B619" s="55"/>
      <c r="C619" s="55"/>
      <c r="D619" s="55"/>
      <c r="E619" s="55"/>
      <c r="F619" s="55"/>
      <c r="G619" s="55"/>
      <c r="H619" s="55"/>
      <c r="I619" s="55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</row>
    <row r="620">
      <c r="A620" s="32"/>
      <c r="B620" s="55"/>
      <c r="C620" s="55"/>
      <c r="D620" s="55"/>
      <c r="E620" s="55"/>
      <c r="F620" s="55"/>
      <c r="G620" s="55"/>
      <c r="H620" s="55"/>
      <c r="I620" s="55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</row>
    <row r="621">
      <c r="A621" s="32"/>
      <c r="B621" s="55"/>
      <c r="C621" s="55"/>
      <c r="D621" s="55"/>
      <c r="E621" s="55"/>
      <c r="F621" s="55"/>
      <c r="G621" s="55"/>
      <c r="H621" s="55"/>
      <c r="I621" s="55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</row>
    <row r="622">
      <c r="A622" s="32"/>
      <c r="B622" s="55"/>
      <c r="C622" s="55"/>
      <c r="D622" s="55"/>
      <c r="E622" s="55"/>
      <c r="F622" s="55"/>
      <c r="G622" s="55"/>
      <c r="H622" s="55"/>
      <c r="I622" s="55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</row>
    <row r="623">
      <c r="A623" s="32"/>
      <c r="B623" s="55"/>
      <c r="C623" s="55"/>
      <c r="D623" s="55"/>
      <c r="E623" s="55"/>
      <c r="F623" s="55"/>
      <c r="G623" s="55"/>
      <c r="H623" s="55"/>
      <c r="I623" s="55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</row>
    <row r="624">
      <c r="A624" s="32"/>
      <c r="B624" s="55"/>
      <c r="C624" s="55"/>
      <c r="D624" s="55"/>
      <c r="E624" s="55"/>
      <c r="F624" s="55"/>
      <c r="G624" s="55"/>
      <c r="H624" s="55"/>
      <c r="I624" s="55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</row>
    <row r="625">
      <c r="A625" s="32"/>
      <c r="B625" s="55"/>
      <c r="C625" s="55"/>
      <c r="D625" s="55"/>
      <c r="E625" s="55"/>
      <c r="F625" s="55"/>
      <c r="G625" s="55"/>
      <c r="H625" s="55"/>
      <c r="I625" s="55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</row>
    <row r="626">
      <c r="A626" s="32"/>
      <c r="B626" s="55"/>
      <c r="C626" s="55"/>
      <c r="D626" s="55"/>
      <c r="E626" s="55"/>
      <c r="F626" s="55"/>
      <c r="G626" s="55"/>
      <c r="H626" s="55"/>
      <c r="I626" s="55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</row>
    <row r="627">
      <c r="A627" s="32"/>
      <c r="B627" s="55"/>
      <c r="C627" s="55"/>
      <c r="D627" s="55"/>
      <c r="E627" s="55"/>
      <c r="F627" s="55"/>
      <c r="G627" s="55"/>
      <c r="H627" s="55"/>
      <c r="I627" s="55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</row>
    <row r="628">
      <c r="A628" s="32"/>
      <c r="B628" s="55"/>
      <c r="C628" s="55"/>
      <c r="D628" s="55"/>
      <c r="E628" s="55"/>
      <c r="F628" s="55"/>
      <c r="G628" s="55"/>
      <c r="H628" s="55"/>
      <c r="I628" s="55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</row>
    <row r="629">
      <c r="A629" s="32"/>
      <c r="B629" s="55"/>
      <c r="C629" s="55"/>
      <c r="D629" s="55"/>
      <c r="E629" s="55"/>
      <c r="F629" s="55"/>
      <c r="G629" s="55"/>
      <c r="H629" s="55"/>
      <c r="I629" s="55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</row>
    <row r="630">
      <c r="A630" s="32"/>
      <c r="B630" s="55"/>
      <c r="C630" s="55"/>
      <c r="D630" s="55"/>
      <c r="E630" s="55"/>
      <c r="F630" s="55"/>
      <c r="G630" s="55"/>
      <c r="H630" s="55"/>
      <c r="I630" s="55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</row>
    <row r="631">
      <c r="A631" s="32"/>
      <c r="B631" s="55"/>
      <c r="C631" s="55"/>
      <c r="D631" s="55"/>
      <c r="E631" s="55"/>
      <c r="F631" s="55"/>
      <c r="G631" s="55"/>
      <c r="H631" s="55"/>
      <c r="I631" s="55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</row>
    <row r="632">
      <c r="A632" s="32"/>
      <c r="B632" s="55"/>
      <c r="C632" s="55"/>
      <c r="D632" s="55"/>
      <c r="E632" s="55"/>
      <c r="F632" s="55"/>
      <c r="G632" s="55"/>
      <c r="H632" s="55"/>
      <c r="I632" s="55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</row>
    <row r="633">
      <c r="A633" s="32"/>
      <c r="B633" s="55"/>
      <c r="C633" s="55"/>
      <c r="D633" s="55"/>
      <c r="E633" s="55"/>
      <c r="F633" s="55"/>
      <c r="G633" s="55"/>
      <c r="H633" s="55"/>
      <c r="I633" s="55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</row>
    <row r="634">
      <c r="A634" s="32"/>
      <c r="B634" s="55"/>
      <c r="C634" s="55"/>
      <c r="D634" s="55"/>
      <c r="E634" s="55"/>
      <c r="F634" s="55"/>
      <c r="G634" s="55"/>
      <c r="H634" s="55"/>
      <c r="I634" s="55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</row>
    <row r="635">
      <c r="A635" s="32"/>
      <c r="B635" s="55"/>
      <c r="C635" s="55"/>
      <c r="D635" s="55"/>
      <c r="E635" s="55"/>
      <c r="F635" s="55"/>
      <c r="G635" s="55"/>
      <c r="H635" s="55"/>
      <c r="I635" s="55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</row>
    <row r="636">
      <c r="A636" s="32"/>
      <c r="B636" s="55"/>
      <c r="C636" s="55"/>
      <c r="D636" s="55"/>
      <c r="E636" s="55"/>
      <c r="F636" s="55"/>
      <c r="G636" s="55"/>
      <c r="H636" s="55"/>
      <c r="I636" s="55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</row>
    <row r="637">
      <c r="A637" s="32"/>
      <c r="B637" s="55"/>
      <c r="C637" s="55"/>
      <c r="D637" s="55"/>
      <c r="E637" s="55"/>
      <c r="F637" s="55"/>
      <c r="G637" s="55"/>
      <c r="H637" s="55"/>
      <c r="I637" s="55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</row>
    <row r="638">
      <c r="A638" s="32"/>
      <c r="B638" s="55"/>
      <c r="C638" s="55"/>
      <c r="D638" s="55"/>
      <c r="E638" s="55"/>
      <c r="F638" s="55"/>
      <c r="G638" s="55"/>
      <c r="H638" s="55"/>
      <c r="I638" s="55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</row>
    <row r="639">
      <c r="A639" s="32"/>
      <c r="B639" s="55"/>
      <c r="C639" s="55"/>
      <c r="D639" s="55"/>
      <c r="E639" s="55"/>
      <c r="F639" s="55"/>
      <c r="G639" s="55"/>
      <c r="H639" s="55"/>
      <c r="I639" s="55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</row>
    <row r="640">
      <c r="A640" s="32"/>
      <c r="B640" s="55"/>
      <c r="C640" s="55"/>
      <c r="D640" s="55"/>
      <c r="E640" s="55"/>
      <c r="F640" s="55"/>
      <c r="G640" s="55"/>
      <c r="H640" s="55"/>
      <c r="I640" s="55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</row>
    <row r="641">
      <c r="A641" s="32"/>
      <c r="B641" s="55"/>
      <c r="C641" s="55"/>
      <c r="D641" s="55"/>
      <c r="E641" s="55"/>
      <c r="F641" s="55"/>
      <c r="G641" s="55"/>
      <c r="H641" s="55"/>
      <c r="I641" s="55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</row>
    <row r="642">
      <c r="A642" s="32"/>
      <c r="B642" s="55"/>
      <c r="C642" s="55"/>
      <c r="D642" s="55"/>
      <c r="E642" s="55"/>
      <c r="F642" s="55"/>
      <c r="G642" s="55"/>
      <c r="H642" s="55"/>
      <c r="I642" s="55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</row>
    <row r="643">
      <c r="A643" s="32"/>
      <c r="B643" s="55"/>
      <c r="C643" s="55"/>
      <c r="D643" s="55"/>
      <c r="E643" s="55"/>
      <c r="F643" s="55"/>
      <c r="G643" s="55"/>
      <c r="H643" s="55"/>
      <c r="I643" s="55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</row>
    <row r="644">
      <c r="A644" s="32"/>
      <c r="B644" s="55"/>
      <c r="C644" s="55"/>
      <c r="D644" s="55"/>
      <c r="E644" s="55"/>
      <c r="F644" s="55"/>
      <c r="G644" s="55"/>
      <c r="H644" s="55"/>
      <c r="I644" s="55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</row>
    <row r="645">
      <c r="A645" s="32"/>
      <c r="B645" s="55"/>
      <c r="C645" s="55"/>
      <c r="D645" s="55"/>
      <c r="E645" s="55"/>
      <c r="F645" s="55"/>
      <c r="G645" s="55"/>
      <c r="H645" s="55"/>
      <c r="I645" s="55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</row>
    <row r="646">
      <c r="A646" s="32"/>
      <c r="B646" s="55"/>
      <c r="C646" s="55"/>
      <c r="D646" s="55"/>
      <c r="E646" s="55"/>
      <c r="F646" s="55"/>
      <c r="G646" s="55"/>
      <c r="H646" s="55"/>
      <c r="I646" s="55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</row>
    <row r="647">
      <c r="A647" s="32"/>
      <c r="B647" s="55"/>
      <c r="C647" s="55"/>
      <c r="D647" s="55"/>
      <c r="E647" s="55"/>
      <c r="F647" s="55"/>
      <c r="G647" s="55"/>
      <c r="H647" s="55"/>
      <c r="I647" s="55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</row>
    <row r="648">
      <c r="A648" s="32"/>
      <c r="B648" s="55"/>
      <c r="C648" s="55"/>
      <c r="D648" s="55"/>
      <c r="E648" s="55"/>
      <c r="F648" s="55"/>
      <c r="G648" s="55"/>
      <c r="H648" s="55"/>
      <c r="I648" s="55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</row>
    <row r="649">
      <c r="A649" s="32"/>
      <c r="B649" s="55"/>
      <c r="C649" s="55"/>
      <c r="D649" s="55"/>
      <c r="E649" s="55"/>
      <c r="F649" s="55"/>
      <c r="G649" s="55"/>
      <c r="H649" s="55"/>
      <c r="I649" s="55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</row>
    <row r="650">
      <c r="A650" s="32"/>
      <c r="B650" s="55"/>
      <c r="C650" s="55"/>
      <c r="D650" s="55"/>
      <c r="E650" s="55"/>
      <c r="F650" s="55"/>
      <c r="G650" s="55"/>
      <c r="H650" s="55"/>
      <c r="I650" s="55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</row>
    <row r="651">
      <c r="A651" s="32"/>
      <c r="B651" s="55"/>
      <c r="C651" s="55"/>
      <c r="D651" s="55"/>
      <c r="E651" s="55"/>
      <c r="F651" s="55"/>
      <c r="G651" s="55"/>
      <c r="H651" s="55"/>
      <c r="I651" s="55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</row>
    <row r="652">
      <c r="A652" s="32"/>
      <c r="B652" s="55"/>
      <c r="C652" s="55"/>
      <c r="D652" s="55"/>
      <c r="E652" s="55"/>
      <c r="F652" s="55"/>
      <c r="G652" s="55"/>
      <c r="H652" s="55"/>
      <c r="I652" s="55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</row>
    <row r="653">
      <c r="A653" s="32"/>
      <c r="B653" s="55"/>
      <c r="C653" s="55"/>
      <c r="D653" s="55"/>
      <c r="E653" s="55"/>
      <c r="F653" s="55"/>
      <c r="G653" s="55"/>
      <c r="H653" s="55"/>
      <c r="I653" s="55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</row>
    <row r="654">
      <c r="A654" s="32"/>
      <c r="B654" s="55"/>
      <c r="C654" s="55"/>
      <c r="D654" s="55"/>
      <c r="E654" s="55"/>
      <c r="F654" s="55"/>
      <c r="G654" s="55"/>
      <c r="H654" s="55"/>
      <c r="I654" s="55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</row>
    <row r="655">
      <c r="A655" s="32"/>
      <c r="B655" s="55"/>
      <c r="C655" s="55"/>
      <c r="D655" s="55"/>
      <c r="E655" s="55"/>
      <c r="F655" s="55"/>
      <c r="G655" s="55"/>
      <c r="H655" s="55"/>
      <c r="I655" s="55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</row>
    <row r="656">
      <c r="A656" s="32"/>
      <c r="B656" s="55"/>
      <c r="C656" s="55"/>
      <c r="D656" s="55"/>
      <c r="E656" s="55"/>
      <c r="F656" s="55"/>
      <c r="G656" s="55"/>
      <c r="H656" s="55"/>
      <c r="I656" s="55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</row>
    <row r="657">
      <c r="A657" s="32"/>
      <c r="B657" s="55"/>
      <c r="C657" s="55"/>
      <c r="D657" s="55"/>
      <c r="E657" s="55"/>
      <c r="F657" s="55"/>
      <c r="G657" s="55"/>
      <c r="H657" s="55"/>
      <c r="I657" s="55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</row>
    <row r="658">
      <c r="A658" s="32"/>
      <c r="B658" s="55"/>
      <c r="C658" s="55"/>
      <c r="D658" s="55"/>
      <c r="E658" s="55"/>
      <c r="F658" s="55"/>
      <c r="G658" s="55"/>
      <c r="H658" s="55"/>
      <c r="I658" s="55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</row>
    <row r="659">
      <c r="A659" s="32"/>
      <c r="B659" s="55"/>
      <c r="C659" s="55"/>
      <c r="D659" s="55"/>
      <c r="E659" s="55"/>
      <c r="F659" s="55"/>
      <c r="G659" s="55"/>
      <c r="H659" s="55"/>
      <c r="I659" s="55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</row>
    <row r="660">
      <c r="A660" s="32"/>
      <c r="B660" s="55"/>
      <c r="C660" s="55"/>
      <c r="D660" s="55"/>
      <c r="E660" s="55"/>
      <c r="F660" s="55"/>
      <c r="G660" s="55"/>
      <c r="H660" s="55"/>
      <c r="I660" s="55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</row>
    <row r="661">
      <c r="A661" s="32"/>
      <c r="B661" s="55"/>
      <c r="C661" s="55"/>
      <c r="D661" s="55"/>
      <c r="E661" s="55"/>
      <c r="F661" s="55"/>
      <c r="G661" s="55"/>
      <c r="H661" s="55"/>
      <c r="I661" s="55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</row>
    <row r="662">
      <c r="A662" s="32"/>
      <c r="B662" s="55"/>
      <c r="C662" s="55"/>
      <c r="D662" s="55"/>
      <c r="E662" s="55"/>
      <c r="F662" s="55"/>
      <c r="G662" s="55"/>
      <c r="H662" s="55"/>
      <c r="I662" s="55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</row>
    <row r="663">
      <c r="A663" s="32"/>
      <c r="B663" s="55"/>
      <c r="C663" s="55"/>
      <c r="D663" s="55"/>
      <c r="E663" s="55"/>
      <c r="F663" s="55"/>
      <c r="G663" s="55"/>
      <c r="H663" s="55"/>
      <c r="I663" s="55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</row>
    <row r="664">
      <c r="A664" s="32"/>
      <c r="B664" s="55"/>
      <c r="C664" s="55"/>
      <c r="D664" s="55"/>
      <c r="E664" s="55"/>
      <c r="F664" s="55"/>
      <c r="G664" s="55"/>
      <c r="H664" s="55"/>
      <c r="I664" s="55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</row>
    <row r="665">
      <c r="A665" s="32"/>
      <c r="B665" s="55"/>
      <c r="C665" s="55"/>
      <c r="D665" s="55"/>
      <c r="E665" s="55"/>
      <c r="F665" s="55"/>
      <c r="G665" s="55"/>
      <c r="H665" s="55"/>
      <c r="I665" s="55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</row>
    <row r="666">
      <c r="A666" s="32"/>
      <c r="B666" s="55"/>
      <c r="C666" s="55"/>
      <c r="D666" s="55"/>
      <c r="E666" s="55"/>
      <c r="F666" s="55"/>
      <c r="G666" s="55"/>
      <c r="H666" s="55"/>
      <c r="I666" s="55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</row>
    <row r="667">
      <c r="A667" s="32"/>
      <c r="B667" s="55"/>
      <c r="C667" s="55"/>
      <c r="D667" s="55"/>
      <c r="E667" s="55"/>
      <c r="F667" s="55"/>
      <c r="G667" s="55"/>
      <c r="H667" s="55"/>
      <c r="I667" s="55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</row>
    <row r="668">
      <c r="A668" s="32"/>
      <c r="B668" s="55"/>
      <c r="C668" s="55"/>
      <c r="D668" s="55"/>
      <c r="E668" s="55"/>
      <c r="F668" s="55"/>
      <c r="G668" s="55"/>
      <c r="H668" s="55"/>
      <c r="I668" s="55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</row>
    <row r="669">
      <c r="A669" s="32"/>
      <c r="B669" s="55"/>
      <c r="C669" s="55"/>
      <c r="D669" s="55"/>
      <c r="E669" s="55"/>
      <c r="F669" s="55"/>
      <c r="G669" s="55"/>
      <c r="H669" s="55"/>
      <c r="I669" s="55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</row>
    <row r="670">
      <c r="A670" s="32"/>
      <c r="B670" s="55"/>
      <c r="C670" s="55"/>
      <c r="D670" s="55"/>
      <c r="E670" s="55"/>
      <c r="F670" s="55"/>
      <c r="G670" s="55"/>
      <c r="H670" s="55"/>
      <c r="I670" s="55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</row>
    <row r="671">
      <c r="A671" s="32"/>
      <c r="B671" s="55"/>
      <c r="C671" s="55"/>
      <c r="D671" s="55"/>
      <c r="E671" s="55"/>
      <c r="F671" s="55"/>
      <c r="G671" s="55"/>
      <c r="H671" s="55"/>
      <c r="I671" s="55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</row>
    <row r="672">
      <c r="A672" s="32"/>
      <c r="B672" s="55"/>
      <c r="C672" s="55"/>
      <c r="D672" s="55"/>
      <c r="E672" s="55"/>
      <c r="F672" s="55"/>
      <c r="G672" s="55"/>
      <c r="H672" s="55"/>
      <c r="I672" s="55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</row>
    <row r="673">
      <c r="A673" s="32"/>
      <c r="B673" s="55"/>
      <c r="C673" s="55"/>
      <c r="D673" s="55"/>
      <c r="E673" s="55"/>
      <c r="F673" s="55"/>
      <c r="G673" s="55"/>
      <c r="H673" s="55"/>
      <c r="I673" s="55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</row>
    <row r="674">
      <c r="A674" s="32"/>
      <c r="B674" s="55"/>
      <c r="C674" s="55"/>
      <c r="D674" s="55"/>
      <c r="E674" s="55"/>
      <c r="F674" s="55"/>
      <c r="G674" s="55"/>
      <c r="H674" s="55"/>
      <c r="I674" s="55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</row>
    <row r="675">
      <c r="A675" s="32"/>
      <c r="B675" s="55"/>
      <c r="C675" s="55"/>
      <c r="D675" s="55"/>
      <c r="E675" s="55"/>
      <c r="F675" s="55"/>
      <c r="G675" s="55"/>
      <c r="H675" s="55"/>
      <c r="I675" s="55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</row>
    <row r="676">
      <c r="A676" s="32"/>
      <c r="B676" s="55"/>
      <c r="C676" s="55"/>
      <c r="D676" s="55"/>
      <c r="E676" s="55"/>
      <c r="F676" s="55"/>
      <c r="G676" s="55"/>
      <c r="H676" s="55"/>
      <c r="I676" s="55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</row>
    <row r="677">
      <c r="A677" s="32"/>
      <c r="B677" s="55"/>
      <c r="C677" s="55"/>
      <c r="D677" s="55"/>
      <c r="E677" s="55"/>
      <c r="F677" s="55"/>
      <c r="G677" s="55"/>
      <c r="H677" s="55"/>
      <c r="I677" s="55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</row>
    <row r="678">
      <c r="A678" s="32"/>
      <c r="B678" s="55"/>
      <c r="C678" s="55"/>
      <c r="D678" s="55"/>
      <c r="E678" s="55"/>
      <c r="F678" s="55"/>
      <c r="G678" s="55"/>
      <c r="H678" s="55"/>
      <c r="I678" s="55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</row>
    <row r="679">
      <c r="A679" s="32"/>
      <c r="B679" s="55"/>
      <c r="C679" s="55"/>
      <c r="D679" s="55"/>
      <c r="E679" s="55"/>
      <c r="F679" s="55"/>
      <c r="G679" s="55"/>
      <c r="H679" s="55"/>
      <c r="I679" s="55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</row>
    <row r="680">
      <c r="A680" s="32"/>
      <c r="B680" s="55"/>
      <c r="C680" s="55"/>
      <c r="D680" s="55"/>
      <c r="E680" s="55"/>
      <c r="F680" s="55"/>
      <c r="G680" s="55"/>
      <c r="H680" s="55"/>
      <c r="I680" s="55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</row>
    <row r="681">
      <c r="A681" s="32"/>
      <c r="B681" s="55"/>
      <c r="C681" s="55"/>
      <c r="D681" s="55"/>
      <c r="E681" s="55"/>
      <c r="F681" s="55"/>
      <c r="G681" s="55"/>
      <c r="H681" s="55"/>
      <c r="I681" s="55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</row>
    <row r="682">
      <c r="A682" s="32"/>
      <c r="B682" s="55"/>
      <c r="C682" s="55"/>
      <c r="D682" s="55"/>
      <c r="E682" s="55"/>
      <c r="F682" s="55"/>
      <c r="G682" s="55"/>
      <c r="H682" s="55"/>
      <c r="I682" s="55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</row>
    <row r="683">
      <c r="A683" s="32"/>
      <c r="B683" s="55"/>
      <c r="C683" s="55"/>
      <c r="D683" s="55"/>
      <c r="E683" s="55"/>
      <c r="F683" s="55"/>
      <c r="G683" s="55"/>
      <c r="H683" s="55"/>
      <c r="I683" s="55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</row>
    <row r="684">
      <c r="A684" s="32"/>
      <c r="B684" s="55"/>
      <c r="C684" s="55"/>
      <c r="D684" s="55"/>
      <c r="E684" s="55"/>
      <c r="F684" s="55"/>
      <c r="G684" s="55"/>
      <c r="H684" s="55"/>
      <c r="I684" s="55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</row>
    <row r="685">
      <c r="A685" s="32"/>
      <c r="B685" s="55"/>
      <c r="C685" s="55"/>
      <c r="D685" s="55"/>
      <c r="E685" s="55"/>
      <c r="F685" s="55"/>
      <c r="G685" s="55"/>
      <c r="H685" s="55"/>
      <c r="I685" s="55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</row>
    <row r="686">
      <c r="A686" s="32"/>
      <c r="B686" s="55"/>
      <c r="C686" s="55"/>
      <c r="D686" s="55"/>
      <c r="E686" s="55"/>
      <c r="F686" s="55"/>
      <c r="G686" s="55"/>
      <c r="H686" s="55"/>
      <c r="I686" s="55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</row>
    <row r="687">
      <c r="A687" s="32"/>
      <c r="B687" s="55"/>
      <c r="C687" s="55"/>
      <c r="D687" s="55"/>
      <c r="E687" s="55"/>
      <c r="F687" s="55"/>
      <c r="G687" s="55"/>
      <c r="H687" s="55"/>
      <c r="I687" s="55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</row>
    <row r="688">
      <c r="A688" s="32"/>
      <c r="B688" s="55"/>
      <c r="C688" s="55"/>
      <c r="D688" s="55"/>
      <c r="E688" s="55"/>
      <c r="F688" s="55"/>
      <c r="G688" s="55"/>
      <c r="H688" s="55"/>
      <c r="I688" s="55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</row>
    <row r="689">
      <c r="A689" s="32"/>
      <c r="B689" s="55"/>
      <c r="C689" s="55"/>
      <c r="D689" s="55"/>
      <c r="E689" s="55"/>
      <c r="F689" s="55"/>
      <c r="G689" s="55"/>
      <c r="H689" s="55"/>
      <c r="I689" s="55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</row>
    <row r="690">
      <c r="A690" s="32"/>
      <c r="B690" s="55"/>
      <c r="C690" s="55"/>
      <c r="D690" s="55"/>
      <c r="E690" s="55"/>
      <c r="F690" s="55"/>
      <c r="G690" s="55"/>
      <c r="H690" s="55"/>
      <c r="I690" s="55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</row>
    <row r="691">
      <c r="A691" s="32"/>
      <c r="B691" s="55"/>
      <c r="C691" s="55"/>
      <c r="D691" s="55"/>
      <c r="E691" s="55"/>
      <c r="F691" s="55"/>
      <c r="G691" s="55"/>
      <c r="H691" s="55"/>
      <c r="I691" s="55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</row>
    <row r="692">
      <c r="A692" s="32"/>
      <c r="B692" s="55"/>
      <c r="C692" s="55"/>
      <c r="D692" s="55"/>
      <c r="E692" s="55"/>
      <c r="F692" s="55"/>
      <c r="G692" s="55"/>
      <c r="H692" s="55"/>
      <c r="I692" s="55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</row>
    <row r="693">
      <c r="A693" s="32"/>
      <c r="B693" s="55"/>
      <c r="C693" s="55"/>
      <c r="D693" s="55"/>
      <c r="E693" s="55"/>
      <c r="F693" s="55"/>
      <c r="G693" s="55"/>
      <c r="H693" s="55"/>
      <c r="I693" s="55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</row>
    <row r="694">
      <c r="A694" s="32"/>
      <c r="B694" s="55"/>
      <c r="C694" s="55"/>
      <c r="D694" s="55"/>
      <c r="E694" s="55"/>
      <c r="F694" s="55"/>
      <c r="G694" s="55"/>
      <c r="H694" s="55"/>
      <c r="I694" s="55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</row>
    <row r="695">
      <c r="A695" s="32"/>
      <c r="B695" s="55"/>
      <c r="C695" s="55"/>
      <c r="D695" s="55"/>
      <c r="E695" s="55"/>
      <c r="F695" s="55"/>
      <c r="G695" s="55"/>
      <c r="H695" s="55"/>
      <c r="I695" s="55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</row>
    <row r="696">
      <c r="A696" s="32"/>
      <c r="B696" s="55"/>
      <c r="C696" s="55"/>
      <c r="D696" s="55"/>
      <c r="E696" s="55"/>
      <c r="F696" s="55"/>
      <c r="G696" s="55"/>
      <c r="H696" s="55"/>
      <c r="I696" s="55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</row>
    <row r="697">
      <c r="A697" s="32"/>
      <c r="B697" s="55"/>
      <c r="C697" s="55"/>
      <c r="D697" s="55"/>
      <c r="E697" s="55"/>
      <c r="F697" s="55"/>
      <c r="G697" s="55"/>
      <c r="H697" s="55"/>
      <c r="I697" s="55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</row>
    <row r="698">
      <c r="A698" s="32"/>
      <c r="B698" s="55"/>
      <c r="C698" s="55"/>
      <c r="D698" s="55"/>
      <c r="E698" s="55"/>
      <c r="F698" s="55"/>
      <c r="G698" s="55"/>
      <c r="H698" s="55"/>
      <c r="I698" s="55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</row>
    <row r="699">
      <c r="A699" s="32"/>
      <c r="B699" s="55"/>
      <c r="C699" s="55"/>
      <c r="D699" s="55"/>
      <c r="E699" s="55"/>
      <c r="F699" s="55"/>
      <c r="G699" s="55"/>
      <c r="H699" s="55"/>
      <c r="I699" s="55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</row>
    <row r="700">
      <c r="A700" s="32"/>
      <c r="B700" s="55"/>
      <c r="C700" s="55"/>
      <c r="D700" s="55"/>
      <c r="E700" s="55"/>
      <c r="F700" s="55"/>
      <c r="G700" s="55"/>
      <c r="H700" s="55"/>
      <c r="I700" s="55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</row>
    <row r="701">
      <c r="A701" s="32"/>
      <c r="B701" s="55"/>
      <c r="C701" s="55"/>
      <c r="D701" s="55"/>
      <c r="E701" s="55"/>
      <c r="F701" s="55"/>
      <c r="G701" s="55"/>
      <c r="H701" s="55"/>
      <c r="I701" s="55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</row>
    <row r="702">
      <c r="A702" s="32"/>
      <c r="B702" s="55"/>
      <c r="C702" s="55"/>
      <c r="D702" s="55"/>
      <c r="E702" s="55"/>
      <c r="F702" s="55"/>
      <c r="G702" s="55"/>
      <c r="H702" s="55"/>
      <c r="I702" s="55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</row>
    <row r="703">
      <c r="A703" s="32"/>
      <c r="B703" s="55"/>
      <c r="C703" s="55"/>
      <c r="D703" s="55"/>
      <c r="E703" s="55"/>
      <c r="F703" s="55"/>
      <c r="G703" s="55"/>
      <c r="H703" s="55"/>
      <c r="I703" s="55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</row>
    <row r="704">
      <c r="A704" s="32"/>
      <c r="B704" s="55"/>
      <c r="C704" s="55"/>
      <c r="D704" s="55"/>
      <c r="E704" s="55"/>
      <c r="F704" s="55"/>
      <c r="G704" s="55"/>
      <c r="H704" s="55"/>
      <c r="I704" s="55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</row>
    <row r="705">
      <c r="A705" s="32"/>
      <c r="B705" s="55"/>
      <c r="C705" s="55"/>
      <c r="D705" s="55"/>
      <c r="E705" s="55"/>
      <c r="F705" s="55"/>
      <c r="G705" s="55"/>
      <c r="H705" s="55"/>
      <c r="I705" s="55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</row>
    <row r="706">
      <c r="A706" s="32"/>
      <c r="B706" s="55"/>
      <c r="C706" s="55"/>
      <c r="D706" s="55"/>
      <c r="E706" s="55"/>
      <c r="F706" s="55"/>
      <c r="G706" s="55"/>
      <c r="H706" s="55"/>
      <c r="I706" s="55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</row>
    <row r="707">
      <c r="A707" s="32"/>
      <c r="B707" s="55"/>
      <c r="C707" s="55"/>
      <c r="D707" s="55"/>
      <c r="E707" s="55"/>
      <c r="F707" s="55"/>
      <c r="G707" s="55"/>
      <c r="H707" s="55"/>
      <c r="I707" s="55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</row>
    <row r="708">
      <c r="A708" s="32"/>
      <c r="B708" s="55"/>
      <c r="C708" s="55"/>
      <c r="D708" s="55"/>
      <c r="E708" s="55"/>
      <c r="F708" s="55"/>
      <c r="G708" s="55"/>
      <c r="H708" s="55"/>
      <c r="I708" s="55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</row>
    <row r="709">
      <c r="A709" s="32"/>
      <c r="B709" s="55"/>
      <c r="C709" s="55"/>
      <c r="D709" s="55"/>
      <c r="E709" s="55"/>
      <c r="F709" s="55"/>
      <c r="G709" s="55"/>
      <c r="H709" s="55"/>
      <c r="I709" s="55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</row>
    <row r="710">
      <c r="A710" s="32"/>
      <c r="B710" s="55"/>
      <c r="C710" s="55"/>
      <c r="D710" s="55"/>
      <c r="E710" s="55"/>
      <c r="F710" s="55"/>
      <c r="G710" s="55"/>
      <c r="H710" s="55"/>
      <c r="I710" s="55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</row>
    <row r="711">
      <c r="A711" s="32"/>
      <c r="B711" s="55"/>
      <c r="C711" s="55"/>
      <c r="D711" s="55"/>
      <c r="E711" s="55"/>
      <c r="F711" s="55"/>
      <c r="G711" s="55"/>
      <c r="H711" s="55"/>
      <c r="I711" s="55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</row>
    <row r="712">
      <c r="A712" s="32"/>
      <c r="B712" s="55"/>
      <c r="C712" s="55"/>
      <c r="D712" s="55"/>
      <c r="E712" s="55"/>
      <c r="F712" s="55"/>
      <c r="G712" s="55"/>
      <c r="H712" s="55"/>
      <c r="I712" s="55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</row>
    <row r="713">
      <c r="A713" s="32"/>
      <c r="B713" s="55"/>
      <c r="C713" s="55"/>
      <c r="D713" s="55"/>
      <c r="E713" s="55"/>
      <c r="F713" s="55"/>
      <c r="G713" s="55"/>
      <c r="H713" s="55"/>
      <c r="I713" s="55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</row>
    <row r="714">
      <c r="A714" s="32"/>
      <c r="B714" s="55"/>
      <c r="C714" s="55"/>
      <c r="D714" s="55"/>
      <c r="E714" s="55"/>
      <c r="F714" s="55"/>
      <c r="G714" s="55"/>
      <c r="H714" s="55"/>
      <c r="I714" s="55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</row>
    <row r="715">
      <c r="A715" s="32"/>
      <c r="B715" s="55"/>
      <c r="C715" s="55"/>
      <c r="D715" s="55"/>
      <c r="E715" s="55"/>
      <c r="F715" s="55"/>
      <c r="G715" s="55"/>
      <c r="H715" s="55"/>
      <c r="I715" s="55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</row>
    <row r="716">
      <c r="A716" s="32"/>
      <c r="B716" s="55"/>
      <c r="C716" s="55"/>
      <c r="D716" s="55"/>
      <c r="E716" s="55"/>
      <c r="F716" s="55"/>
      <c r="G716" s="55"/>
      <c r="H716" s="55"/>
      <c r="I716" s="55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</row>
    <row r="717">
      <c r="A717" s="32"/>
      <c r="B717" s="55"/>
      <c r="C717" s="55"/>
      <c r="D717" s="55"/>
      <c r="E717" s="55"/>
      <c r="F717" s="55"/>
      <c r="G717" s="55"/>
      <c r="H717" s="55"/>
      <c r="I717" s="55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</row>
    <row r="718">
      <c r="A718" s="32"/>
      <c r="B718" s="55"/>
      <c r="C718" s="55"/>
      <c r="D718" s="55"/>
      <c r="E718" s="55"/>
      <c r="F718" s="55"/>
      <c r="G718" s="55"/>
      <c r="H718" s="55"/>
      <c r="I718" s="55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</row>
    <row r="719">
      <c r="A719" s="32"/>
      <c r="B719" s="55"/>
      <c r="C719" s="55"/>
      <c r="D719" s="55"/>
      <c r="E719" s="55"/>
      <c r="F719" s="55"/>
      <c r="G719" s="55"/>
      <c r="H719" s="55"/>
      <c r="I719" s="55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</row>
    <row r="720">
      <c r="A720" s="32"/>
      <c r="B720" s="55"/>
      <c r="C720" s="55"/>
      <c r="D720" s="55"/>
      <c r="E720" s="55"/>
      <c r="F720" s="55"/>
      <c r="G720" s="55"/>
      <c r="H720" s="55"/>
      <c r="I720" s="55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</row>
    <row r="721">
      <c r="A721" s="32"/>
      <c r="B721" s="55"/>
      <c r="C721" s="55"/>
      <c r="D721" s="55"/>
      <c r="E721" s="55"/>
      <c r="F721" s="55"/>
      <c r="G721" s="55"/>
      <c r="H721" s="55"/>
      <c r="I721" s="55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</row>
    <row r="722">
      <c r="A722" s="32"/>
      <c r="B722" s="55"/>
      <c r="C722" s="55"/>
      <c r="D722" s="55"/>
      <c r="E722" s="55"/>
      <c r="F722" s="55"/>
      <c r="G722" s="55"/>
      <c r="H722" s="55"/>
      <c r="I722" s="55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</row>
    <row r="723">
      <c r="A723" s="32"/>
      <c r="B723" s="55"/>
      <c r="C723" s="55"/>
      <c r="D723" s="55"/>
      <c r="E723" s="55"/>
      <c r="F723" s="55"/>
      <c r="G723" s="55"/>
      <c r="H723" s="55"/>
      <c r="I723" s="55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</row>
    <row r="724">
      <c r="A724" s="32"/>
      <c r="B724" s="55"/>
      <c r="C724" s="55"/>
      <c r="D724" s="55"/>
      <c r="E724" s="55"/>
      <c r="F724" s="55"/>
      <c r="G724" s="55"/>
      <c r="H724" s="55"/>
      <c r="I724" s="55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</row>
    <row r="725">
      <c r="A725" s="32"/>
      <c r="B725" s="55"/>
      <c r="C725" s="55"/>
      <c r="D725" s="55"/>
      <c r="E725" s="55"/>
      <c r="F725" s="55"/>
      <c r="G725" s="55"/>
      <c r="H725" s="55"/>
      <c r="I725" s="55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</row>
    <row r="726">
      <c r="A726" s="32"/>
      <c r="B726" s="55"/>
      <c r="C726" s="55"/>
      <c r="D726" s="55"/>
      <c r="E726" s="55"/>
      <c r="F726" s="55"/>
      <c r="G726" s="55"/>
      <c r="H726" s="55"/>
      <c r="I726" s="55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</row>
    <row r="727">
      <c r="A727" s="32"/>
      <c r="B727" s="55"/>
      <c r="C727" s="55"/>
      <c r="D727" s="55"/>
      <c r="E727" s="55"/>
      <c r="F727" s="55"/>
      <c r="G727" s="55"/>
      <c r="H727" s="55"/>
      <c r="I727" s="55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</row>
    <row r="728">
      <c r="A728" s="32"/>
      <c r="B728" s="55"/>
      <c r="C728" s="55"/>
      <c r="D728" s="55"/>
      <c r="E728" s="55"/>
      <c r="F728" s="55"/>
      <c r="G728" s="55"/>
      <c r="H728" s="55"/>
      <c r="I728" s="55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</row>
    <row r="729">
      <c r="A729" s="32"/>
      <c r="B729" s="55"/>
      <c r="C729" s="55"/>
      <c r="D729" s="55"/>
      <c r="E729" s="55"/>
      <c r="F729" s="55"/>
      <c r="G729" s="55"/>
      <c r="H729" s="55"/>
      <c r="I729" s="55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</row>
    <row r="730">
      <c r="A730" s="32"/>
      <c r="B730" s="55"/>
      <c r="C730" s="55"/>
      <c r="D730" s="55"/>
      <c r="E730" s="55"/>
      <c r="F730" s="55"/>
      <c r="G730" s="55"/>
      <c r="H730" s="55"/>
      <c r="I730" s="55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</row>
    <row r="731">
      <c r="A731" s="32"/>
      <c r="B731" s="55"/>
      <c r="C731" s="55"/>
      <c r="D731" s="55"/>
      <c r="E731" s="55"/>
      <c r="F731" s="55"/>
      <c r="G731" s="55"/>
      <c r="H731" s="55"/>
      <c r="I731" s="55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</row>
    <row r="732">
      <c r="A732" s="32"/>
      <c r="B732" s="55"/>
      <c r="C732" s="55"/>
      <c r="D732" s="55"/>
      <c r="E732" s="55"/>
      <c r="F732" s="55"/>
      <c r="G732" s="55"/>
      <c r="H732" s="55"/>
      <c r="I732" s="55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</row>
    <row r="733">
      <c r="A733" s="32"/>
      <c r="B733" s="55"/>
      <c r="C733" s="55"/>
      <c r="D733" s="55"/>
      <c r="E733" s="55"/>
      <c r="F733" s="55"/>
      <c r="G733" s="55"/>
      <c r="H733" s="55"/>
      <c r="I733" s="55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</row>
    <row r="734">
      <c r="A734" s="32"/>
      <c r="B734" s="55"/>
      <c r="C734" s="55"/>
      <c r="D734" s="55"/>
      <c r="E734" s="55"/>
      <c r="F734" s="55"/>
      <c r="G734" s="55"/>
      <c r="H734" s="55"/>
      <c r="I734" s="55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</row>
    <row r="735">
      <c r="A735" s="32"/>
      <c r="B735" s="55"/>
      <c r="C735" s="55"/>
      <c r="D735" s="55"/>
      <c r="E735" s="55"/>
      <c r="F735" s="55"/>
      <c r="G735" s="55"/>
      <c r="H735" s="55"/>
      <c r="I735" s="55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</row>
    <row r="736">
      <c r="A736" s="32"/>
      <c r="B736" s="55"/>
      <c r="C736" s="55"/>
      <c r="D736" s="55"/>
      <c r="E736" s="55"/>
      <c r="F736" s="55"/>
      <c r="G736" s="55"/>
      <c r="H736" s="55"/>
      <c r="I736" s="55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</row>
    <row r="737">
      <c r="A737" s="32"/>
      <c r="B737" s="55"/>
      <c r="C737" s="55"/>
      <c r="D737" s="55"/>
      <c r="E737" s="55"/>
      <c r="F737" s="55"/>
      <c r="G737" s="55"/>
      <c r="H737" s="55"/>
      <c r="I737" s="55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</row>
    <row r="738">
      <c r="A738" s="32"/>
      <c r="B738" s="55"/>
      <c r="C738" s="55"/>
      <c r="D738" s="55"/>
      <c r="E738" s="55"/>
      <c r="F738" s="55"/>
      <c r="G738" s="55"/>
      <c r="H738" s="55"/>
      <c r="I738" s="55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</row>
    <row r="739">
      <c r="A739" s="32"/>
      <c r="B739" s="55"/>
      <c r="C739" s="55"/>
      <c r="D739" s="55"/>
      <c r="E739" s="55"/>
      <c r="F739" s="55"/>
      <c r="G739" s="55"/>
      <c r="H739" s="55"/>
      <c r="I739" s="55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</row>
    <row r="740">
      <c r="A740" s="32"/>
      <c r="B740" s="55"/>
      <c r="C740" s="55"/>
      <c r="D740" s="55"/>
      <c r="E740" s="55"/>
      <c r="F740" s="55"/>
      <c r="G740" s="55"/>
      <c r="H740" s="55"/>
      <c r="I740" s="55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</row>
    <row r="741">
      <c r="A741" s="32"/>
      <c r="B741" s="55"/>
      <c r="C741" s="55"/>
      <c r="D741" s="55"/>
      <c r="E741" s="55"/>
      <c r="F741" s="55"/>
      <c r="G741" s="55"/>
      <c r="H741" s="55"/>
      <c r="I741" s="55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</row>
    <row r="742">
      <c r="A742" s="32"/>
      <c r="B742" s="55"/>
      <c r="C742" s="55"/>
      <c r="D742" s="55"/>
      <c r="E742" s="55"/>
      <c r="F742" s="55"/>
      <c r="G742" s="55"/>
      <c r="H742" s="55"/>
      <c r="I742" s="55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</row>
    <row r="743">
      <c r="A743" s="32"/>
      <c r="B743" s="55"/>
      <c r="C743" s="55"/>
      <c r="D743" s="55"/>
      <c r="E743" s="55"/>
      <c r="F743" s="55"/>
      <c r="G743" s="55"/>
      <c r="H743" s="55"/>
      <c r="I743" s="55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</row>
    <row r="744">
      <c r="A744" s="32"/>
      <c r="B744" s="55"/>
      <c r="C744" s="55"/>
      <c r="D744" s="55"/>
      <c r="E744" s="55"/>
      <c r="F744" s="55"/>
      <c r="G744" s="55"/>
      <c r="H744" s="55"/>
      <c r="I744" s="55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</row>
    <row r="745">
      <c r="A745" s="32"/>
      <c r="B745" s="55"/>
      <c r="C745" s="55"/>
      <c r="D745" s="55"/>
      <c r="E745" s="55"/>
      <c r="F745" s="55"/>
      <c r="G745" s="55"/>
      <c r="H745" s="55"/>
      <c r="I745" s="55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</row>
    <row r="746">
      <c r="A746" s="32"/>
      <c r="B746" s="55"/>
      <c r="C746" s="55"/>
      <c r="D746" s="55"/>
      <c r="E746" s="55"/>
      <c r="F746" s="55"/>
      <c r="G746" s="55"/>
      <c r="H746" s="55"/>
      <c r="I746" s="55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</row>
    <row r="747">
      <c r="A747" s="32"/>
      <c r="B747" s="55"/>
      <c r="C747" s="55"/>
      <c r="D747" s="55"/>
      <c r="E747" s="55"/>
      <c r="F747" s="55"/>
      <c r="G747" s="55"/>
      <c r="H747" s="55"/>
      <c r="I747" s="55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</row>
    <row r="748">
      <c r="A748" s="32"/>
      <c r="B748" s="55"/>
      <c r="C748" s="55"/>
      <c r="D748" s="55"/>
      <c r="E748" s="55"/>
      <c r="F748" s="55"/>
      <c r="G748" s="55"/>
      <c r="H748" s="55"/>
      <c r="I748" s="55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</row>
    <row r="749">
      <c r="A749" s="32"/>
      <c r="B749" s="55"/>
      <c r="C749" s="55"/>
      <c r="D749" s="55"/>
      <c r="E749" s="55"/>
      <c r="F749" s="55"/>
      <c r="G749" s="55"/>
      <c r="H749" s="55"/>
      <c r="I749" s="55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</row>
    <row r="750">
      <c r="A750" s="32"/>
      <c r="B750" s="55"/>
      <c r="C750" s="55"/>
      <c r="D750" s="55"/>
      <c r="E750" s="55"/>
      <c r="F750" s="55"/>
      <c r="G750" s="55"/>
      <c r="H750" s="55"/>
      <c r="I750" s="55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</row>
    <row r="751">
      <c r="A751" s="32"/>
      <c r="B751" s="55"/>
      <c r="C751" s="55"/>
      <c r="D751" s="55"/>
      <c r="E751" s="55"/>
      <c r="F751" s="55"/>
      <c r="G751" s="55"/>
      <c r="H751" s="55"/>
      <c r="I751" s="55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</row>
    <row r="752">
      <c r="A752" s="32"/>
      <c r="B752" s="55"/>
      <c r="C752" s="55"/>
      <c r="D752" s="55"/>
      <c r="E752" s="55"/>
      <c r="F752" s="55"/>
      <c r="G752" s="55"/>
      <c r="H752" s="55"/>
      <c r="I752" s="55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</row>
    <row r="753">
      <c r="A753" s="32"/>
      <c r="B753" s="55"/>
      <c r="C753" s="55"/>
      <c r="D753" s="55"/>
      <c r="E753" s="55"/>
      <c r="F753" s="55"/>
      <c r="G753" s="55"/>
      <c r="H753" s="55"/>
      <c r="I753" s="55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</row>
    <row r="754">
      <c r="A754" s="32"/>
      <c r="B754" s="55"/>
      <c r="C754" s="55"/>
      <c r="D754" s="55"/>
      <c r="E754" s="55"/>
      <c r="F754" s="55"/>
      <c r="G754" s="55"/>
      <c r="H754" s="55"/>
      <c r="I754" s="55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</row>
    <row r="755">
      <c r="A755" s="32"/>
      <c r="B755" s="55"/>
      <c r="C755" s="55"/>
      <c r="D755" s="55"/>
      <c r="E755" s="55"/>
      <c r="F755" s="55"/>
      <c r="G755" s="55"/>
      <c r="H755" s="55"/>
      <c r="I755" s="55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</row>
    <row r="756">
      <c r="A756" s="32"/>
      <c r="B756" s="55"/>
      <c r="C756" s="55"/>
      <c r="D756" s="55"/>
      <c r="E756" s="55"/>
      <c r="F756" s="55"/>
      <c r="G756" s="55"/>
      <c r="H756" s="55"/>
      <c r="I756" s="55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</row>
    <row r="757">
      <c r="A757" s="32"/>
      <c r="B757" s="55"/>
      <c r="C757" s="55"/>
      <c r="D757" s="55"/>
      <c r="E757" s="55"/>
      <c r="F757" s="55"/>
      <c r="G757" s="55"/>
      <c r="H757" s="55"/>
      <c r="I757" s="55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</row>
    <row r="758">
      <c r="A758" s="32"/>
      <c r="B758" s="55"/>
      <c r="C758" s="55"/>
      <c r="D758" s="55"/>
      <c r="E758" s="55"/>
      <c r="F758" s="55"/>
      <c r="G758" s="55"/>
      <c r="H758" s="55"/>
      <c r="I758" s="55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</row>
    <row r="759">
      <c r="A759" s="32"/>
      <c r="B759" s="55"/>
      <c r="C759" s="55"/>
      <c r="D759" s="55"/>
      <c r="E759" s="55"/>
      <c r="F759" s="55"/>
      <c r="G759" s="55"/>
      <c r="H759" s="55"/>
      <c r="I759" s="55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</row>
    <row r="760">
      <c r="A760" s="32"/>
      <c r="B760" s="55"/>
      <c r="C760" s="55"/>
      <c r="D760" s="55"/>
      <c r="E760" s="55"/>
      <c r="F760" s="55"/>
      <c r="G760" s="55"/>
      <c r="H760" s="55"/>
      <c r="I760" s="55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</row>
    <row r="761">
      <c r="A761" s="32"/>
      <c r="B761" s="55"/>
      <c r="C761" s="55"/>
      <c r="D761" s="55"/>
      <c r="E761" s="55"/>
      <c r="F761" s="55"/>
      <c r="G761" s="55"/>
      <c r="H761" s="55"/>
      <c r="I761" s="55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</row>
    <row r="762">
      <c r="A762" s="32"/>
      <c r="B762" s="55"/>
      <c r="C762" s="55"/>
      <c r="D762" s="55"/>
      <c r="E762" s="55"/>
      <c r="F762" s="55"/>
      <c r="G762" s="55"/>
      <c r="H762" s="55"/>
      <c r="I762" s="55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</row>
    <row r="763">
      <c r="A763" s="32"/>
      <c r="B763" s="55"/>
      <c r="C763" s="55"/>
      <c r="D763" s="55"/>
      <c r="E763" s="55"/>
      <c r="F763" s="55"/>
      <c r="G763" s="55"/>
      <c r="H763" s="55"/>
      <c r="I763" s="55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</row>
    <row r="764">
      <c r="A764" s="32"/>
      <c r="B764" s="55"/>
      <c r="C764" s="55"/>
      <c r="D764" s="55"/>
      <c r="E764" s="55"/>
      <c r="F764" s="55"/>
      <c r="G764" s="55"/>
      <c r="H764" s="55"/>
      <c r="I764" s="55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</row>
    <row r="765">
      <c r="A765" s="32"/>
      <c r="B765" s="55"/>
      <c r="C765" s="55"/>
      <c r="D765" s="55"/>
      <c r="E765" s="55"/>
      <c r="F765" s="55"/>
      <c r="G765" s="55"/>
      <c r="H765" s="55"/>
      <c r="I765" s="55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</row>
    <row r="766">
      <c r="A766" s="32"/>
      <c r="B766" s="55"/>
      <c r="C766" s="55"/>
      <c r="D766" s="55"/>
      <c r="E766" s="55"/>
      <c r="F766" s="55"/>
      <c r="G766" s="55"/>
      <c r="H766" s="55"/>
      <c r="I766" s="55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</row>
    <row r="767">
      <c r="A767" s="32"/>
      <c r="B767" s="55"/>
      <c r="C767" s="55"/>
      <c r="D767" s="55"/>
      <c r="E767" s="55"/>
      <c r="F767" s="55"/>
      <c r="G767" s="55"/>
      <c r="H767" s="55"/>
      <c r="I767" s="55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</row>
    <row r="768">
      <c r="A768" s="32"/>
      <c r="B768" s="55"/>
      <c r="C768" s="55"/>
      <c r="D768" s="55"/>
      <c r="E768" s="55"/>
      <c r="F768" s="55"/>
      <c r="G768" s="55"/>
      <c r="H768" s="55"/>
      <c r="I768" s="55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</row>
    <row r="769">
      <c r="A769" s="32"/>
      <c r="B769" s="55"/>
      <c r="C769" s="55"/>
      <c r="D769" s="55"/>
      <c r="E769" s="55"/>
      <c r="F769" s="55"/>
      <c r="G769" s="55"/>
      <c r="H769" s="55"/>
      <c r="I769" s="55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</row>
    <row r="770">
      <c r="A770" s="32"/>
      <c r="B770" s="55"/>
      <c r="C770" s="55"/>
      <c r="D770" s="55"/>
      <c r="E770" s="55"/>
      <c r="F770" s="55"/>
      <c r="G770" s="55"/>
      <c r="H770" s="55"/>
      <c r="I770" s="55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</row>
    <row r="771">
      <c r="A771" s="32"/>
      <c r="B771" s="55"/>
      <c r="C771" s="55"/>
      <c r="D771" s="55"/>
      <c r="E771" s="55"/>
      <c r="F771" s="55"/>
      <c r="G771" s="55"/>
      <c r="H771" s="55"/>
      <c r="I771" s="55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</row>
    <row r="772">
      <c r="A772" s="32"/>
      <c r="B772" s="55"/>
      <c r="C772" s="55"/>
      <c r="D772" s="55"/>
      <c r="E772" s="55"/>
      <c r="F772" s="55"/>
      <c r="G772" s="55"/>
      <c r="H772" s="55"/>
      <c r="I772" s="55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</row>
    <row r="773">
      <c r="A773" s="32"/>
      <c r="B773" s="55"/>
      <c r="C773" s="55"/>
      <c r="D773" s="55"/>
      <c r="E773" s="55"/>
      <c r="F773" s="55"/>
      <c r="G773" s="55"/>
      <c r="H773" s="55"/>
      <c r="I773" s="55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</row>
    <row r="774">
      <c r="A774" s="32"/>
      <c r="B774" s="55"/>
      <c r="C774" s="55"/>
      <c r="D774" s="55"/>
      <c r="E774" s="55"/>
      <c r="F774" s="55"/>
      <c r="G774" s="55"/>
      <c r="H774" s="55"/>
      <c r="I774" s="55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</row>
    <row r="775">
      <c r="A775" s="32"/>
      <c r="B775" s="55"/>
      <c r="C775" s="55"/>
      <c r="D775" s="55"/>
      <c r="E775" s="55"/>
      <c r="F775" s="55"/>
      <c r="G775" s="55"/>
      <c r="H775" s="55"/>
      <c r="I775" s="55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</row>
    <row r="776">
      <c r="A776" s="32"/>
      <c r="B776" s="55"/>
      <c r="C776" s="55"/>
      <c r="D776" s="55"/>
      <c r="E776" s="55"/>
      <c r="F776" s="55"/>
      <c r="G776" s="55"/>
      <c r="H776" s="55"/>
      <c r="I776" s="55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</row>
    <row r="777">
      <c r="A777" s="32"/>
      <c r="B777" s="55"/>
      <c r="C777" s="55"/>
      <c r="D777" s="55"/>
      <c r="E777" s="55"/>
      <c r="F777" s="55"/>
      <c r="G777" s="55"/>
      <c r="H777" s="55"/>
      <c r="I777" s="55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</row>
    <row r="778">
      <c r="A778" s="32"/>
      <c r="B778" s="55"/>
      <c r="C778" s="55"/>
      <c r="D778" s="55"/>
      <c r="E778" s="55"/>
      <c r="F778" s="55"/>
      <c r="G778" s="55"/>
      <c r="H778" s="55"/>
      <c r="I778" s="55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</row>
    <row r="779">
      <c r="A779" s="32"/>
      <c r="B779" s="55"/>
      <c r="C779" s="55"/>
      <c r="D779" s="55"/>
      <c r="E779" s="55"/>
      <c r="F779" s="55"/>
      <c r="G779" s="55"/>
      <c r="H779" s="55"/>
      <c r="I779" s="55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</row>
    <row r="780">
      <c r="A780" s="32"/>
      <c r="B780" s="55"/>
      <c r="C780" s="55"/>
      <c r="D780" s="55"/>
      <c r="E780" s="55"/>
      <c r="F780" s="55"/>
      <c r="G780" s="55"/>
      <c r="H780" s="55"/>
      <c r="I780" s="55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</row>
    <row r="781">
      <c r="A781" s="32"/>
      <c r="B781" s="55"/>
      <c r="C781" s="55"/>
      <c r="D781" s="55"/>
      <c r="E781" s="55"/>
      <c r="F781" s="55"/>
      <c r="G781" s="55"/>
      <c r="H781" s="55"/>
      <c r="I781" s="55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</row>
    <row r="782">
      <c r="A782" s="32"/>
      <c r="B782" s="55"/>
      <c r="C782" s="55"/>
      <c r="D782" s="55"/>
      <c r="E782" s="55"/>
      <c r="F782" s="55"/>
      <c r="G782" s="55"/>
      <c r="H782" s="55"/>
      <c r="I782" s="55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</row>
    <row r="783">
      <c r="A783" s="32"/>
      <c r="B783" s="55"/>
      <c r="C783" s="55"/>
      <c r="D783" s="55"/>
      <c r="E783" s="55"/>
      <c r="F783" s="55"/>
      <c r="G783" s="55"/>
      <c r="H783" s="55"/>
      <c r="I783" s="55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</row>
    <row r="784">
      <c r="A784" s="32"/>
      <c r="B784" s="55"/>
      <c r="C784" s="55"/>
      <c r="D784" s="55"/>
      <c r="E784" s="55"/>
      <c r="F784" s="55"/>
      <c r="G784" s="55"/>
      <c r="H784" s="55"/>
      <c r="I784" s="55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</row>
    <row r="785">
      <c r="A785" s="32"/>
      <c r="B785" s="55"/>
      <c r="C785" s="55"/>
      <c r="D785" s="55"/>
      <c r="E785" s="55"/>
      <c r="F785" s="55"/>
      <c r="G785" s="55"/>
      <c r="H785" s="55"/>
      <c r="I785" s="55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</row>
    <row r="786">
      <c r="A786" s="32"/>
      <c r="B786" s="55"/>
      <c r="C786" s="55"/>
      <c r="D786" s="55"/>
      <c r="E786" s="55"/>
      <c r="F786" s="55"/>
      <c r="G786" s="55"/>
      <c r="H786" s="55"/>
      <c r="I786" s="55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</row>
    <row r="787">
      <c r="A787" s="32"/>
      <c r="B787" s="55"/>
      <c r="C787" s="55"/>
      <c r="D787" s="55"/>
      <c r="E787" s="55"/>
      <c r="F787" s="55"/>
      <c r="G787" s="55"/>
      <c r="H787" s="55"/>
      <c r="I787" s="55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</row>
    <row r="788">
      <c r="A788" s="32"/>
      <c r="B788" s="55"/>
      <c r="C788" s="55"/>
      <c r="D788" s="55"/>
      <c r="E788" s="55"/>
      <c r="F788" s="55"/>
      <c r="G788" s="55"/>
      <c r="H788" s="55"/>
      <c r="I788" s="55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</row>
    <row r="789">
      <c r="A789" s="32"/>
      <c r="B789" s="55"/>
      <c r="C789" s="55"/>
      <c r="D789" s="55"/>
      <c r="E789" s="55"/>
      <c r="F789" s="55"/>
      <c r="G789" s="55"/>
      <c r="H789" s="55"/>
      <c r="I789" s="55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</row>
    <row r="790">
      <c r="A790" s="32"/>
      <c r="B790" s="55"/>
      <c r="C790" s="55"/>
      <c r="D790" s="55"/>
      <c r="E790" s="55"/>
      <c r="F790" s="55"/>
      <c r="G790" s="55"/>
      <c r="H790" s="55"/>
      <c r="I790" s="55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</row>
    <row r="791">
      <c r="A791" s="32"/>
      <c r="B791" s="55"/>
      <c r="C791" s="55"/>
      <c r="D791" s="55"/>
      <c r="E791" s="55"/>
      <c r="F791" s="55"/>
      <c r="G791" s="55"/>
      <c r="H791" s="55"/>
      <c r="I791" s="55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</row>
    <row r="792">
      <c r="A792" s="32"/>
      <c r="B792" s="55"/>
      <c r="C792" s="55"/>
      <c r="D792" s="55"/>
      <c r="E792" s="55"/>
      <c r="F792" s="55"/>
      <c r="G792" s="55"/>
      <c r="H792" s="55"/>
      <c r="I792" s="55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</row>
    <row r="793">
      <c r="A793" s="32"/>
      <c r="B793" s="55"/>
      <c r="C793" s="55"/>
      <c r="D793" s="55"/>
      <c r="E793" s="55"/>
      <c r="F793" s="55"/>
      <c r="G793" s="55"/>
      <c r="H793" s="55"/>
      <c r="I793" s="55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</row>
    <row r="794">
      <c r="A794" s="32"/>
      <c r="B794" s="55"/>
      <c r="C794" s="55"/>
      <c r="D794" s="55"/>
      <c r="E794" s="55"/>
      <c r="F794" s="55"/>
      <c r="G794" s="55"/>
      <c r="H794" s="55"/>
      <c r="I794" s="55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</row>
    <row r="795">
      <c r="A795" s="32"/>
      <c r="B795" s="55"/>
      <c r="C795" s="55"/>
      <c r="D795" s="55"/>
      <c r="E795" s="55"/>
      <c r="F795" s="55"/>
      <c r="G795" s="55"/>
      <c r="H795" s="55"/>
      <c r="I795" s="55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</row>
    <row r="796">
      <c r="A796" s="32"/>
      <c r="B796" s="55"/>
      <c r="C796" s="55"/>
      <c r="D796" s="55"/>
      <c r="E796" s="55"/>
      <c r="F796" s="55"/>
      <c r="G796" s="55"/>
      <c r="H796" s="55"/>
      <c r="I796" s="55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</row>
    <row r="797">
      <c r="A797" s="32"/>
      <c r="B797" s="55"/>
      <c r="C797" s="55"/>
      <c r="D797" s="55"/>
      <c r="E797" s="55"/>
      <c r="F797" s="55"/>
      <c r="G797" s="55"/>
      <c r="H797" s="55"/>
      <c r="I797" s="55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</row>
    <row r="798">
      <c r="A798" s="32"/>
      <c r="B798" s="55"/>
      <c r="C798" s="55"/>
      <c r="D798" s="55"/>
      <c r="E798" s="55"/>
      <c r="F798" s="55"/>
      <c r="G798" s="55"/>
      <c r="H798" s="55"/>
      <c r="I798" s="55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</row>
    <row r="799">
      <c r="A799" s="32"/>
      <c r="B799" s="55"/>
      <c r="C799" s="55"/>
      <c r="D799" s="55"/>
      <c r="E799" s="55"/>
      <c r="F799" s="55"/>
      <c r="G799" s="55"/>
      <c r="H799" s="55"/>
      <c r="I799" s="55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</row>
    <row r="800">
      <c r="A800" s="32"/>
      <c r="B800" s="55"/>
      <c r="C800" s="55"/>
      <c r="D800" s="55"/>
      <c r="E800" s="55"/>
      <c r="F800" s="55"/>
      <c r="G800" s="55"/>
      <c r="H800" s="55"/>
      <c r="I800" s="55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</row>
    <row r="801">
      <c r="A801" s="32"/>
      <c r="B801" s="55"/>
      <c r="C801" s="55"/>
      <c r="D801" s="55"/>
      <c r="E801" s="55"/>
      <c r="F801" s="55"/>
      <c r="G801" s="55"/>
      <c r="H801" s="55"/>
      <c r="I801" s="55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</row>
    <row r="802">
      <c r="A802" s="32"/>
      <c r="B802" s="55"/>
      <c r="C802" s="55"/>
      <c r="D802" s="55"/>
      <c r="E802" s="55"/>
      <c r="F802" s="55"/>
      <c r="G802" s="55"/>
      <c r="H802" s="55"/>
      <c r="I802" s="55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</row>
    <row r="803">
      <c r="A803" s="32"/>
      <c r="B803" s="55"/>
      <c r="C803" s="55"/>
      <c r="D803" s="55"/>
      <c r="E803" s="55"/>
      <c r="F803" s="55"/>
      <c r="G803" s="55"/>
      <c r="H803" s="55"/>
      <c r="I803" s="55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</row>
    <row r="804">
      <c r="A804" s="32"/>
      <c r="B804" s="55"/>
      <c r="C804" s="55"/>
      <c r="D804" s="55"/>
      <c r="E804" s="55"/>
      <c r="F804" s="55"/>
      <c r="G804" s="55"/>
      <c r="H804" s="55"/>
      <c r="I804" s="55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</row>
    <row r="805">
      <c r="A805" s="32"/>
      <c r="B805" s="55"/>
      <c r="C805" s="55"/>
      <c r="D805" s="55"/>
      <c r="E805" s="55"/>
      <c r="F805" s="55"/>
      <c r="G805" s="55"/>
      <c r="H805" s="55"/>
      <c r="I805" s="55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</row>
    <row r="806">
      <c r="A806" s="32"/>
      <c r="B806" s="55"/>
      <c r="C806" s="55"/>
      <c r="D806" s="55"/>
      <c r="E806" s="55"/>
      <c r="F806" s="55"/>
      <c r="G806" s="55"/>
      <c r="H806" s="55"/>
      <c r="I806" s="55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</row>
    <row r="807">
      <c r="A807" s="32"/>
      <c r="B807" s="55"/>
      <c r="C807" s="55"/>
      <c r="D807" s="55"/>
      <c r="E807" s="55"/>
      <c r="F807" s="55"/>
      <c r="G807" s="55"/>
      <c r="H807" s="55"/>
      <c r="I807" s="55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</row>
    <row r="808">
      <c r="A808" s="32"/>
      <c r="B808" s="55"/>
      <c r="C808" s="55"/>
      <c r="D808" s="55"/>
      <c r="E808" s="55"/>
      <c r="F808" s="55"/>
      <c r="G808" s="55"/>
      <c r="H808" s="55"/>
      <c r="I808" s="55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</row>
    <row r="809">
      <c r="A809" s="32"/>
      <c r="B809" s="55"/>
      <c r="C809" s="55"/>
      <c r="D809" s="55"/>
      <c r="E809" s="55"/>
      <c r="F809" s="55"/>
      <c r="G809" s="55"/>
      <c r="H809" s="55"/>
      <c r="I809" s="55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</row>
  </sheetData>
  <autoFilter ref="$A$2:$V$571">
    <sortState ref="A2:V571">
      <sortCondition descending="1" sortBy="cellColor" ref="H2:H571" dxfId="16"/>
    </sortState>
  </autoFilter>
  <mergeCells count="2">
    <mergeCell ref="A1:B1"/>
    <mergeCell ref="D1:E1"/>
  </mergeCells>
  <conditionalFormatting sqref="A3:I809">
    <cfRule type="expression" dxfId="9" priority="1">
      <formula>$I3="OPEN"</formula>
    </cfRule>
  </conditionalFormatting>
  <conditionalFormatting sqref="A3:I809">
    <cfRule type="expression" dxfId="10" priority="2">
      <formula>$I3="CLOSED"</formula>
    </cfRule>
  </conditionalFormatting>
  <dataValidations>
    <dataValidation type="list" allowBlank="1" showErrorMessage="1" sqref="B3:B809">
      <formula1>"LION AIR,BATIK AIR,SUPER AIR JET,WINGS AIR,THAI LION AIR,MALINDO AIR"</formula1>
    </dataValidation>
    <dataValidation type="list" allowBlank="1" sqref="I3:I809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43" t="str">
        <f>"DAILY REPORT CBM " &amp; UPPER(TEXT(TODAY()-1, "D MMM YYYY"))</f>
        <v>DAILY REPORT CBM 22 SEP 2026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</row>
    <row r="2" ht="21.0" customHeight="1">
      <c r="A2" s="145" t="s">
        <v>514</v>
      </c>
      <c r="B2" s="145" t="s">
        <v>291</v>
      </c>
      <c r="C2" s="146" t="s">
        <v>516</v>
      </c>
      <c r="D2" s="9"/>
      <c r="E2" s="10"/>
      <c r="F2" s="147" t="s">
        <v>522</v>
      </c>
      <c r="G2" s="9"/>
      <c r="H2" s="10"/>
      <c r="I2" s="146" t="s">
        <v>524</v>
      </c>
      <c r="J2" s="9"/>
      <c r="K2" s="10"/>
      <c r="L2" s="148" t="s">
        <v>526</v>
      </c>
      <c r="M2" s="149" t="s">
        <v>528</v>
      </c>
      <c r="N2" s="149" t="s">
        <v>529</v>
      </c>
      <c r="O2" s="150" t="s">
        <v>532</v>
      </c>
      <c r="P2" s="151" t="s">
        <v>534</v>
      </c>
      <c r="Q2" s="152" t="s">
        <v>535</v>
      </c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</row>
    <row r="3" ht="30.0" customHeight="1">
      <c r="A3" s="153"/>
      <c r="B3" s="153"/>
      <c r="C3" s="154" t="s">
        <v>538</v>
      </c>
      <c r="D3" s="154" t="s">
        <v>56</v>
      </c>
      <c r="E3" s="154" t="s">
        <v>47</v>
      </c>
      <c r="F3" s="154" t="s">
        <v>538</v>
      </c>
      <c r="G3" s="154" t="s">
        <v>56</v>
      </c>
      <c r="H3" s="154" t="s">
        <v>47</v>
      </c>
      <c r="I3" s="154" t="s">
        <v>538</v>
      </c>
      <c r="J3" s="154" t="s">
        <v>56</v>
      </c>
      <c r="K3" s="154" t="s">
        <v>47</v>
      </c>
      <c r="L3" s="153"/>
      <c r="M3" s="153"/>
      <c r="N3" s="153"/>
      <c r="O3" s="153"/>
      <c r="P3" s="153"/>
      <c r="Q3" s="153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</row>
    <row r="4" ht="18.75" customHeight="1">
      <c r="A4" s="155">
        <v>1.0</v>
      </c>
      <c r="B4" s="156" t="s">
        <v>43</v>
      </c>
      <c r="C4" s="157">
        <f>COUNTIFS(WO!$K:$K, $B4, WO!$N:$N, "CLOSED") + COUNTIFS(WO!$K:$K, $B4, WO!$N:$N, "OPEN")</f>
        <v>29</v>
      </c>
      <c r="D4" s="157">
        <f>COUNTIFS(WO!$K:$K, $B4, WO!$N:$N, "CLOSED")</f>
        <v>20</v>
      </c>
      <c r="E4" s="157">
        <f>COUNTIFS(WO!$K:$K, $B4, WO!$N:$N, "OPEN")</f>
        <v>9</v>
      </c>
      <c r="F4" s="157">
        <f>COUNTIFS('DJA AOC NSRDIL R01'!$N:$N, $B4, 'DJA AOC NSRDIL R01'!$Q:$Q, "CLOSED") + COUNTIFS('DJA AOC NSRDIL R01'!$N:$N, $B4, 'DJA AOC NSRDIL R01'!$Q:$Q, "OPEN")</f>
        <v>19</v>
      </c>
      <c r="G4" s="157">
        <f>COUNTIFS('DJA AOC NSRDIL R01'!$N:$N, $B4, 'DJA AOC NSRDIL R01'!$Q:$Q, "CLOSED")</f>
        <v>14</v>
      </c>
      <c r="H4" s="157">
        <f>COUNTIFS('DJA AOC NSRDIL R01'!$N:$N, $B4, 'DJA AOC NSRDIL R01'!$Q:$Q, "OPEN")</f>
        <v>5</v>
      </c>
      <c r="I4" s="157">
        <f>COUNTIFS('DMI CBM'!$G:$G, $B4, 'DMI CBM'!$H:$H, "DJA DMI R01")</f>
        <v>2</v>
      </c>
      <c r="J4" s="157">
        <f>COUNTIFS('DMI CBM'!$G:$G, $B4, 'DMI CBM'!$H:$H, "DJA DMI R01", 'DMI CBM'!$I:$I, "CLOSED")</f>
        <v>0</v>
      </c>
      <c r="K4" s="157">
        <f>COUNTIFS('DMI CBM'!$G:$G, $B4, 'DMI CBM'!$H:$H, "DJA DMI R01", 'DMI CBM'!$I:$I, "OPEN")</f>
        <v>2</v>
      </c>
      <c r="L4" s="157">
        <v>0.0</v>
      </c>
      <c r="M4" s="157">
        <f>COUNTIFS(UNPLANNED!$H:$H, $B4, UNPLANNED!$I:$I, "CLOSED", UNPLANNED!$D:$D, "WO")</f>
        <v>0</v>
      </c>
      <c r="N4" s="157">
        <f>COUNTIFS(UNPLANNED!$H:$H, $B4, UNPLANNED!$I:$I, "CLOSED", UNPLANNED!$D:$D, "NSRDI")</f>
        <v>4</v>
      </c>
      <c r="O4" s="157">
        <f>COUNTIFS('DMI CBM'!$G:$G, $B4, 'DMI CBM'!$I:$I, "CLOSED", 'DMI CBM'!$H:$H, "UNPLANNED DMI")</f>
        <v>1</v>
      </c>
      <c r="P4" s="157">
        <f>COUNTIFS('DAILY REPORT'!$E:$E, $B4, 'DAILY REPORT'!$F:$F, "CML")</f>
        <v>73</v>
      </c>
      <c r="Q4" s="158">
        <f>SUM(D4,G4,J4,L4,M4,N4,O4,P4)</f>
        <v>112</v>
      </c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</row>
    <row r="5" ht="18.75" customHeight="1">
      <c r="A5" s="155">
        <v>2.0</v>
      </c>
      <c r="B5" s="156" t="s">
        <v>230</v>
      </c>
      <c r="C5" s="157">
        <f>COUNTIFS(WO!$K:$K, $B5, WO!$N:$N, "CLOSED") + COUNTIFS(WO!$K:$K, $B5, WO!$N:$N, "OPEN")</f>
        <v>2</v>
      </c>
      <c r="D5" s="157">
        <f>COUNTIFS(WO!$K:$K, $B5, WO!$N:$N, "CLOSED")</f>
        <v>1</v>
      </c>
      <c r="E5" s="157">
        <f>COUNTIFS(WO!$K:$K, $B5, WO!$N:$N, "OPEN")</f>
        <v>1</v>
      </c>
      <c r="F5" s="157">
        <f>COUNTIFS('DJA AOC NSRDIL R01'!$N:$N, $B5, 'DJA AOC NSRDIL R01'!$Q:$Q, "CLOSED") + COUNTIFS('DJA AOC NSRDIL R01'!$N:$N, $B5, 'DJA AOC NSRDIL R01'!$Q:$Q, "OPEN")</f>
        <v>0</v>
      </c>
      <c r="G5" s="157">
        <f>COUNTIFS('DJA AOC NSRDIL R01'!$N:$N, $B5, 'DJA AOC NSRDIL R01'!$Q:$Q, "CLOSED")</f>
        <v>0</v>
      </c>
      <c r="H5" s="157">
        <f>COUNTIFS('DJA AOC NSRDIL R01'!$N:$N, $B5, 'DJA AOC NSRDIL R01'!$Q:$Q, "OPEN")</f>
        <v>0</v>
      </c>
      <c r="I5" s="157">
        <f>COUNTIFS('DMI CBM'!$G:$G, $B5, 'DMI CBM'!$H:$H, "DJA DMI R01")</f>
        <v>0</v>
      </c>
      <c r="J5" s="157">
        <f>COUNTIFS('DMI CBM'!$G:$G, $B5, 'DMI CBM'!$H:$H, "DJA DMI R01", 'DMI CBM'!$I:$I, "CLOSED")</f>
        <v>0</v>
      </c>
      <c r="K5" s="157">
        <f>COUNTIFS('DMI CBM'!$G:$G, $B5, 'DMI CBM'!$H:$H, "DJA DMI R01", 'DMI CBM'!$I:$I, "OPEN")</f>
        <v>0</v>
      </c>
      <c r="L5" s="157">
        <v>0.0</v>
      </c>
      <c r="M5" s="157">
        <f>COUNTIFS(UNPLANNED!$H:$H, $B5, UNPLANNED!$I:$I, "CLOSED", UNPLANNED!$D:$D, "WO")</f>
        <v>0</v>
      </c>
      <c r="N5" s="157">
        <f>COUNTIFS(UNPLANNED!$H:$H, $B5, UNPLANNED!$I:$I, "CLOSED", UNPLANNED!$D:$D, "NSRDI")</f>
        <v>2</v>
      </c>
      <c r="O5" s="157">
        <f>COUNTIFS('DMI CBM'!$G:$G, $B5, 'DMI CBM'!$I:$I, "CLOSED", 'DMI CBM'!$H:$H, "UNPLANNED DMI")</f>
        <v>0</v>
      </c>
      <c r="P5" s="157">
        <f>COUNTIFS('DAILY REPORT'!$E:$E, $B5, 'DAILY REPORT'!$F:$F, "CML")</f>
        <v>26</v>
      </c>
      <c r="Q5" s="158">
        <f t="shared" ref="Q5:Q20" si="1">SUM(C5:P5)</f>
        <v>32</v>
      </c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</row>
    <row r="6" ht="18.75" customHeight="1">
      <c r="A6" s="155">
        <v>3.0</v>
      </c>
      <c r="B6" s="156" t="s">
        <v>52</v>
      </c>
      <c r="C6" s="157">
        <f>COUNTIFS(WO!$K:$K, $B6, WO!$N:$N, "CLOSED") + COUNTIFS(WO!$K:$K, $B6, WO!$N:$N, "OPEN")</f>
        <v>9</v>
      </c>
      <c r="D6" s="157">
        <f>COUNTIFS(WO!$K:$K, $B6, WO!$N:$N, "CLOSED")</f>
        <v>8</v>
      </c>
      <c r="E6" s="157">
        <f>COUNTIFS(WO!$K:$K, $B6, WO!$N:$N, "OPEN")</f>
        <v>1</v>
      </c>
      <c r="F6" s="157">
        <f>COUNTIFS('DJA AOC NSRDIL R01'!$N:$N, $B6, 'DJA AOC NSRDIL R01'!$Q:$Q, "CLOSED") + COUNTIFS('DJA AOC NSRDIL R01'!$N:$N, $B6, 'DJA AOC NSRDIL R01'!$Q:$Q, "OPEN")</f>
        <v>7</v>
      </c>
      <c r="G6" s="157">
        <f>COUNTIFS('DJA AOC NSRDIL R01'!$N:$N, $B6, 'DJA AOC NSRDIL R01'!$Q:$Q, "CLOSED")</f>
        <v>6</v>
      </c>
      <c r="H6" s="157">
        <f>COUNTIFS('DJA AOC NSRDIL R01'!$N:$N, $B6, 'DJA AOC NSRDIL R01'!$Q:$Q, "OPEN")</f>
        <v>1</v>
      </c>
      <c r="I6" s="157">
        <f>COUNTIFS('DMI CBM'!$G:$G, $B6, 'DMI CBM'!$H:$H, "DJA DMI R01")</f>
        <v>0</v>
      </c>
      <c r="J6" s="157">
        <f>COUNTIFS('DMI CBM'!$G:$G, $B6, 'DMI CBM'!$H:$H, "DJA DMI R01", 'DMI CBM'!$I:$I, "CLOSED")</f>
        <v>0</v>
      </c>
      <c r="K6" s="157">
        <f>COUNTIFS('DMI CBM'!$G:$G, $B6, 'DMI CBM'!$H:$H, "DJA DMI R01", 'DMI CBM'!$I:$I, "OPEN")</f>
        <v>0</v>
      </c>
      <c r="L6" s="157">
        <v>0.0</v>
      </c>
      <c r="M6" s="157">
        <f>COUNTIFS(UNPLANNED!$H:$H, $B6, UNPLANNED!$I:$I, "CLOSED", UNPLANNED!$D:$D, "WO")</f>
        <v>0</v>
      </c>
      <c r="N6" s="157">
        <f>COUNTIFS(UNPLANNED!$H:$H, $B6, UNPLANNED!$I:$I, "CLOSED", UNPLANNED!$D:$D, "NSRDI")</f>
        <v>0</v>
      </c>
      <c r="O6" s="157">
        <f>COUNTIFS('DMI CBM'!$G:$G, $B6, 'DMI CBM'!$I:$I, "CLOSED", 'DMI CBM'!$H:$H, "UNPLANNED DMI")</f>
        <v>0</v>
      </c>
      <c r="P6" s="157">
        <f>COUNTIFS('DAILY REPORT'!$E:$E, $B6, 'DAILY REPORT'!$F:$F, "CML")</f>
        <v>55</v>
      </c>
      <c r="Q6" s="158">
        <f t="shared" si="1"/>
        <v>87</v>
      </c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</row>
    <row r="7" ht="18.75" customHeight="1">
      <c r="A7" s="155">
        <v>4.0</v>
      </c>
      <c r="B7" s="156" t="s">
        <v>105</v>
      </c>
      <c r="C7" s="157">
        <f>COUNTIFS(WO!$K:$K, $B7, WO!$N:$N, "CLOSED") + COUNTIFS(WO!$K:$K, $B7, WO!$N:$N, "OPEN")</f>
        <v>0</v>
      </c>
      <c r="D7" s="157">
        <f>COUNTIFS(WO!$K:$K, $B7, WO!$N:$N, "CLOSED")</f>
        <v>0</v>
      </c>
      <c r="E7" s="157">
        <f>COUNTIFS(WO!$K:$K, $B7, WO!$N:$N, "OPEN")</f>
        <v>0</v>
      </c>
      <c r="F7" s="157">
        <f>COUNTIFS('DJA AOC NSRDIL R01'!$N:$N, $B7, 'DJA AOC NSRDIL R01'!$Q:$Q, "CLOSED") + COUNTIFS('DJA AOC NSRDIL R01'!$N:$N, $B7, 'DJA AOC NSRDIL R01'!$Q:$Q, "OPEN")</f>
        <v>1</v>
      </c>
      <c r="G7" s="157">
        <f>COUNTIFS('DJA AOC NSRDIL R01'!$N:$N, $B7, 'DJA AOC NSRDIL R01'!$Q:$Q, "CLOSED")</f>
        <v>1</v>
      </c>
      <c r="H7" s="157">
        <f>COUNTIFS('DJA AOC NSRDIL R01'!$N:$N, $B7, 'DJA AOC NSRDIL R01'!$Q:$Q, "OPEN")</f>
        <v>0</v>
      </c>
      <c r="I7" s="157">
        <f>COUNTIFS('DMI CBM'!$G:$G, $B7, 'DMI CBM'!$H:$H, "DJA DMI R01")</f>
        <v>0</v>
      </c>
      <c r="J7" s="157">
        <f>COUNTIFS('DMI CBM'!$G:$G, $B7, 'DMI CBM'!$H:$H, "DJA DMI R01", 'DMI CBM'!$I:$I, "CLOSED")</f>
        <v>0</v>
      </c>
      <c r="K7" s="157">
        <f>COUNTIFS('DMI CBM'!$G:$G, $B7, 'DMI CBM'!$H:$H, "DJA DMI R01", 'DMI CBM'!$I:$I, "OPEN")</f>
        <v>0</v>
      </c>
      <c r="L7" s="157">
        <v>0.0</v>
      </c>
      <c r="M7" s="157">
        <f>COUNTIFS(UNPLANNED!$H:$H, $B7, UNPLANNED!$I:$I, "CLOSED", UNPLANNED!$D:$D, "WO")</f>
        <v>0</v>
      </c>
      <c r="N7" s="157">
        <f>COUNTIFS(UNPLANNED!$H:$H, $B7, UNPLANNED!$I:$I, "CLOSED", UNPLANNED!$D:$D, "NSRDI")</f>
        <v>1</v>
      </c>
      <c r="O7" s="157">
        <f>COUNTIFS('DMI CBM'!$G:$G, $B7, 'DMI CBM'!$I:$I, "CLOSED", 'DMI CBM'!$H:$H, "UNPLANNED DMI")</f>
        <v>0</v>
      </c>
      <c r="P7" s="157">
        <f>COUNTIFS('DAILY REPORT'!$E:$E, $B7, 'DAILY REPORT'!$F:$F, "CML")</f>
        <v>22</v>
      </c>
      <c r="Q7" s="158">
        <f t="shared" si="1"/>
        <v>25</v>
      </c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ht="18.75" customHeight="1">
      <c r="A8" s="155">
        <v>5.0</v>
      </c>
      <c r="B8" s="156" t="s">
        <v>75</v>
      </c>
      <c r="C8" s="157">
        <f>COUNTIFS(WO!$K:$K, $B8, WO!$N:$N, "CLOSED") + COUNTIFS(WO!$K:$K, $B8, WO!$N:$N, "OPEN")</f>
        <v>8</v>
      </c>
      <c r="D8" s="157">
        <f>COUNTIFS(WO!$K:$K, $B8, WO!$N:$N, "CLOSED")</f>
        <v>5</v>
      </c>
      <c r="E8" s="157">
        <f>COUNTIFS(WO!$K:$K, $B8, WO!$N:$N, "OPEN")</f>
        <v>3</v>
      </c>
      <c r="F8" s="157">
        <f>COUNTIFS('DJA AOC NSRDIL R01'!$N:$N, $B8, 'DJA AOC NSRDIL R01'!$Q:$Q, "CLOSED") + COUNTIFS('DJA AOC NSRDIL R01'!$N:$N, $B8, 'DJA AOC NSRDIL R01'!$Q:$Q, "OPEN")</f>
        <v>6</v>
      </c>
      <c r="G8" s="157">
        <f>COUNTIFS('DJA AOC NSRDIL R01'!$N:$N, $B8, 'DJA AOC NSRDIL R01'!$Q:$Q, "CLOSED")</f>
        <v>4</v>
      </c>
      <c r="H8" s="157">
        <f>COUNTIFS('DJA AOC NSRDIL R01'!$N:$N, $B8, 'DJA AOC NSRDIL R01'!$Q:$Q, "OPEN")</f>
        <v>2</v>
      </c>
      <c r="I8" s="157">
        <f>COUNTIFS('DMI CBM'!$G:$G, $B8, 'DMI CBM'!$H:$H, "DJA DMI R01")</f>
        <v>1</v>
      </c>
      <c r="J8" s="157">
        <f>COUNTIFS('DMI CBM'!$G:$G, $B8, 'DMI CBM'!$H:$H, "DJA DMI R01", 'DMI CBM'!$I:$I, "CLOSED")</f>
        <v>0</v>
      </c>
      <c r="K8" s="157">
        <f>COUNTIFS('DMI CBM'!$G:$G, $B8, 'DMI CBM'!$H:$H, "DJA DMI R01", 'DMI CBM'!$I:$I, "OPEN")</f>
        <v>1</v>
      </c>
      <c r="L8" s="157">
        <v>0.0</v>
      </c>
      <c r="M8" s="157">
        <f>COUNTIFS(UNPLANNED!$H:$H, $B8, UNPLANNED!$I:$I, "CLOSED", UNPLANNED!$D:$D, "WO")</f>
        <v>0</v>
      </c>
      <c r="N8" s="157">
        <f>COUNTIFS(UNPLANNED!$H:$H, $B8, UNPLANNED!$I:$I, "CLOSED", UNPLANNED!$D:$D, "NSRDI")</f>
        <v>3</v>
      </c>
      <c r="O8" s="157">
        <f>COUNTIFS('DMI CBM'!$G:$G, $B8, 'DMI CBM'!$I:$I, "CLOSED", 'DMI CBM'!$H:$H, "UNPLANNED DMI")</f>
        <v>0</v>
      </c>
      <c r="P8" s="157">
        <f>COUNTIFS('DAILY REPORT'!$E:$E, $B8, 'DAILY REPORT'!$F:$F, "CML")</f>
        <v>67</v>
      </c>
      <c r="Q8" s="158">
        <f t="shared" si="1"/>
        <v>100</v>
      </c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</row>
    <row r="9" ht="18.75" customHeight="1">
      <c r="A9" s="155">
        <v>6.0</v>
      </c>
      <c r="B9" s="156" t="s">
        <v>67</v>
      </c>
      <c r="C9" s="157">
        <f>COUNTIFS(WO!$K:$K, $B9, WO!$N:$N, "CLOSED") + COUNTIFS(WO!$K:$K, $B9, WO!$N:$N, "OPEN")</f>
        <v>0</v>
      </c>
      <c r="D9" s="157">
        <f>COUNTIFS(WO!$K:$K, $B9, WO!$N:$N, "CLOSED")</f>
        <v>0</v>
      </c>
      <c r="E9" s="157">
        <f>COUNTIFS(WO!$K:$K, $B9, WO!$N:$N, "OPEN")</f>
        <v>0</v>
      </c>
      <c r="F9" s="157">
        <f>COUNTIFS('DJA AOC NSRDIL R01'!$N:$N, $B9, 'DJA AOC NSRDIL R01'!$Q:$Q, "CLOSED") + COUNTIFS('DJA AOC NSRDIL R01'!$N:$N, $B9, 'DJA AOC NSRDIL R01'!$Q:$Q, "OPEN")</f>
        <v>2</v>
      </c>
      <c r="G9" s="157">
        <f>COUNTIFS('DJA AOC NSRDIL R01'!$N:$N, $B9, 'DJA AOC NSRDIL R01'!$Q:$Q, "CLOSED")</f>
        <v>2</v>
      </c>
      <c r="H9" s="157">
        <f>COUNTIFS('DJA AOC NSRDIL R01'!$N:$N, $B9, 'DJA AOC NSRDIL R01'!$Q:$Q, "OPEN")</f>
        <v>0</v>
      </c>
      <c r="I9" s="157">
        <f>COUNTIFS('DMI CBM'!$G:$G, $B9, 'DMI CBM'!$H:$H, "DJA DMI R01")</f>
        <v>1</v>
      </c>
      <c r="J9" s="157">
        <f>COUNTIFS('DMI CBM'!$G:$G, $B9, 'DMI CBM'!$H:$H, "DJA DMI R01", 'DMI CBM'!$I:$I, "CLOSED")</f>
        <v>1</v>
      </c>
      <c r="K9" s="157">
        <f>COUNTIFS('DMI CBM'!$G:$G, $B9, 'DMI CBM'!$H:$H, "DJA DMI R01", 'DMI CBM'!$I:$I, "OPEN")</f>
        <v>0</v>
      </c>
      <c r="L9" s="157">
        <v>0.0</v>
      </c>
      <c r="M9" s="157">
        <f>COUNTIFS(UNPLANNED!$H:$H, $B9, UNPLANNED!$I:$I, "CLOSED", UNPLANNED!$D:$D, "WO")</f>
        <v>0</v>
      </c>
      <c r="N9" s="157">
        <f>COUNTIFS(UNPLANNED!$H:$H, $B9, UNPLANNED!$I:$I, "CLOSED", UNPLANNED!$D:$D, "NSRDI")</f>
        <v>0</v>
      </c>
      <c r="O9" s="157">
        <f>COUNTIFS('DMI CBM'!$G:$G, $B9, 'DMI CBM'!$I:$I, "CLOSED", 'DMI CBM'!$H:$H, "UNPLANNED DMI")</f>
        <v>0</v>
      </c>
      <c r="P9" s="157">
        <f>COUNTIFS('DAILY REPORT'!$E:$E, $B9, 'DAILY REPORT'!$F:$F, "CML")</f>
        <v>11</v>
      </c>
      <c r="Q9" s="158">
        <f t="shared" si="1"/>
        <v>17</v>
      </c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</row>
    <row r="10" ht="18.75" customHeight="1">
      <c r="A10" s="191">
        <v>7.0</v>
      </c>
      <c r="B10" s="192" t="s">
        <v>127</v>
      </c>
      <c r="C10" s="196">
        <f>COUNTIFS(WO!$K:$K, $B10, WO!$N:$N, "CLOSED") + COUNTIFS(WO!$K:$K, $B10, WO!$N:$N, "OPEN")</f>
        <v>1</v>
      </c>
      <c r="D10" s="196">
        <f>COUNTIFS(WO!$K:$K, $B10, WO!$N:$N, "CLOSED")</f>
        <v>0</v>
      </c>
      <c r="E10" s="196">
        <f>COUNTIFS(WO!$K:$K, $B10, WO!$N:$N, "OPEN")</f>
        <v>1</v>
      </c>
      <c r="F10" s="196">
        <f>COUNTIFS('DJA AOC NSRDIL R01'!$N:$N, $B10, 'DJA AOC NSRDIL R01'!$Q:$Q, "CLOSED") + COUNTIFS('DJA AOC NSRDIL R01'!$N:$N, $B10, 'DJA AOC NSRDIL R01'!$Q:$Q, "OPEN")</f>
        <v>0</v>
      </c>
      <c r="G10" s="196">
        <f>COUNTIFS('DJA AOC NSRDIL R01'!$N:$N, $B10, 'DJA AOC NSRDIL R01'!$Q:$Q, "CLOSED")</f>
        <v>0</v>
      </c>
      <c r="H10" s="196">
        <f>COUNTIFS('DJA AOC NSRDIL R01'!$N:$N, $B10, 'DJA AOC NSRDIL R01'!$Q:$Q, "OPEN")</f>
        <v>0</v>
      </c>
      <c r="I10" s="196">
        <f>COUNTIFS('DMI CBM'!$G:$G, $B10, 'DMI CBM'!$H:$H, "DJA DMI R01")</f>
        <v>0</v>
      </c>
      <c r="J10" s="196">
        <f>COUNTIFS('DMI CBM'!$G:$G, $B10, 'DMI CBM'!$H:$H, "DJA DMI R01", 'DMI CBM'!$I:$I, "CLOSED")</f>
        <v>0</v>
      </c>
      <c r="K10" s="196">
        <f>COUNTIFS('DMI CBM'!$G:$G, $B10, 'DMI CBM'!$H:$H, "DJA DMI R01", 'DMI CBM'!$I:$I, "OPEN")</f>
        <v>0</v>
      </c>
      <c r="L10" s="196">
        <v>0.0</v>
      </c>
      <c r="M10" s="196">
        <f>COUNTIFS(UNPLANNED!$H:$H, $B10, UNPLANNED!$I:$I, "CLOSED", UNPLANNED!$D:$D, "WO")</f>
        <v>0</v>
      </c>
      <c r="N10" s="196">
        <f>COUNTIFS(UNPLANNED!$H:$H, $B10, UNPLANNED!$I:$I, "CLOSED", UNPLANNED!$D:$D, "NSRDI")</f>
        <v>4</v>
      </c>
      <c r="O10" s="196">
        <f>COUNTIFS('DMI CBM'!$G:$G, $B10, 'DMI CBM'!$I:$I, "CLOSED", 'DMI CBM'!$H:$H, "UNPLANNED DMI")</f>
        <v>0</v>
      </c>
      <c r="P10" s="196">
        <f>COUNTIFS('DAILY REPORT'!$E:$E, $B10, 'DAILY REPORT'!$F:$F, "CML")</f>
        <v>20</v>
      </c>
      <c r="Q10" s="192">
        <f t="shared" si="1"/>
        <v>26</v>
      </c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</row>
    <row r="11" ht="18.75" customHeight="1">
      <c r="A11" s="155">
        <v>8.0</v>
      </c>
      <c r="B11" s="156" t="s">
        <v>108</v>
      </c>
      <c r="C11" s="157">
        <f>COUNTIFS(WO!$K:$K, $B11, WO!$N:$N, "CLOSED") + COUNTIFS(WO!$K:$K, $B11, WO!$N:$N, "OPEN")</f>
        <v>2</v>
      </c>
      <c r="D11" s="157">
        <f>COUNTIFS(WO!$K:$K, $B11, WO!$N:$N, "CLOSED")</f>
        <v>2</v>
      </c>
      <c r="E11" s="157">
        <f>COUNTIFS(WO!$K:$K, $B11, WO!$N:$N, "OPEN")</f>
        <v>0</v>
      </c>
      <c r="F11" s="157">
        <f>COUNTIFS('DJA AOC NSRDIL R01'!$N:$N, $B11, 'DJA AOC NSRDIL R01'!$Q:$Q, "CLOSED") + COUNTIFS('DJA AOC NSRDIL R01'!$N:$N, $B11, 'DJA AOC NSRDIL R01'!$Q:$Q, "OPEN")</f>
        <v>0</v>
      </c>
      <c r="G11" s="157">
        <f>COUNTIFS('DJA AOC NSRDIL R01'!$N:$N, $B11, 'DJA AOC NSRDIL R01'!$Q:$Q, "CLOSED")</f>
        <v>0</v>
      </c>
      <c r="H11" s="157">
        <f>COUNTIFS('DJA AOC NSRDIL R01'!$N:$N, $B11, 'DJA AOC NSRDIL R01'!$Q:$Q, "OPEN")</f>
        <v>0</v>
      </c>
      <c r="I11" s="157">
        <f>COUNTIFS('DMI CBM'!$G:$G, $B11, 'DMI CBM'!$H:$H, "DJA DMI R01")</f>
        <v>0</v>
      </c>
      <c r="J11" s="157">
        <f>COUNTIFS('DMI CBM'!$G:$G, $B11, 'DMI CBM'!$H:$H, "DJA DMI R01", 'DMI CBM'!$I:$I, "CLOSED")</f>
        <v>0</v>
      </c>
      <c r="K11" s="157">
        <f>COUNTIFS('DMI CBM'!$G:$G, $B11, 'DMI CBM'!$H:$H, "DJA DMI R01", 'DMI CBM'!$I:$I, "OPEN")</f>
        <v>0</v>
      </c>
      <c r="L11" s="157">
        <v>0.0</v>
      </c>
      <c r="M11" s="157">
        <f>COUNTIFS(UNPLANNED!$H:$H, $B11, UNPLANNED!$I:$I, "CLOSED", UNPLANNED!$D:$D, "WO")</f>
        <v>1</v>
      </c>
      <c r="N11" s="157">
        <f>COUNTIFS(UNPLANNED!$H:$H, $B11, UNPLANNED!$I:$I, "CLOSED", UNPLANNED!$D:$D, "NSRDI")</f>
        <v>0</v>
      </c>
      <c r="O11" s="157">
        <f>COUNTIFS('DMI CBM'!$G:$G, $B11, 'DMI CBM'!$I:$I, "CLOSED", 'DMI CBM'!$H:$H, "UNPLANNED DMI")</f>
        <v>0</v>
      </c>
      <c r="P11" s="157">
        <f>COUNTIFS('DAILY REPORT'!$E:$E, $B11, 'DAILY REPORT'!$F:$F, "CML")</f>
        <v>11</v>
      </c>
      <c r="Q11" s="158">
        <f t="shared" si="1"/>
        <v>16</v>
      </c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</row>
    <row r="12" ht="18.75" customHeight="1">
      <c r="A12" s="155">
        <v>9.0</v>
      </c>
      <c r="B12" s="156" t="s">
        <v>304</v>
      </c>
      <c r="C12" s="157">
        <f>COUNTIFS(WO!$K:$K, $B12, WO!$N:$N, "CLOSED") + COUNTIFS(WO!$K:$K, $B12, WO!$N:$N, "OPEN")</f>
        <v>0</v>
      </c>
      <c r="D12" s="157">
        <f>COUNTIFS(WO!$K:$K, $B12, WO!$N:$N, "CLOSED")</f>
        <v>0</v>
      </c>
      <c r="E12" s="157">
        <f>COUNTIFS(WO!$K:$K, $B12, WO!$N:$N, "OPEN")</f>
        <v>0</v>
      </c>
      <c r="F12" s="157">
        <f>COUNTIFS('DJA AOC NSRDIL R01'!$N:$N, $B12, 'DJA AOC NSRDIL R01'!$Q:$Q, "CLOSED") + COUNTIFS('DJA AOC NSRDIL R01'!$N:$N, $B12, 'DJA AOC NSRDIL R01'!$Q:$Q, "OPEN")</f>
        <v>2</v>
      </c>
      <c r="G12" s="157">
        <f>COUNTIFS('DJA AOC NSRDIL R01'!$N:$N, $B12, 'DJA AOC NSRDIL R01'!$Q:$Q, "CLOSED")</f>
        <v>2</v>
      </c>
      <c r="H12" s="157">
        <f>COUNTIFS('DJA AOC NSRDIL R01'!$N:$N, $B12, 'DJA AOC NSRDIL R01'!$Q:$Q, "OPEN")</f>
        <v>0</v>
      </c>
      <c r="I12" s="157">
        <f>COUNTIFS('DMI CBM'!$G:$G, $B12, 'DMI CBM'!$H:$H, "DJA DMI R01")</f>
        <v>0</v>
      </c>
      <c r="J12" s="157">
        <f>COUNTIFS('DMI CBM'!$G:$G, $B12, 'DMI CBM'!$H:$H, "DJA DMI R01", 'DMI CBM'!$I:$I, "CLOSED")</f>
        <v>0</v>
      </c>
      <c r="K12" s="157">
        <f>COUNTIFS('DMI CBM'!$G:$G, $B12, 'DMI CBM'!$H:$H, "DJA DMI R01", 'DMI CBM'!$I:$I, "OPEN")</f>
        <v>0</v>
      </c>
      <c r="L12" s="157">
        <v>0.0</v>
      </c>
      <c r="M12" s="157">
        <f>COUNTIFS(UNPLANNED!$H:$H, $B12, UNPLANNED!$I:$I, "CLOSED", UNPLANNED!$D:$D, "WO")</f>
        <v>0</v>
      </c>
      <c r="N12" s="157">
        <f>COUNTIFS(UNPLANNED!$H:$H, $B12, UNPLANNED!$I:$I, "CLOSED", UNPLANNED!$D:$D, "NSRDI")</f>
        <v>0</v>
      </c>
      <c r="O12" s="157">
        <f>COUNTIFS('DMI CBM'!$G:$G, $B12, 'DMI CBM'!$I:$I, "CLOSED", 'DMI CBM'!$H:$H, "UNPLANNED DMI")</f>
        <v>0</v>
      </c>
      <c r="P12" s="157">
        <f>COUNTIFS('DAILY REPORT'!$E:$E, $B12, 'DAILY REPORT'!$F:$F, "CML")</f>
        <v>18</v>
      </c>
      <c r="Q12" s="158">
        <f t="shared" si="1"/>
        <v>22</v>
      </c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</row>
    <row r="13" ht="18.75" customHeight="1">
      <c r="A13" s="155">
        <v>10.0</v>
      </c>
      <c r="B13" s="156" t="s">
        <v>307</v>
      </c>
      <c r="C13" s="157">
        <f>COUNTIFS(WO!$K:$K, $B13, WO!$N:$N, "CLOSED") + COUNTIFS(WO!$K:$K, $B13, WO!$N:$N, "OPEN")</f>
        <v>0</v>
      </c>
      <c r="D13" s="157">
        <f>COUNTIFS(WO!$K:$K, $B13, WO!$N:$N, "CLOSED")</f>
        <v>0</v>
      </c>
      <c r="E13" s="157">
        <f>COUNTIFS(WO!$K:$K, $B13, WO!$N:$N, "OPEN")</f>
        <v>0</v>
      </c>
      <c r="F13" s="157">
        <f>COUNTIFS('DJA AOC NSRDIL R01'!$N:$N, $B13, 'DJA AOC NSRDIL R01'!$Q:$Q, "CLOSED") + COUNTIFS('DJA AOC NSRDIL R01'!$N:$N, $B13, 'DJA AOC NSRDIL R01'!$Q:$Q, "OPEN")</f>
        <v>3</v>
      </c>
      <c r="G13" s="157">
        <f>COUNTIFS('DJA AOC NSRDIL R01'!$N:$N, $B13, 'DJA AOC NSRDIL R01'!$Q:$Q, "CLOSED")</f>
        <v>2</v>
      </c>
      <c r="H13" s="157">
        <f>COUNTIFS('DJA AOC NSRDIL R01'!$N:$N, $B13, 'DJA AOC NSRDIL R01'!$Q:$Q, "OPEN")</f>
        <v>1</v>
      </c>
      <c r="I13" s="157">
        <f>COUNTIFS('DMI CBM'!$G:$G, $B13, 'DMI CBM'!$H:$H, "DJA DMI R01")</f>
        <v>0</v>
      </c>
      <c r="J13" s="157">
        <f>COUNTIFS('DMI CBM'!$G:$G, $B13, 'DMI CBM'!$H:$H, "DJA DMI R01", 'DMI CBM'!$I:$I, "CLOSED")</f>
        <v>0</v>
      </c>
      <c r="K13" s="157">
        <f>COUNTIFS('DMI CBM'!$G:$G, $B13, 'DMI CBM'!$H:$H, "DJA DMI R01", 'DMI CBM'!$I:$I, "OPEN")</f>
        <v>0</v>
      </c>
      <c r="L13" s="157">
        <v>0.0</v>
      </c>
      <c r="M13" s="157">
        <f>COUNTIFS(UNPLANNED!$H:$H, $B13, UNPLANNED!$I:$I, "CLOSED", UNPLANNED!$D:$D, "WO")</f>
        <v>0</v>
      </c>
      <c r="N13" s="157">
        <f>COUNTIFS(UNPLANNED!$H:$H, $B13, UNPLANNED!$I:$I, "CLOSED", UNPLANNED!$D:$D, "NSRDI")</f>
        <v>0</v>
      </c>
      <c r="O13" s="157">
        <f>COUNTIFS('DMI CBM'!$G:$G, $B13, 'DMI CBM'!$I:$I, "CLOSED", 'DMI CBM'!$H:$H, "UNPLANNED DMI")</f>
        <v>0</v>
      </c>
      <c r="P13" s="157">
        <f>COUNTIFS('DAILY REPORT'!$E:$E, $B13, 'DAILY REPORT'!$F:$F, "CML")</f>
        <v>18</v>
      </c>
      <c r="Q13" s="158">
        <f t="shared" si="1"/>
        <v>24</v>
      </c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</row>
    <row r="14" ht="18.75" customHeight="1">
      <c r="A14" s="224">
        <v>11.0</v>
      </c>
      <c r="B14" s="192" t="s">
        <v>227</v>
      </c>
      <c r="C14" s="196">
        <f>COUNTIFS(WO!$K:$K, $B14, WO!$N:$N, "CLOSED") + COUNTIFS(WO!$K:$K, $B14, WO!$N:$N, "OPEN")</f>
        <v>1</v>
      </c>
      <c r="D14" s="196">
        <f>COUNTIFS(WO!$K:$K, $B14, WO!$N:$N, "CLOSED")</f>
        <v>1</v>
      </c>
      <c r="E14" s="196">
        <f>COUNTIFS(WO!$K:$K, $B14, WO!$N:$N, "OPEN")</f>
        <v>0</v>
      </c>
      <c r="F14" s="196">
        <f>COUNTIFS('DJA AOC NSRDIL R01'!$N:$N, $B14, 'DJA AOC NSRDIL R01'!$Q:$Q, "CLOSED") + COUNTIFS('DJA AOC NSRDIL R01'!$N:$N, $B14, 'DJA AOC NSRDIL R01'!$Q:$Q, "OPEN")</f>
        <v>2</v>
      </c>
      <c r="G14" s="196">
        <f>COUNTIFS('DJA AOC NSRDIL R01'!$N:$N, $B14, 'DJA AOC NSRDIL R01'!$Q:$Q, "CLOSED")</f>
        <v>2</v>
      </c>
      <c r="H14" s="196">
        <f>COUNTIFS('DJA AOC NSRDIL R01'!$N:$N, $B14, 'DJA AOC NSRDIL R01'!$Q:$Q, "OPEN")</f>
        <v>0</v>
      </c>
      <c r="I14" s="196">
        <f>COUNTIFS('DMI CBM'!$G:$G, $B14, 'DMI CBM'!$H:$H, "DJA DMI R01")</f>
        <v>0</v>
      </c>
      <c r="J14" s="196">
        <f>COUNTIFS('DMI CBM'!$G:$G, $B14, 'DMI CBM'!$H:$H, "DJA DMI R01", 'DMI CBM'!$I:$I, "CLOSED")</f>
        <v>0</v>
      </c>
      <c r="K14" s="196">
        <f>COUNTIFS('DMI CBM'!$G:$G, $B14, 'DMI CBM'!$H:$H, "DJA DMI R01", 'DMI CBM'!$I:$I, "OPEN")</f>
        <v>0</v>
      </c>
      <c r="L14" s="196">
        <v>0.0</v>
      </c>
      <c r="M14" s="196">
        <f>COUNTIFS(UNPLANNED!$H:$H, $B14, UNPLANNED!$I:$I, "CLOSED", UNPLANNED!$D:$D, "WO")</f>
        <v>0</v>
      </c>
      <c r="N14" s="196">
        <f>COUNTIFS(UNPLANNED!$H:$H, $B14, UNPLANNED!$I:$I, "CLOSED", UNPLANNED!$D:$D, "NSRDI")</f>
        <v>0</v>
      </c>
      <c r="O14" s="196">
        <f>COUNTIFS('DMI CBM'!$G:$G, $B14, 'DMI CBM'!$I:$I, "CLOSED", 'DMI CBM'!$H:$H, "UNPLANNED DMI")</f>
        <v>0</v>
      </c>
      <c r="P14" s="196">
        <f>COUNTIFS('DAILY REPORT'!$E:$E, $B14, 'DAILY REPORT'!$F:$F, "CML")</f>
        <v>29</v>
      </c>
      <c r="Q14" s="192">
        <f t="shared" si="1"/>
        <v>35</v>
      </c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</row>
    <row r="15" ht="18.75" customHeight="1">
      <c r="A15" s="224">
        <v>12.0</v>
      </c>
      <c r="B15" s="192" t="s">
        <v>236</v>
      </c>
      <c r="C15" s="196">
        <f>COUNTIFS(WO!$K:$K, $B15, WO!$N:$N, "CLOSED") + COUNTIFS(WO!$K:$K, $B15, WO!$N:$N, "OPEN")</f>
        <v>2</v>
      </c>
      <c r="D15" s="196">
        <f>COUNTIFS(WO!$K:$K, $B15, WO!$N:$N, "CLOSED")</f>
        <v>2</v>
      </c>
      <c r="E15" s="196">
        <f>COUNTIFS(WO!$K:$K, $B15, WO!$N:$N, "OPEN")</f>
        <v>0</v>
      </c>
      <c r="F15" s="196">
        <f>COUNTIFS('DJA AOC NSRDIL R01'!$N:$N, $B15, 'DJA AOC NSRDIL R01'!$Q:$Q, "CLOSED") + COUNTIFS('DJA AOC NSRDIL R01'!$N:$N, $B15, 'DJA AOC NSRDIL R01'!$Q:$Q, "OPEN")</f>
        <v>0</v>
      </c>
      <c r="G15" s="196">
        <f>COUNTIFS('DJA AOC NSRDIL R01'!$N:$N, $B15, 'DJA AOC NSRDIL R01'!$Q:$Q, "CLOSED")</f>
        <v>0</v>
      </c>
      <c r="H15" s="196">
        <f>COUNTIFS('DJA AOC NSRDIL R01'!$N:$N, $B15, 'DJA AOC NSRDIL R01'!$Q:$Q, "OPEN")</f>
        <v>0</v>
      </c>
      <c r="I15" s="196">
        <f>COUNTIFS('DMI CBM'!$G:$G, $B15, 'DMI CBM'!$H:$H, "DJA DMI R01")</f>
        <v>0</v>
      </c>
      <c r="J15" s="196">
        <f>COUNTIFS('DMI CBM'!$G:$G, $B15, 'DMI CBM'!$H:$H, "DJA DMI R01", 'DMI CBM'!$I:$I, "CLOSED")</f>
        <v>0</v>
      </c>
      <c r="K15" s="196">
        <f>COUNTIFS('DMI CBM'!$G:$G, $B15, 'DMI CBM'!$H:$H, "DJA DMI R01", 'DMI CBM'!$I:$I, "OPEN")</f>
        <v>0</v>
      </c>
      <c r="L15" s="196">
        <v>0.0</v>
      </c>
      <c r="M15" s="196">
        <f>COUNTIFS(UNPLANNED!$H:$H, $B15, UNPLANNED!$I:$I, "CLOSED", UNPLANNED!$D:$D, "WO")</f>
        <v>0</v>
      </c>
      <c r="N15" s="196">
        <f>COUNTIFS(UNPLANNED!$H:$H, $B15, UNPLANNED!$I:$I, "CLOSED", UNPLANNED!$D:$D, "NSRDI")</f>
        <v>0</v>
      </c>
      <c r="O15" s="196">
        <f>COUNTIFS('DMI CBM'!$G:$G, $B15, 'DMI CBM'!$I:$I, "CLOSED", 'DMI CBM'!$H:$H, "UNPLANNED DMI")</f>
        <v>0</v>
      </c>
      <c r="P15" s="196">
        <f>COUNTIFS('DAILY REPORT'!$E:$E, $B15, 'DAILY REPORT'!$F:$F, "CML")</f>
        <v>16</v>
      </c>
      <c r="Q15" s="192">
        <f t="shared" si="1"/>
        <v>20</v>
      </c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</row>
    <row r="16" ht="18.75" customHeight="1">
      <c r="A16" s="228">
        <v>13.0</v>
      </c>
      <c r="B16" s="158" t="s">
        <v>723</v>
      </c>
      <c r="C16" s="157">
        <f>COUNTIFS(WO!$K:$K, $B16, WO!$N:$N, "CLOSED") + COUNTIFS(WO!$K:$K, $B16, WO!$N:$N, "OPEN")</f>
        <v>0</v>
      </c>
      <c r="D16" s="157">
        <f>COUNTIFS(WO!$K:$K, $B16, WO!$N:$N, "CLOSED")</f>
        <v>0</v>
      </c>
      <c r="E16" s="157">
        <f>COUNTIFS(WO!$K:$K, $B16, WO!$N:$N, "OPEN")</f>
        <v>0</v>
      </c>
      <c r="F16" s="157">
        <f>COUNTIFS('DJA AOC NSRDIL R01'!$N:$N, $B16, 'DJA AOC NSRDIL R01'!$Q:$Q, "CLOSED") + COUNTIFS('DJA AOC NSRDIL R01'!$N:$N, $B16, 'DJA AOC NSRDIL R01'!$Q:$Q, "OPEN")</f>
        <v>1</v>
      </c>
      <c r="G16" s="157">
        <f>COUNTIFS('DJA AOC NSRDIL R01'!$N:$N, $B16, 'DJA AOC NSRDIL R01'!$Q:$Q, "CLOSED")</f>
        <v>0</v>
      </c>
      <c r="H16" s="157">
        <f>COUNTIFS('DJA AOC NSRDIL R01'!$N:$N, $B16, 'DJA AOC NSRDIL R01'!$Q:$Q, "OPEN")</f>
        <v>1</v>
      </c>
      <c r="I16" s="157">
        <f>COUNTIFS('DMI CBM'!$G:$G, $B16, 'DMI CBM'!$H:$H, "DJA DMI R01")</f>
        <v>0</v>
      </c>
      <c r="J16" s="157">
        <f>COUNTIFS('DMI CBM'!$G:$G, $B16, 'DMI CBM'!$H:$H, "DJA DMI R01", 'DMI CBM'!$I:$I, "CLOSED")</f>
        <v>0</v>
      </c>
      <c r="K16" s="157">
        <f>COUNTIFS('DMI CBM'!$G:$G, $B16, 'DMI CBM'!$H:$H, "DJA DMI R01", 'DMI CBM'!$I:$I, "OPEN")</f>
        <v>0</v>
      </c>
      <c r="L16" s="157">
        <v>0.0</v>
      </c>
      <c r="M16" s="157">
        <f>COUNTIFS(UNPLANNED!$H:$H, $B16, UNPLANNED!$I:$I, "CLOSED", UNPLANNED!$D:$D, "WO")</f>
        <v>0</v>
      </c>
      <c r="N16" s="157">
        <f>COUNTIFS(UNPLANNED!$H:$H, $B16, UNPLANNED!$I:$I, "CLOSED", UNPLANNED!$D:$D, "NSRDI")</f>
        <v>0</v>
      </c>
      <c r="O16" s="157">
        <f>COUNTIFS('DMI CBM'!$G:$G, $B16, 'DMI CBM'!$I:$I, "CLOSED", 'DMI CBM'!$H:$H, "UNPLANNED DMI")</f>
        <v>0</v>
      </c>
      <c r="P16" s="157">
        <f>COUNTIFS('DAILY REPORT'!$E:$E, $B16, 'DAILY REPORT'!$F:$F, "CML")</f>
        <v>17</v>
      </c>
      <c r="Q16" s="158">
        <f t="shared" si="1"/>
        <v>19</v>
      </c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</row>
    <row r="17" ht="18.75" customHeight="1">
      <c r="A17" s="228">
        <v>14.0</v>
      </c>
      <c r="B17" s="158" t="s">
        <v>84</v>
      </c>
      <c r="C17" s="157">
        <f>COUNTIFS(WO!$K:$K, $B17, WO!$N:$N, "CLOSED") + COUNTIFS(WO!$K:$K, $B17, WO!$N:$N, "OPEN")</f>
        <v>0</v>
      </c>
      <c r="D17" s="157">
        <f>COUNTIFS(WO!$K:$K, $B17, WO!$N:$N, "CLOSED")</f>
        <v>0</v>
      </c>
      <c r="E17" s="157">
        <f>COUNTIFS(WO!$K:$K, $B17, WO!$N:$N, "OPEN")</f>
        <v>0</v>
      </c>
      <c r="F17" s="157">
        <f>COUNTIFS('DJA AOC NSRDIL R01'!$N:$N, $B17, 'DJA AOC NSRDIL R01'!$Q:$Q, "CLOSED") + COUNTIFS('DJA AOC NSRDIL R01'!$N:$N, $B17, 'DJA AOC NSRDIL R01'!$Q:$Q, "OPEN")</f>
        <v>0</v>
      </c>
      <c r="G17" s="157">
        <f>COUNTIFS('DJA AOC NSRDIL R01'!$N:$N, $B17, 'DJA AOC NSRDIL R01'!$Q:$Q, "CLOSED")</f>
        <v>0</v>
      </c>
      <c r="H17" s="157">
        <f>COUNTIFS('DJA AOC NSRDIL R01'!$N:$N, $B17, 'DJA AOC NSRDIL R01'!$Q:$Q, "OPEN")</f>
        <v>0</v>
      </c>
      <c r="I17" s="157">
        <f>COUNTIFS('DMI CBM'!$G:$G, $B17, 'DMI CBM'!$H:$H, "DJA DMI R01")</f>
        <v>1</v>
      </c>
      <c r="J17" s="157">
        <f>COUNTIFS('DMI CBM'!$G:$G, $B17, 'DMI CBM'!$H:$H, "DJA DMI R01", 'DMI CBM'!$I:$I, "CLOSED")</f>
        <v>1</v>
      </c>
      <c r="K17" s="157">
        <f>COUNTIFS('DMI CBM'!$G:$G, $B17, 'DMI CBM'!$H:$H, "DJA DMI R01", 'DMI CBM'!$I:$I, "OPEN")</f>
        <v>0</v>
      </c>
      <c r="L17" s="157">
        <v>0.0</v>
      </c>
      <c r="M17" s="157">
        <f>COUNTIFS(UNPLANNED!$H:$H, $B17, UNPLANNED!$I:$I, "CLOSED", UNPLANNED!$D:$D, "WO")</f>
        <v>0</v>
      </c>
      <c r="N17" s="157">
        <f>COUNTIFS(UNPLANNED!$H:$H, $B17, UNPLANNED!$I:$I, "CLOSED", UNPLANNED!$D:$D, "NSRDI")</f>
        <v>0</v>
      </c>
      <c r="O17" s="157">
        <f>COUNTIFS('DMI CBM'!$G:$G, $B17, 'DMI CBM'!$I:$I, "CLOSED", 'DMI CBM'!$H:$H, "UNPLANNED DMI")</f>
        <v>1</v>
      </c>
      <c r="P17" s="157">
        <f>COUNTIFS('DAILY REPORT'!$E:$E, $B17, 'DAILY REPORT'!$F:$F, "CML")</f>
        <v>10</v>
      </c>
      <c r="Q17" s="158">
        <f t="shared" si="1"/>
        <v>13</v>
      </c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</row>
    <row r="18" ht="18.75" customHeight="1">
      <c r="A18" s="228">
        <v>15.0</v>
      </c>
      <c r="B18" s="158" t="s">
        <v>406</v>
      </c>
      <c r="C18" s="157">
        <f>COUNTIFS(WO!$K:$K, $B18, WO!$N:$N, "CLOSED") + COUNTIFS(WO!$K:$K, $B18, WO!$N:$N, "OPEN")</f>
        <v>0</v>
      </c>
      <c r="D18" s="157">
        <f>COUNTIFS(WO!$K:$K, $B18, WO!$N:$N, "CLOSED")</f>
        <v>0</v>
      </c>
      <c r="E18" s="157">
        <f>COUNTIFS(WO!$K:$K, $B18, WO!$N:$N, "OPEN")</f>
        <v>0</v>
      </c>
      <c r="F18" s="157">
        <f>COUNTIFS('DJA AOC NSRDIL R01'!$N:$N, $B18, 'DJA AOC NSRDIL R01'!$Q:$Q, "CLOSED") + COUNTIFS('DJA AOC NSRDIL R01'!$N:$N, $B18, 'DJA AOC NSRDIL R01'!$Q:$Q, "OPEN")</f>
        <v>0</v>
      </c>
      <c r="G18" s="157">
        <f>COUNTIFS('DJA AOC NSRDIL R01'!$N:$N, $B18, 'DJA AOC NSRDIL R01'!$Q:$Q, "CLOSED")</f>
        <v>0</v>
      </c>
      <c r="H18" s="157">
        <f>COUNTIFS('DJA AOC NSRDIL R01'!$N:$N, $B18, 'DJA AOC NSRDIL R01'!$Q:$Q, "OPEN")</f>
        <v>0</v>
      </c>
      <c r="I18" s="157">
        <f>COUNTIFS('DMI CBM'!$G:$G, $B18, 'DMI CBM'!$H:$H, "DJA DMI R01")</f>
        <v>0</v>
      </c>
      <c r="J18" s="157">
        <f>COUNTIFS('DMI CBM'!$G:$G, $B18, 'DMI CBM'!$H:$H, "DJA DMI R01", 'DMI CBM'!$I:$I, "CLOSED")</f>
        <v>0</v>
      </c>
      <c r="K18" s="157">
        <f>COUNTIFS('DMI CBM'!$G:$G, $B18, 'DMI CBM'!$H:$H, "DJA DMI R01", 'DMI CBM'!$I:$I, "OPEN")</f>
        <v>0</v>
      </c>
      <c r="L18" s="157">
        <v>0.0</v>
      </c>
      <c r="M18" s="157">
        <f>COUNTIFS(UNPLANNED!$H:$H, $B18, UNPLANNED!$I:$I, "CLOSED", UNPLANNED!$D:$D, "WO")</f>
        <v>0</v>
      </c>
      <c r="N18" s="157">
        <f>COUNTIFS(UNPLANNED!$H:$H, $B18, UNPLANNED!$I:$I, "CLOSED", UNPLANNED!$D:$D, "NSRDI")</f>
        <v>0</v>
      </c>
      <c r="O18" s="157">
        <f>COUNTIFS('DMI CBM'!$G:$G, $B18, 'DMI CBM'!$I:$I, "CLOSED", 'DMI CBM'!$H:$H, "UNPLANNED DMI")</f>
        <v>0</v>
      </c>
      <c r="P18" s="157">
        <f>COUNTIFS('DAILY REPORT'!$E:$E, $B18, 'DAILY REPORT'!$F:$F, "CML")</f>
        <v>11</v>
      </c>
      <c r="Q18" s="158">
        <f t="shared" si="1"/>
        <v>11</v>
      </c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</row>
    <row r="19" ht="18.75" customHeight="1">
      <c r="A19" s="232">
        <v>16.0</v>
      </c>
      <c r="B19" s="156" t="s">
        <v>93</v>
      </c>
      <c r="C19" s="157">
        <f>COUNTIFS(WO!$K:$K, $B19, WO!$N:$N, "CLOSED") + COUNTIFS(WO!$K:$K, $B19, WO!$N:$N, "OPEN")</f>
        <v>0</v>
      </c>
      <c r="D19" s="157">
        <f>COUNTIFS(WO!$K:$K, $B19, WO!$N:$N, "CLOSED")</f>
        <v>0</v>
      </c>
      <c r="E19" s="157">
        <f>COUNTIFS(WO!$K:$K, $B19, WO!$N:$N, "OPEN")</f>
        <v>0</v>
      </c>
      <c r="F19" s="157">
        <f>COUNTIFS('DJA AOC NSRDIL R01'!$N:$N, $B19, 'DJA AOC NSRDIL R01'!$Q:$Q, "CLOSED") + COUNTIFS('DJA AOC NSRDIL R01'!$N:$N, $B19, 'DJA AOC NSRDIL R01'!$Q:$Q, "OPEN")</f>
        <v>0</v>
      </c>
      <c r="G19" s="157">
        <f>COUNTIFS('DJA AOC NSRDIL R01'!$N:$N, $B19, 'DJA AOC NSRDIL R01'!$Q:$Q, "CLOSED")</f>
        <v>0</v>
      </c>
      <c r="H19" s="157">
        <f>COUNTIFS('DJA AOC NSRDIL R01'!$N:$N, $B19, 'DJA AOC NSRDIL R01'!$Q:$Q, "OPEN")</f>
        <v>0</v>
      </c>
      <c r="I19" s="157">
        <f>COUNTIFS('DMI CBM'!$G:$G, $B19, 'DMI CBM'!$H:$H, "DJA DMI R01")</f>
        <v>1</v>
      </c>
      <c r="J19" s="157">
        <f>COUNTIFS('DMI CBM'!$G:$G, $B19, 'DMI CBM'!$H:$H, "DJA DMI R01", 'DMI CBM'!$I:$I, "CLOSED")</f>
        <v>0</v>
      </c>
      <c r="K19" s="157">
        <f>COUNTIFS('DMI CBM'!$G:$G, $B19, 'DMI CBM'!$H:$H, "DJA DMI R01", 'DMI CBM'!$I:$I, "OPEN")</f>
        <v>1</v>
      </c>
      <c r="L19" s="157">
        <v>0.0</v>
      </c>
      <c r="M19" s="157">
        <f>COUNTIFS(UNPLANNED!$H:$H, $B19, UNPLANNED!$I:$I, "CLOSED", UNPLANNED!$D:$D, "WO")</f>
        <v>0</v>
      </c>
      <c r="N19" s="157">
        <f>COUNTIFS(UNPLANNED!$H:$H, $B19, UNPLANNED!$I:$I, "CLOSED", UNPLANNED!$D:$D, "NSRDI")</f>
        <v>0</v>
      </c>
      <c r="O19" s="157">
        <f>COUNTIFS('DMI CBM'!$G:$G, $B19, 'DMI CBM'!$I:$I, "CLOSED", 'DMI CBM'!$H:$H, "UNPLANNED DMI")</f>
        <v>0</v>
      </c>
      <c r="P19" s="157">
        <f>COUNTIFS('DAILY REPORT'!$E:$E, $B19, 'DAILY REPORT'!$F:$F, "CML")</f>
        <v>7</v>
      </c>
      <c r="Q19" s="158">
        <f t="shared" si="1"/>
        <v>9</v>
      </c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</row>
    <row r="20" ht="18.75" customHeight="1">
      <c r="A20" s="224">
        <v>17.0</v>
      </c>
      <c r="B20" s="192" t="s">
        <v>882</v>
      </c>
      <c r="C20" s="157">
        <f>COUNTIFS(WO!$K:$K, $B20, WO!$N:$N, "CLOSED") + COUNTIFS(WO!$K:$K, $B20, WO!$N:$N, "OPEN")</f>
        <v>0</v>
      </c>
      <c r="D20" s="157">
        <f>COUNTIFS(WO!$K:$K, $B20, WO!$N:$N, "CLOSED")</f>
        <v>0</v>
      </c>
      <c r="E20" s="157">
        <f>COUNTIFS(WO!$K:$K, $B20, WO!$N:$N, "OPEN")</f>
        <v>0</v>
      </c>
      <c r="F20" s="157">
        <f>COUNTIFS('DJA AOC NSRDIL R01'!$N:$N, $B20, 'DJA AOC NSRDIL R01'!$Q:$Q, "CLOSED") + COUNTIFS('DJA AOC NSRDIL R01'!$N:$N, $B20, 'DJA AOC NSRDIL R01'!$Q:$Q, "OPEN")</f>
        <v>0</v>
      </c>
      <c r="G20" s="157">
        <f>COUNTIFS('DJA AOC NSRDIL R01'!$N:$N, $B20, 'DJA AOC NSRDIL R01'!$Q:$Q, "CLOSED")</f>
        <v>0</v>
      </c>
      <c r="H20" s="157">
        <f>COUNTIFS('DJA AOC NSRDIL R01'!$N:$N, $B20, 'DJA AOC NSRDIL R01'!$Q:$Q, "OPEN")</f>
        <v>0</v>
      </c>
      <c r="I20" s="157">
        <f>COUNTIFS('DMI CBM'!$G:$G, $B20, 'DMI CBM'!$H:$H, "DJA DMI R01")</f>
        <v>0</v>
      </c>
      <c r="J20" s="157">
        <f>COUNTIFS('DMI CBM'!$G:$G, $B20, 'DMI CBM'!$H:$H, "DJA DMI R01", 'DMI CBM'!$I:$I, "CLOSED")</f>
        <v>0</v>
      </c>
      <c r="K20" s="157">
        <f>COUNTIFS('DMI CBM'!$G:$G, $B20, 'DMI CBM'!$H:$H, "DJA DMI R01", 'DMI CBM'!$I:$I, "OPEN")</f>
        <v>0</v>
      </c>
      <c r="L20" s="157">
        <v>0.0</v>
      </c>
      <c r="M20" s="157">
        <f>COUNTIFS(UNPLANNED!$H:$H, $B20, UNPLANNED!$I:$I, "CLOSED", UNPLANNED!$D:$D, "WO")</f>
        <v>0</v>
      </c>
      <c r="N20" s="157">
        <f>COUNTIFS(UNPLANNED!$H:$H, $B20, UNPLANNED!$I:$I, "CLOSED", UNPLANNED!$D:$D, "NSRDI")</f>
        <v>0</v>
      </c>
      <c r="O20" s="157">
        <f>COUNTIFS('DMI CBM'!$G:$G, $B20, 'DMI CBM'!$I:$I, "CLOSED", 'DMI CBM'!$H:$H, "UNPLANNED DMI")</f>
        <v>0</v>
      </c>
      <c r="P20" s="157">
        <f>COUNTIFS('DAILY REPORT'!$E:$E, $B20, 'DAILY REPORT'!$F:$F, "CML")</f>
        <v>0</v>
      </c>
      <c r="Q20" s="158">
        <f t="shared" si="1"/>
        <v>0</v>
      </c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</row>
    <row r="21" ht="18.75" customHeight="1">
      <c r="A21" s="236" t="s">
        <v>909</v>
      </c>
      <c r="B21" s="237"/>
      <c r="C21" s="239">
        <f t="shared" ref="C21:Q21" si="2">SUM(C4:C20)</f>
        <v>54</v>
      </c>
      <c r="D21" s="239">
        <f t="shared" si="2"/>
        <v>39</v>
      </c>
      <c r="E21" s="239">
        <f t="shared" si="2"/>
        <v>15</v>
      </c>
      <c r="F21" s="239">
        <f t="shared" si="2"/>
        <v>43</v>
      </c>
      <c r="G21" s="239">
        <f t="shared" si="2"/>
        <v>33</v>
      </c>
      <c r="H21" s="239">
        <f t="shared" si="2"/>
        <v>10</v>
      </c>
      <c r="I21" s="239">
        <f t="shared" si="2"/>
        <v>6</v>
      </c>
      <c r="J21" s="239">
        <f t="shared" si="2"/>
        <v>2</v>
      </c>
      <c r="K21" s="239">
        <f t="shared" si="2"/>
        <v>4</v>
      </c>
      <c r="L21" s="239">
        <f t="shared" si="2"/>
        <v>0</v>
      </c>
      <c r="M21" s="239">
        <f t="shared" si="2"/>
        <v>1</v>
      </c>
      <c r="N21" s="239">
        <f t="shared" si="2"/>
        <v>14</v>
      </c>
      <c r="O21" s="239">
        <f t="shared" si="2"/>
        <v>2</v>
      </c>
      <c r="P21" s="239">
        <f t="shared" si="2"/>
        <v>411</v>
      </c>
      <c r="Q21" s="239">
        <f t="shared" si="2"/>
        <v>568</v>
      </c>
      <c r="R21" s="240"/>
      <c r="S21" s="240"/>
      <c r="T21" s="240"/>
      <c r="U21" s="240"/>
      <c r="V21" s="240"/>
      <c r="W21" s="240"/>
      <c r="X21" s="240"/>
      <c r="Y21" s="240"/>
      <c r="Z21" s="240"/>
      <c r="AA21" s="240"/>
      <c r="AB21" s="240"/>
      <c r="AC21" s="240"/>
    </row>
    <row r="22" ht="18.0" customHeight="1">
      <c r="A22" s="144"/>
      <c r="B22" s="144"/>
      <c r="C22" s="144"/>
      <c r="D22" s="144"/>
      <c r="E22" s="144"/>
      <c r="F22" s="241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242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</row>
    <row r="23" ht="12.75" customHeight="1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242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</row>
    <row r="24" ht="12.75" customHeight="1">
      <c r="A24" s="144"/>
      <c r="B24" s="144"/>
      <c r="C24" s="144"/>
      <c r="D24" s="144"/>
      <c r="E24" s="144"/>
      <c r="F24" s="241"/>
      <c r="G24" s="144"/>
      <c r="H24" s="144"/>
      <c r="I24" s="144"/>
      <c r="J24" s="144"/>
      <c r="K24" s="144"/>
      <c r="L24" s="144"/>
      <c r="M24" s="243"/>
      <c r="N24" s="243"/>
      <c r="O24" s="144"/>
      <c r="P24" s="144"/>
      <c r="Q24" s="242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</row>
    <row r="25" ht="12.75" customHeight="1">
      <c r="L25" s="144"/>
      <c r="M25" s="144"/>
      <c r="N25" s="144"/>
      <c r="Q25" s="242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63">
        <v>46241.0</v>
      </c>
      <c r="B1" s="5"/>
      <c r="C1" s="164"/>
      <c r="D1" s="164"/>
      <c r="E1" s="164"/>
      <c r="F1" s="164"/>
      <c r="G1" s="164"/>
      <c r="H1" s="165"/>
      <c r="I1" s="166"/>
      <c r="J1" s="167"/>
      <c r="K1" s="167"/>
      <c r="L1" s="167"/>
      <c r="M1" s="167"/>
      <c r="N1" s="167"/>
      <c r="O1" s="167"/>
      <c r="P1" s="167"/>
    </row>
    <row r="2" ht="18.75" customHeight="1">
      <c r="A2" s="168" t="s">
        <v>3</v>
      </c>
      <c r="B2" s="168" t="s">
        <v>45</v>
      </c>
      <c r="C2" s="168" t="s">
        <v>5</v>
      </c>
      <c r="D2" s="168" t="s">
        <v>402</v>
      </c>
      <c r="E2" s="168" t="s">
        <v>291</v>
      </c>
      <c r="F2" s="168" t="s">
        <v>46</v>
      </c>
      <c r="G2" s="168" t="s">
        <v>403</v>
      </c>
      <c r="H2" s="169" t="s">
        <v>58</v>
      </c>
      <c r="I2" s="168" t="s">
        <v>20</v>
      </c>
      <c r="J2" s="167"/>
      <c r="K2" s="167"/>
      <c r="L2" s="167"/>
      <c r="M2" s="167"/>
      <c r="N2" s="167"/>
      <c r="O2" s="167"/>
      <c r="P2" s="167"/>
    </row>
    <row r="3" ht="18.75" customHeight="1">
      <c r="A3" s="170"/>
      <c r="B3" s="171"/>
      <c r="C3" s="171"/>
      <c r="D3" s="172"/>
      <c r="E3" s="172"/>
      <c r="F3" s="172"/>
      <c r="G3" s="173"/>
      <c r="H3" s="174"/>
      <c r="I3" s="175"/>
      <c r="J3" s="176"/>
      <c r="K3" s="177"/>
      <c r="L3" s="177"/>
      <c r="M3" s="177"/>
      <c r="N3" s="177"/>
      <c r="O3" s="177"/>
      <c r="P3" s="177"/>
    </row>
    <row r="4" ht="18.75" customHeight="1">
      <c r="A4" s="170"/>
      <c r="B4" s="178"/>
      <c r="C4" s="178"/>
      <c r="D4" s="172"/>
      <c r="E4" s="172"/>
      <c r="F4" s="172"/>
      <c r="G4" s="179"/>
      <c r="H4" s="180"/>
      <c r="I4" s="65"/>
      <c r="J4" s="181"/>
      <c r="K4" s="177"/>
      <c r="L4" s="177"/>
      <c r="M4" s="177"/>
      <c r="N4" s="177"/>
      <c r="O4" s="177"/>
      <c r="P4" s="177"/>
    </row>
    <row r="5" ht="18.75" customHeight="1">
      <c r="A5" s="170"/>
      <c r="B5" s="171"/>
      <c r="C5" s="171"/>
      <c r="D5" s="172"/>
      <c r="E5" s="172"/>
      <c r="F5" s="172"/>
      <c r="G5" s="173"/>
      <c r="H5" s="174"/>
      <c r="I5" s="175"/>
      <c r="J5" s="176"/>
      <c r="K5" s="177"/>
      <c r="L5" s="177"/>
      <c r="M5" s="177"/>
      <c r="N5" s="177"/>
      <c r="O5" s="177"/>
      <c r="P5" s="177"/>
    </row>
    <row r="6" ht="18.75" customHeight="1">
      <c r="A6" s="170"/>
      <c r="B6" s="178"/>
      <c r="C6" s="178"/>
      <c r="D6" s="172"/>
      <c r="E6" s="172"/>
      <c r="F6" s="172"/>
      <c r="G6" s="179"/>
      <c r="H6" s="180"/>
      <c r="I6" s="65"/>
      <c r="J6" s="181"/>
      <c r="K6" s="177"/>
      <c r="L6" s="177"/>
      <c r="M6" s="177"/>
      <c r="N6" s="177"/>
      <c r="O6" s="177"/>
      <c r="P6" s="177"/>
    </row>
    <row r="7" ht="18.75" customHeight="1">
      <c r="A7" s="170"/>
      <c r="B7" s="171"/>
      <c r="C7" s="171"/>
      <c r="D7" s="172"/>
      <c r="E7" s="172"/>
      <c r="F7" s="172"/>
      <c r="G7" s="173"/>
      <c r="H7" s="174"/>
      <c r="I7" s="175"/>
      <c r="J7" s="176"/>
      <c r="K7" s="177"/>
      <c r="L7" s="177"/>
      <c r="M7" s="177"/>
      <c r="N7" s="177"/>
      <c r="O7" s="177"/>
      <c r="P7" s="177"/>
    </row>
    <row r="8" ht="18.75" customHeight="1">
      <c r="A8" s="170"/>
      <c r="B8" s="178"/>
      <c r="C8" s="178"/>
      <c r="D8" s="172"/>
      <c r="E8" s="172"/>
      <c r="F8" s="172"/>
      <c r="G8" s="179"/>
      <c r="H8" s="180"/>
      <c r="I8" s="65"/>
      <c r="J8" s="181"/>
      <c r="K8" s="177"/>
      <c r="L8" s="177"/>
      <c r="M8" s="177"/>
      <c r="N8" s="177"/>
      <c r="O8" s="177"/>
      <c r="P8" s="177"/>
    </row>
    <row r="9" ht="18.75" customHeight="1">
      <c r="A9" s="170"/>
      <c r="B9" s="171"/>
      <c r="C9" s="171"/>
      <c r="D9" s="172"/>
      <c r="E9" s="172"/>
      <c r="F9" s="172"/>
      <c r="G9" s="173"/>
      <c r="H9" s="174"/>
      <c r="I9" s="175"/>
      <c r="J9" s="176"/>
      <c r="K9" s="177"/>
      <c r="L9" s="177"/>
      <c r="M9" s="177"/>
      <c r="N9" s="177"/>
      <c r="O9" s="177"/>
      <c r="P9" s="177"/>
    </row>
    <row r="10" ht="18.75" customHeight="1">
      <c r="A10" s="170"/>
      <c r="B10" s="178"/>
      <c r="C10" s="178"/>
      <c r="D10" s="172"/>
      <c r="E10" s="172"/>
      <c r="F10" s="172"/>
      <c r="G10" s="179"/>
      <c r="H10" s="180"/>
      <c r="I10" s="65"/>
      <c r="J10" s="181"/>
      <c r="K10" s="177"/>
      <c r="L10" s="177"/>
      <c r="M10" s="177"/>
      <c r="N10" s="177"/>
      <c r="O10" s="177"/>
      <c r="P10" s="177"/>
    </row>
    <row r="11" ht="18.75" customHeight="1">
      <c r="A11" s="170"/>
      <c r="B11" s="171"/>
      <c r="C11" s="171"/>
      <c r="D11" s="172"/>
      <c r="E11" s="172"/>
      <c r="F11" s="172"/>
      <c r="G11" s="173"/>
      <c r="H11" s="174"/>
      <c r="I11" s="175"/>
      <c r="J11" s="176"/>
      <c r="K11" s="177"/>
      <c r="L11" s="177"/>
      <c r="M11" s="177"/>
      <c r="N11" s="177"/>
      <c r="O11" s="177"/>
      <c r="P11" s="177"/>
    </row>
    <row r="12" ht="18.75" customHeight="1">
      <c r="A12" s="170"/>
      <c r="B12" s="178"/>
      <c r="C12" s="178"/>
      <c r="D12" s="172"/>
      <c r="E12" s="172"/>
      <c r="F12" s="172"/>
      <c r="G12" s="179"/>
      <c r="H12" s="180"/>
      <c r="I12" s="65"/>
      <c r="J12" s="181"/>
      <c r="K12" s="177"/>
      <c r="L12" s="177"/>
      <c r="M12" s="177"/>
      <c r="N12" s="177"/>
      <c r="O12" s="177"/>
      <c r="P12" s="177"/>
    </row>
    <row r="13" ht="18.75" customHeight="1">
      <c r="A13" s="170"/>
      <c r="B13" s="171"/>
      <c r="C13" s="171"/>
      <c r="D13" s="172"/>
      <c r="E13" s="172"/>
      <c r="F13" s="172"/>
      <c r="G13" s="173"/>
      <c r="H13" s="174"/>
      <c r="I13" s="175"/>
      <c r="J13" s="176"/>
      <c r="K13" s="177"/>
      <c r="L13" s="177"/>
      <c r="M13" s="177"/>
      <c r="N13" s="177"/>
      <c r="O13" s="177"/>
      <c r="P13" s="177"/>
    </row>
    <row r="14" ht="18.75" customHeight="1">
      <c r="A14" s="170"/>
      <c r="B14" s="178"/>
      <c r="C14" s="178"/>
      <c r="D14" s="172"/>
      <c r="E14" s="172"/>
      <c r="F14" s="172"/>
      <c r="G14" s="179"/>
      <c r="H14" s="180"/>
      <c r="I14" s="65"/>
      <c r="J14" s="181"/>
      <c r="K14" s="177"/>
      <c r="L14" s="177"/>
      <c r="M14" s="177"/>
      <c r="N14" s="177"/>
      <c r="O14" s="177"/>
      <c r="P14" s="177"/>
    </row>
    <row r="15" ht="18.75" customHeight="1">
      <c r="A15" s="170"/>
      <c r="B15" s="171"/>
      <c r="C15" s="171"/>
      <c r="D15" s="172"/>
      <c r="E15" s="172"/>
      <c r="F15" s="172"/>
      <c r="G15" s="173"/>
      <c r="H15" s="174"/>
      <c r="I15" s="175"/>
      <c r="J15" s="176"/>
      <c r="K15" s="177"/>
      <c r="L15" s="177"/>
      <c r="M15" s="177"/>
      <c r="N15" s="177"/>
      <c r="O15" s="177"/>
      <c r="P15" s="177"/>
    </row>
    <row r="16" ht="18.75" customHeight="1">
      <c r="A16" s="170"/>
      <c r="B16" s="178"/>
      <c r="C16" s="178"/>
      <c r="D16" s="172"/>
      <c r="E16" s="172"/>
      <c r="F16" s="172"/>
      <c r="G16" s="179"/>
      <c r="H16" s="180"/>
      <c r="I16" s="65"/>
      <c r="J16" s="181"/>
      <c r="K16" s="177"/>
      <c r="L16" s="177"/>
      <c r="M16" s="177"/>
      <c r="N16" s="177"/>
      <c r="O16" s="177"/>
      <c r="P16" s="177"/>
    </row>
    <row r="17" ht="18.75" customHeight="1">
      <c r="A17" s="170"/>
      <c r="B17" s="171"/>
      <c r="C17" s="171"/>
      <c r="D17" s="172"/>
      <c r="E17" s="172"/>
      <c r="F17" s="172"/>
      <c r="G17" s="173"/>
      <c r="H17" s="174"/>
      <c r="I17" s="175"/>
      <c r="J17" s="176"/>
      <c r="K17" s="177"/>
      <c r="L17" s="177"/>
      <c r="M17" s="177"/>
      <c r="N17" s="177"/>
      <c r="O17" s="177"/>
      <c r="P17" s="177"/>
    </row>
    <row r="18" ht="18.75" customHeight="1">
      <c r="A18" s="170"/>
      <c r="B18" s="178"/>
      <c r="C18" s="178"/>
      <c r="D18" s="172"/>
      <c r="E18" s="172"/>
      <c r="F18" s="172"/>
      <c r="G18" s="179"/>
      <c r="H18" s="180"/>
      <c r="I18" s="65"/>
      <c r="J18" s="181"/>
      <c r="K18" s="177"/>
      <c r="L18" s="177"/>
      <c r="M18" s="177"/>
      <c r="N18" s="177"/>
      <c r="O18" s="177"/>
      <c r="P18" s="177"/>
    </row>
    <row r="19" ht="18.75" customHeight="1">
      <c r="A19" s="170"/>
      <c r="B19" s="171"/>
      <c r="C19" s="171"/>
      <c r="D19" s="172"/>
      <c r="E19" s="172"/>
      <c r="F19" s="172"/>
      <c r="G19" s="173"/>
      <c r="H19" s="174"/>
      <c r="I19" s="175"/>
      <c r="J19" s="176"/>
      <c r="K19" s="177"/>
      <c r="L19" s="177"/>
      <c r="M19" s="177"/>
      <c r="N19" s="177"/>
      <c r="O19" s="177"/>
      <c r="P19" s="177"/>
    </row>
    <row r="20" ht="18.75" customHeight="1">
      <c r="A20" s="170"/>
      <c r="B20" s="178"/>
      <c r="C20" s="178"/>
      <c r="D20" s="172"/>
      <c r="E20" s="172"/>
      <c r="F20" s="172"/>
      <c r="G20" s="179"/>
      <c r="H20" s="180"/>
      <c r="I20" s="65"/>
      <c r="J20" s="181"/>
      <c r="K20" s="177"/>
      <c r="L20" s="177"/>
      <c r="M20" s="177"/>
      <c r="N20" s="177"/>
      <c r="O20" s="177"/>
      <c r="P20" s="177"/>
    </row>
    <row r="21" ht="18.75" customHeight="1">
      <c r="A21" s="170"/>
      <c r="B21" s="171"/>
      <c r="C21" s="171"/>
      <c r="D21" s="172"/>
      <c r="E21" s="172"/>
      <c r="F21" s="172"/>
      <c r="G21" s="173"/>
      <c r="H21" s="174"/>
      <c r="I21" s="175"/>
      <c r="J21" s="176"/>
      <c r="K21" s="177"/>
      <c r="L21" s="177"/>
      <c r="M21" s="177"/>
      <c r="N21" s="177"/>
      <c r="O21" s="177"/>
      <c r="P21" s="177"/>
    </row>
    <row r="22" ht="18.75" customHeight="1">
      <c r="A22" s="170"/>
      <c r="B22" s="178"/>
      <c r="C22" s="178"/>
      <c r="D22" s="172"/>
      <c r="E22" s="172"/>
      <c r="F22" s="172"/>
      <c r="G22" s="179"/>
      <c r="H22" s="180"/>
      <c r="I22" s="65"/>
      <c r="J22" s="182"/>
      <c r="K22" s="183"/>
      <c r="L22" s="183"/>
      <c r="M22" s="183"/>
      <c r="N22" s="183"/>
      <c r="O22" s="183"/>
      <c r="P22" s="183"/>
    </row>
    <row r="23" ht="18.75" customHeight="1">
      <c r="A23" s="170"/>
      <c r="B23" s="171"/>
      <c r="C23" s="171"/>
      <c r="D23" s="171"/>
      <c r="E23" s="171"/>
      <c r="F23" s="171"/>
      <c r="G23" s="184"/>
      <c r="H23" s="180"/>
      <c r="I23" s="175"/>
      <c r="J23" s="176"/>
      <c r="K23" s="177"/>
      <c r="L23" s="177"/>
      <c r="M23" s="177"/>
      <c r="N23" s="177"/>
      <c r="O23" s="177"/>
      <c r="P23" s="177"/>
    </row>
    <row r="24" ht="18.75" customHeight="1">
      <c r="A24" s="170"/>
      <c r="B24" s="178"/>
      <c r="C24" s="178"/>
      <c r="D24" s="178"/>
      <c r="E24" s="178"/>
      <c r="F24" s="178"/>
      <c r="G24" s="185"/>
      <c r="H24" s="180"/>
      <c r="I24" s="65"/>
      <c r="J24" s="181"/>
      <c r="K24" s="177"/>
      <c r="L24" s="177"/>
      <c r="M24" s="177"/>
      <c r="N24" s="177"/>
      <c r="O24" s="177"/>
      <c r="P24" s="177"/>
    </row>
    <row r="25" ht="18.75" customHeight="1">
      <c r="A25" s="170"/>
      <c r="B25" s="171"/>
      <c r="C25" s="171"/>
      <c r="D25" s="171"/>
      <c r="E25" s="171"/>
      <c r="F25" s="171"/>
      <c r="G25" s="184"/>
      <c r="H25" s="180"/>
      <c r="I25" s="175"/>
      <c r="J25" s="176"/>
      <c r="K25" s="177"/>
      <c r="L25" s="177"/>
      <c r="M25" s="177"/>
      <c r="N25" s="177"/>
      <c r="O25" s="177"/>
      <c r="P25" s="177"/>
    </row>
    <row r="26" ht="18.75" customHeight="1">
      <c r="A26" s="170"/>
      <c r="B26" s="178"/>
      <c r="C26" s="178"/>
      <c r="D26" s="178"/>
      <c r="E26" s="178"/>
      <c r="F26" s="178"/>
      <c r="G26" s="185"/>
      <c r="H26" s="180"/>
      <c r="I26" s="65"/>
      <c r="J26" s="181"/>
      <c r="K26" s="177"/>
      <c r="L26" s="177"/>
      <c r="M26" s="177"/>
      <c r="N26" s="177"/>
      <c r="O26" s="177"/>
      <c r="P26" s="177"/>
    </row>
    <row r="27" ht="18.75" customHeight="1">
      <c r="A27" s="170"/>
      <c r="B27" s="171"/>
      <c r="C27" s="171"/>
      <c r="D27" s="187"/>
      <c r="E27" s="187"/>
      <c r="F27" s="187"/>
      <c r="G27" s="171"/>
      <c r="H27" s="189"/>
      <c r="I27" s="175"/>
      <c r="J27" s="176"/>
      <c r="K27" s="177"/>
      <c r="L27" s="177"/>
      <c r="M27" s="177"/>
      <c r="N27" s="177"/>
      <c r="O27" s="177"/>
      <c r="P27" s="177"/>
    </row>
    <row r="28" ht="18.75" customHeight="1">
      <c r="A28" s="170"/>
      <c r="B28" s="178"/>
      <c r="C28" s="178"/>
      <c r="D28" s="190"/>
      <c r="E28" s="190"/>
      <c r="F28" s="190"/>
      <c r="G28" s="178"/>
      <c r="H28" s="180"/>
      <c r="I28" s="65"/>
      <c r="J28" s="181"/>
      <c r="K28" s="177"/>
      <c r="L28" s="177"/>
      <c r="M28" s="177"/>
      <c r="N28" s="177"/>
      <c r="O28" s="177"/>
      <c r="P28" s="177"/>
    </row>
    <row r="29" ht="18.75" customHeight="1">
      <c r="A29" s="170"/>
      <c r="B29" s="171"/>
      <c r="C29" s="171"/>
      <c r="D29" s="187"/>
      <c r="E29" s="187"/>
      <c r="F29" s="187"/>
      <c r="G29" s="171"/>
      <c r="H29" s="180"/>
      <c r="I29" s="175"/>
      <c r="J29" s="176"/>
      <c r="K29" s="177"/>
      <c r="L29" s="177"/>
      <c r="M29" s="177"/>
      <c r="N29" s="177"/>
      <c r="O29" s="177"/>
      <c r="P29" s="177"/>
    </row>
    <row r="30" ht="18.75" customHeight="1">
      <c r="A30" s="170"/>
      <c r="B30" s="178"/>
      <c r="C30" s="178"/>
      <c r="D30" s="190"/>
      <c r="E30" s="190"/>
      <c r="F30" s="190"/>
      <c r="G30" s="178"/>
      <c r="H30" s="180"/>
      <c r="I30" s="65"/>
      <c r="J30" s="181"/>
      <c r="K30" s="177"/>
      <c r="L30" s="177"/>
      <c r="M30" s="177"/>
      <c r="N30" s="177"/>
      <c r="O30" s="177"/>
      <c r="P30" s="177"/>
    </row>
    <row r="31" ht="18.75" customHeight="1">
      <c r="A31" s="170"/>
      <c r="B31" s="171"/>
      <c r="C31" s="171"/>
      <c r="D31" s="187"/>
      <c r="E31" s="187"/>
      <c r="F31" s="187"/>
      <c r="G31" s="171"/>
      <c r="H31" s="180"/>
      <c r="I31" s="175"/>
      <c r="J31" s="176"/>
      <c r="K31" s="177"/>
      <c r="L31" s="177"/>
      <c r="M31" s="177"/>
      <c r="N31" s="177"/>
      <c r="O31" s="177"/>
      <c r="P31" s="177"/>
    </row>
    <row r="32" ht="18.75" customHeight="1">
      <c r="A32" s="170"/>
      <c r="B32" s="178"/>
      <c r="C32" s="178"/>
      <c r="D32" s="190"/>
      <c r="E32" s="190"/>
      <c r="F32" s="190"/>
      <c r="G32" s="178"/>
      <c r="H32" s="180"/>
      <c r="I32" s="65"/>
      <c r="J32" s="181"/>
      <c r="K32" s="177"/>
      <c r="L32" s="177"/>
      <c r="M32" s="177"/>
      <c r="N32" s="177"/>
      <c r="O32" s="177"/>
      <c r="P32" s="177"/>
    </row>
    <row r="33" ht="18.75" customHeight="1">
      <c r="A33" s="170"/>
      <c r="B33" s="171"/>
      <c r="C33" s="171"/>
      <c r="D33" s="187"/>
      <c r="E33" s="187"/>
      <c r="F33" s="187"/>
      <c r="G33" s="171"/>
      <c r="H33" s="189"/>
      <c r="I33" s="175"/>
      <c r="J33" s="176"/>
      <c r="K33" s="177"/>
      <c r="L33" s="177"/>
      <c r="M33" s="177"/>
      <c r="N33" s="177"/>
      <c r="O33" s="177"/>
      <c r="P33" s="177"/>
    </row>
    <row r="34" ht="18.75" customHeight="1">
      <c r="A34" s="170"/>
      <c r="B34" s="178"/>
      <c r="C34" s="178"/>
      <c r="D34" s="190"/>
      <c r="E34" s="190"/>
      <c r="F34" s="190"/>
      <c r="G34" s="178"/>
      <c r="H34" s="180"/>
      <c r="I34" s="65"/>
      <c r="J34" s="181"/>
      <c r="K34" s="177"/>
      <c r="L34" s="177"/>
      <c r="M34" s="177"/>
      <c r="N34" s="177"/>
      <c r="O34" s="177"/>
      <c r="P34" s="177"/>
    </row>
    <row r="35" ht="18.75" customHeight="1">
      <c r="A35" s="170"/>
      <c r="B35" s="171"/>
      <c r="C35" s="171"/>
      <c r="D35" s="187"/>
      <c r="E35" s="187"/>
      <c r="F35" s="187"/>
      <c r="G35" s="171"/>
      <c r="H35" s="189"/>
      <c r="I35" s="175"/>
      <c r="J35" s="176"/>
      <c r="K35" s="177"/>
      <c r="L35" s="177"/>
      <c r="M35" s="177"/>
      <c r="N35" s="177"/>
      <c r="O35" s="177"/>
      <c r="P35" s="177"/>
    </row>
    <row r="36" ht="18.75" customHeight="1">
      <c r="A36" s="170"/>
      <c r="B36" s="178"/>
      <c r="C36" s="178"/>
      <c r="D36" s="190"/>
      <c r="E36" s="190"/>
      <c r="F36" s="190"/>
      <c r="G36" s="178"/>
      <c r="H36" s="189"/>
      <c r="I36" s="65"/>
      <c r="J36" s="181"/>
      <c r="K36" s="177"/>
      <c r="L36" s="177"/>
      <c r="M36" s="177"/>
      <c r="N36" s="177"/>
      <c r="O36" s="177"/>
      <c r="P36" s="177"/>
    </row>
    <row r="37" ht="18.75" customHeight="1">
      <c r="A37" s="170"/>
      <c r="B37" s="171"/>
      <c r="C37" s="171"/>
      <c r="D37" s="187"/>
      <c r="E37" s="187"/>
      <c r="F37" s="187"/>
      <c r="G37" s="171"/>
      <c r="H37" s="180"/>
      <c r="I37" s="175"/>
      <c r="J37" s="176"/>
      <c r="K37" s="177"/>
      <c r="L37" s="177"/>
      <c r="M37" s="177"/>
      <c r="N37" s="177"/>
      <c r="O37" s="177"/>
      <c r="P37" s="177"/>
    </row>
    <row r="38" ht="18.75" customHeight="1">
      <c r="A38" s="170"/>
      <c r="B38" s="178"/>
      <c r="C38" s="178"/>
      <c r="D38" s="190"/>
      <c r="E38" s="190"/>
      <c r="F38" s="190"/>
      <c r="G38" s="178"/>
      <c r="H38" s="189"/>
      <c r="I38" s="65"/>
      <c r="J38" s="181"/>
      <c r="K38" s="177"/>
      <c r="L38" s="177"/>
      <c r="M38" s="177"/>
      <c r="N38" s="177"/>
      <c r="O38" s="177"/>
      <c r="P38" s="177"/>
    </row>
    <row r="39" ht="18.75" customHeight="1">
      <c r="A39" s="170"/>
      <c r="B39" s="171"/>
      <c r="C39" s="171"/>
      <c r="D39" s="187"/>
      <c r="E39" s="187"/>
      <c r="F39" s="187"/>
      <c r="G39" s="171"/>
      <c r="H39" s="180"/>
      <c r="I39" s="175"/>
      <c r="J39" s="176"/>
      <c r="K39" s="177"/>
      <c r="L39" s="177"/>
      <c r="M39" s="177"/>
      <c r="N39" s="177"/>
      <c r="O39" s="177"/>
      <c r="P39" s="177"/>
    </row>
    <row r="40" ht="18.75" customHeight="1">
      <c r="A40" s="170"/>
      <c r="B40" s="193"/>
      <c r="C40" s="193"/>
      <c r="D40" s="194"/>
      <c r="E40" s="195"/>
      <c r="F40" s="195"/>
      <c r="G40" s="195"/>
      <c r="H40" s="55"/>
      <c r="I40" s="65"/>
      <c r="J40" s="181"/>
      <c r="K40" s="177"/>
      <c r="L40" s="177"/>
      <c r="M40" s="177"/>
      <c r="N40" s="177"/>
      <c r="O40" s="177"/>
      <c r="P40" s="177"/>
    </row>
    <row r="41" ht="18.75" customHeight="1">
      <c r="A41" s="170"/>
      <c r="B41" s="193"/>
      <c r="C41" s="193"/>
      <c r="D41" s="194"/>
      <c r="E41" s="195"/>
      <c r="F41" s="195"/>
      <c r="G41" s="195"/>
      <c r="H41" s="55"/>
      <c r="I41" s="175"/>
      <c r="J41" s="176"/>
      <c r="K41" s="177"/>
      <c r="L41" s="177"/>
      <c r="M41" s="177"/>
      <c r="N41" s="177"/>
      <c r="O41" s="177"/>
      <c r="P41" s="177"/>
    </row>
    <row r="42" ht="18.75" customHeight="1">
      <c r="A42" s="170"/>
      <c r="B42" s="193"/>
      <c r="C42" s="193"/>
      <c r="D42" s="194"/>
      <c r="E42" s="195"/>
      <c r="F42" s="195"/>
      <c r="G42" s="195"/>
      <c r="H42" s="55"/>
      <c r="I42" s="65"/>
      <c r="J42" s="181"/>
      <c r="K42" s="177"/>
      <c r="L42" s="177"/>
      <c r="M42" s="177"/>
      <c r="N42" s="177"/>
      <c r="O42" s="177"/>
      <c r="P42" s="177"/>
    </row>
    <row r="43" ht="18.75" customHeight="1">
      <c r="A43" s="170"/>
      <c r="B43" s="193"/>
      <c r="C43" s="193"/>
      <c r="D43" s="194"/>
      <c r="E43" s="195"/>
      <c r="F43" s="195"/>
      <c r="G43" s="195"/>
      <c r="H43" s="55"/>
      <c r="I43" s="175"/>
      <c r="J43" s="176"/>
      <c r="K43" s="177"/>
      <c r="L43" s="177"/>
      <c r="M43" s="177"/>
      <c r="N43" s="177"/>
      <c r="O43" s="177"/>
      <c r="P43" s="177"/>
    </row>
    <row r="44" ht="18.75" customHeight="1">
      <c r="A44" s="170"/>
      <c r="B44" s="193"/>
      <c r="C44" s="193"/>
      <c r="D44" s="194"/>
      <c r="E44" s="195"/>
      <c r="F44" s="195"/>
      <c r="G44" s="195"/>
      <c r="H44" s="55"/>
      <c r="I44" s="65"/>
      <c r="J44" s="181"/>
      <c r="K44" s="177"/>
      <c r="L44" s="177"/>
      <c r="M44" s="177"/>
      <c r="N44" s="177"/>
      <c r="O44" s="177"/>
      <c r="P44" s="177"/>
    </row>
    <row r="45" ht="18.75" customHeight="1">
      <c r="A45" s="170"/>
      <c r="B45" s="193"/>
      <c r="C45" s="193"/>
      <c r="D45" s="194"/>
      <c r="E45" s="195"/>
      <c r="F45" s="195"/>
      <c r="G45" s="195"/>
      <c r="H45" s="55"/>
      <c r="I45" s="175"/>
      <c r="J45" s="176"/>
      <c r="K45" s="177"/>
      <c r="L45" s="177"/>
      <c r="M45" s="177"/>
      <c r="N45" s="177"/>
      <c r="O45" s="177"/>
      <c r="P45" s="177"/>
    </row>
    <row r="46" ht="18.75" customHeight="1">
      <c r="A46" s="170"/>
      <c r="B46" s="193"/>
      <c r="C46" s="193"/>
      <c r="D46" s="194"/>
      <c r="E46" s="195"/>
      <c r="F46" s="195"/>
      <c r="G46" s="195"/>
      <c r="H46" s="55"/>
      <c r="I46" s="65"/>
      <c r="J46" s="181"/>
      <c r="K46" s="177"/>
      <c r="L46" s="177"/>
      <c r="M46" s="177"/>
      <c r="N46" s="177"/>
      <c r="O46" s="177"/>
      <c r="P46" s="177"/>
    </row>
    <row r="47" ht="18.75" customHeight="1">
      <c r="A47" s="170"/>
      <c r="B47" s="193"/>
      <c r="C47" s="193"/>
      <c r="D47" s="194"/>
      <c r="E47" s="195"/>
      <c r="F47" s="195"/>
      <c r="G47" s="195"/>
      <c r="H47" s="55"/>
      <c r="I47" s="175"/>
      <c r="J47" s="176"/>
      <c r="K47" s="177"/>
      <c r="L47" s="177"/>
      <c r="M47" s="177"/>
      <c r="N47" s="177"/>
      <c r="O47" s="177"/>
      <c r="P47" s="177"/>
    </row>
    <row r="48" ht="18.75" customHeight="1">
      <c r="A48" s="170"/>
      <c r="B48" s="193"/>
      <c r="C48" s="193"/>
      <c r="D48" s="194"/>
      <c r="E48" s="195"/>
      <c r="F48" s="195"/>
      <c r="G48" s="195"/>
      <c r="H48" s="55"/>
      <c r="I48" s="65"/>
      <c r="J48" s="181"/>
      <c r="K48" s="177"/>
      <c r="L48" s="177"/>
      <c r="M48" s="177"/>
      <c r="N48" s="177"/>
      <c r="O48" s="177"/>
      <c r="P48" s="177"/>
    </row>
    <row r="49" ht="18.75" customHeight="1">
      <c r="A49" s="170"/>
      <c r="B49" s="193"/>
      <c r="C49" s="193"/>
      <c r="D49" s="194"/>
      <c r="E49" s="195"/>
      <c r="F49" s="195"/>
      <c r="G49" s="195"/>
      <c r="H49" s="55"/>
      <c r="I49" s="175"/>
      <c r="J49" s="176"/>
      <c r="K49" s="177"/>
      <c r="L49" s="177"/>
      <c r="M49" s="177"/>
      <c r="N49" s="177"/>
      <c r="O49" s="177"/>
      <c r="P49" s="177"/>
    </row>
    <row r="50" ht="18.75" customHeight="1">
      <c r="A50" s="170"/>
      <c r="B50" s="193"/>
      <c r="C50" s="193"/>
      <c r="D50" s="194"/>
      <c r="E50" s="195"/>
      <c r="F50" s="195"/>
      <c r="G50" s="195"/>
      <c r="H50" s="55"/>
      <c r="I50" s="65"/>
      <c r="J50" s="181"/>
      <c r="K50" s="177"/>
      <c r="L50" s="177"/>
      <c r="M50" s="177"/>
      <c r="N50" s="177"/>
      <c r="O50" s="177"/>
      <c r="P50" s="177"/>
    </row>
    <row r="51" ht="18.75" customHeight="1">
      <c r="A51" s="170"/>
      <c r="B51" s="193"/>
      <c r="C51" s="193"/>
      <c r="D51" s="194"/>
      <c r="E51" s="195"/>
      <c r="F51" s="195"/>
      <c r="G51" s="195"/>
      <c r="H51" s="55"/>
      <c r="I51" s="175"/>
      <c r="J51" s="176"/>
      <c r="K51" s="177"/>
      <c r="L51" s="177"/>
      <c r="M51" s="177"/>
      <c r="N51" s="177"/>
      <c r="O51" s="177"/>
      <c r="P51" s="177"/>
    </row>
    <row r="52" ht="18.75" customHeight="1">
      <c r="A52" s="170"/>
      <c r="B52" s="193"/>
      <c r="C52" s="193"/>
      <c r="D52" s="194"/>
      <c r="E52" s="195"/>
      <c r="F52" s="195"/>
      <c r="G52" s="195"/>
      <c r="H52" s="55"/>
      <c r="I52" s="65"/>
      <c r="J52" s="181"/>
      <c r="K52" s="177"/>
      <c r="L52" s="177"/>
      <c r="M52" s="177"/>
      <c r="N52" s="177"/>
      <c r="O52" s="177"/>
      <c r="P52" s="177"/>
    </row>
    <row r="53" ht="18.75" customHeight="1">
      <c r="A53" s="170"/>
      <c r="B53" s="193"/>
      <c r="C53" s="193"/>
      <c r="D53" s="194"/>
      <c r="E53" s="195"/>
      <c r="F53" s="195"/>
      <c r="G53" s="195"/>
      <c r="H53" s="55"/>
      <c r="I53" s="175"/>
      <c r="J53" s="176"/>
      <c r="K53" s="177"/>
      <c r="L53" s="177"/>
      <c r="M53" s="177"/>
      <c r="N53" s="177"/>
      <c r="O53" s="177"/>
      <c r="P53" s="177"/>
    </row>
    <row r="54" ht="18.75" customHeight="1">
      <c r="A54" s="170"/>
      <c r="B54" s="193"/>
      <c r="C54" s="193"/>
      <c r="D54" s="194"/>
      <c r="E54" s="195"/>
      <c r="F54" s="195"/>
      <c r="G54" s="195"/>
      <c r="H54" s="55"/>
      <c r="I54" s="65"/>
      <c r="J54" s="181"/>
      <c r="K54" s="177"/>
      <c r="L54" s="177"/>
      <c r="M54" s="177"/>
      <c r="N54" s="177"/>
      <c r="O54" s="177"/>
      <c r="P54" s="177"/>
    </row>
    <row r="55" ht="18.75" customHeight="1">
      <c r="A55" s="170"/>
      <c r="B55" s="193"/>
      <c r="C55" s="193"/>
      <c r="D55" s="194"/>
      <c r="E55" s="195"/>
      <c r="F55" s="195"/>
      <c r="G55" s="195"/>
      <c r="H55" s="55"/>
      <c r="I55" s="175"/>
      <c r="J55" s="176"/>
      <c r="K55" s="177"/>
      <c r="L55" s="177"/>
      <c r="M55" s="177"/>
      <c r="N55" s="177"/>
      <c r="O55" s="177"/>
      <c r="P55" s="177"/>
    </row>
    <row r="56" ht="18.75" customHeight="1">
      <c r="A56" s="170"/>
      <c r="B56" s="193"/>
      <c r="C56" s="193"/>
      <c r="D56" s="194"/>
      <c r="E56" s="195"/>
      <c r="F56" s="195"/>
      <c r="G56" s="195"/>
      <c r="H56" s="55"/>
      <c r="I56" s="65"/>
      <c r="J56" s="181"/>
      <c r="K56" s="177"/>
      <c r="L56" s="177"/>
      <c r="M56" s="177"/>
      <c r="N56" s="177"/>
      <c r="O56" s="177"/>
      <c r="P56" s="177"/>
    </row>
    <row r="57" ht="18.75" customHeight="1">
      <c r="A57" s="170"/>
      <c r="B57" s="193"/>
      <c r="C57" s="193"/>
      <c r="D57" s="194"/>
      <c r="E57" s="195"/>
      <c r="F57" s="195"/>
      <c r="G57" s="195"/>
      <c r="H57" s="55"/>
      <c r="I57" s="175"/>
      <c r="J57" s="176"/>
      <c r="K57" s="177"/>
      <c r="L57" s="177"/>
      <c r="M57" s="177"/>
      <c r="N57" s="177"/>
      <c r="O57" s="177"/>
      <c r="P57" s="177"/>
    </row>
    <row r="58" ht="18.75" customHeight="1">
      <c r="A58" s="170"/>
      <c r="B58" s="193"/>
      <c r="C58" s="193"/>
      <c r="D58" s="194"/>
      <c r="E58" s="195"/>
      <c r="F58" s="195"/>
      <c r="G58" s="195"/>
      <c r="H58" s="55"/>
      <c r="I58" s="65"/>
      <c r="J58" s="181"/>
      <c r="K58" s="177"/>
      <c r="L58" s="177"/>
      <c r="M58" s="177"/>
      <c r="N58" s="177"/>
      <c r="O58" s="177"/>
      <c r="P58" s="177"/>
    </row>
    <row r="59" ht="18.75" customHeight="1">
      <c r="A59" s="170"/>
      <c r="B59" s="193"/>
      <c r="C59" s="193"/>
      <c r="D59" s="194"/>
      <c r="E59" s="195"/>
      <c r="F59" s="195"/>
      <c r="G59" s="195"/>
      <c r="H59" s="55"/>
      <c r="I59" s="175"/>
      <c r="J59" s="176"/>
      <c r="K59" s="177"/>
      <c r="L59" s="177"/>
      <c r="M59" s="177"/>
      <c r="N59" s="177"/>
      <c r="O59" s="177"/>
      <c r="P59" s="177"/>
    </row>
    <row r="60" ht="18.75" customHeight="1">
      <c r="A60" s="170"/>
      <c r="B60" s="193"/>
      <c r="C60" s="193"/>
      <c r="D60" s="194"/>
      <c r="E60" s="195"/>
      <c r="F60" s="195"/>
      <c r="G60" s="195"/>
      <c r="H60" s="55"/>
      <c r="I60" s="65"/>
      <c r="J60" s="181"/>
      <c r="K60" s="177"/>
      <c r="L60" s="177"/>
      <c r="M60" s="177"/>
      <c r="N60" s="177"/>
      <c r="O60" s="177"/>
      <c r="P60" s="177"/>
    </row>
    <row r="61" ht="18.75" customHeight="1">
      <c r="A61" s="170"/>
      <c r="B61" s="193"/>
      <c r="C61" s="193"/>
      <c r="D61" s="194"/>
      <c r="E61" s="195"/>
      <c r="F61" s="195"/>
      <c r="G61" s="195"/>
      <c r="H61" s="55"/>
      <c r="I61" s="175"/>
      <c r="J61" s="176"/>
      <c r="K61" s="177"/>
      <c r="L61" s="177"/>
      <c r="M61" s="177"/>
      <c r="N61" s="177"/>
      <c r="O61" s="177"/>
      <c r="P61" s="177"/>
    </row>
    <row r="62" ht="18.75" customHeight="1">
      <c r="A62" s="170"/>
      <c r="B62" s="193"/>
      <c r="C62" s="193"/>
      <c r="D62" s="194"/>
      <c r="E62" s="195"/>
      <c r="F62" s="195"/>
      <c r="G62" s="195"/>
      <c r="H62" s="55"/>
      <c r="I62" s="65"/>
      <c r="J62" s="181"/>
      <c r="K62" s="177"/>
      <c r="L62" s="177"/>
      <c r="M62" s="177"/>
      <c r="N62" s="177"/>
      <c r="O62" s="177"/>
      <c r="P62" s="177"/>
    </row>
    <row r="63" ht="18.75" customHeight="1">
      <c r="A63" s="170"/>
      <c r="B63" s="201"/>
      <c r="C63" s="201"/>
      <c r="D63" s="171"/>
      <c r="E63" s="201"/>
      <c r="F63" s="171"/>
      <c r="G63" s="173"/>
      <c r="H63" s="174"/>
      <c r="I63" s="175"/>
      <c r="J63" s="176"/>
      <c r="K63" s="177"/>
      <c r="L63" s="177"/>
      <c r="M63" s="177"/>
      <c r="N63" s="177"/>
      <c r="O63" s="177"/>
      <c r="P63" s="177"/>
    </row>
    <row r="64" ht="18.75" customHeight="1">
      <c r="A64" s="170"/>
      <c r="B64" s="193"/>
      <c r="C64" s="193"/>
      <c r="D64" s="178"/>
      <c r="E64" s="193"/>
      <c r="F64" s="178"/>
      <c r="G64" s="179"/>
      <c r="H64" s="180"/>
      <c r="I64" s="65"/>
      <c r="J64" s="181"/>
      <c r="K64" s="177"/>
      <c r="L64" s="177"/>
      <c r="M64" s="177"/>
      <c r="N64" s="177"/>
      <c r="O64" s="177"/>
      <c r="P64" s="177"/>
    </row>
    <row r="65" ht="18.75" customHeight="1">
      <c r="A65" s="170"/>
      <c r="B65" s="201"/>
      <c r="C65" s="201"/>
      <c r="D65" s="171"/>
      <c r="E65" s="201"/>
      <c r="F65" s="171"/>
      <c r="G65" s="173"/>
      <c r="H65" s="174"/>
      <c r="I65" s="175"/>
      <c r="J65" s="176"/>
      <c r="K65" s="177"/>
      <c r="L65" s="177"/>
      <c r="M65" s="177"/>
      <c r="N65" s="177"/>
      <c r="O65" s="177"/>
      <c r="P65" s="177"/>
    </row>
    <row r="66" ht="18.75" customHeight="1">
      <c r="A66" s="170"/>
      <c r="B66" s="193"/>
      <c r="C66" s="193"/>
      <c r="D66" s="178"/>
      <c r="E66" s="193"/>
      <c r="F66" s="178"/>
      <c r="G66" s="179"/>
      <c r="H66" s="180"/>
      <c r="I66" s="65"/>
      <c r="J66" s="181"/>
      <c r="K66" s="177"/>
      <c r="L66" s="177"/>
      <c r="M66" s="177"/>
      <c r="N66" s="177"/>
      <c r="O66" s="177"/>
      <c r="P66" s="177"/>
    </row>
    <row r="67" ht="18.75" customHeight="1">
      <c r="A67" s="170"/>
      <c r="B67" s="201"/>
      <c r="C67" s="201"/>
      <c r="D67" s="171"/>
      <c r="E67" s="201"/>
      <c r="F67" s="171"/>
      <c r="G67" s="173"/>
      <c r="H67" s="174"/>
      <c r="I67" s="175"/>
      <c r="J67" s="176"/>
      <c r="K67" s="177"/>
      <c r="L67" s="177"/>
      <c r="M67" s="177"/>
      <c r="N67" s="177"/>
      <c r="O67" s="177"/>
      <c r="P67" s="177"/>
    </row>
    <row r="68" ht="18.75" customHeight="1">
      <c r="A68" s="170"/>
      <c r="B68" s="193"/>
      <c r="C68" s="193"/>
      <c r="D68" s="178"/>
      <c r="E68" s="193"/>
      <c r="F68" s="178"/>
      <c r="G68" s="179"/>
      <c r="H68" s="180"/>
      <c r="I68" s="65"/>
      <c r="J68" s="181"/>
      <c r="K68" s="177"/>
      <c r="L68" s="177"/>
      <c r="M68" s="177"/>
      <c r="N68" s="177"/>
      <c r="O68" s="177"/>
      <c r="P68" s="177"/>
    </row>
    <row r="69" ht="18.75" customHeight="1">
      <c r="A69" s="170"/>
      <c r="B69" s="201"/>
      <c r="C69" s="201"/>
      <c r="D69" s="206"/>
      <c r="E69" s="201"/>
      <c r="F69" s="171"/>
      <c r="G69" s="208"/>
      <c r="H69" s="175"/>
      <c r="I69" s="175"/>
      <c r="J69" s="176"/>
      <c r="K69" s="177"/>
      <c r="L69" s="177"/>
      <c r="M69" s="177"/>
      <c r="N69" s="177"/>
      <c r="O69" s="177"/>
      <c r="P69" s="177"/>
    </row>
    <row r="70" ht="18.75" customHeight="1">
      <c r="A70" s="170"/>
      <c r="B70" s="193"/>
      <c r="C70" s="193"/>
      <c r="D70" s="194"/>
      <c r="E70" s="193"/>
      <c r="F70" s="178"/>
      <c r="G70" s="172"/>
      <c r="H70" s="65"/>
      <c r="I70" s="65"/>
      <c r="J70" s="181"/>
      <c r="K70" s="177"/>
      <c r="L70" s="177"/>
      <c r="M70" s="177"/>
      <c r="N70" s="177"/>
      <c r="O70" s="177"/>
      <c r="P70" s="177"/>
    </row>
    <row r="71" ht="18.75" customHeight="1">
      <c r="A71" s="170"/>
      <c r="B71" s="201"/>
      <c r="C71" s="201"/>
      <c r="D71" s="206"/>
      <c r="E71" s="201"/>
      <c r="F71" s="171"/>
      <c r="G71" s="208"/>
      <c r="H71" s="175"/>
      <c r="I71" s="175"/>
      <c r="J71" s="176"/>
      <c r="K71" s="177"/>
      <c r="L71" s="177"/>
      <c r="M71" s="177"/>
      <c r="N71" s="177"/>
      <c r="O71" s="177"/>
      <c r="P71" s="177"/>
    </row>
    <row r="72" ht="18.75" customHeight="1">
      <c r="A72" s="170"/>
      <c r="B72" s="193"/>
      <c r="C72" s="193"/>
      <c r="D72" s="194"/>
      <c r="E72" s="193"/>
      <c r="F72" s="178"/>
      <c r="G72" s="172"/>
      <c r="H72" s="55"/>
      <c r="I72" s="65"/>
      <c r="J72" s="181"/>
      <c r="K72" s="177"/>
      <c r="L72" s="177"/>
      <c r="M72" s="177"/>
      <c r="N72" s="177"/>
      <c r="O72" s="177"/>
      <c r="P72" s="177"/>
    </row>
    <row r="73" ht="18.75" customHeight="1">
      <c r="A73" s="170"/>
      <c r="B73" s="201"/>
      <c r="C73" s="201"/>
      <c r="D73" s="206"/>
      <c r="E73" s="201"/>
      <c r="F73" s="171"/>
      <c r="G73" s="208"/>
      <c r="H73" s="209"/>
      <c r="I73" s="175"/>
      <c r="J73" s="176"/>
      <c r="K73" s="177"/>
      <c r="L73" s="177"/>
      <c r="M73" s="177"/>
      <c r="N73" s="177"/>
      <c r="O73" s="177"/>
      <c r="P73" s="177"/>
    </row>
    <row r="74" ht="18.75" customHeight="1">
      <c r="A74" s="170"/>
      <c r="B74" s="193"/>
      <c r="C74" s="193"/>
      <c r="D74" s="194"/>
      <c r="E74" s="193"/>
      <c r="F74" s="178"/>
      <c r="G74" s="179"/>
      <c r="H74" s="180"/>
      <c r="I74" s="65"/>
      <c r="J74" s="181"/>
      <c r="K74" s="177"/>
      <c r="L74" s="177"/>
      <c r="M74" s="177"/>
      <c r="N74" s="177"/>
      <c r="O74" s="177"/>
      <c r="P74" s="177"/>
    </row>
    <row r="75" ht="18.75" customHeight="1">
      <c r="A75" s="170"/>
      <c r="B75" s="201"/>
      <c r="C75" s="201"/>
      <c r="D75" s="206"/>
      <c r="E75" s="201"/>
      <c r="F75" s="171"/>
      <c r="G75" s="208"/>
      <c r="H75" s="175"/>
      <c r="I75" s="175"/>
      <c r="J75" s="176"/>
      <c r="K75" s="177"/>
      <c r="L75" s="177"/>
      <c r="M75" s="177"/>
      <c r="N75" s="177"/>
      <c r="O75" s="177"/>
      <c r="P75" s="177"/>
    </row>
    <row r="76" ht="18.75" customHeight="1">
      <c r="A76" s="170"/>
      <c r="B76" s="193"/>
      <c r="C76" s="193"/>
      <c r="D76" s="194"/>
      <c r="E76" s="193"/>
      <c r="F76" s="178"/>
      <c r="G76" s="172"/>
      <c r="H76" s="65"/>
      <c r="I76" s="65"/>
      <c r="J76" s="181"/>
      <c r="K76" s="177"/>
      <c r="L76" s="177"/>
      <c r="M76" s="177"/>
      <c r="N76" s="177"/>
      <c r="O76" s="177"/>
      <c r="P76" s="177"/>
    </row>
    <row r="77" ht="18.75" customHeight="1">
      <c r="A77" s="170"/>
      <c r="B77" s="201"/>
      <c r="C77" s="201"/>
      <c r="D77" s="206"/>
      <c r="E77" s="201"/>
      <c r="F77" s="171"/>
      <c r="G77" s="208"/>
      <c r="H77" s="175"/>
      <c r="I77" s="175"/>
      <c r="J77" s="176"/>
      <c r="K77" s="177"/>
      <c r="L77" s="177"/>
      <c r="M77" s="177"/>
      <c r="N77" s="177"/>
      <c r="O77" s="177"/>
      <c r="P77" s="177"/>
    </row>
    <row r="78" ht="18.75" customHeight="1">
      <c r="A78" s="170"/>
      <c r="B78" s="193"/>
      <c r="C78" s="193"/>
      <c r="D78" s="194"/>
      <c r="E78" s="193"/>
      <c r="F78" s="193"/>
      <c r="G78" s="172"/>
      <c r="H78" s="65"/>
      <c r="I78" s="65"/>
      <c r="J78" s="181"/>
      <c r="K78" s="177"/>
      <c r="L78" s="177"/>
      <c r="M78" s="177"/>
      <c r="N78" s="177"/>
      <c r="O78" s="177"/>
      <c r="P78" s="177"/>
    </row>
    <row r="79" ht="18.75" customHeight="1">
      <c r="A79" s="170"/>
      <c r="B79" s="201"/>
      <c r="C79" s="201"/>
      <c r="D79" s="206"/>
      <c r="E79" s="201"/>
      <c r="F79" s="201"/>
      <c r="G79" s="208"/>
      <c r="H79" s="175"/>
      <c r="I79" s="175"/>
      <c r="J79" s="176"/>
      <c r="K79" s="177"/>
      <c r="L79" s="177"/>
      <c r="M79" s="177"/>
      <c r="N79" s="177"/>
      <c r="O79" s="177"/>
      <c r="P79" s="177"/>
    </row>
    <row r="80" ht="18.75" customHeight="1">
      <c r="A80" s="170"/>
      <c r="B80" s="193"/>
      <c r="C80" s="193"/>
      <c r="D80" s="194"/>
      <c r="E80" s="193"/>
      <c r="F80" s="193"/>
      <c r="G80" s="172"/>
      <c r="H80" s="65"/>
      <c r="I80" s="65"/>
      <c r="J80" s="181"/>
      <c r="K80" s="177"/>
      <c r="L80" s="177"/>
      <c r="M80" s="177"/>
      <c r="N80" s="177"/>
      <c r="O80" s="177"/>
      <c r="P80" s="177"/>
    </row>
    <row r="81" ht="18.75" customHeight="1">
      <c r="A81" s="170"/>
      <c r="B81" s="201"/>
      <c r="C81" s="201"/>
      <c r="D81" s="210"/>
      <c r="E81" s="201"/>
      <c r="F81" s="208"/>
      <c r="G81" s="208"/>
      <c r="H81" s="175"/>
      <c r="I81" s="175"/>
      <c r="J81" s="176"/>
      <c r="K81" s="177"/>
      <c r="L81" s="177"/>
      <c r="M81" s="177"/>
      <c r="N81" s="177"/>
      <c r="O81" s="177"/>
      <c r="P81" s="177"/>
    </row>
    <row r="82" ht="18.75" customHeight="1">
      <c r="A82" s="170"/>
      <c r="B82" s="193"/>
      <c r="C82" s="193"/>
      <c r="D82" s="195"/>
      <c r="E82" s="193"/>
      <c r="F82" s="172"/>
      <c r="G82" s="172"/>
      <c r="H82" s="55"/>
      <c r="I82" s="65"/>
      <c r="J82" s="181"/>
      <c r="K82" s="177"/>
      <c r="L82" s="177"/>
      <c r="M82" s="177"/>
      <c r="N82" s="177"/>
      <c r="O82" s="177"/>
      <c r="P82" s="177"/>
    </row>
    <row r="83" ht="18.75" customHeight="1">
      <c r="A83" s="170"/>
      <c r="B83" s="201"/>
      <c r="C83" s="201"/>
      <c r="D83" s="210"/>
      <c r="E83" s="201"/>
      <c r="F83" s="208"/>
      <c r="G83" s="208"/>
      <c r="H83" s="175"/>
      <c r="I83" s="175"/>
      <c r="J83" s="176"/>
      <c r="K83" s="177"/>
      <c r="L83" s="177"/>
      <c r="M83" s="177"/>
      <c r="N83" s="177"/>
      <c r="O83" s="177"/>
      <c r="P83" s="177"/>
    </row>
    <row r="84" ht="18.75" customHeight="1">
      <c r="A84" s="170"/>
      <c r="B84" s="193"/>
      <c r="C84" s="193"/>
      <c r="D84" s="195"/>
      <c r="E84" s="193"/>
      <c r="F84" s="172"/>
      <c r="G84" s="172"/>
      <c r="H84" s="65"/>
      <c r="I84" s="65"/>
      <c r="J84" s="181"/>
      <c r="K84" s="177"/>
      <c r="L84" s="177"/>
      <c r="M84" s="177"/>
      <c r="N84" s="177"/>
      <c r="O84" s="177"/>
      <c r="P84" s="177"/>
    </row>
    <row r="85" ht="18.75" customHeight="1">
      <c r="A85" s="170"/>
      <c r="B85" s="201"/>
      <c r="C85" s="201"/>
      <c r="D85" s="210"/>
      <c r="E85" s="201"/>
      <c r="F85" s="208"/>
      <c r="G85" s="208"/>
      <c r="H85" s="175"/>
      <c r="I85" s="175"/>
      <c r="J85" s="176"/>
      <c r="K85" s="177"/>
      <c r="L85" s="177"/>
      <c r="M85" s="177"/>
      <c r="N85" s="177"/>
      <c r="O85" s="177"/>
      <c r="P85" s="177"/>
    </row>
    <row r="86" ht="18.75" customHeight="1">
      <c r="A86" s="170"/>
      <c r="B86" s="193"/>
      <c r="C86" s="193"/>
      <c r="D86" s="195"/>
      <c r="E86" s="193"/>
      <c r="F86" s="172"/>
      <c r="G86" s="172"/>
      <c r="H86" s="65"/>
      <c r="I86" s="65"/>
      <c r="J86" s="181"/>
      <c r="K86" s="177"/>
      <c r="L86" s="177"/>
      <c r="M86" s="177"/>
      <c r="N86" s="177"/>
      <c r="O86" s="177"/>
      <c r="P86" s="177"/>
    </row>
    <row r="87" ht="18.75" customHeight="1">
      <c r="A87" s="170"/>
      <c r="B87" s="201"/>
      <c r="C87" s="201"/>
      <c r="D87" s="210"/>
      <c r="E87" s="201"/>
      <c r="F87" s="208"/>
      <c r="G87" s="208"/>
      <c r="H87" s="175"/>
      <c r="I87" s="175"/>
      <c r="J87" s="176"/>
      <c r="K87" s="177"/>
      <c r="L87" s="177"/>
      <c r="M87" s="177"/>
      <c r="N87" s="177"/>
      <c r="O87" s="177"/>
      <c r="P87" s="177"/>
    </row>
    <row r="88" ht="18.75" customHeight="1">
      <c r="A88" s="170"/>
      <c r="B88" s="193"/>
      <c r="C88" s="193"/>
      <c r="D88" s="195"/>
      <c r="E88" s="193"/>
      <c r="F88" s="193"/>
      <c r="G88" s="172"/>
      <c r="H88" s="55"/>
      <c r="I88" s="65"/>
      <c r="J88" s="181"/>
      <c r="K88" s="177"/>
      <c r="L88" s="177"/>
      <c r="M88" s="177"/>
      <c r="N88" s="177"/>
      <c r="O88" s="177"/>
      <c r="P88" s="177"/>
    </row>
    <row r="89" ht="18.75" customHeight="1">
      <c r="A89" s="170"/>
      <c r="B89" s="201"/>
      <c r="C89" s="201"/>
      <c r="D89" s="210"/>
      <c r="E89" s="201"/>
      <c r="F89" s="208"/>
      <c r="G89" s="208"/>
      <c r="H89" s="175"/>
      <c r="I89" s="175"/>
      <c r="J89" s="176"/>
      <c r="K89" s="177"/>
      <c r="L89" s="177"/>
      <c r="M89" s="177"/>
      <c r="N89" s="177"/>
      <c r="O89" s="177"/>
      <c r="P89" s="177"/>
    </row>
    <row r="90" ht="18.75" customHeight="1">
      <c r="A90" s="170"/>
      <c r="B90" s="193"/>
      <c r="C90" s="193"/>
      <c r="D90" s="195"/>
      <c r="E90" s="193"/>
      <c r="F90" s="193"/>
      <c r="G90" s="172"/>
      <c r="H90" s="65"/>
      <c r="I90" s="65"/>
      <c r="J90" s="181"/>
      <c r="K90" s="177"/>
      <c r="L90" s="177"/>
      <c r="M90" s="177"/>
      <c r="N90" s="177"/>
      <c r="O90" s="177"/>
      <c r="P90" s="177"/>
    </row>
    <row r="91" ht="18.75" customHeight="1">
      <c r="A91" s="170"/>
      <c r="B91" s="201"/>
      <c r="C91" s="201"/>
      <c r="D91" s="210"/>
      <c r="E91" s="201"/>
      <c r="F91" s="208"/>
      <c r="G91" s="208"/>
      <c r="H91" s="175"/>
      <c r="I91" s="175"/>
      <c r="J91" s="176"/>
      <c r="K91" s="177"/>
      <c r="L91" s="177"/>
      <c r="M91" s="177"/>
      <c r="N91" s="177"/>
      <c r="O91" s="177"/>
      <c r="P91" s="177"/>
    </row>
    <row r="92" ht="18.75" customHeight="1">
      <c r="A92" s="170"/>
      <c r="B92" s="193"/>
      <c r="C92" s="193"/>
      <c r="D92" s="195"/>
      <c r="E92" s="193"/>
      <c r="F92" s="172"/>
      <c r="G92" s="172"/>
      <c r="H92" s="65"/>
      <c r="I92" s="65"/>
      <c r="J92" s="181"/>
      <c r="K92" s="177"/>
      <c r="L92" s="177"/>
      <c r="M92" s="177"/>
      <c r="N92" s="177"/>
      <c r="O92" s="177"/>
      <c r="P92" s="177"/>
    </row>
    <row r="93" ht="18.75" customHeight="1">
      <c r="A93" s="170"/>
      <c r="B93" s="201"/>
      <c r="C93" s="201"/>
      <c r="D93" s="210"/>
      <c r="E93" s="201"/>
      <c r="F93" s="208"/>
      <c r="G93" s="208"/>
      <c r="H93" s="175"/>
      <c r="I93" s="175"/>
      <c r="J93" s="176"/>
      <c r="K93" s="177"/>
      <c r="L93" s="177"/>
      <c r="M93" s="177"/>
      <c r="N93" s="177"/>
      <c r="O93" s="177"/>
      <c r="P93" s="177"/>
    </row>
    <row r="94" ht="18.75" customHeight="1">
      <c r="A94" s="170"/>
      <c r="B94" s="193"/>
      <c r="C94" s="193"/>
      <c r="D94" s="195"/>
      <c r="E94" s="193"/>
      <c r="F94" s="172"/>
      <c r="G94" s="172"/>
      <c r="H94" s="55"/>
      <c r="I94" s="65"/>
      <c r="J94" s="181"/>
      <c r="K94" s="177"/>
      <c r="L94" s="177"/>
      <c r="M94" s="177"/>
      <c r="N94" s="177"/>
      <c r="O94" s="177"/>
      <c r="P94" s="177"/>
    </row>
    <row r="95" ht="18.75" customHeight="1">
      <c r="A95" s="170"/>
      <c r="B95" s="201"/>
      <c r="C95" s="201"/>
      <c r="D95" s="210"/>
      <c r="E95" s="201"/>
      <c r="F95" s="208"/>
      <c r="G95" s="208"/>
      <c r="H95" s="209"/>
      <c r="I95" s="175"/>
      <c r="J95" s="176"/>
      <c r="K95" s="177"/>
      <c r="L95" s="177"/>
      <c r="M95" s="177"/>
      <c r="N95" s="177"/>
      <c r="O95" s="177"/>
      <c r="P95" s="177"/>
    </row>
    <row r="96" ht="18.75" customHeight="1">
      <c r="A96" s="170"/>
      <c r="B96" s="193"/>
      <c r="C96" s="193"/>
      <c r="D96" s="195"/>
      <c r="E96" s="193"/>
      <c r="F96" s="172"/>
      <c r="G96" s="172"/>
      <c r="H96" s="55"/>
      <c r="I96" s="65"/>
      <c r="J96" s="181"/>
      <c r="K96" s="177"/>
      <c r="L96" s="177"/>
      <c r="M96" s="177"/>
      <c r="N96" s="177"/>
      <c r="O96" s="177"/>
      <c r="P96" s="177"/>
    </row>
    <row r="97" ht="18.75" customHeight="1">
      <c r="A97" s="170"/>
      <c r="B97" s="201"/>
      <c r="C97" s="201"/>
      <c r="D97" s="210"/>
      <c r="E97" s="201"/>
      <c r="F97" s="208"/>
      <c r="G97" s="208"/>
      <c r="H97" s="175"/>
      <c r="I97" s="175"/>
      <c r="J97" s="176"/>
      <c r="K97" s="177"/>
      <c r="L97" s="177"/>
      <c r="M97" s="177"/>
      <c r="N97" s="177"/>
      <c r="O97" s="177"/>
      <c r="P97" s="177"/>
    </row>
    <row r="98" ht="18.75" customHeight="1">
      <c r="A98" s="170"/>
      <c r="B98" s="193"/>
      <c r="C98" s="193"/>
      <c r="D98" s="195"/>
      <c r="E98" s="193"/>
      <c r="F98" s="172"/>
      <c r="G98" s="172"/>
      <c r="H98" s="55"/>
      <c r="I98" s="65"/>
      <c r="J98" s="181"/>
      <c r="K98" s="177"/>
      <c r="L98" s="177"/>
      <c r="M98" s="177"/>
      <c r="N98" s="177"/>
      <c r="O98" s="177"/>
      <c r="P98" s="177"/>
    </row>
    <row r="99" ht="18.75" customHeight="1">
      <c r="A99" s="170"/>
      <c r="B99" s="201"/>
      <c r="C99" s="201"/>
      <c r="D99" s="210"/>
      <c r="E99" s="201"/>
      <c r="F99" s="208"/>
      <c r="G99" s="208"/>
      <c r="H99" s="209"/>
      <c r="I99" s="175"/>
      <c r="J99" s="176"/>
      <c r="K99" s="177"/>
      <c r="L99" s="177"/>
      <c r="M99" s="177"/>
      <c r="N99" s="177"/>
      <c r="O99" s="177"/>
      <c r="P99" s="177"/>
    </row>
    <row r="100" ht="18.75" customHeight="1">
      <c r="A100" s="170"/>
      <c r="B100" s="193"/>
      <c r="C100" s="193"/>
      <c r="D100" s="193"/>
      <c r="E100" s="178"/>
      <c r="F100" s="178"/>
      <c r="G100" s="195"/>
      <c r="H100" s="55"/>
      <c r="I100" s="65"/>
      <c r="J100" s="181"/>
      <c r="K100" s="177"/>
      <c r="L100" s="177"/>
      <c r="M100" s="177"/>
      <c r="N100" s="177"/>
      <c r="O100" s="177"/>
      <c r="P100" s="177"/>
    </row>
    <row r="101" ht="18.75" customHeight="1">
      <c r="A101" s="170"/>
      <c r="B101" s="201"/>
      <c r="C101" s="201"/>
      <c r="D101" s="201"/>
      <c r="E101" s="171"/>
      <c r="F101" s="171"/>
      <c r="G101" s="210"/>
      <c r="H101" s="209"/>
      <c r="I101" s="175"/>
      <c r="J101" s="176"/>
      <c r="K101" s="177"/>
      <c r="L101" s="177"/>
      <c r="M101" s="177"/>
      <c r="N101" s="177"/>
      <c r="O101" s="177"/>
      <c r="P101" s="177"/>
    </row>
    <row r="102" ht="18.75" customHeight="1">
      <c r="A102" s="170"/>
      <c r="B102" s="193"/>
      <c r="C102" s="193"/>
      <c r="D102" s="193"/>
      <c r="E102" s="178"/>
      <c r="F102" s="178"/>
      <c r="G102" s="195"/>
      <c r="H102" s="55"/>
      <c r="I102" s="65"/>
      <c r="J102" s="181"/>
      <c r="K102" s="177"/>
      <c r="L102" s="177"/>
      <c r="M102" s="177"/>
      <c r="N102" s="177"/>
      <c r="O102" s="177"/>
      <c r="P102" s="177"/>
    </row>
    <row r="103" ht="18.75" customHeight="1">
      <c r="A103" s="170"/>
      <c r="B103" s="201"/>
      <c r="C103" s="201"/>
      <c r="D103" s="201"/>
      <c r="E103" s="171"/>
      <c r="F103" s="171"/>
      <c r="G103" s="210"/>
      <c r="H103" s="209"/>
      <c r="I103" s="175"/>
      <c r="J103" s="176"/>
      <c r="K103" s="177"/>
      <c r="L103" s="177"/>
      <c r="M103" s="177"/>
      <c r="N103" s="177"/>
      <c r="O103" s="177"/>
      <c r="P103" s="177"/>
    </row>
    <row r="104" ht="18.75" customHeight="1">
      <c r="A104" s="170"/>
      <c r="B104" s="193"/>
      <c r="C104" s="193"/>
      <c r="D104" s="193"/>
      <c r="E104" s="178"/>
      <c r="F104" s="178"/>
      <c r="G104" s="195"/>
      <c r="H104" s="55"/>
      <c r="I104" s="65"/>
      <c r="J104" s="181"/>
      <c r="K104" s="177"/>
      <c r="L104" s="177"/>
      <c r="M104" s="177"/>
      <c r="N104" s="177"/>
      <c r="O104" s="177"/>
      <c r="P104" s="177"/>
    </row>
    <row r="105" ht="18.75" customHeight="1">
      <c r="A105" s="170"/>
      <c r="B105" s="201"/>
      <c r="C105" s="201"/>
      <c r="D105" s="201"/>
      <c r="E105" s="171"/>
      <c r="F105" s="171"/>
      <c r="G105" s="210"/>
      <c r="H105" s="209"/>
      <c r="I105" s="175"/>
      <c r="J105" s="176"/>
      <c r="K105" s="177"/>
      <c r="L105" s="177"/>
      <c r="M105" s="177"/>
      <c r="N105" s="177"/>
      <c r="O105" s="177"/>
      <c r="P105" s="177"/>
    </row>
    <row r="106" ht="18.75" customHeight="1">
      <c r="A106" s="170"/>
      <c r="B106" s="193"/>
      <c r="C106" s="193"/>
      <c r="D106" s="193"/>
      <c r="E106" s="178"/>
      <c r="F106" s="178"/>
      <c r="G106" s="172"/>
      <c r="H106" s="55"/>
      <c r="I106" s="65"/>
      <c r="J106" s="181"/>
      <c r="K106" s="177"/>
      <c r="L106" s="177"/>
      <c r="M106" s="177"/>
      <c r="N106" s="177"/>
      <c r="O106" s="177"/>
      <c r="P106" s="177"/>
    </row>
    <row r="107" ht="18.75" customHeight="1">
      <c r="A107" s="170"/>
      <c r="B107" s="201"/>
      <c r="C107" s="201"/>
      <c r="D107" s="201"/>
      <c r="E107" s="171"/>
      <c r="F107" s="171"/>
      <c r="G107" s="208"/>
      <c r="H107" s="209"/>
      <c r="I107" s="175"/>
      <c r="J107" s="176"/>
      <c r="K107" s="177"/>
      <c r="L107" s="177"/>
      <c r="M107" s="177"/>
      <c r="N107" s="177"/>
      <c r="O107" s="177"/>
      <c r="P107" s="177"/>
    </row>
    <row r="108" ht="18.75" customHeight="1">
      <c r="A108" s="170"/>
      <c r="B108" s="193"/>
      <c r="C108" s="193"/>
      <c r="D108" s="193"/>
      <c r="E108" s="178"/>
      <c r="F108" s="178"/>
      <c r="G108" s="172"/>
      <c r="H108" s="55"/>
      <c r="I108" s="65"/>
      <c r="J108" s="181"/>
      <c r="K108" s="177"/>
      <c r="L108" s="177"/>
      <c r="M108" s="177"/>
      <c r="N108" s="177"/>
      <c r="O108" s="177"/>
      <c r="P108" s="177"/>
    </row>
    <row r="109" ht="18.75" customHeight="1">
      <c r="A109" s="170"/>
      <c r="B109" s="201"/>
      <c r="C109" s="201"/>
      <c r="D109" s="201"/>
      <c r="E109" s="171"/>
      <c r="F109" s="171"/>
      <c r="G109" s="208"/>
      <c r="H109" s="209"/>
      <c r="I109" s="175"/>
      <c r="J109" s="176"/>
      <c r="K109" s="177"/>
      <c r="L109" s="177"/>
      <c r="M109" s="177"/>
      <c r="N109" s="177"/>
      <c r="O109" s="177"/>
      <c r="P109" s="177"/>
    </row>
    <row r="110" ht="18.75" customHeight="1">
      <c r="A110" s="170"/>
      <c r="B110" s="193"/>
      <c r="C110" s="193"/>
      <c r="D110" s="193"/>
      <c r="E110" s="178"/>
      <c r="F110" s="178"/>
      <c r="G110" s="172"/>
      <c r="H110" s="55"/>
      <c r="I110" s="65"/>
      <c r="J110" s="181"/>
      <c r="K110" s="177"/>
      <c r="L110" s="177"/>
      <c r="M110" s="177"/>
      <c r="N110" s="177"/>
      <c r="O110" s="177"/>
      <c r="P110" s="177"/>
    </row>
    <row r="111" ht="18.75" customHeight="1">
      <c r="A111" s="170"/>
      <c r="B111" s="201"/>
      <c r="C111" s="201"/>
      <c r="D111" s="201"/>
      <c r="E111" s="171"/>
      <c r="F111" s="171"/>
      <c r="G111" s="208"/>
      <c r="H111" s="209"/>
      <c r="I111" s="175"/>
      <c r="J111" s="176"/>
      <c r="K111" s="177"/>
      <c r="L111" s="177"/>
      <c r="M111" s="177"/>
      <c r="N111" s="177"/>
      <c r="O111" s="177"/>
      <c r="P111" s="177"/>
    </row>
    <row r="112" ht="18.75" customHeight="1">
      <c r="A112" s="170"/>
      <c r="B112" s="193"/>
      <c r="C112" s="193"/>
      <c r="D112" s="193"/>
      <c r="E112" s="178"/>
      <c r="F112" s="178"/>
      <c r="G112" s="172"/>
      <c r="H112" s="55"/>
      <c r="I112" s="65"/>
      <c r="J112" s="181"/>
      <c r="K112" s="177"/>
      <c r="L112" s="177"/>
      <c r="M112" s="177"/>
      <c r="N112" s="177"/>
      <c r="O112" s="177"/>
      <c r="P112" s="177"/>
    </row>
    <row r="113" ht="18.75" customHeight="1">
      <c r="A113" s="170"/>
      <c r="B113" s="201"/>
      <c r="C113" s="201"/>
      <c r="D113" s="201"/>
      <c r="E113" s="171"/>
      <c r="F113" s="171"/>
      <c r="G113" s="208"/>
      <c r="H113" s="209"/>
      <c r="I113" s="175"/>
      <c r="J113" s="176"/>
      <c r="K113" s="177"/>
      <c r="L113" s="177"/>
      <c r="M113" s="177"/>
      <c r="N113" s="177"/>
      <c r="O113" s="177"/>
      <c r="P113" s="177"/>
    </row>
    <row r="114" ht="18.75" customHeight="1">
      <c r="A114" s="170"/>
      <c r="B114" s="193"/>
      <c r="C114" s="193"/>
      <c r="D114" s="193"/>
      <c r="E114" s="178"/>
      <c r="F114" s="178"/>
      <c r="G114" s="172"/>
      <c r="H114" s="55"/>
      <c r="I114" s="65"/>
      <c r="J114" s="181"/>
      <c r="K114" s="177"/>
      <c r="L114" s="177"/>
      <c r="M114" s="177"/>
      <c r="N114" s="177"/>
      <c r="O114" s="177"/>
      <c r="P114" s="177"/>
    </row>
    <row r="115" ht="18.75" customHeight="1">
      <c r="A115" s="170"/>
      <c r="B115" s="201"/>
      <c r="C115" s="201"/>
      <c r="D115" s="201"/>
      <c r="E115" s="171"/>
      <c r="F115" s="171"/>
      <c r="G115" s="208"/>
      <c r="H115" s="209"/>
      <c r="I115" s="175"/>
      <c r="J115" s="176"/>
      <c r="K115" s="177"/>
      <c r="L115" s="177"/>
      <c r="M115" s="177"/>
      <c r="N115" s="177"/>
      <c r="O115" s="177"/>
      <c r="P115" s="177"/>
    </row>
    <row r="116" ht="18.75" customHeight="1">
      <c r="A116" s="170"/>
      <c r="B116" s="193"/>
      <c r="C116" s="193"/>
      <c r="D116" s="193"/>
      <c r="E116" s="178"/>
      <c r="F116" s="178"/>
      <c r="G116" s="172"/>
      <c r="H116" s="55"/>
      <c r="I116" s="65"/>
      <c r="J116" s="181"/>
      <c r="K116" s="177"/>
      <c r="L116" s="177"/>
      <c r="M116" s="177"/>
      <c r="N116" s="177"/>
      <c r="O116" s="177"/>
      <c r="P116" s="177"/>
    </row>
    <row r="117" ht="18.75" customHeight="1">
      <c r="A117" s="170"/>
      <c r="B117" s="201"/>
      <c r="C117" s="201"/>
      <c r="D117" s="201"/>
      <c r="E117" s="171"/>
      <c r="F117" s="171"/>
      <c r="G117" s="208"/>
      <c r="H117" s="209"/>
      <c r="I117" s="175"/>
      <c r="J117" s="176"/>
      <c r="K117" s="177"/>
      <c r="L117" s="177"/>
      <c r="M117" s="177"/>
      <c r="N117" s="177"/>
      <c r="O117" s="177"/>
      <c r="P117" s="177"/>
    </row>
    <row r="118" ht="18.75" customHeight="1">
      <c r="A118" s="170"/>
      <c r="B118" s="193"/>
      <c r="C118" s="193"/>
      <c r="D118" s="193"/>
      <c r="E118" s="178"/>
      <c r="F118" s="178"/>
      <c r="G118" s="172"/>
      <c r="H118" s="55"/>
      <c r="I118" s="65"/>
      <c r="J118" s="181"/>
      <c r="K118" s="177"/>
      <c r="L118" s="177"/>
      <c r="M118" s="177"/>
      <c r="N118" s="177"/>
      <c r="O118" s="177"/>
      <c r="P118" s="177"/>
    </row>
    <row r="119" ht="18.75" customHeight="1">
      <c r="A119" s="170"/>
      <c r="B119" s="201"/>
      <c r="C119" s="201"/>
      <c r="D119" s="201"/>
      <c r="E119" s="171"/>
      <c r="F119" s="171"/>
      <c r="G119" s="208"/>
      <c r="H119" s="209"/>
      <c r="I119" s="175"/>
      <c r="J119" s="176"/>
      <c r="K119" s="177"/>
      <c r="L119" s="177"/>
      <c r="M119" s="177"/>
      <c r="N119" s="177"/>
      <c r="O119" s="177"/>
      <c r="P119" s="177"/>
    </row>
    <row r="120" ht="18.75" customHeight="1">
      <c r="A120" s="170"/>
      <c r="B120" s="193"/>
      <c r="C120" s="193"/>
      <c r="D120" s="193"/>
      <c r="E120" s="178"/>
      <c r="F120" s="178"/>
      <c r="G120" s="172"/>
      <c r="H120" s="55"/>
      <c r="I120" s="65"/>
      <c r="J120" s="181"/>
      <c r="K120" s="177"/>
      <c r="L120" s="177"/>
      <c r="M120" s="177"/>
      <c r="N120" s="177"/>
      <c r="O120" s="177"/>
      <c r="P120" s="177"/>
    </row>
    <row r="121" ht="18.75" customHeight="1">
      <c r="A121" s="170"/>
      <c r="B121" s="201"/>
      <c r="C121" s="201"/>
      <c r="D121" s="201"/>
      <c r="E121" s="171"/>
      <c r="F121" s="171"/>
      <c r="G121" s="208"/>
      <c r="H121" s="209"/>
      <c r="I121" s="175"/>
      <c r="J121" s="176"/>
      <c r="K121" s="177"/>
      <c r="L121" s="177"/>
      <c r="M121" s="177"/>
      <c r="N121" s="177"/>
      <c r="O121" s="177"/>
      <c r="P121" s="177"/>
    </row>
    <row r="122" ht="18.75" customHeight="1">
      <c r="A122" s="170"/>
      <c r="B122" s="193"/>
      <c r="C122" s="193"/>
      <c r="D122" s="193"/>
      <c r="E122" s="178"/>
      <c r="F122" s="178"/>
      <c r="G122" s="172"/>
      <c r="H122" s="55"/>
      <c r="I122" s="65"/>
      <c r="J122" s="181"/>
      <c r="K122" s="177"/>
      <c r="L122" s="177"/>
      <c r="M122" s="177"/>
      <c r="N122" s="177"/>
      <c r="O122" s="177"/>
      <c r="P122" s="177"/>
    </row>
    <row r="123" ht="18.75" customHeight="1">
      <c r="A123" s="170"/>
      <c r="B123" s="201"/>
      <c r="C123" s="201"/>
      <c r="D123" s="201"/>
      <c r="E123" s="171"/>
      <c r="F123" s="171"/>
      <c r="G123" s="208"/>
      <c r="H123" s="209"/>
      <c r="I123" s="175"/>
      <c r="J123" s="176"/>
      <c r="K123" s="177"/>
      <c r="L123" s="177"/>
      <c r="M123" s="177"/>
      <c r="N123" s="177"/>
      <c r="O123" s="177"/>
      <c r="P123" s="177"/>
    </row>
    <row r="124" ht="18.75" customHeight="1">
      <c r="A124" s="170"/>
      <c r="B124" s="193"/>
      <c r="C124" s="193"/>
      <c r="D124" s="193"/>
      <c r="E124" s="178"/>
      <c r="F124" s="178"/>
      <c r="G124" s="172"/>
      <c r="H124" s="55"/>
      <c r="I124" s="65"/>
      <c r="J124" s="181"/>
      <c r="K124" s="177"/>
      <c r="L124" s="177"/>
      <c r="M124" s="177"/>
      <c r="N124" s="177"/>
      <c r="O124" s="177"/>
      <c r="P124" s="177"/>
    </row>
    <row r="125" ht="18.75" customHeight="1">
      <c r="A125" s="170"/>
      <c r="B125" s="201"/>
      <c r="C125" s="201"/>
      <c r="D125" s="201"/>
      <c r="E125" s="171"/>
      <c r="F125" s="171"/>
      <c r="G125" s="208"/>
      <c r="H125" s="209"/>
      <c r="I125" s="175"/>
      <c r="J125" s="176"/>
      <c r="K125" s="177"/>
      <c r="L125" s="177"/>
      <c r="M125" s="177"/>
      <c r="N125" s="177"/>
      <c r="O125" s="177"/>
      <c r="P125" s="177"/>
    </row>
    <row r="126" ht="18.75" customHeight="1">
      <c r="A126" s="170"/>
      <c r="B126" s="193"/>
      <c r="C126" s="193"/>
      <c r="D126" s="193"/>
      <c r="E126" s="178"/>
      <c r="F126" s="178"/>
      <c r="G126" s="172"/>
      <c r="H126" s="55"/>
      <c r="I126" s="65"/>
      <c r="J126" s="181"/>
      <c r="K126" s="177"/>
      <c r="L126" s="177"/>
      <c r="M126" s="177"/>
      <c r="N126" s="177"/>
      <c r="O126" s="177"/>
      <c r="P126" s="177"/>
    </row>
    <row r="127" ht="18.75" customHeight="1">
      <c r="A127" s="170"/>
      <c r="B127" s="201"/>
      <c r="C127" s="201"/>
      <c r="D127" s="201"/>
      <c r="E127" s="171"/>
      <c r="F127" s="171"/>
      <c r="G127" s="208"/>
      <c r="H127" s="209"/>
      <c r="I127" s="175"/>
      <c r="J127" s="176"/>
      <c r="K127" s="177"/>
      <c r="L127" s="177"/>
      <c r="M127" s="177"/>
      <c r="N127" s="177"/>
      <c r="O127" s="177"/>
      <c r="P127" s="177"/>
    </row>
    <row r="128" ht="18.75" customHeight="1">
      <c r="A128" s="170"/>
      <c r="B128" s="193"/>
      <c r="C128" s="193"/>
      <c r="D128" s="193"/>
      <c r="E128" s="193"/>
      <c r="F128" s="193"/>
      <c r="G128" s="172"/>
      <c r="H128" s="55"/>
      <c r="I128" s="65"/>
      <c r="J128" s="181"/>
      <c r="K128" s="177"/>
      <c r="L128" s="177"/>
      <c r="M128" s="177"/>
      <c r="N128" s="177"/>
      <c r="O128" s="177"/>
      <c r="P128" s="177"/>
    </row>
    <row r="129" ht="18.75" customHeight="1">
      <c r="A129" s="170"/>
      <c r="B129" s="201"/>
      <c r="C129" s="201"/>
      <c r="D129" s="201"/>
      <c r="E129" s="201"/>
      <c r="F129" s="201"/>
      <c r="G129" s="208"/>
      <c r="H129" s="209"/>
      <c r="I129" s="175"/>
      <c r="J129" s="176"/>
      <c r="K129" s="177"/>
      <c r="L129" s="177"/>
      <c r="M129" s="177"/>
      <c r="N129" s="177"/>
      <c r="O129" s="177"/>
      <c r="P129" s="177"/>
    </row>
    <row r="130" ht="18.75" customHeight="1">
      <c r="A130" s="170"/>
      <c r="B130" s="193"/>
      <c r="C130" s="193"/>
      <c r="D130" s="193"/>
      <c r="E130" s="193"/>
      <c r="F130" s="193"/>
      <c r="G130" s="172"/>
      <c r="H130" s="55"/>
      <c r="I130" s="65"/>
      <c r="J130" s="181"/>
      <c r="K130" s="177"/>
      <c r="L130" s="177"/>
      <c r="M130" s="177"/>
      <c r="N130" s="177"/>
      <c r="O130" s="177"/>
      <c r="P130" s="177"/>
    </row>
    <row r="131" ht="18.75" customHeight="1">
      <c r="A131" s="170"/>
      <c r="B131" s="201"/>
      <c r="C131" s="201"/>
      <c r="D131" s="201"/>
      <c r="E131" s="201"/>
      <c r="F131" s="201"/>
      <c r="G131" s="208"/>
      <c r="H131" s="209"/>
      <c r="I131" s="175"/>
      <c r="J131" s="176"/>
      <c r="K131" s="177"/>
      <c r="L131" s="177"/>
      <c r="M131" s="177"/>
      <c r="N131" s="177"/>
      <c r="O131" s="177"/>
      <c r="P131" s="177"/>
    </row>
    <row r="132" ht="18.75" customHeight="1">
      <c r="A132" s="170"/>
      <c r="B132" s="193"/>
      <c r="C132" s="193"/>
      <c r="D132" s="193"/>
      <c r="E132" s="193"/>
      <c r="F132" s="193"/>
      <c r="G132" s="172"/>
      <c r="H132" s="55"/>
      <c r="I132" s="65"/>
      <c r="J132" s="181"/>
      <c r="K132" s="177"/>
      <c r="L132" s="177"/>
      <c r="M132" s="177"/>
      <c r="N132" s="177"/>
      <c r="O132" s="177"/>
      <c r="P132" s="177"/>
    </row>
    <row r="133" ht="18.75" customHeight="1">
      <c r="A133" s="170"/>
      <c r="B133" s="201"/>
      <c r="C133" s="201"/>
      <c r="D133" s="201"/>
      <c r="E133" s="201"/>
      <c r="F133" s="201"/>
      <c r="G133" s="208"/>
      <c r="H133" s="209"/>
      <c r="I133" s="175"/>
      <c r="J133" s="176"/>
      <c r="K133" s="177"/>
      <c r="L133" s="177"/>
      <c r="M133" s="177"/>
      <c r="N133" s="177"/>
      <c r="O133" s="177"/>
      <c r="P133" s="177"/>
    </row>
    <row r="134" ht="18.75" customHeight="1">
      <c r="A134" s="170"/>
      <c r="B134" s="193"/>
      <c r="C134" s="193"/>
      <c r="D134" s="193"/>
      <c r="E134" s="193"/>
      <c r="F134" s="193"/>
      <c r="G134" s="172"/>
      <c r="H134" s="55"/>
      <c r="I134" s="65"/>
      <c r="J134" s="181"/>
      <c r="K134" s="177"/>
      <c r="L134" s="177"/>
      <c r="M134" s="177"/>
      <c r="N134" s="177"/>
      <c r="O134" s="177"/>
      <c r="P134" s="177"/>
    </row>
    <row r="135" ht="18.75" customHeight="1">
      <c r="A135" s="170"/>
      <c r="B135" s="201"/>
      <c r="C135" s="201"/>
      <c r="D135" s="201"/>
      <c r="E135" s="201"/>
      <c r="F135" s="201"/>
      <c r="G135" s="208"/>
      <c r="H135" s="209"/>
      <c r="I135" s="175"/>
      <c r="J135" s="176"/>
      <c r="K135" s="177"/>
      <c r="L135" s="177"/>
      <c r="M135" s="177"/>
      <c r="N135" s="177"/>
      <c r="O135" s="177"/>
      <c r="P135" s="177"/>
    </row>
    <row r="136" ht="18.75" customHeight="1">
      <c r="A136" s="170"/>
      <c r="B136" s="193"/>
      <c r="C136" s="193"/>
      <c r="D136" s="193"/>
      <c r="E136" s="193"/>
      <c r="F136" s="193"/>
      <c r="G136" s="172"/>
      <c r="H136" s="55"/>
      <c r="I136" s="65"/>
      <c r="J136" s="181"/>
      <c r="K136" s="177"/>
      <c r="L136" s="177"/>
      <c r="M136" s="177"/>
      <c r="N136" s="177"/>
      <c r="O136" s="177"/>
      <c r="P136" s="177"/>
    </row>
    <row r="137" ht="18.75" customHeight="1">
      <c r="A137" s="170"/>
      <c r="B137" s="201"/>
      <c r="C137" s="201"/>
      <c r="D137" s="201"/>
      <c r="E137" s="201"/>
      <c r="F137" s="201"/>
      <c r="G137" s="208"/>
      <c r="H137" s="209"/>
      <c r="I137" s="175"/>
      <c r="J137" s="176"/>
      <c r="K137" s="177"/>
      <c r="L137" s="177"/>
      <c r="M137" s="177"/>
      <c r="N137" s="177"/>
      <c r="O137" s="177"/>
      <c r="P137" s="177"/>
    </row>
    <row r="138" ht="18.75" customHeight="1">
      <c r="A138" s="170"/>
      <c r="B138" s="193"/>
      <c r="C138" s="193"/>
      <c r="D138" s="193"/>
      <c r="E138" s="193"/>
      <c r="F138" s="193"/>
      <c r="G138" s="172"/>
      <c r="H138" s="55"/>
      <c r="I138" s="65"/>
      <c r="J138" s="181"/>
      <c r="K138" s="177"/>
      <c r="L138" s="177"/>
      <c r="M138" s="177"/>
      <c r="N138" s="177"/>
      <c r="O138" s="177"/>
      <c r="P138" s="177"/>
    </row>
    <row r="139" ht="18.75" customHeight="1">
      <c r="A139" s="170"/>
      <c r="B139" s="201"/>
      <c r="C139" s="201"/>
      <c r="D139" s="201"/>
      <c r="E139" s="201"/>
      <c r="F139" s="201"/>
      <c r="G139" s="208"/>
      <c r="H139" s="209"/>
      <c r="I139" s="175"/>
      <c r="J139" s="176"/>
      <c r="K139" s="177"/>
      <c r="L139" s="177"/>
      <c r="M139" s="177"/>
      <c r="N139" s="177"/>
      <c r="O139" s="177"/>
      <c r="P139" s="177"/>
    </row>
    <row r="140" ht="18.75" customHeight="1">
      <c r="A140" s="170"/>
      <c r="B140" s="193"/>
      <c r="C140" s="193"/>
      <c r="D140" s="193"/>
      <c r="E140" s="193"/>
      <c r="F140" s="193"/>
      <c r="G140" s="172"/>
      <c r="H140" s="55"/>
      <c r="I140" s="65"/>
      <c r="J140" s="181"/>
      <c r="K140" s="177"/>
      <c r="L140" s="177"/>
      <c r="M140" s="177"/>
      <c r="N140" s="177"/>
      <c r="O140" s="177"/>
      <c r="P140" s="177"/>
    </row>
    <row r="141" ht="18.75" customHeight="1">
      <c r="A141" s="170"/>
      <c r="B141" s="201"/>
      <c r="C141" s="201"/>
      <c r="D141" s="201"/>
      <c r="E141" s="201"/>
      <c r="F141" s="201"/>
      <c r="G141" s="208"/>
      <c r="H141" s="209"/>
      <c r="I141" s="175"/>
      <c r="J141" s="176"/>
      <c r="K141" s="177"/>
      <c r="L141" s="177"/>
      <c r="M141" s="177"/>
      <c r="N141" s="177"/>
      <c r="O141" s="177"/>
      <c r="P141" s="177"/>
    </row>
    <row r="142" ht="18.75" customHeight="1">
      <c r="A142" s="170"/>
      <c r="B142" s="193"/>
      <c r="C142" s="195"/>
      <c r="D142" s="195"/>
      <c r="E142" s="193"/>
      <c r="F142" s="193"/>
      <c r="G142" s="195"/>
      <c r="H142" s="55"/>
      <c r="I142" s="65"/>
      <c r="J142" s="181"/>
      <c r="K142" s="177"/>
      <c r="L142" s="177"/>
      <c r="M142" s="177"/>
      <c r="N142" s="177"/>
      <c r="O142" s="177"/>
      <c r="P142" s="177"/>
    </row>
    <row r="143" ht="18.75" customHeight="1">
      <c r="A143" s="170"/>
      <c r="B143" s="201"/>
      <c r="C143" s="210"/>
      <c r="D143" s="195"/>
      <c r="E143" s="201"/>
      <c r="F143" s="201"/>
      <c r="G143" s="195"/>
      <c r="H143" s="209"/>
      <c r="I143" s="175"/>
      <c r="J143" s="176"/>
      <c r="K143" s="177"/>
      <c r="L143" s="177"/>
      <c r="M143" s="177"/>
      <c r="N143" s="177"/>
      <c r="O143" s="177"/>
      <c r="P143" s="177"/>
    </row>
    <row r="144" ht="18.75" customHeight="1">
      <c r="A144" s="170"/>
      <c r="B144" s="193"/>
      <c r="C144" s="195"/>
      <c r="D144" s="195"/>
      <c r="E144" s="193"/>
      <c r="F144" s="193"/>
      <c r="G144" s="195"/>
      <c r="H144" s="55"/>
      <c r="I144" s="65"/>
      <c r="J144" s="181"/>
      <c r="K144" s="177"/>
      <c r="L144" s="177"/>
      <c r="M144" s="177"/>
      <c r="N144" s="177"/>
      <c r="O144" s="177"/>
      <c r="P144" s="177"/>
    </row>
    <row r="145" ht="18.75" customHeight="1">
      <c r="A145" s="170"/>
      <c r="B145" s="201"/>
      <c r="C145" s="210"/>
      <c r="D145" s="195"/>
      <c r="E145" s="201"/>
      <c r="F145" s="201"/>
      <c r="G145" s="208"/>
      <c r="H145" s="175"/>
      <c r="I145" s="175"/>
      <c r="J145" s="176"/>
      <c r="K145" s="177"/>
      <c r="L145" s="177"/>
      <c r="M145" s="177"/>
      <c r="N145" s="177"/>
      <c r="O145" s="177"/>
      <c r="P145" s="177"/>
    </row>
    <row r="146" ht="18.75" customHeight="1">
      <c r="A146" s="170"/>
      <c r="B146" s="195"/>
      <c r="C146" s="195"/>
      <c r="D146" s="195"/>
      <c r="E146" s="193"/>
      <c r="F146" s="193"/>
      <c r="G146" s="172"/>
      <c r="H146" s="65"/>
      <c r="I146" s="65"/>
      <c r="J146" s="181"/>
      <c r="K146" s="177"/>
      <c r="L146" s="177"/>
      <c r="M146" s="177"/>
      <c r="N146" s="177"/>
      <c r="O146" s="177"/>
      <c r="P146" s="177"/>
    </row>
    <row r="147" ht="18.75" customHeight="1">
      <c r="A147" s="170"/>
      <c r="B147" s="210"/>
      <c r="C147" s="210"/>
      <c r="D147" s="195"/>
      <c r="E147" s="201"/>
      <c r="F147" s="201"/>
      <c r="G147" s="208"/>
      <c r="H147" s="209"/>
      <c r="I147" s="175"/>
      <c r="J147" s="176"/>
      <c r="K147" s="177"/>
      <c r="L147" s="177"/>
      <c r="M147" s="177"/>
      <c r="N147" s="177"/>
      <c r="O147" s="177"/>
      <c r="P147" s="177"/>
    </row>
    <row r="148" ht="18.75" customHeight="1">
      <c r="A148" s="170"/>
      <c r="B148" s="195"/>
      <c r="C148" s="195"/>
      <c r="D148" s="195"/>
      <c r="E148" s="193"/>
      <c r="F148" s="193"/>
      <c r="G148" s="195"/>
      <c r="H148" s="55"/>
      <c r="I148" s="65"/>
      <c r="J148" s="181"/>
      <c r="K148" s="177"/>
      <c r="L148" s="177"/>
      <c r="M148" s="177"/>
      <c r="N148" s="177"/>
      <c r="O148" s="177"/>
      <c r="P148" s="177"/>
    </row>
    <row r="149" ht="18.75" customHeight="1">
      <c r="A149" s="170"/>
      <c r="B149" s="201"/>
      <c r="C149" s="210"/>
      <c r="D149" s="195"/>
      <c r="E149" s="201"/>
      <c r="F149" s="201"/>
      <c r="G149" s="195"/>
      <c r="H149" s="209"/>
      <c r="I149" s="175"/>
      <c r="J149" s="176"/>
      <c r="K149" s="177"/>
      <c r="L149" s="177"/>
      <c r="M149" s="177"/>
      <c r="N149" s="177"/>
      <c r="O149" s="177"/>
      <c r="P149" s="177"/>
    </row>
    <row r="150" ht="18.75" customHeight="1">
      <c r="A150" s="170"/>
      <c r="B150" s="193"/>
      <c r="C150" s="195"/>
      <c r="D150" s="195"/>
      <c r="E150" s="193"/>
      <c r="F150" s="193"/>
      <c r="G150" s="172"/>
      <c r="H150" s="65"/>
      <c r="I150" s="65"/>
      <c r="J150" s="181"/>
      <c r="K150" s="177"/>
      <c r="L150" s="177"/>
      <c r="M150" s="177"/>
      <c r="N150" s="177"/>
      <c r="O150" s="177"/>
      <c r="P150" s="177"/>
    </row>
    <row r="151" ht="18.75" customHeight="1">
      <c r="A151" s="170"/>
      <c r="B151" s="201"/>
      <c r="C151" s="210"/>
      <c r="D151" s="195"/>
      <c r="E151" s="201"/>
      <c r="F151" s="201"/>
      <c r="G151" s="208"/>
      <c r="H151" s="175"/>
      <c r="I151" s="175"/>
      <c r="J151" s="176"/>
      <c r="K151" s="177"/>
      <c r="L151" s="177"/>
      <c r="M151" s="177"/>
      <c r="N151" s="177"/>
      <c r="O151" s="177"/>
      <c r="P151" s="177"/>
    </row>
    <row r="152" ht="18.75" customHeight="1">
      <c r="A152" s="170"/>
      <c r="B152" s="193"/>
      <c r="C152" s="195"/>
      <c r="D152" s="195"/>
      <c r="E152" s="193"/>
      <c r="F152" s="193"/>
      <c r="G152" s="172"/>
      <c r="H152" s="65"/>
      <c r="I152" s="65"/>
      <c r="J152" s="181"/>
      <c r="K152" s="177"/>
      <c r="L152" s="177"/>
      <c r="M152" s="177"/>
      <c r="N152" s="177"/>
      <c r="O152" s="177"/>
      <c r="P152" s="177"/>
    </row>
    <row r="153" ht="18.75" customHeight="1">
      <c r="A153" s="170"/>
      <c r="B153" s="201"/>
      <c r="C153" s="210"/>
      <c r="D153" s="195"/>
      <c r="E153" s="201"/>
      <c r="F153" s="201"/>
      <c r="G153" s="208"/>
      <c r="H153" s="175"/>
      <c r="I153" s="175"/>
      <c r="J153" s="176"/>
      <c r="K153" s="177"/>
      <c r="L153" s="177"/>
      <c r="M153" s="177"/>
      <c r="N153" s="177"/>
      <c r="O153" s="177"/>
      <c r="P153" s="177"/>
    </row>
    <row r="154" ht="18.75" customHeight="1">
      <c r="A154" s="170"/>
      <c r="B154" s="193"/>
      <c r="C154" s="195"/>
      <c r="D154" s="195"/>
      <c r="E154" s="193"/>
      <c r="F154" s="193"/>
      <c r="G154" s="172"/>
      <c r="H154" s="55"/>
      <c r="I154" s="65"/>
      <c r="J154" s="181"/>
      <c r="K154" s="177"/>
      <c r="L154" s="177"/>
      <c r="M154" s="177"/>
      <c r="N154" s="177"/>
      <c r="O154" s="177"/>
      <c r="P154" s="177"/>
    </row>
    <row r="155" ht="18.75" customHeight="1">
      <c r="A155" s="170"/>
      <c r="B155" s="201"/>
      <c r="C155" s="210"/>
      <c r="D155" s="195"/>
      <c r="E155" s="201"/>
      <c r="F155" s="201"/>
      <c r="G155" s="208"/>
      <c r="H155" s="175"/>
      <c r="I155" s="175"/>
      <c r="J155" s="176"/>
      <c r="K155" s="177"/>
      <c r="L155" s="177"/>
      <c r="M155" s="177"/>
      <c r="N155" s="177"/>
      <c r="O155" s="177"/>
      <c r="P155" s="177"/>
    </row>
    <row r="156" ht="18.75" customHeight="1">
      <c r="A156" s="170"/>
      <c r="B156" s="193"/>
      <c r="C156" s="195"/>
      <c r="D156" s="195"/>
      <c r="E156" s="193"/>
      <c r="F156" s="193"/>
      <c r="G156" s="172"/>
      <c r="H156" s="65"/>
      <c r="I156" s="65"/>
      <c r="J156" s="181"/>
      <c r="K156" s="177"/>
      <c r="L156" s="177"/>
      <c r="M156" s="177"/>
      <c r="N156" s="177"/>
      <c r="O156" s="177"/>
      <c r="P156" s="177"/>
    </row>
    <row r="157" ht="18.75" customHeight="1">
      <c r="A157" s="170"/>
      <c r="B157" s="201"/>
      <c r="C157" s="210"/>
      <c r="D157" s="195"/>
      <c r="E157" s="201"/>
      <c r="F157" s="201"/>
      <c r="G157" s="208"/>
      <c r="H157" s="175"/>
      <c r="I157" s="175"/>
      <c r="J157" s="176"/>
      <c r="K157" s="177"/>
      <c r="L157" s="177"/>
      <c r="M157" s="177"/>
      <c r="N157" s="177"/>
      <c r="O157" s="177"/>
      <c r="P157" s="177"/>
    </row>
    <row r="158" ht="18.75" customHeight="1">
      <c r="A158" s="170"/>
      <c r="B158" s="193"/>
      <c r="C158" s="195"/>
      <c r="D158" s="195"/>
      <c r="E158" s="193"/>
      <c r="F158" s="193"/>
      <c r="G158" s="172"/>
      <c r="H158" s="55"/>
      <c r="I158" s="65"/>
      <c r="J158" s="181"/>
      <c r="K158" s="177"/>
      <c r="L158" s="177"/>
      <c r="M158" s="177"/>
      <c r="N158" s="177"/>
      <c r="O158" s="177"/>
      <c r="P158" s="177"/>
    </row>
    <row r="159" ht="18.75" customHeight="1">
      <c r="A159" s="170"/>
      <c r="B159" s="201"/>
      <c r="C159" s="210"/>
      <c r="D159" s="195"/>
      <c r="E159" s="201"/>
      <c r="F159" s="201"/>
      <c r="G159" s="208"/>
      <c r="H159" s="175"/>
      <c r="I159" s="175"/>
      <c r="J159" s="176"/>
      <c r="K159" s="177"/>
      <c r="L159" s="177"/>
      <c r="M159" s="177"/>
      <c r="N159" s="177"/>
      <c r="O159" s="177"/>
      <c r="P159" s="177"/>
    </row>
    <row r="160" ht="18.75" customHeight="1">
      <c r="A160" s="170"/>
      <c r="B160" s="193"/>
      <c r="C160" s="195"/>
      <c r="D160" s="195"/>
      <c r="E160" s="193"/>
      <c r="F160" s="193"/>
      <c r="G160" s="172"/>
      <c r="H160" s="55"/>
      <c r="I160" s="65"/>
      <c r="J160" s="181"/>
      <c r="K160" s="177"/>
      <c r="L160" s="177"/>
      <c r="M160" s="177"/>
      <c r="N160" s="177"/>
      <c r="O160" s="177"/>
      <c r="P160" s="177"/>
    </row>
    <row r="161" ht="18.75" customHeight="1">
      <c r="A161" s="170"/>
      <c r="B161" s="201"/>
      <c r="C161" s="201"/>
      <c r="D161" s="195"/>
      <c r="E161" s="201"/>
      <c r="F161" s="201"/>
      <c r="G161" s="195"/>
      <c r="H161" s="175"/>
      <c r="I161" s="175"/>
      <c r="J161" s="176"/>
      <c r="K161" s="177"/>
      <c r="L161" s="177"/>
      <c r="M161" s="177"/>
      <c r="N161" s="177"/>
      <c r="O161" s="177"/>
      <c r="P161" s="177"/>
    </row>
    <row r="162" ht="18.75" customHeight="1">
      <c r="A162" s="170"/>
      <c r="B162" s="193"/>
      <c r="C162" s="193"/>
      <c r="D162" s="195"/>
      <c r="E162" s="193"/>
      <c r="F162" s="193"/>
      <c r="G162" s="195"/>
      <c r="H162" s="55"/>
      <c r="I162" s="65"/>
      <c r="J162" s="181"/>
      <c r="K162" s="177"/>
      <c r="L162" s="177"/>
      <c r="M162" s="177"/>
      <c r="N162" s="177"/>
      <c r="O162" s="177"/>
      <c r="P162" s="177"/>
    </row>
    <row r="163" ht="18.75" customHeight="1">
      <c r="A163" s="170"/>
      <c r="B163" s="210"/>
      <c r="C163" s="210"/>
      <c r="D163" s="195"/>
      <c r="E163" s="201"/>
      <c r="F163" s="201"/>
      <c r="G163" s="208"/>
      <c r="H163" s="175"/>
      <c r="I163" s="175"/>
      <c r="J163" s="176"/>
      <c r="K163" s="177"/>
      <c r="L163" s="177"/>
      <c r="M163" s="177"/>
      <c r="N163" s="177"/>
      <c r="O163" s="177"/>
      <c r="P163" s="177"/>
    </row>
    <row r="164" ht="18.75" customHeight="1">
      <c r="A164" s="170"/>
      <c r="B164" s="195"/>
      <c r="C164" s="195"/>
      <c r="D164" s="195"/>
      <c r="E164" s="193"/>
      <c r="F164" s="193"/>
      <c r="G164" s="172"/>
      <c r="H164" s="65"/>
      <c r="I164" s="65"/>
      <c r="J164" s="181"/>
      <c r="K164" s="177"/>
      <c r="L164" s="177"/>
      <c r="M164" s="177"/>
      <c r="N164" s="177"/>
      <c r="O164" s="177"/>
      <c r="P164" s="177"/>
    </row>
    <row r="165" ht="18.75" customHeight="1">
      <c r="A165" s="170"/>
      <c r="B165" s="229"/>
      <c r="C165" s="230"/>
      <c r="D165" s="187"/>
      <c r="E165" s="187"/>
      <c r="F165" s="187"/>
      <c r="G165" s="230"/>
      <c r="H165" s="189"/>
      <c r="I165" s="175"/>
      <c r="J165" s="176"/>
      <c r="K165" s="177"/>
      <c r="L165" s="177"/>
      <c r="M165" s="177"/>
      <c r="N165" s="177"/>
      <c r="O165" s="177"/>
      <c r="P165" s="177"/>
    </row>
    <row r="166" ht="18.75" customHeight="1">
      <c r="A166" s="170"/>
      <c r="B166" s="230"/>
      <c r="C166" s="230"/>
      <c r="D166" s="190"/>
      <c r="E166" s="190"/>
      <c r="F166" s="190"/>
      <c r="G166" s="230"/>
      <c r="H166" s="189"/>
      <c r="I166" s="65"/>
      <c r="J166" s="181"/>
      <c r="K166" s="177"/>
      <c r="L166" s="177"/>
      <c r="M166" s="177"/>
      <c r="N166" s="177"/>
      <c r="O166" s="177"/>
      <c r="P166" s="177"/>
    </row>
    <row r="167" ht="18.75" customHeight="1">
      <c r="A167" s="170"/>
      <c r="B167" s="229"/>
      <c r="C167" s="230"/>
      <c r="D167" s="187"/>
      <c r="E167" s="187"/>
      <c r="F167" s="187"/>
      <c r="G167" s="230"/>
      <c r="H167" s="189"/>
      <c r="I167" s="175"/>
      <c r="J167" s="176"/>
      <c r="K167" s="177"/>
      <c r="L167" s="177"/>
      <c r="M167" s="177"/>
      <c r="N167" s="177"/>
      <c r="O167" s="177"/>
      <c r="P167" s="177"/>
    </row>
    <row r="168" ht="18.75" customHeight="1">
      <c r="A168" s="170"/>
      <c r="B168" s="230"/>
      <c r="C168" s="230"/>
      <c r="D168" s="190"/>
      <c r="E168" s="190"/>
      <c r="F168" s="190"/>
      <c r="G168" s="230"/>
      <c r="H168" s="189"/>
      <c r="I168" s="65"/>
      <c r="J168" s="181"/>
      <c r="K168" s="177"/>
      <c r="L168" s="177"/>
      <c r="M168" s="177"/>
      <c r="N168" s="177"/>
      <c r="O168" s="177"/>
      <c r="P168" s="177"/>
    </row>
    <row r="169" ht="18.75" customHeight="1">
      <c r="A169" s="170"/>
      <c r="B169" s="229"/>
      <c r="C169" s="230"/>
      <c r="D169" s="187"/>
      <c r="E169" s="187"/>
      <c r="F169" s="187"/>
      <c r="G169" s="230"/>
      <c r="H169" s="189"/>
      <c r="I169" s="175"/>
      <c r="J169" s="176"/>
      <c r="K169" s="177"/>
      <c r="L169" s="177"/>
      <c r="M169" s="177"/>
      <c r="N169" s="177"/>
      <c r="O169" s="177"/>
      <c r="P169" s="177"/>
    </row>
    <row r="170" ht="18.75" customHeight="1">
      <c r="A170" s="170"/>
      <c r="B170" s="230"/>
      <c r="C170" s="230"/>
      <c r="D170" s="190"/>
      <c r="E170" s="190"/>
      <c r="F170" s="190"/>
      <c r="G170" s="230"/>
      <c r="H170" s="189"/>
      <c r="I170" s="65"/>
      <c r="J170" s="181"/>
      <c r="K170" s="177"/>
      <c r="L170" s="177"/>
      <c r="M170" s="177"/>
      <c r="N170" s="177"/>
      <c r="O170" s="177"/>
      <c r="P170" s="177"/>
    </row>
    <row r="171" ht="18.75" customHeight="1">
      <c r="A171" s="170"/>
      <c r="B171" s="229"/>
      <c r="C171" s="230"/>
      <c r="D171" s="187"/>
      <c r="E171" s="187"/>
      <c r="F171" s="187"/>
      <c r="G171" s="230"/>
      <c r="H171" s="189"/>
      <c r="I171" s="175"/>
      <c r="J171" s="176"/>
      <c r="K171" s="177"/>
      <c r="L171" s="177"/>
      <c r="M171" s="177"/>
      <c r="N171" s="177"/>
      <c r="O171" s="177"/>
      <c r="P171" s="177"/>
    </row>
    <row r="172" ht="18.75" customHeight="1">
      <c r="A172" s="170"/>
      <c r="B172" s="230"/>
      <c r="C172" s="230"/>
      <c r="D172" s="190"/>
      <c r="E172" s="190"/>
      <c r="F172" s="190"/>
      <c r="G172" s="230"/>
      <c r="H172" s="189"/>
      <c r="I172" s="65"/>
      <c r="J172" s="181"/>
      <c r="K172" s="177"/>
      <c r="L172" s="177"/>
      <c r="M172" s="177"/>
      <c r="N172" s="177"/>
      <c r="O172" s="177"/>
      <c r="P172" s="177"/>
    </row>
    <row r="173" ht="18.75" customHeight="1">
      <c r="A173" s="170"/>
      <c r="B173" s="229"/>
      <c r="C173" s="230"/>
      <c r="D173" s="187"/>
      <c r="E173" s="187"/>
      <c r="F173" s="187"/>
      <c r="G173" s="230"/>
      <c r="H173" s="189"/>
      <c r="I173" s="175"/>
      <c r="J173" s="176"/>
      <c r="K173" s="177"/>
      <c r="L173" s="177"/>
      <c r="M173" s="177"/>
      <c r="N173" s="177"/>
      <c r="O173" s="177"/>
      <c r="P173" s="177"/>
    </row>
    <row r="174" ht="18.75" customHeight="1">
      <c r="A174" s="170"/>
      <c r="B174" s="230"/>
      <c r="C174" s="230"/>
      <c r="D174" s="190"/>
      <c r="E174" s="190"/>
      <c r="F174" s="190"/>
      <c r="G174" s="230"/>
      <c r="H174" s="189"/>
      <c r="I174" s="65"/>
      <c r="J174" s="181"/>
      <c r="K174" s="177"/>
      <c r="L174" s="177"/>
      <c r="M174" s="177"/>
      <c r="N174" s="177"/>
      <c r="O174" s="177"/>
      <c r="P174" s="177"/>
    </row>
    <row r="175" ht="18.75" customHeight="1">
      <c r="A175" s="170"/>
      <c r="B175" s="229"/>
      <c r="C175" s="230"/>
      <c r="D175" s="187"/>
      <c r="E175" s="187"/>
      <c r="F175" s="187"/>
      <c r="G175" s="230"/>
      <c r="H175" s="189"/>
      <c r="I175" s="175"/>
      <c r="J175" s="176"/>
      <c r="K175" s="177"/>
      <c r="L175" s="177"/>
      <c r="M175" s="177"/>
      <c r="N175" s="177"/>
      <c r="O175" s="177"/>
      <c r="P175" s="177"/>
    </row>
    <row r="176" ht="18.75" customHeight="1">
      <c r="A176" s="170"/>
      <c r="B176" s="230"/>
      <c r="C176" s="230"/>
      <c r="D176" s="190"/>
      <c r="E176" s="190"/>
      <c r="F176" s="190"/>
      <c r="G176" s="230"/>
      <c r="H176" s="189"/>
      <c r="I176" s="65"/>
      <c r="J176" s="181"/>
      <c r="K176" s="177"/>
      <c r="L176" s="177"/>
      <c r="M176" s="177"/>
      <c r="N176" s="177"/>
      <c r="O176" s="177"/>
      <c r="P176" s="177"/>
    </row>
    <row r="177" ht="18.75" customHeight="1">
      <c r="A177" s="170"/>
      <c r="B177" s="229"/>
      <c r="C177" s="230"/>
      <c r="D177" s="187"/>
      <c r="E177" s="187"/>
      <c r="F177" s="187"/>
      <c r="G177" s="230"/>
      <c r="H177" s="189"/>
      <c r="I177" s="175"/>
      <c r="J177" s="176"/>
      <c r="K177" s="177"/>
      <c r="L177" s="177"/>
      <c r="M177" s="177"/>
      <c r="N177" s="177"/>
      <c r="O177" s="177"/>
      <c r="P177" s="177"/>
    </row>
    <row r="178" ht="18.75" customHeight="1">
      <c r="A178" s="170"/>
      <c r="B178" s="230"/>
      <c r="C178" s="230"/>
      <c r="D178" s="190"/>
      <c r="E178" s="190"/>
      <c r="F178" s="190"/>
      <c r="G178" s="230"/>
      <c r="H178" s="189"/>
      <c r="I178" s="65"/>
      <c r="J178" s="181"/>
      <c r="K178" s="177"/>
      <c r="L178" s="177"/>
      <c r="M178" s="177"/>
      <c r="N178" s="177"/>
      <c r="O178" s="177"/>
      <c r="P178" s="177"/>
    </row>
    <row r="179" ht="18.75" customHeight="1">
      <c r="A179" s="170"/>
      <c r="B179" s="229"/>
      <c r="C179" s="230"/>
      <c r="D179" s="187"/>
      <c r="E179" s="187"/>
      <c r="F179" s="187"/>
      <c r="G179" s="230"/>
      <c r="H179" s="189"/>
      <c r="I179" s="175"/>
      <c r="J179" s="176"/>
      <c r="K179" s="177"/>
      <c r="L179" s="177"/>
      <c r="M179" s="177"/>
      <c r="N179" s="177"/>
      <c r="O179" s="177"/>
      <c r="P179" s="177"/>
    </row>
    <row r="180" ht="18.75" customHeight="1">
      <c r="A180" s="170"/>
      <c r="B180" s="230"/>
      <c r="C180" s="230"/>
      <c r="D180" s="190"/>
      <c r="E180" s="190"/>
      <c r="F180" s="190"/>
      <c r="G180" s="230"/>
      <c r="H180" s="189"/>
      <c r="I180" s="65"/>
      <c r="J180" s="181"/>
      <c r="K180" s="177"/>
      <c r="L180" s="177"/>
      <c r="M180" s="177"/>
      <c r="N180" s="177"/>
      <c r="O180" s="177"/>
      <c r="P180" s="177"/>
    </row>
    <row r="181" ht="18.75" customHeight="1">
      <c r="A181" s="170"/>
      <c r="B181" s="229"/>
      <c r="C181" s="230"/>
      <c r="D181" s="187"/>
      <c r="E181" s="187"/>
      <c r="F181" s="187"/>
      <c r="G181" s="230"/>
      <c r="H181" s="189"/>
      <c r="I181" s="175"/>
      <c r="J181" s="176"/>
      <c r="K181" s="177"/>
      <c r="L181" s="177"/>
      <c r="M181" s="177"/>
      <c r="N181" s="177"/>
      <c r="O181" s="177"/>
      <c r="P181" s="177"/>
    </row>
    <row r="182" ht="18.75" customHeight="1">
      <c r="A182" s="170"/>
      <c r="B182" s="230"/>
      <c r="C182" s="230"/>
      <c r="D182" s="190"/>
      <c r="E182" s="190"/>
      <c r="F182" s="190"/>
      <c r="G182" s="230"/>
      <c r="H182" s="189"/>
      <c r="I182" s="65"/>
      <c r="J182" s="181"/>
      <c r="K182" s="177"/>
      <c r="L182" s="177"/>
      <c r="M182" s="177"/>
      <c r="N182" s="177"/>
      <c r="O182" s="177"/>
      <c r="P182" s="177"/>
    </row>
    <row r="183" ht="18.75" customHeight="1">
      <c r="A183" s="170"/>
      <c r="B183" s="229"/>
      <c r="C183" s="230"/>
      <c r="D183" s="187"/>
      <c r="E183" s="187"/>
      <c r="F183" s="187"/>
      <c r="G183" s="230"/>
      <c r="H183" s="189"/>
      <c r="I183" s="175"/>
      <c r="J183" s="176"/>
      <c r="K183" s="177"/>
      <c r="L183" s="177"/>
      <c r="M183" s="177"/>
      <c r="N183" s="177"/>
      <c r="O183" s="177"/>
      <c r="P183" s="177"/>
    </row>
    <row r="184" ht="18.75" customHeight="1">
      <c r="A184" s="170"/>
      <c r="B184" s="230"/>
      <c r="C184" s="230"/>
      <c r="D184" s="190"/>
      <c r="E184" s="190"/>
      <c r="F184" s="190"/>
      <c r="G184" s="230"/>
      <c r="H184" s="189"/>
      <c r="I184" s="65"/>
      <c r="J184" s="181"/>
      <c r="K184" s="177"/>
      <c r="L184" s="177"/>
      <c r="M184" s="177"/>
      <c r="N184" s="177"/>
      <c r="O184" s="177"/>
      <c r="P184" s="177"/>
    </row>
    <row r="185" ht="18.75" customHeight="1">
      <c r="A185" s="170"/>
      <c r="B185" s="229"/>
      <c r="C185" s="230"/>
      <c r="D185" s="187"/>
      <c r="E185" s="187"/>
      <c r="F185" s="187"/>
      <c r="G185" s="230"/>
      <c r="H185" s="189"/>
      <c r="I185" s="175"/>
      <c r="J185" s="176"/>
      <c r="K185" s="177"/>
      <c r="L185" s="177"/>
      <c r="M185" s="177"/>
      <c r="N185" s="177"/>
      <c r="O185" s="177"/>
      <c r="P185" s="177"/>
    </row>
    <row r="186" ht="18.75" customHeight="1">
      <c r="A186" s="170"/>
      <c r="B186" s="230"/>
      <c r="C186" s="230"/>
      <c r="D186" s="190"/>
      <c r="E186" s="190"/>
      <c r="F186" s="190"/>
      <c r="G186" s="230"/>
      <c r="H186" s="189"/>
      <c r="I186" s="65"/>
      <c r="J186" s="181"/>
      <c r="K186" s="177"/>
      <c r="L186" s="177"/>
      <c r="M186" s="177"/>
      <c r="N186" s="177"/>
      <c r="O186" s="177"/>
      <c r="P186" s="177"/>
    </row>
    <row r="187" ht="18.75" customHeight="1">
      <c r="A187" s="170"/>
      <c r="B187" s="229"/>
      <c r="C187" s="230"/>
      <c r="D187" s="187"/>
      <c r="E187" s="187"/>
      <c r="F187" s="187"/>
      <c r="G187" s="230"/>
      <c r="H187" s="189"/>
      <c r="I187" s="175"/>
      <c r="J187" s="176"/>
      <c r="K187" s="177"/>
      <c r="L187" s="177"/>
      <c r="M187" s="177"/>
      <c r="N187" s="177"/>
      <c r="O187" s="177"/>
      <c r="P187" s="177"/>
    </row>
    <row r="188" ht="18.75" customHeight="1">
      <c r="A188" s="170"/>
      <c r="B188" s="230"/>
      <c r="C188" s="230"/>
      <c r="D188" s="190"/>
      <c r="E188" s="190"/>
      <c r="F188" s="190"/>
      <c r="G188" s="230"/>
      <c r="H188" s="189"/>
      <c r="I188" s="65"/>
      <c r="J188" s="181"/>
      <c r="K188" s="177"/>
      <c r="L188" s="177"/>
      <c r="M188" s="177"/>
      <c r="N188" s="177"/>
      <c r="O188" s="177"/>
      <c r="P188" s="177"/>
    </row>
    <row r="189" ht="18.75" customHeight="1">
      <c r="A189" s="170"/>
      <c r="B189" s="229"/>
      <c r="C189" s="230"/>
      <c r="D189" s="187"/>
      <c r="E189" s="187"/>
      <c r="F189" s="187"/>
      <c r="G189" s="230"/>
      <c r="H189" s="189"/>
      <c r="I189" s="175"/>
      <c r="J189" s="176"/>
      <c r="K189" s="177"/>
      <c r="L189" s="177"/>
      <c r="M189" s="177"/>
      <c r="N189" s="177"/>
      <c r="O189" s="177"/>
      <c r="P189" s="177"/>
    </row>
    <row r="190" ht="18.75" customHeight="1">
      <c r="A190" s="170"/>
      <c r="B190" s="230"/>
      <c r="C190" s="230"/>
      <c r="D190" s="190"/>
      <c r="E190" s="190"/>
      <c r="F190" s="190"/>
      <c r="G190" s="230"/>
      <c r="H190" s="189"/>
      <c r="I190" s="65"/>
      <c r="J190" s="181"/>
      <c r="K190" s="177"/>
      <c r="L190" s="177"/>
      <c r="M190" s="177"/>
      <c r="N190" s="177"/>
      <c r="O190" s="177"/>
      <c r="P190" s="177"/>
    </row>
    <row r="191" ht="18.75" customHeight="1">
      <c r="A191" s="170"/>
      <c r="B191" s="229"/>
      <c r="C191" s="230"/>
      <c r="D191" s="187"/>
      <c r="E191" s="187"/>
      <c r="F191" s="187"/>
      <c r="G191" s="230"/>
      <c r="H191" s="189"/>
      <c r="I191" s="175"/>
      <c r="J191" s="176"/>
      <c r="K191" s="177"/>
      <c r="L191" s="177"/>
      <c r="M191" s="177"/>
      <c r="N191" s="177"/>
      <c r="O191" s="177"/>
      <c r="P191" s="177"/>
    </row>
    <row r="192" ht="18.75" customHeight="1">
      <c r="A192" s="170"/>
      <c r="B192" s="230"/>
      <c r="C192" s="230"/>
      <c r="D192" s="190"/>
      <c r="E192" s="190"/>
      <c r="F192" s="190"/>
      <c r="G192" s="230"/>
      <c r="H192" s="189"/>
      <c r="I192" s="65"/>
      <c r="J192" s="181"/>
      <c r="K192" s="177"/>
      <c r="L192" s="177"/>
      <c r="M192" s="177"/>
      <c r="N192" s="177"/>
      <c r="O192" s="177"/>
      <c r="P192" s="177"/>
    </row>
    <row r="193" ht="18.75" customHeight="1">
      <c r="A193" s="170"/>
      <c r="B193" s="229"/>
      <c r="C193" s="230"/>
      <c r="D193" s="187"/>
      <c r="E193" s="187"/>
      <c r="F193" s="187"/>
      <c r="G193" s="230"/>
      <c r="H193" s="189"/>
      <c r="I193" s="175"/>
      <c r="J193" s="176"/>
      <c r="K193" s="177"/>
      <c r="L193" s="177"/>
      <c r="M193" s="177"/>
      <c r="N193" s="177"/>
      <c r="O193" s="177"/>
      <c r="P193" s="177"/>
    </row>
    <row r="194" ht="18.75" customHeight="1">
      <c r="A194" s="170"/>
      <c r="B194" s="230"/>
      <c r="C194" s="230"/>
      <c r="D194" s="190"/>
      <c r="E194" s="190"/>
      <c r="F194" s="190"/>
      <c r="G194" s="230"/>
      <c r="H194" s="189"/>
      <c r="I194" s="65"/>
      <c r="J194" s="181"/>
      <c r="K194" s="177"/>
      <c r="L194" s="177"/>
      <c r="M194" s="177"/>
      <c r="N194" s="177"/>
      <c r="O194" s="177"/>
      <c r="P194" s="177"/>
    </row>
    <row r="195" ht="18.75" customHeight="1">
      <c r="A195" s="170"/>
      <c r="B195" s="229"/>
      <c r="C195" s="230"/>
      <c r="D195" s="187"/>
      <c r="E195" s="187"/>
      <c r="F195" s="187"/>
      <c r="G195" s="230"/>
      <c r="H195" s="189"/>
      <c r="I195" s="175"/>
      <c r="J195" s="176"/>
      <c r="K195" s="177"/>
      <c r="L195" s="177"/>
      <c r="M195" s="177"/>
      <c r="N195" s="177"/>
      <c r="O195" s="177"/>
      <c r="P195" s="177"/>
    </row>
    <row r="196" ht="18.75" customHeight="1">
      <c r="A196" s="170"/>
      <c r="B196" s="230"/>
      <c r="C196" s="230"/>
      <c r="D196" s="190"/>
      <c r="E196" s="190"/>
      <c r="F196" s="190"/>
      <c r="G196" s="230"/>
      <c r="H196" s="189"/>
      <c r="I196" s="65"/>
      <c r="J196" s="181"/>
      <c r="K196" s="177"/>
      <c r="L196" s="177"/>
      <c r="M196" s="177"/>
      <c r="N196" s="177"/>
      <c r="O196" s="177"/>
      <c r="P196" s="177"/>
    </row>
    <row r="197" ht="18.75" customHeight="1">
      <c r="A197" s="170"/>
      <c r="B197" s="229"/>
      <c r="C197" s="230"/>
      <c r="D197" s="187"/>
      <c r="E197" s="187"/>
      <c r="F197" s="187"/>
      <c r="G197" s="230"/>
      <c r="H197" s="189"/>
      <c r="I197" s="175"/>
      <c r="J197" s="176"/>
      <c r="K197" s="177"/>
      <c r="L197" s="177"/>
      <c r="M197" s="177"/>
      <c r="N197" s="177"/>
      <c r="O197" s="177"/>
      <c r="P197" s="177"/>
    </row>
    <row r="198" ht="18.75" customHeight="1">
      <c r="A198" s="170"/>
      <c r="B198" s="230"/>
      <c r="C198" s="230"/>
      <c r="D198" s="190"/>
      <c r="E198" s="190"/>
      <c r="F198" s="190"/>
      <c r="G198" s="230"/>
      <c r="H198" s="189"/>
      <c r="I198" s="65"/>
      <c r="J198" s="181"/>
      <c r="K198" s="177"/>
      <c r="L198" s="177"/>
      <c r="M198" s="177"/>
      <c r="N198" s="177"/>
      <c r="O198" s="177"/>
      <c r="P198" s="177"/>
    </row>
    <row r="199" ht="18.75" customHeight="1">
      <c r="A199" s="170"/>
      <c r="B199" s="229"/>
      <c r="C199" s="230"/>
      <c r="D199" s="187"/>
      <c r="E199" s="187"/>
      <c r="F199" s="187"/>
      <c r="G199" s="230"/>
      <c r="H199" s="189"/>
      <c r="I199" s="175"/>
      <c r="J199" s="176"/>
      <c r="K199" s="177"/>
      <c r="L199" s="177"/>
      <c r="M199" s="177"/>
      <c r="N199" s="177"/>
      <c r="O199" s="177"/>
      <c r="P199" s="177"/>
    </row>
    <row r="200" ht="18.75" customHeight="1">
      <c r="A200" s="170"/>
      <c r="B200" s="230"/>
      <c r="C200" s="230"/>
      <c r="D200" s="190"/>
      <c r="E200" s="190"/>
      <c r="F200" s="190"/>
      <c r="G200" s="230"/>
      <c r="H200" s="189"/>
      <c r="I200" s="65"/>
      <c r="J200" s="181"/>
      <c r="K200" s="177"/>
      <c r="L200" s="177"/>
      <c r="M200" s="177"/>
      <c r="N200" s="177"/>
      <c r="O200" s="177"/>
      <c r="P200" s="177"/>
    </row>
    <row r="201" ht="18.75" customHeight="1">
      <c r="A201" s="170"/>
      <c r="B201" s="229"/>
      <c r="C201" s="230"/>
      <c r="D201" s="187"/>
      <c r="E201" s="187"/>
      <c r="F201" s="187"/>
      <c r="G201" s="230"/>
      <c r="H201" s="189"/>
      <c r="I201" s="175"/>
      <c r="J201" s="176"/>
      <c r="K201" s="177"/>
      <c r="L201" s="177"/>
      <c r="M201" s="177"/>
      <c r="N201" s="177"/>
      <c r="O201" s="177"/>
      <c r="P201" s="177"/>
    </row>
    <row r="202" ht="18.75" customHeight="1">
      <c r="A202" s="170"/>
      <c r="B202" s="230"/>
      <c r="C202" s="230"/>
      <c r="D202" s="190"/>
      <c r="E202" s="190"/>
      <c r="F202" s="190"/>
      <c r="G202" s="230"/>
      <c r="H202" s="189"/>
      <c r="I202" s="65"/>
      <c r="J202" s="181"/>
      <c r="K202" s="177"/>
      <c r="L202" s="177"/>
      <c r="M202" s="177"/>
      <c r="N202" s="177"/>
      <c r="O202" s="177"/>
      <c r="P202" s="177"/>
    </row>
    <row r="203" ht="18.75" customHeight="1">
      <c r="A203" s="170"/>
      <c r="B203" s="229"/>
      <c r="C203" s="230"/>
      <c r="D203" s="187"/>
      <c r="E203" s="187"/>
      <c r="F203" s="187"/>
      <c r="G203" s="230"/>
      <c r="H203" s="189"/>
      <c r="I203" s="175"/>
      <c r="J203" s="176"/>
      <c r="K203" s="177"/>
      <c r="L203" s="177"/>
      <c r="M203" s="177"/>
      <c r="N203" s="177"/>
      <c r="O203" s="177"/>
      <c r="P203" s="177"/>
    </row>
    <row r="204" ht="18.75" customHeight="1">
      <c r="A204" s="170"/>
      <c r="B204" s="230"/>
      <c r="C204" s="230"/>
      <c r="D204" s="190"/>
      <c r="E204" s="190"/>
      <c r="F204" s="190"/>
      <c r="G204" s="230"/>
      <c r="H204" s="189"/>
      <c r="I204" s="65"/>
      <c r="J204" s="181"/>
      <c r="K204" s="177"/>
      <c r="L204" s="177"/>
      <c r="M204" s="177"/>
      <c r="N204" s="177"/>
      <c r="O204" s="177"/>
      <c r="P204" s="177"/>
    </row>
    <row r="205" ht="18.75" customHeight="1">
      <c r="A205" s="170"/>
      <c r="B205" s="229"/>
      <c r="C205" s="230"/>
      <c r="D205" s="187"/>
      <c r="E205" s="187"/>
      <c r="F205" s="187"/>
      <c r="G205" s="230"/>
      <c r="H205" s="189"/>
      <c r="I205" s="175"/>
      <c r="J205" s="176"/>
      <c r="K205" s="177"/>
      <c r="L205" s="177"/>
      <c r="M205" s="177"/>
      <c r="N205" s="177"/>
      <c r="O205" s="177"/>
      <c r="P205" s="177"/>
    </row>
    <row r="206" ht="18.75" customHeight="1">
      <c r="A206" s="170"/>
      <c r="B206" s="230"/>
      <c r="C206" s="230"/>
      <c r="D206" s="190"/>
      <c r="E206" s="190"/>
      <c r="F206" s="190"/>
      <c r="G206" s="230"/>
      <c r="H206" s="189"/>
      <c r="I206" s="65"/>
      <c r="J206" s="181"/>
      <c r="K206" s="177"/>
      <c r="L206" s="177"/>
      <c r="M206" s="177"/>
      <c r="N206" s="177"/>
      <c r="O206" s="177"/>
      <c r="P206" s="177"/>
    </row>
    <row r="207" ht="18.75" customHeight="1">
      <c r="A207" s="170"/>
      <c r="B207" s="229"/>
      <c r="C207" s="230"/>
      <c r="D207" s="187"/>
      <c r="E207" s="187"/>
      <c r="F207" s="187"/>
      <c r="G207" s="230"/>
      <c r="H207" s="189"/>
      <c r="I207" s="175"/>
      <c r="J207" s="176"/>
      <c r="K207" s="177"/>
      <c r="L207" s="177"/>
      <c r="M207" s="177"/>
      <c r="N207" s="177"/>
      <c r="O207" s="177"/>
      <c r="P207" s="177"/>
    </row>
    <row r="208" ht="18.75" customHeight="1">
      <c r="A208" s="170"/>
      <c r="B208" s="230"/>
      <c r="C208" s="230"/>
      <c r="D208" s="190"/>
      <c r="E208" s="190"/>
      <c r="F208" s="190"/>
      <c r="G208" s="230"/>
      <c r="H208" s="189"/>
      <c r="I208" s="65"/>
      <c r="J208" s="181"/>
      <c r="K208" s="177"/>
      <c r="L208" s="177"/>
      <c r="M208" s="177"/>
      <c r="N208" s="177"/>
      <c r="O208" s="177"/>
      <c r="P208" s="177"/>
    </row>
    <row r="209" ht="18.75" customHeight="1">
      <c r="A209" s="170"/>
      <c r="B209" s="229"/>
      <c r="C209" s="230"/>
      <c r="D209" s="187"/>
      <c r="E209" s="187"/>
      <c r="F209" s="187"/>
      <c r="G209" s="230"/>
      <c r="H209" s="189"/>
      <c r="I209" s="175"/>
      <c r="J209" s="176"/>
      <c r="K209" s="177"/>
      <c r="L209" s="177"/>
      <c r="M209" s="177"/>
      <c r="N209" s="177"/>
      <c r="O209" s="177"/>
      <c r="P209" s="177"/>
    </row>
    <row r="210" ht="18.75" customHeight="1">
      <c r="A210" s="170"/>
      <c r="B210" s="230"/>
      <c r="C210" s="230"/>
      <c r="D210" s="190"/>
      <c r="E210" s="190"/>
      <c r="F210" s="190"/>
      <c r="G210" s="233"/>
      <c r="H210" s="189"/>
      <c r="I210" s="65"/>
      <c r="J210" s="181"/>
      <c r="K210" s="177"/>
      <c r="L210" s="177"/>
      <c r="M210" s="177"/>
      <c r="N210" s="177"/>
      <c r="O210" s="177"/>
      <c r="P210" s="177"/>
    </row>
    <row r="211" ht="18.75" customHeight="1">
      <c r="A211" s="170"/>
      <c r="B211" s="229"/>
      <c r="C211" s="230"/>
      <c r="D211" s="187"/>
      <c r="E211" s="187"/>
      <c r="F211" s="187"/>
      <c r="G211" s="233"/>
      <c r="H211" s="189"/>
      <c r="I211" s="175"/>
      <c r="J211" s="176"/>
      <c r="K211" s="177"/>
      <c r="L211" s="177"/>
      <c r="M211" s="177"/>
      <c r="N211" s="177"/>
      <c r="O211" s="177"/>
      <c r="P211" s="177"/>
    </row>
    <row r="212" ht="18.75" customHeight="1">
      <c r="A212" s="170"/>
      <c r="B212" s="230"/>
      <c r="C212" s="230"/>
      <c r="D212" s="190"/>
      <c r="E212" s="190"/>
      <c r="F212" s="190"/>
      <c r="G212" s="230"/>
      <c r="H212" s="189"/>
      <c r="I212" s="65"/>
      <c r="J212" s="181"/>
      <c r="K212" s="177"/>
      <c r="L212" s="177"/>
      <c r="M212" s="177"/>
      <c r="N212" s="177"/>
      <c r="O212" s="177"/>
      <c r="P212" s="177"/>
    </row>
    <row r="213" ht="18.75" customHeight="1">
      <c r="A213" s="170"/>
      <c r="B213" s="229"/>
      <c r="C213" s="230"/>
      <c r="D213" s="187"/>
      <c r="E213" s="187"/>
      <c r="F213" s="187"/>
      <c r="G213" s="230"/>
      <c r="H213" s="189"/>
      <c r="I213" s="175"/>
      <c r="J213" s="176"/>
      <c r="K213" s="177"/>
      <c r="L213" s="177"/>
      <c r="M213" s="177"/>
      <c r="N213" s="177"/>
      <c r="O213" s="177"/>
      <c r="P213" s="177"/>
    </row>
    <row r="214" ht="18.75" customHeight="1">
      <c r="A214" s="170"/>
      <c r="B214" s="230"/>
      <c r="C214" s="230"/>
      <c r="D214" s="190"/>
      <c r="E214" s="190"/>
      <c r="F214" s="190"/>
      <c r="G214" s="230"/>
      <c r="H214" s="189"/>
      <c r="I214" s="65"/>
      <c r="J214" s="181"/>
      <c r="K214" s="177"/>
      <c r="L214" s="177"/>
      <c r="M214" s="177"/>
      <c r="N214" s="177"/>
      <c r="O214" s="177"/>
      <c r="P214" s="177"/>
    </row>
    <row r="215" ht="18.75" customHeight="1">
      <c r="A215" s="170"/>
      <c r="B215" s="229"/>
      <c r="C215" s="230"/>
      <c r="D215" s="187"/>
      <c r="E215" s="187"/>
      <c r="F215" s="187"/>
      <c r="G215" s="230"/>
      <c r="H215" s="189"/>
      <c r="I215" s="175"/>
      <c r="J215" s="176"/>
      <c r="K215" s="177"/>
      <c r="L215" s="177"/>
      <c r="M215" s="177"/>
      <c r="N215" s="177"/>
      <c r="O215" s="177"/>
      <c r="P215" s="177"/>
    </row>
    <row r="216" ht="18.75" customHeight="1">
      <c r="A216" s="170"/>
      <c r="B216" s="230"/>
      <c r="C216" s="230"/>
      <c r="D216" s="190"/>
      <c r="E216" s="190"/>
      <c r="F216" s="190"/>
      <c r="G216" s="230"/>
      <c r="H216" s="189"/>
      <c r="I216" s="65"/>
      <c r="J216" s="181"/>
      <c r="K216" s="177"/>
      <c r="L216" s="177"/>
      <c r="M216" s="177"/>
      <c r="N216" s="177"/>
      <c r="O216" s="177"/>
      <c r="P216" s="177"/>
    </row>
    <row r="217" ht="18.75" customHeight="1">
      <c r="A217" s="170"/>
      <c r="B217" s="229"/>
      <c r="C217" s="230"/>
      <c r="D217" s="187"/>
      <c r="E217" s="187"/>
      <c r="F217" s="187"/>
      <c r="G217" s="230"/>
      <c r="H217" s="189"/>
      <c r="I217" s="175"/>
      <c r="J217" s="176"/>
      <c r="K217" s="177"/>
      <c r="L217" s="177"/>
      <c r="M217" s="177"/>
      <c r="N217" s="177"/>
      <c r="O217" s="177"/>
      <c r="P217" s="177"/>
    </row>
    <row r="218" ht="18.75" customHeight="1">
      <c r="A218" s="170"/>
      <c r="B218" s="230"/>
      <c r="C218" s="230"/>
      <c r="D218" s="190"/>
      <c r="E218" s="190"/>
      <c r="F218" s="190"/>
      <c r="G218" s="230"/>
      <c r="H218" s="189"/>
      <c r="I218" s="65"/>
      <c r="J218" s="181"/>
      <c r="K218" s="177"/>
      <c r="L218" s="177"/>
      <c r="M218" s="177"/>
      <c r="N218" s="177"/>
      <c r="O218" s="177"/>
      <c r="P218" s="177"/>
    </row>
    <row r="219" ht="18.75" customHeight="1">
      <c r="A219" s="170"/>
      <c r="B219" s="229"/>
      <c r="C219" s="230"/>
      <c r="D219" s="187"/>
      <c r="E219" s="187"/>
      <c r="F219" s="187"/>
      <c r="G219" s="230"/>
      <c r="H219" s="189"/>
      <c r="I219" s="175"/>
      <c r="J219" s="176"/>
      <c r="K219" s="177"/>
      <c r="L219" s="177"/>
      <c r="M219" s="177"/>
      <c r="N219" s="177"/>
      <c r="O219" s="177"/>
      <c r="P219" s="177"/>
    </row>
    <row r="220" ht="18.75" customHeight="1">
      <c r="A220" s="170"/>
      <c r="B220" s="230"/>
      <c r="C220" s="230"/>
      <c r="D220" s="190"/>
      <c r="E220" s="190"/>
      <c r="F220" s="190"/>
      <c r="G220" s="230"/>
      <c r="H220" s="189"/>
      <c r="I220" s="65"/>
      <c r="J220" s="181"/>
      <c r="K220" s="177"/>
      <c r="L220" s="177"/>
      <c r="M220" s="177"/>
      <c r="N220" s="177"/>
      <c r="O220" s="177"/>
      <c r="P220" s="177"/>
    </row>
    <row r="221" ht="18.75" customHeight="1">
      <c r="A221" s="170"/>
      <c r="B221" s="229"/>
      <c r="C221" s="230"/>
      <c r="D221" s="187"/>
      <c r="E221" s="187"/>
      <c r="F221" s="187"/>
      <c r="G221" s="230"/>
      <c r="H221" s="189"/>
      <c r="I221" s="175"/>
      <c r="J221" s="176"/>
      <c r="K221" s="177"/>
      <c r="L221" s="177"/>
      <c r="M221" s="177"/>
      <c r="N221" s="177"/>
      <c r="O221" s="177"/>
      <c r="P221" s="177"/>
    </row>
    <row r="222" ht="18.75" customHeight="1">
      <c r="A222" s="170"/>
      <c r="B222" s="230"/>
      <c r="C222" s="230"/>
      <c r="D222" s="190"/>
      <c r="E222" s="190"/>
      <c r="F222" s="190"/>
      <c r="G222" s="230"/>
      <c r="H222" s="189"/>
      <c r="I222" s="65"/>
      <c r="J222" s="181"/>
      <c r="K222" s="177"/>
      <c r="L222" s="177"/>
      <c r="M222" s="177"/>
      <c r="N222" s="177"/>
      <c r="O222" s="177"/>
      <c r="P222" s="177"/>
    </row>
    <row r="223" ht="18.75" customHeight="1">
      <c r="A223" s="170"/>
      <c r="B223" s="229"/>
      <c r="C223" s="230"/>
      <c r="D223" s="187"/>
      <c r="E223" s="187"/>
      <c r="F223" s="187"/>
      <c r="G223" s="230"/>
      <c r="H223" s="189"/>
      <c r="I223" s="175"/>
      <c r="J223" s="176"/>
      <c r="K223" s="177"/>
      <c r="L223" s="177"/>
      <c r="M223" s="177"/>
      <c r="N223" s="177"/>
      <c r="O223" s="177"/>
      <c r="P223" s="177"/>
    </row>
    <row r="224" ht="18.75" customHeight="1">
      <c r="A224" s="170"/>
      <c r="B224" s="230"/>
      <c r="C224" s="230"/>
      <c r="D224" s="190"/>
      <c r="E224" s="190"/>
      <c r="F224" s="190"/>
      <c r="G224" s="230"/>
      <c r="H224" s="189"/>
      <c r="I224" s="65"/>
      <c r="J224" s="234"/>
      <c r="K224" s="86"/>
      <c r="L224" s="86"/>
      <c r="M224" s="86"/>
      <c r="N224" s="86"/>
      <c r="O224" s="86"/>
      <c r="P224" s="86"/>
    </row>
    <row r="225" ht="18.75" customHeight="1">
      <c r="A225" s="170"/>
      <c r="B225" s="229"/>
      <c r="C225" s="230"/>
      <c r="D225" s="187"/>
      <c r="E225" s="187"/>
      <c r="F225" s="187"/>
      <c r="G225" s="230"/>
      <c r="H225" s="189"/>
      <c r="I225" s="175"/>
      <c r="J225" s="235"/>
      <c r="K225" s="86"/>
      <c r="L225" s="86"/>
      <c r="M225" s="86"/>
      <c r="N225" s="86"/>
      <c r="O225" s="86"/>
      <c r="P225" s="86"/>
    </row>
    <row r="226" ht="18.75" customHeight="1">
      <c r="A226" s="170"/>
      <c r="B226" s="230"/>
      <c r="C226" s="230"/>
      <c r="D226" s="190"/>
      <c r="E226" s="190"/>
      <c r="F226" s="190"/>
      <c r="G226" s="230"/>
      <c r="H226" s="189"/>
      <c r="I226" s="65"/>
      <c r="J226" s="234"/>
      <c r="K226" s="86"/>
      <c r="L226" s="86"/>
      <c r="M226" s="86"/>
      <c r="N226" s="86"/>
      <c r="O226" s="86"/>
      <c r="P226" s="86"/>
    </row>
    <row r="227" ht="18.75" customHeight="1">
      <c r="A227" s="170"/>
      <c r="B227" s="229"/>
      <c r="C227" s="230"/>
      <c r="D227" s="187"/>
      <c r="E227" s="187"/>
      <c r="F227" s="187"/>
      <c r="G227" s="230"/>
      <c r="H227" s="189"/>
      <c r="I227" s="175"/>
      <c r="J227" s="235"/>
      <c r="K227" s="86"/>
      <c r="L227" s="86"/>
      <c r="M227" s="86"/>
      <c r="N227" s="86"/>
      <c r="O227" s="86"/>
      <c r="P227" s="86"/>
    </row>
    <row r="228" ht="18.75" customHeight="1">
      <c r="A228" s="170"/>
      <c r="B228" s="230"/>
      <c r="C228" s="230"/>
      <c r="D228" s="190"/>
      <c r="E228" s="190"/>
      <c r="F228" s="190"/>
      <c r="G228" s="230"/>
      <c r="H228" s="189"/>
      <c r="I228" s="65"/>
      <c r="J228" s="234"/>
      <c r="K228" s="86"/>
      <c r="L228" s="86"/>
      <c r="M228" s="86"/>
      <c r="N228" s="86"/>
      <c r="O228" s="86"/>
      <c r="P228" s="86"/>
    </row>
    <row r="229" ht="18.75" customHeight="1">
      <c r="A229" s="170"/>
      <c r="B229" s="229"/>
      <c r="C229" s="230"/>
      <c r="D229" s="187"/>
      <c r="E229" s="187"/>
      <c r="F229" s="187"/>
      <c r="G229" s="230"/>
      <c r="H229" s="189"/>
      <c r="I229" s="175"/>
      <c r="J229" s="235"/>
      <c r="K229" s="86"/>
      <c r="L229" s="86"/>
      <c r="M229" s="86"/>
      <c r="N229" s="86"/>
      <c r="O229" s="86"/>
      <c r="P229" s="86"/>
    </row>
    <row r="230" ht="18.75" customHeight="1">
      <c r="A230" s="170"/>
      <c r="B230" s="230"/>
      <c r="C230" s="230"/>
      <c r="D230" s="190"/>
      <c r="E230" s="190"/>
      <c r="F230" s="190"/>
      <c r="G230" s="230"/>
      <c r="H230" s="189"/>
      <c r="I230" s="65"/>
      <c r="J230" s="234"/>
      <c r="K230" s="86"/>
      <c r="L230" s="86"/>
      <c r="M230" s="86"/>
      <c r="N230" s="86"/>
      <c r="O230" s="86"/>
      <c r="P230" s="86"/>
    </row>
    <row r="231" ht="18.75" customHeight="1">
      <c r="A231" s="170"/>
      <c r="B231" s="229"/>
      <c r="C231" s="230"/>
      <c r="D231" s="187"/>
      <c r="E231" s="187"/>
      <c r="F231" s="187"/>
      <c r="G231" s="230"/>
      <c r="H231" s="189"/>
      <c r="I231" s="175"/>
      <c r="J231" s="235"/>
      <c r="K231" s="86"/>
      <c r="L231" s="86"/>
      <c r="M231" s="86"/>
      <c r="N231" s="86"/>
      <c r="O231" s="86"/>
      <c r="P231" s="86"/>
    </row>
    <row r="232" ht="18.75" customHeight="1">
      <c r="A232" s="170"/>
      <c r="B232" s="230"/>
      <c r="C232" s="230"/>
      <c r="D232" s="190"/>
      <c r="E232" s="190"/>
      <c r="F232" s="190"/>
      <c r="G232" s="230"/>
      <c r="H232" s="189"/>
      <c r="I232" s="65"/>
      <c r="J232" s="234"/>
      <c r="K232" s="86"/>
      <c r="L232" s="86"/>
      <c r="M232" s="86"/>
      <c r="N232" s="86"/>
      <c r="O232" s="86"/>
      <c r="P232" s="86"/>
    </row>
    <row r="233" ht="18.75" customHeight="1">
      <c r="A233" s="170"/>
      <c r="B233" s="229"/>
      <c r="C233" s="230"/>
      <c r="D233" s="187"/>
      <c r="E233" s="187"/>
      <c r="F233" s="187"/>
      <c r="G233" s="230"/>
      <c r="H233" s="189"/>
      <c r="I233" s="175"/>
      <c r="J233" s="235"/>
      <c r="K233" s="86"/>
      <c r="L233" s="86"/>
      <c r="M233" s="86"/>
      <c r="N233" s="86"/>
      <c r="O233" s="86"/>
      <c r="P233" s="86"/>
    </row>
    <row r="234" ht="18.75" customHeight="1">
      <c r="A234" s="170"/>
      <c r="B234" s="230"/>
      <c r="C234" s="230"/>
      <c r="D234" s="190"/>
      <c r="E234" s="190"/>
      <c r="F234" s="190"/>
      <c r="G234" s="230"/>
      <c r="H234" s="189"/>
      <c r="I234" s="65"/>
      <c r="J234" s="234"/>
      <c r="K234" s="86"/>
      <c r="L234" s="86"/>
      <c r="M234" s="86"/>
      <c r="N234" s="86"/>
      <c r="O234" s="86"/>
      <c r="P234" s="86"/>
    </row>
    <row r="235" ht="18.75" customHeight="1">
      <c r="A235" s="170"/>
      <c r="B235" s="229"/>
      <c r="C235" s="230"/>
      <c r="D235" s="187"/>
      <c r="E235" s="187"/>
      <c r="F235" s="187"/>
      <c r="G235" s="230"/>
      <c r="H235" s="189"/>
      <c r="I235" s="175"/>
      <c r="J235" s="235"/>
      <c r="K235" s="86"/>
      <c r="L235" s="86"/>
      <c r="M235" s="86"/>
      <c r="N235" s="86"/>
      <c r="O235" s="86"/>
      <c r="P235" s="86"/>
    </row>
    <row r="236" ht="18.75" customHeight="1">
      <c r="A236" s="170"/>
      <c r="B236" s="230"/>
      <c r="C236" s="230"/>
      <c r="D236" s="190"/>
      <c r="E236" s="190"/>
      <c r="F236" s="190"/>
      <c r="G236" s="230"/>
      <c r="H236" s="189"/>
      <c r="I236" s="65"/>
      <c r="J236" s="234"/>
      <c r="K236" s="86"/>
      <c r="L236" s="86"/>
      <c r="M236" s="86"/>
      <c r="N236" s="86"/>
      <c r="O236" s="86"/>
      <c r="P236" s="86"/>
    </row>
    <row r="237" ht="18.75" customHeight="1">
      <c r="A237" s="170"/>
      <c r="B237" s="229"/>
      <c r="C237" s="230"/>
      <c r="D237" s="187"/>
      <c r="E237" s="187"/>
      <c r="F237" s="187"/>
      <c r="G237" s="230"/>
      <c r="H237" s="189"/>
      <c r="I237" s="175"/>
      <c r="J237" s="235"/>
      <c r="K237" s="86"/>
      <c r="L237" s="86"/>
      <c r="M237" s="86"/>
      <c r="N237" s="86"/>
      <c r="O237" s="86"/>
      <c r="P237" s="86"/>
    </row>
    <row r="238" ht="18.75" customHeight="1">
      <c r="A238" s="170"/>
      <c r="B238" s="230"/>
      <c r="C238" s="230"/>
      <c r="D238" s="190"/>
      <c r="E238" s="190"/>
      <c r="F238" s="190"/>
      <c r="G238" s="230"/>
      <c r="H238" s="189"/>
      <c r="I238" s="65"/>
      <c r="J238" s="234"/>
      <c r="K238" s="86"/>
      <c r="L238" s="86"/>
      <c r="M238" s="86"/>
      <c r="N238" s="86"/>
      <c r="O238" s="86"/>
      <c r="P238" s="86"/>
    </row>
    <row r="239" ht="18.75" customHeight="1">
      <c r="A239" s="170"/>
      <c r="B239" s="229"/>
      <c r="C239" s="230"/>
      <c r="D239" s="187"/>
      <c r="E239" s="187"/>
      <c r="F239" s="187"/>
      <c r="G239" s="230"/>
      <c r="H239" s="189"/>
      <c r="I239" s="175"/>
      <c r="J239" s="235"/>
      <c r="K239" s="86"/>
      <c r="L239" s="86"/>
      <c r="M239" s="86"/>
      <c r="N239" s="86"/>
      <c r="O239" s="86"/>
      <c r="P239" s="86"/>
    </row>
    <row r="240" ht="18.75" customHeight="1">
      <c r="A240" s="170"/>
      <c r="B240" s="230"/>
      <c r="C240" s="230"/>
      <c r="D240" s="190"/>
      <c r="E240" s="190"/>
      <c r="F240" s="190"/>
      <c r="G240" s="230"/>
      <c r="H240" s="189"/>
      <c r="I240" s="65"/>
      <c r="J240" s="234"/>
      <c r="K240" s="86"/>
      <c r="L240" s="86"/>
      <c r="M240" s="86"/>
      <c r="N240" s="86"/>
      <c r="O240" s="86"/>
      <c r="P240" s="86"/>
    </row>
    <row r="241" ht="18.75" customHeight="1">
      <c r="A241" s="170"/>
      <c r="B241" s="229"/>
      <c r="C241" s="230"/>
      <c r="D241" s="187"/>
      <c r="E241" s="187"/>
      <c r="F241" s="187"/>
      <c r="G241" s="230"/>
      <c r="H241" s="189"/>
      <c r="I241" s="175"/>
      <c r="J241" s="235"/>
      <c r="K241" s="86"/>
      <c r="L241" s="86"/>
      <c r="M241" s="86"/>
      <c r="N241" s="86"/>
      <c r="O241" s="86"/>
      <c r="P241" s="86"/>
    </row>
    <row r="242" ht="18.75" customHeight="1">
      <c r="A242" s="170"/>
      <c r="B242" s="230"/>
      <c r="C242" s="230"/>
      <c r="D242" s="190"/>
      <c r="E242" s="190"/>
      <c r="F242" s="190"/>
      <c r="G242" s="230"/>
      <c r="H242" s="189"/>
      <c r="I242" s="65"/>
      <c r="J242" s="234"/>
      <c r="K242" s="86"/>
      <c r="L242" s="86"/>
      <c r="M242" s="86"/>
      <c r="N242" s="86"/>
      <c r="O242" s="86"/>
      <c r="P242" s="86"/>
    </row>
    <row r="243" ht="18.75" customHeight="1">
      <c r="A243" s="170"/>
      <c r="B243" s="229"/>
      <c r="C243" s="230"/>
      <c r="D243" s="187"/>
      <c r="E243" s="187"/>
      <c r="F243" s="187"/>
      <c r="G243" s="230"/>
      <c r="H243" s="189"/>
      <c r="I243" s="175"/>
      <c r="J243" s="235"/>
      <c r="K243" s="86"/>
      <c r="L243" s="86"/>
      <c r="M243" s="86"/>
      <c r="N243" s="86"/>
      <c r="O243" s="86"/>
      <c r="P243" s="86"/>
    </row>
    <row r="244" ht="18.75" customHeight="1">
      <c r="A244" s="170"/>
      <c r="B244" s="230"/>
      <c r="C244" s="230"/>
      <c r="D244" s="190"/>
      <c r="E244" s="190"/>
      <c r="F244" s="190"/>
      <c r="G244" s="230"/>
      <c r="H244" s="189"/>
      <c r="I244" s="65"/>
      <c r="J244" s="234"/>
      <c r="K244" s="86"/>
      <c r="L244" s="86"/>
      <c r="M244" s="86"/>
      <c r="N244" s="86"/>
      <c r="O244" s="86"/>
      <c r="P244" s="86"/>
    </row>
    <row r="245" ht="18.75" customHeight="1">
      <c r="A245" s="170"/>
      <c r="B245" s="229"/>
      <c r="C245" s="230"/>
      <c r="D245" s="187"/>
      <c r="E245" s="187"/>
      <c r="F245" s="187"/>
      <c r="G245" s="230"/>
      <c r="H245" s="189"/>
      <c r="I245" s="175"/>
      <c r="J245" s="235"/>
      <c r="K245" s="86"/>
      <c r="L245" s="86"/>
      <c r="M245" s="86"/>
      <c r="N245" s="86"/>
      <c r="O245" s="86"/>
      <c r="P245" s="86"/>
    </row>
    <row r="246" ht="18.75" customHeight="1">
      <c r="A246" s="170"/>
      <c r="B246" s="230"/>
      <c r="C246" s="230"/>
      <c r="D246" s="190"/>
      <c r="E246" s="190"/>
      <c r="F246" s="190"/>
      <c r="G246" s="230"/>
      <c r="H246" s="189"/>
      <c r="I246" s="65"/>
      <c r="J246" s="234"/>
      <c r="K246" s="86"/>
      <c r="L246" s="86"/>
      <c r="M246" s="86"/>
      <c r="N246" s="86"/>
      <c r="O246" s="86"/>
      <c r="P246" s="86"/>
    </row>
    <row r="247" ht="18.75" customHeight="1">
      <c r="A247" s="170"/>
      <c r="B247" s="229"/>
      <c r="C247" s="230"/>
      <c r="D247" s="187"/>
      <c r="E247" s="187"/>
      <c r="F247" s="187"/>
      <c r="G247" s="230"/>
      <c r="H247" s="189"/>
      <c r="I247" s="175"/>
      <c r="J247" s="235"/>
      <c r="K247" s="86"/>
      <c r="L247" s="86"/>
      <c r="M247" s="86"/>
      <c r="N247" s="86"/>
      <c r="O247" s="86"/>
      <c r="P247" s="86"/>
    </row>
    <row r="248" ht="18.75" customHeight="1">
      <c r="A248" s="170"/>
      <c r="B248" s="230"/>
      <c r="C248" s="230"/>
      <c r="D248" s="190"/>
      <c r="E248" s="190"/>
      <c r="F248" s="190"/>
      <c r="G248" s="230"/>
      <c r="H248" s="189"/>
      <c r="I248" s="65"/>
      <c r="J248" s="234"/>
      <c r="K248" s="86"/>
      <c r="L248" s="86"/>
      <c r="M248" s="86"/>
      <c r="N248" s="86"/>
      <c r="O248" s="86"/>
      <c r="P248" s="86"/>
    </row>
    <row r="249" ht="18.75" customHeight="1">
      <c r="A249" s="170"/>
      <c r="B249" s="229"/>
      <c r="C249" s="230"/>
      <c r="D249" s="187"/>
      <c r="E249" s="187"/>
      <c r="F249" s="187"/>
      <c r="G249" s="230"/>
      <c r="H249" s="189"/>
      <c r="I249" s="175"/>
      <c r="J249" s="235"/>
      <c r="K249" s="86"/>
      <c r="L249" s="86"/>
      <c r="M249" s="86"/>
      <c r="N249" s="86"/>
      <c r="O249" s="86"/>
      <c r="P249" s="86"/>
    </row>
    <row r="250" ht="18.75" customHeight="1">
      <c r="A250" s="170"/>
      <c r="B250" s="230"/>
      <c r="C250" s="230"/>
      <c r="D250" s="190"/>
      <c r="E250" s="190"/>
      <c r="F250" s="190"/>
      <c r="G250" s="230"/>
      <c r="H250" s="189"/>
      <c r="I250" s="65"/>
      <c r="J250" s="234"/>
      <c r="K250" s="86"/>
      <c r="L250" s="86"/>
      <c r="M250" s="86"/>
      <c r="N250" s="86"/>
      <c r="O250" s="86"/>
      <c r="P250" s="86"/>
    </row>
    <row r="251" ht="18.75" customHeight="1">
      <c r="A251" s="170"/>
      <c r="B251" s="229"/>
      <c r="C251" s="230"/>
      <c r="D251" s="187"/>
      <c r="E251" s="187"/>
      <c r="F251" s="187"/>
      <c r="G251" s="230"/>
      <c r="H251" s="189"/>
      <c r="I251" s="175"/>
      <c r="J251" s="235"/>
      <c r="K251" s="86"/>
      <c r="L251" s="86"/>
      <c r="M251" s="86"/>
      <c r="N251" s="86"/>
      <c r="O251" s="86"/>
      <c r="P251" s="86"/>
    </row>
    <row r="252" ht="18.75" customHeight="1">
      <c r="A252" s="170"/>
      <c r="B252" s="230"/>
      <c r="C252" s="230"/>
      <c r="D252" s="190"/>
      <c r="E252" s="190"/>
      <c r="F252" s="190"/>
      <c r="G252" s="230"/>
      <c r="H252" s="189"/>
      <c r="I252" s="65"/>
      <c r="J252" s="234"/>
      <c r="K252" s="86"/>
      <c r="L252" s="86"/>
      <c r="M252" s="86"/>
      <c r="N252" s="86"/>
      <c r="O252" s="86"/>
      <c r="P252" s="86"/>
    </row>
    <row r="253" ht="18.75" customHeight="1">
      <c r="A253" s="170"/>
      <c r="B253" s="229"/>
      <c r="C253" s="230"/>
      <c r="D253" s="187"/>
      <c r="E253" s="187"/>
      <c r="F253" s="187"/>
      <c r="G253" s="230"/>
      <c r="H253" s="189"/>
      <c r="I253" s="175"/>
      <c r="J253" s="235"/>
      <c r="K253" s="86"/>
      <c r="L253" s="86"/>
      <c r="M253" s="86"/>
      <c r="N253" s="86"/>
      <c r="O253" s="86"/>
      <c r="P253" s="86"/>
    </row>
    <row r="254" ht="18.75" customHeight="1">
      <c r="A254" s="170"/>
      <c r="B254" s="230"/>
      <c r="C254" s="230"/>
      <c r="D254" s="190"/>
      <c r="E254" s="190"/>
      <c r="F254" s="190"/>
      <c r="G254" s="230"/>
      <c r="H254" s="189"/>
      <c r="I254" s="65"/>
      <c r="J254" s="234"/>
      <c r="K254" s="86"/>
      <c r="L254" s="86"/>
      <c r="M254" s="86"/>
      <c r="N254" s="86"/>
      <c r="O254" s="86"/>
      <c r="P254" s="86"/>
    </row>
    <row r="255" ht="18.75" customHeight="1">
      <c r="A255" s="170"/>
      <c r="B255" s="229"/>
      <c r="C255" s="230"/>
      <c r="D255" s="187"/>
      <c r="E255" s="187"/>
      <c r="F255" s="187"/>
      <c r="G255" s="230"/>
      <c r="H255" s="189"/>
      <c r="I255" s="175"/>
      <c r="J255" s="235"/>
      <c r="K255" s="86"/>
      <c r="L255" s="86"/>
      <c r="M255" s="86"/>
      <c r="N255" s="86"/>
      <c r="O255" s="86"/>
      <c r="P255" s="86"/>
    </row>
    <row r="256" ht="18.75" customHeight="1">
      <c r="A256" s="170"/>
      <c r="B256" s="230"/>
      <c r="C256" s="230"/>
      <c r="D256" s="190"/>
      <c r="E256" s="190"/>
      <c r="F256" s="190"/>
      <c r="G256" s="230"/>
      <c r="H256" s="189"/>
      <c r="I256" s="65"/>
      <c r="J256" s="234"/>
      <c r="K256" s="86"/>
      <c r="L256" s="86"/>
      <c r="M256" s="86"/>
      <c r="N256" s="86"/>
      <c r="O256" s="86"/>
      <c r="P256" s="86"/>
    </row>
    <row r="257" ht="18.75" customHeight="1">
      <c r="A257" s="170"/>
      <c r="B257" s="229"/>
      <c r="C257" s="230"/>
      <c r="D257" s="187"/>
      <c r="E257" s="187"/>
      <c r="F257" s="187"/>
      <c r="G257" s="230"/>
      <c r="H257" s="189"/>
      <c r="I257" s="175"/>
      <c r="J257" s="235"/>
      <c r="K257" s="86"/>
      <c r="L257" s="86"/>
      <c r="M257" s="86"/>
      <c r="N257" s="86"/>
      <c r="O257" s="86"/>
      <c r="P257" s="86"/>
    </row>
    <row r="258" ht="18.75" customHeight="1">
      <c r="A258" s="170"/>
      <c r="B258" s="230"/>
      <c r="C258" s="230"/>
      <c r="D258" s="190"/>
      <c r="E258" s="190"/>
      <c r="F258" s="190"/>
      <c r="G258" s="230"/>
      <c r="H258" s="189"/>
      <c r="I258" s="65"/>
      <c r="J258" s="234"/>
      <c r="K258" s="86"/>
      <c r="L258" s="86"/>
      <c r="M258" s="86"/>
      <c r="N258" s="86"/>
      <c r="O258" s="86"/>
      <c r="P258" s="86"/>
    </row>
    <row r="259" ht="18.75" customHeight="1">
      <c r="A259" s="170"/>
      <c r="B259" s="229"/>
      <c r="C259" s="230"/>
      <c r="D259" s="187"/>
      <c r="E259" s="187"/>
      <c r="F259" s="187"/>
      <c r="G259" s="230"/>
      <c r="H259" s="189"/>
      <c r="I259" s="175"/>
      <c r="J259" s="235"/>
      <c r="K259" s="86"/>
      <c r="L259" s="86"/>
      <c r="M259" s="86"/>
      <c r="N259" s="86"/>
      <c r="O259" s="86"/>
      <c r="P259" s="86"/>
    </row>
    <row r="260" ht="18.75" customHeight="1">
      <c r="A260" s="170"/>
      <c r="B260" s="230"/>
      <c r="C260" s="230"/>
      <c r="D260" s="190"/>
      <c r="E260" s="190"/>
      <c r="F260" s="190"/>
      <c r="G260" s="230"/>
      <c r="H260" s="189"/>
      <c r="I260" s="65"/>
      <c r="J260" s="234"/>
      <c r="K260" s="86"/>
      <c r="L260" s="86"/>
      <c r="M260" s="86"/>
      <c r="N260" s="86"/>
      <c r="O260" s="86"/>
      <c r="P260" s="86"/>
    </row>
    <row r="261" ht="18.75" customHeight="1">
      <c r="A261" s="170"/>
      <c r="B261" s="229"/>
      <c r="C261" s="230"/>
      <c r="D261" s="187"/>
      <c r="E261" s="187"/>
      <c r="F261" s="187"/>
      <c r="G261" s="230"/>
      <c r="H261" s="189"/>
      <c r="I261" s="175"/>
      <c r="J261" s="235"/>
      <c r="K261" s="86"/>
      <c r="L261" s="86"/>
      <c r="M261" s="86"/>
      <c r="N261" s="86"/>
      <c r="O261" s="86"/>
      <c r="P261" s="86"/>
    </row>
    <row r="262" ht="18.75" customHeight="1">
      <c r="A262" s="170"/>
      <c r="B262" s="230"/>
      <c r="C262" s="230"/>
      <c r="D262" s="190"/>
      <c r="E262" s="190"/>
      <c r="F262" s="190"/>
      <c r="G262" s="230"/>
      <c r="H262" s="189"/>
      <c r="I262" s="65"/>
      <c r="J262" s="234"/>
      <c r="K262" s="86"/>
      <c r="L262" s="86"/>
      <c r="M262" s="86"/>
      <c r="N262" s="86"/>
      <c r="O262" s="86"/>
      <c r="P262" s="86"/>
    </row>
    <row r="263" ht="18.75" customHeight="1">
      <c r="A263" s="170"/>
      <c r="B263" s="229"/>
      <c r="C263" s="230"/>
      <c r="D263" s="187"/>
      <c r="E263" s="187"/>
      <c r="F263" s="187"/>
      <c r="G263" s="230"/>
      <c r="H263" s="189"/>
      <c r="I263" s="175"/>
      <c r="J263" s="235"/>
      <c r="K263" s="86"/>
      <c r="L263" s="86"/>
      <c r="M263" s="86"/>
      <c r="N263" s="86"/>
      <c r="O263" s="86"/>
      <c r="P263" s="86"/>
    </row>
    <row r="264" ht="18.75" customHeight="1">
      <c r="A264" s="170"/>
      <c r="B264" s="230"/>
      <c r="C264" s="230"/>
      <c r="D264" s="190"/>
      <c r="E264" s="190"/>
      <c r="F264" s="190"/>
      <c r="G264" s="230"/>
      <c r="H264" s="189"/>
      <c r="I264" s="65"/>
      <c r="J264" s="234"/>
      <c r="K264" s="86"/>
      <c r="L264" s="86"/>
      <c r="M264" s="86"/>
      <c r="N264" s="86"/>
      <c r="O264" s="86"/>
      <c r="P264" s="86"/>
    </row>
    <row r="265" ht="18.75" customHeight="1">
      <c r="A265" s="170"/>
      <c r="B265" s="229"/>
      <c r="C265" s="230"/>
      <c r="D265" s="187"/>
      <c r="E265" s="187"/>
      <c r="F265" s="187"/>
      <c r="G265" s="230"/>
      <c r="H265" s="189"/>
      <c r="I265" s="175"/>
      <c r="J265" s="235"/>
      <c r="K265" s="86"/>
      <c r="L265" s="86"/>
      <c r="M265" s="86"/>
      <c r="N265" s="86"/>
      <c r="O265" s="86"/>
      <c r="P265" s="86"/>
    </row>
    <row r="266" ht="18.75" customHeight="1">
      <c r="A266" s="170"/>
      <c r="B266" s="230"/>
      <c r="C266" s="230"/>
      <c r="D266" s="190"/>
      <c r="E266" s="190"/>
      <c r="F266" s="190"/>
      <c r="G266" s="230"/>
      <c r="H266" s="189"/>
      <c r="I266" s="65"/>
      <c r="J266" s="234"/>
      <c r="K266" s="86"/>
      <c r="L266" s="86"/>
      <c r="M266" s="86"/>
      <c r="N266" s="86"/>
      <c r="O266" s="86"/>
      <c r="P266" s="86"/>
    </row>
    <row r="267" ht="18.75" customHeight="1">
      <c r="A267" s="170"/>
      <c r="B267" s="229"/>
      <c r="C267" s="230"/>
      <c r="D267" s="187"/>
      <c r="E267" s="187"/>
      <c r="F267" s="187"/>
      <c r="G267" s="230"/>
      <c r="H267" s="189"/>
      <c r="I267" s="175"/>
      <c r="J267" s="235"/>
      <c r="K267" s="86"/>
      <c r="L267" s="86"/>
      <c r="M267" s="86"/>
      <c r="N267" s="86"/>
      <c r="O267" s="86"/>
      <c r="P267" s="86"/>
    </row>
    <row r="268" ht="18.75" customHeight="1">
      <c r="A268" s="170"/>
      <c r="B268" s="230"/>
      <c r="C268" s="230"/>
      <c r="D268" s="190"/>
      <c r="E268" s="190"/>
      <c r="F268" s="190"/>
      <c r="G268" s="230"/>
      <c r="H268" s="189"/>
      <c r="I268" s="65"/>
      <c r="J268" s="234"/>
      <c r="K268" s="86"/>
      <c r="L268" s="86"/>
      <c r="M268" s="86"/>
      <c r="N268" s="86"/>
      <c r="O268" s="86"/>
      <c r="P268" s="86"/>
    </row>
    <row r="269" ht="18.75" customHeight="1">
      <c r="A269" s="170"/>
      <c r="B269" s="229"/>
      <c r="C269" s="230"/>
      <c r="D269" s="187"/>
      <c r="E269" s="187"/>
      <c r="F269" s="187"/>
      <c r="G269" s="230"/>
      <c r="H269" s="189"/>
      <c r="I269" s="175"/>
      <c r="J269" s="235"/>
      <c r="K269" s="86"/>
      <c r="L269" s="86"/>
      <c r="M269" s="86"/>
      <c r="N269" s="86"/>
      <c r="O269" s="86"/>
      <c r="P269" s="86"/>
    </row>
    <row r="270" ht="18.75" customHeight="1">
      <c r="A270" s="170"/>
      <c r="B270" s="230"/>
      <c r="C270" s="230"/>
      <c r="D270" s="190"/>
      <c r="E270" s="190"/>
      <c r="F270" s="190"/>
      <c r="G270" s="230"/>
      <c r="H270" s="189"/>
      <c r="I270" s="65"/>
      <c r="J270" s="234"/>
      <c r="K270" s="86"/>
      <c r="L270" s="86"/>
      <c r="M270" s="86"/>
      <c r="N270" s="86"/>
      <c r="O270" s="86"/>
      <c r="P270" s="86"/>
    </row>
    <row r="271" ht="18.75" customHeight="1">
      <c r="A271" s="170"/>
      <c r="B271" s="229"/>
      <c r="C271" s="230"/>
      <c r="D271" s="187"/>
      <c r="E271" s="187"/>
      <c r="F271" s="187"/>
      <c r="G271" s="230"/>
      <c r="H271" s="189"/>
      <c r="I271" s="175"/>
      <c r="J271" s="235"/>
      <c r="K271" s="86"/>
      <c r="L271" s="86"/>
      <c r="M271" s="86"/>
      <c r="N271" s="86"/>
      <c r="O271" s="86"/>
      <c r="P271" s="86"/>
    </row>
    <row r="272" ht="18.75" customHeight="1">
      <c r="A272" s="170"/>
      <c r="B272" s="230"/>
      <c r="C272" s="230"/>
      <c r="D272" s="190"/>
      <c r="E272" s="190"/>
      <c r="F272" s="190"/>
      <c r="G272" s="230"/>
      <c r="H272" s="189"/>
      <c r="I272" s="65"/>
      <c r="J272" s="234"/>
      <c r="K272" s="86"/>
      <c r="L272" s="86"/>
      <c r="M272" s="86"/>
      <c r="N272" s="86"/>
      <c r="O272" s="86"/>
      <c r="P272" s="86"/>
    </row>
    <row r="273" ht="18.75" customHeight="1">
      <c r="A273" s="170"/>
      <c r="B273" s="229"/>
      <c r="C273" s="230"/>
      <c r="D273" s="187"/>
      <c r="E273" s="187"/>
      <c r="F273" s="187"/>
      <c r="G273" s="230"/>
      <c r="H273" s="189"/>
      <c r="I273" s="175"/>
      <c r="J273" s="235"/>
      <c r="K273" s="86"/>
      <c r="L273" s="86"/>
      <c r="M273" s="86"/>
      <c r="N273" s="86"/>
      <c r="O273" s="86"/>
      <c r="P273" s="86"/>
    </row>
    <row r="274" ht="18.75" customHeight="1">
      <c r="A274" s="170"/>
      <c r="B274" s="230"/>
      <c r="C274" s="230"/>
      <c r="D274" s="190"/>
      <c r="E274" s="190"/>
      <c r="F274" s="190"/>
      <c r="G274" s="230"/>
      <c r="H274" s="189"/>
      <c r="I274" s="65"/>
      <c r="J274" s="234"/>
      <c r="K274" s="86"/>
      <c r="L274" s="86"/>
      <c r="M274" s="86"/>
      <c r="N274" s="86"/>
      <c r="O274" s="86"/>
      <c r="P274" s="86"/>
    </row>
    <row r="275" ht="18.75" customHeight="1">
      <c r="A275" s="170"/>
      <c r="B275" s="229"/>
      <c r="C275" s="230"/>
      <c r="D275" s="187"/>
      <c r="E275" s="187"/>
      <c r="F275" s="187"/>
      <c r="G275" s="230"/>
      <c r="H275" s="189"/>
      <c r="I275" s="175"/>
      <c r="J275" s="235"/>
      <c r="K275" s="86"/>
      <c r="L275" s="86"/>
      <c r="M275" s="86"/>
      <c r="N275" s="86"/>
      <c r="O275" s="86"/>
      <c r="P275" s="86"/>
    </row>
    <row r="276" ht="18.75" customHeight="1">
      <c r="A276" s="170"/>
      <c r="B276" s="230"/>
      <c r="C276" s="230"/>
      <c r="D276" s="190"/>
      <c r="E276" s="190"/>
      <c r="F276" s="190"/>
      <c r="G276" s="230"/>
      <c r="H276" s="189"/>
      <c r="I276" s="65"/>
      <c r="J276" s="234"/>
      <c r="K276" s="86"/>
      <c r="L276" s="86"/>
      <c r="M276" s="86"/>
      <c r="N276" s="86"/>
      <c r="O276" s="86"/>
      <c r="P276" s="86"/>
    </row>
    <row r="277" ht="18.75" customHeight="1">
      <c r="A277" s="170"/>
      <c r="B277" s="229"/>
      <c r="C277" s="230"/>
      <c r="D277" s="187"/>
      <c r="E277" s="187"/>
      <c r="F277" s="187"/>
      <c r="G277" s="230"/>
      <c r="H277" s="189"/>
      <c r="I277" s="175"/>
      <c r="J277" s="235"/>
      <c r="K277" s="86"/>
      <c r="L277" s="86"/>
      <c r="M277" s="86"/>
      <c r="N277" s="86"/>
      <c r="O277" s="86"/>
      <c r="P277" s="86"/>
    </row>
    <row r="278" ht="18.75" customHeight="1">
      <c r="A278" s="170"/>
      <c r="B278" s="230"/>
      <c r="C278" s="230"/>
      <c r="D278" s="190"/>
      <c r="E278" s="190"/>
      <c r="F278" s="190"/>
      <c r="G278" s="230"/>
      <c r="H278" s="189"/>
      <c r="I278" s="65"/>
      <c r="J278" s="234"/>
      <c r="K278" s="86"/>
      <c r="L278" s="86"/>
      <c r="M278" s="86"/>
      <c r="N278" s="86"/>
      <c r="O278" s="86"/>
      <c r="P278" s="86"/>
    </row>
    <row r="279" ht="18.75" customHeight="1">
      <c r="A279" s="170"/>
      <c r="B279" s="229"/>
      <c r="C279" s="230"/>
      <c r="D279" s="187"/>
      <c r="E279" s="187"/>
      <c r="F279" s="187"/>
      <c r="G279" s="230"/>
      <c r="H279" s="189"/>
      <c r="I279" s="175"/>
      <c r="J279" s="235"/>
      <c r="K279" s="86"/>
      <c r="L279" s="86"/>
      <c r="M279" s="86"/>
      <c r="N279" s="86"/>
      <c r="O279" s="86"/>
      <c r="P279" s="86"/>
    </row>
    <row r="280" ht="18.75" customHeight="1">
      <c r="A280" s="170"/>
      <c r="B280" s="230"/>
      <c r="C280" s="230"/>
      <c r="D280" s="190"/>
      <c r="E280" s="190"/>
      <c r="F280" s="190"/>
      <c r="G280" s="230"/>
      <c r="H280" s="189"/>
      <c r="I280" s="65"/>
      <c r="J280" s="234"/>
      <c r="K280" s="86"/>
      <c r="L280" s="86"/>
      <c r="M280" s="86"/>
      <c r="N280" s="86"/>
      <c r="O280" s="86"/>
      <c r="P280" s="86"/>
    </row>
    <row r="281" ht="18.75" customHeight="1">
      <c r="A281" s="170"/>
      <c r="B281" s="229"/>
      <c r="C281" s="230"/>
      <c r="D281" s="187"/>
      <c r="E281" s="187"/>
      <c r="F281" s="187"/>
      <c r="G281" s="230"/>
      <c r="H281" s="189"/>
      <c r="I281" s="175"/>
      <c r="J281" s="235"/>
      <c r="K281" s="86"/>
      <c r="L281" s="86"/>
      <c r="M281" s="86"/>
      <c r="N281" s="86"/>
      <c r="O281" s="86"/>
      <c r="P281" s="86"/>
    </row>
    <row r="282" ht="18.75" customHeight="1">
      <c r="A282" s="170"/>
      <c r="B282" s="230"/>
      <c r="C282" s="230"/>
      <c r="D282" s="190"/>
      <c r="E282" s="190"/>
      <c r="F282" s="190"/>
      <c r="G282" s="230"/>
      <c r="H282" s="189"/>
      <c r="I282" s="65"/>
      <c r="J282" s="234"/>
      <c r="K282" s="86"/>
      <c r="L282" s="86"/>
      <c r="M282" s="86"/>
      <c r="N282" s="86"/>
      <c r="O282" s="86"/>
      <c r="P282" s="86"/>
    </row>
    <row r="283" ht="18.75" customHeight="1">
      <c r="A283" s="170"/>
      <c r="B283" s="229"/>
      <c r="C283" s="230"/>
      <c r="D283" s="187"/>
      <c r="E283" s="187"/>
      <c r="F283" s="187"/>
      <c r="G283" s="230"/>
      <c r="H283" s="189"/>
      <c r="I283" s="175"/>
      <c r="J283" s="235"/>
      <c r="K283" s="86"/>
      <c r="L283" s="86"/>
      <c r="M283" s="86"/>
      <c r="N283" s="86"/>
      <c r="O283" s="86"/>
      <c r="P283" s="86"/>
    </row>
    <row r="284" ht="18.75" customHeight="1">
      <c r="A284" s="170"/>
      <c r="B284" s="230"/>
      <c r="C284" s="230"/>
      <c r="D284" s="190"/>
      <c r="E284" s="190"/>
      <c r="F284" s="190"/>
      <c r="G284" s="230"/>
      <c r="H284" s="189"/>
      <c r="I284" s="65"/>
      <c r="J284" s="234"/>
      <c r="K284" s="86"/>
      <c r="L284" s="86"/>
      <c r="M284" s="86"/>
      <c r="N284" s="86"/>
      <c r="O284" s="86"/>
      <c r="P284" s="86"/>
    </row>
    <row r="285" ht="18.75" customHeight="1">
      <c r="A285" s="170"/>
      <c r="B285" s="229"/>
      <c r="C285" s="230"/>
      <c r="D285" s="187"/>
      <c r="E285" s="187"/>
      <c r="F285" s="187"/>
      <c r="G285" s="230"/>
      <c r="H285" s="189"/>
      <c r="I285" s="175"/>
      <c r="J285" s="235"/>
      <c r="K285" s="86"/>
      <c r="L285" s="86"/>
      <c r="M285" s="86"/>
      <c r="N285" s="86"/>
      <c r="O285" s="86"/>
      <c r="P285" s="86"/>
    </row>
    <row r="286" ht="18.75" customHeight="1">
      <c r="A286" s="170"/>
      <c r="B286" s="230"/>
      <c r="C286" s="230"/>
      <c r="D286" s="190"/>
      <c r="E286" s="190"/>
      <c r="F286" s="190"/>
      <c r="G286" s="230"/>
      <c r="H286" s="189"/>
      <c r="I286" s="65"/>
      <c r="J286" s="234"/>
      <c r="K286" s="86"/>
      <c r="L286" s="86"/>
      <c r="M286" s="86"/>
      <c r="N286" s="86"/>
      <c r="O286" s="86"/>
      <c r="P286" s="86"/>
    </row>
    <row r="287" ht="18.75" customHeight="1">
      <c r="A287" s="170"/>
      <c r="B287" s="229"/>
      <c r="C287" s="230"/>
      <c r="D287" s="187"/>
      <c r="E287" s="187"/>
      <c r="F287" s="187"/>
      <c r="G287" s="230"/>
      <c r="H287" s="189"/>
      <c r="I287" s="175"/>
      <c r="J287" s="235"/>
      <c r="K287" s="86"/>
      <c r="L287" s="86"/>
      <c r="M287" s="86"/>
      <c r="N287" s="86"/>
      <c r="O287" s="86"/>
      <c r="P287" s="86"/>
    </row>
    <row r="288" ht="18.75" customHeight="1">
      <c r="A288" s="170"/>
      <c r="B288" s="230"/>
      <c r="C288" s="230"/>
      <c r="D288" s="190"/>
      <c r="E288" s="190"/>
      <c r="F288" s="190"/>
      <c r="G288" s="230"/>
      <c r="H288" s="189"/>
      <c r="I288" s="65"/>
      <c r="J288" s="234"/>
      <c r="K288" s="86"/>
      <c r="L288" s="86"/>
      <c r="M288" s="86"/>
      <c r="N288" s="86"/>
      <c r="O288" s="86"/>
      <c r="P288" s="86"/>
    </row>
    <row r="289" ht="18.75" customHeight="1">
      <c r="A289" s="170"/>
      <c r="B289" s="229"/>
      <c r="C289" s="230"/>
      <c r="D289" s="187"/>
      <c r="E289" s="187"/>
      <c r="F289" s="187"/>
      <c r="G289" s="230"/>
      <c r="H289" s="189"/>
      <c r="I289" s="175"/>
      <c r="J289" s="235"/>
      <c r="K289" s="86"/>
      <c r="L289" s="86"/>
      <c r="M289" s="86"/>
      <c r="N289" s="86"/>
      <c r="O289" s="86"/>
      <c r="P289" s="86"/>
    </row>
    <row r="290" ht="18.75" customHeight="1">
      <c r="A290" s="170"/>
      <c r="B290" s="230"/>
      <c r="C290" s="230"/>
      <c r="D290" s="190"/>
      <c r="E290" s="190"/>
      <c r="F290" s="190"/>
      <c r="G290" s="230"/>
      <c r="H290" s="189"/>
      <c r="I290" s="65"/>
      <c r="J290" s="234"/>
      <c r="K290" s="86"/>
      <c r="L290" s="86"/>
      <c r="M290" s="86"/>
      <c r="N290" s="86"/>
      <c r="O290" s="86"/>
      <c r="P290" s="86"/>
    </row>
    <row r="291" ht="18.75" customHeight="1">
      <c r="A291" s="170"/>
      <c r="B291" s="229"/>
      <c r="C291" s="230"/>
      <c r="D291" s="187"/>
      <c r="E291" s="187"/>
      <c r="F291" s="187"/>
      <c r="G291" s="230"/>
      <c r="H291" s="189"/>
      <c r="I291" s="175"/>
      <c r="J291" s="235"/>
      <c r="K291" s="86"/>
      <c r="L291" s="86"/>
      <c r="M291" s="86"/>
      <c r="N291" s="86"/>
      <c r="O291" s="86"/>
      <c r="P291" s="86"/>
    </row>
    <row r="292" ht="18.75" customHeight="1">
      <c r="A292" s="170"/>
      <c r="B292" s="230"/>
      <c r="C292" s="230"/>
      <c r="D292" s="190"/>
      <c r="E292" s="190"/>
      <c r="F292" s="190"/>
      <c r="G292" s="230"/>
      <c r="H292" s="189"/>
      <c r="I292" s="65"/>
      <c r="J292" s="234"/>
      <c r="K292" s="86"/>
      <c r="L292" s="86"/>
      <c r="M292" s="86"/>
      <c r="N292" s="86"/>
      <c r="O292" s="86"/>
      <c r="P292" s="86"/>
    </row>
    <row r="293" ht="18.75" customHeight="1">
      <c r="A293" s="170"/>
      <c r="B293" s="229"/>
      <c r="C293" s="230"/>
      <c r="D293" s="187"/>
      <c r="E293" s="187"/>
      <c r="F293" s="187"/>
      <c r="G293" s="230"/>
      <c r="H293" s="189"/>
      <c r="I293" s="175"/>
      <c r="J293" s="235"/>
      <c r="K293" s="86"/>
      <c r="L293" s="86"/>
      <c r="M293" s="86"/>
      <c r="N293" s="86"/>
      <c r="O293" s="86"/>
      <c r="P293" s="86"/>
    </row>
    <row r="294" ht="18.75" customHeight="1">
      <c r="A294" s="170"/>
      <c r="B294" s="230"/>
      <c r="C294" s="230"/>
      <c r="D294" s="190"/>
      <c r="E294" s="190"/>
      <c r="F294" s="190"/>
      <c r="G294" s="230"/>
      <c r="H294" s="189"/>
      <c r="I294" s="65"/>
      <c r="J294" s="234"/>
      <c r="K294" s="86"/>
      <c r="L294" s="86"/>
      <c r="M294" s="86"/>
      <c r="N294" s="86"/>
      <c r="O294" s="86"/>
      <c r="P294" s="86"/>
    </row>
    <row r="295" ht="18.75" customHeight="1">
      <c r="A295" s="170"/>
      <c r="B295" s="229"/>
      <c r="C295" s="230"/>
      <c r="D295" s="187"/>
      <c r="E295" s="187"/>
      <c r="F295" s="187"/>
      <c r="G295" s="230"/>
      <c r="H295" s="189"/>
      <c r="I295" s="175"/>
      <c r="J295" s="235"/>
      <c r="K295" s="86"/>
      <c r="L295" s="86"/>
      <c r="M295" s="86"/>
      <c r="N295" s="86"/>
      <c r="O295" s="86"/>
      <c r="P295" s="86"/>
    </row>
    <row r="296" ht="18.75" customHeight="1">
      <c r="A296" s="170"/>
      <c r="B296" s="230"/>
      <c r="C296" s="230"/>
      <c r="D296" s="190"/>
      <c r="E296" s="190"/>
      <c r="F296" s="190"/>
      <c r="G296" s="230"/>
      <c r="H296" s="189"/>
      <c r="I296" s="65"/>
      <c r="J296" s="234"/>
      <c r="K296" s="86"/>
      <c r="L296" s="86"/>
      <c r="M296" s="86"/>
      <c r="N296" s="86"/>
      <c r="O296" s="86"/>
      <c r="P296" s="86"/>
    </row>
    <row r="297" ht="18.75" customHeight="1">
      <c r="A297" s="170"/>
      <c r="B297" s="229"/>
      <c r="C297" s="230"/>
      <c r="D297" s="187"/>
      <c r="E297" s="187"/>
      <c r="F297" s="187"/>
      <c r="G297" s="230"/>
      <c r="H297" s="189"/>
      <c r="I297" s="175"/>
      <c r="J297" s="235"/>
      <c r="K297" s="86"/>
      <c r="L297" s="86"/>
      <c r="M297" s="86"/>
      <c r="N297" s="86"/>
      <c r="O297" s="86"/>
      <c r="P297" s="86"/>
    </row>
    <row r="298" ht="18.75" customHeight="1">
      <c r="A298" s="170"/>
      <c r="B298" s="230"/>
      <c r="C298" s="230"/>
      <c r="D298" s="190"/>
      <c r="E298" s="190"/>
      <c r="F298" s="190"/>
      <c r="G298" s="230"/>
      <c r="H298" s="189"/>
      <c r="I298" s="65"/>
      <c r="J298" s="234"/>
      <c r="K298" s="86"/>
      <c r="L298" s="86"/>
      <c r="M298" s="86"/>
      <c r="N298" s="86"/>
      <c r="O298" s="86"/>
      <c r="P298" s="86"/>
    </row>
    <row r="299" ht="18.75" customHeight="1">
      <c r="A299" s="170"/>
      <c r="B299" s="229"/>
      <c r="C299" s="230"/>
      <c r="D299" s="187"/>
      <c r="E299" s="187"/>
      <c r="F299" s="187"/>
      <c r="G299" s="230"/>
      <c r="H299" s="189"/>
      <c r="I299" s="175"/>
      <c r="J299" s="235"/>
      <c r="K299" s="86"/>
      <c r="L299" s="86"/>
      <c r="M299" s="86"/>
      <c r="N299" s="86"/>
      <c r="O299" s="86"/>
      <c r="P299" s="86"/>
    </row>
    <row r="300" ht="18.75" customHeight="1">
      <c r="A300" s="170"/>
      <c r="B300" s="193"/>
      <c r="C300" s="193"/>
      <c r="D300" s="195"/>
      <c r="E300" s="193"/>
      <c r="F300" s="172"/>
      <c r="G300" s="172"/>
      <c r="H300" s="55"/>
      <c r="I300" s="65"/>
      <c r="J300" s="234"/>
      <c r="K300" s="86"/>
      <c r="L300" s="86"/>
      <c r="M300" s="86"/>
      <c r="N300" s="86"/>
      <c r="O300" s="86"/>
      <c r="P300" s="86"/>
    </row>
    <row r="301" ht="18.75" customHeight="1">
      <c r="A301" s="170"/>
      <c r="B301" s="201"/>
      <c r="C301" s="201"/>
      <c r="D301" s="210"/>
      <c r="E301" s="201"/>
      <c r="F301" s="208"/>
      <c r="G301" s="208"/>
      <c r="H301" s="209"/>
      <c r="I301" s="175"/>
      <c r="J301" s="235"/>
      <c r="K301" s="86"/>
      <c r="L301" s="86"/>
      <c r="M301" s="86"/>
      <c r="N301" s="86"/>
      <c r="O301" s="86"/>
      <c r="P301" s="86"/>
    </row>
    <row r="302" ht="18.75" customHeight="1">
      <c r="A302" s="170"/>
      <c r="B302" s="193"/>
      <c r="C302" s="193"/>
      <c r="D302" s="195"/>
      <c r="E302" s="193"/>
      <c r="F302" s="172"/>
      <c r="G302" s="172"/>
      <c r="H302" s="55"/>
      <c r="I302" s="65"/>
      <c r="J302" s="234"/>
      <c r="K302" s="86"/>
      <c r="L302" s="86"/>
      <c r="M302" s="86"/>
      <c r="N302" s="86"/>
      <c r="O302" s="86"/>
      <c r="P302" s="86"/>
    </row>
    <row r="303" ht="18.75" customHeight="1">
      <c r="A303" s="170"/>
      <c r="B303" s="201"/>
      <c r="C303" s="201"/>
      <c r="D303" s="210"/>
      <c r="E303" s="201"/>
      <c r="F303" s="208"/>
      <c r="G303" s="208"/>
      <c r="H303" s="209"/>
      <c r="I303" s="175"/>
      <c r="J303" s="235"/>
      <c r="K303" s="86"/>
      <c r="L303" s="86"/>
      <c r="M303" s="86"/>
      <c r="N303" s="86"/>
      <c r="O303" s="86"/>
      <c r="P303" s="86"/>
    </row>
    <row r="304" ht="18.75" customHeight="1">
      <c r="A304" s="170"/>
      <c r="B304" s="193"/>
      <c r="C304" s="193"/>
      <c r="D304" s="195"/>
      <c r="E304" s="193"/>
      <c r="F304" s="172"/>
      <c r="G304" s="172"/>
      <c r="H304" s="55"/>
      <c r="I304" s="65"/>
      <c r="J304" s="234"/>
      <c r="K304" s="86"/>
      <c r="L304" s="86"/>
      <c r="M304" s="86"/>
      <c r="N304" s="86"/>
      <c r="O304" s="86"/>
      <c r="P304" s="86"/>
    </row>
    <row r="305" ht="18.75" customHeight="1">
      <c r="A305" s="170"/>
      <c r="B305" s="201"/>
      <c r="C305" s="201"/>
      <c r="D305" s="210"/>
      <c r="E305" s="201"/>
      <c r="F305" s="208"/>
      <c r="G305" s="208"/>
      <c r="H305" s="209"/>
      <c r="I305" s="175"/>
      <c r="J305" s="235"/>
      <c r="K305" s="86"/>
      <c r="L305" s="86"/>
      <c r="M305" s="86"/>
      <c r="N305" s="86"/>
      <c r="O305" s="86"/>
      <c r="P305" s="86"/>
    </row>
    <row r="306" ht="18.75" customHeight="1">
      <c r="A306" s="170"/>
      <c r="B306" s="193"/>
      <c r="C306" s="193"/>
      <c r="D306" s="195"/>
      <c r="E306" s="193"/>
      <c r="F306" s="172"/>
      <c r="G306" s="172"/>
      <c r="H306" s="55"/>
      <c r="I306" s="65"/>
      <c r="J306" s="234"/>
      <c r="K306" s="86"/>
      <c r="L306" s="86"/>
      <c r="M306" s="86"/>
      <c r="N306" s="86"/>
      <c r="O306" s="86"/>
      <c r="P306" s="86"/>
    </row>
    <row r="307" ht="18.75" customHeight="1">
      <c r="A307" s="170"/>
      <c r="B307" s="201"/>
      <c r="C307" s="201"/>
      <c r="D307" s="210"/>
      <c r="E307" s="201"/>
      <c r="F307" s="208"/>
      <c r="G307" s="208"/>
      <c r="H307" s="209"/>
      <c r="I307" s="175"/>
      <c r="J307" s="235"/>
      <c r="K307" s="86"/>
      <c r="L307" s="86"/>
      <c r="M307" s="86"/>
      <c r="N307" s="86"/>
      <c r="O307" s="86"/>
      <c r="P307" s="86"/>
    </row>
    <row r="308" ht="18.75" customHeight="1">
      <c r="A308" s="170"/>
      <c r="B308" s="193"/>
      <c r="C308" s="193"/>
      <c r="D308" s="195"/>
      <c r="E308" s="193"/>
      <c r="F308" s="172"/>
      <c r="G308" s="172"/>
      <c r="H308" s="55"/>
      <c r="I308" s="65"/>
      <c r="J308" s="234"/>
      <c r="K308" s="86"/>
      <c r="L308" s="86"/>
      <c r="M308" s="86"/>
      <c r="N308" s="86"/>
      <c r="O308" s="86"/>
      <c r="P308" s="86"/>
    </row>
    <row r="309" ht="18.75" customHeight="1">
      <c r="A309" s="170"/>
      <c r="B309" s="201"/>
      <c r="C309" s="201"/>
      <c r="D309" s="210"/>
      <c r="E309" s="201"/>
      <c r="F309" s="208"/>
      <c r="G309" s="208"/>
      <c r="H309" s="209"/>
      <c r="I309" s="175"/>
      <c r="J309" s="235"/>
      <c r="K309" s="86"/>
      <c r="L309" s="86"/>
      <c r="M309" s="86"/>
      <c r="N309" s="86"/>
      <c r="O309" s="86"/>
      <c r="P309" s="86"/>
    </row>
    <row r="310" ht="18.75" customHeight="1">
      <c r="A310" s="170"/>
      <c r="B310" s="193"/>
      <c r="C310" s="193"/>
      <c r="D310" s="195"/>
      <c r="E310" s="193"/>
      <c r="F310" s="172"/>
      <c r="G310" s="172"/>
      <c r="H310" s="55"/>
      <c r="I310" s="65"/>
      <c r="J310" s="234"/>
      <c r="K310" s="86"/>
      <c r="L310" s="86"/>
      <c r="M310" s="86"/>
      <c r="N310" s="86"/>
      <c r="O310" s="86"/>
      <c r="P310" s="86"/>
    </row>
    <row r="311" ht="18.75" customHeight="1">
      <c r="A311" s="170"/>
      <c r="B311" s="201"/>
      <c r="C311" s="201"/>
      <c r="D311" s="210"/>
      <c r="E311" s="201"/>
      <c r="F311" s="208"/>
      <c r="G311" s="208"/>
      <c r="H311" s="209"/>
      <c r="I311" s="175"/>
      <c r="J311" s="235"/>
      <c r="K311" s="86"/>
      <c r="L311" s="86"/>
      <c r="M311" s="86"/>
      <c r="N311" s="86"/>
      <c r="O311" s="86"/>
      <c r="P311" s="86"/>
    </row>
    <row r="312" ht="18.75" customHeight="1">
      <c r="A312" s="170"/>
      <c r="B312" s="193"/>
      <c r="C312" s="193"/>
      <c r="D312" s="195"/>
      <c r="E312" s="193"/>
      <c r="F312" s="172"/>
      <c r="G312" s="193"/>
      <c r="H312" s="55"/>
      <c r="I312" s="65"/>
      <c r="J312" s="234"/>
      <c r="K312" s="86"/>
      <c r="L312" s="86"/>
      <c r="M312" s="86"/>
      <c r="N312" s="86"/>
      <c r="O312" s="86"/>
      <c r="P312" s="86"/>
    </row>
    <row r="313" ht="18.75" customHeight="1">
      <c r="A313" s="170"/>
      <c r="B313" s="201"/>
      <c r="C313" s="201"/>
      <c r="D313" s="210"/>
      <c r="E313" s="201"/>
      <c r="F313" s="208"/>
      <c r="G313" s="201"/>
      <c r="H313" s="209"/>
      <c r="I313" s="175"/>
      <c r="J313" s="235"/>
      <c r="K313" s="86"/>
      <c r="L313" s="86"/>
      <c r="M313" s="86"/>
      <c r="N313" s="86"/>
      <c r="O313" s="86"/>
      <c r="P313" s="86"/>
    </row>
    <row r="314" ht="18.75" customHeight="1">
      <c r="A314" s="170"/>
      <c r="B314" s="193"/>
      <c r="C314" s="193"/>
      <c r="D314" s="195"/>
      <c r="E314" s="193"/>
      <c r="F314" s="172"/>
      <c r="G314" s="193"/>
      <c r="H314" s="55"/>
      <c r="I314" s="65"/>
      <c r="J314" s="234"/>
      <c r="K314" s="86"/>
      <c r="L314" s="86"/>
      <c r="M314" s="86"/>
      <c r="N314" s="86"/>
      <c r="O314" s="86"/>
      <c r="P314" s="86"/>
    </row>
    <row r="315" ht="18.75" customHeight="1">
      <c r="A315" s="170"/>
      <c r="B315" s="201"/>
      <c r="C315" s="201"/>
      <c r="D315" s="210"/>
      <c r="E315" s="201"/>
      <c r="F315" s="208"/>
      <c r="G315" s="201"/>
      <c r="H315" s="209"/>
      <c r="I315" s="175"/>
      <c r="J315" s="235"/>
      <c r="K315" s="86"/>
      <c r="L315" s="86"/>
      <c r="M315" s="86"/>
      <c r="N315" s="86"/>
      <c r="O315" s="86"/>
      <c r="P315" s="86"/>
    </row>
    <row r="316" ht="18.75" customHeight="1">
      <c r="A316" s="170"/>
      <c r="B316" s="193"/>
      <c r="C316" s="193"/>
      <c r="D316" s="195"/>
      <c r="E316" s="193"/>
      <c r="F316" s="172"/>
      <c r="G316" s="193"/>
      <c r="H316" s="55"/>
      <c r="I316" s="65"/>
      <c r="J316" s="234"/>
      <c r="K316" s="86"/>
      <c r="L316" s="86"/>
      <c r="M316" s="86"/>
      <c r="N316" s="86"/>
      <c r="O316" s="86"/>
      <c r="P316" s="86"/>
    </row>
    <row r="317" ht="18.75" customHeight="1">
      <c r="A317" s="170"/>
      <c r="B317" s="201"/>
      <c r="C317" s="201"/>
      <c r="D317" s="210"/>
      <c r="E317" s="201"/>
      <c r="F317" s="208"/>
      <c r="G317" s="201"/>
      <c r="H317" s="209"/>
      <c r="I317" s="175"/>
      <c r="J317" s="235"/>
      <c r="K317" s="86"/>
      <c r="L317" s="86"/>
      <c r="M317" s="86"/>
      <c r="N317" s="86"/>
      <c r="O317" s="86"/>
      <c r="P317" s="86"/>
    </row>
    <row r="318" ht="18.75" customHeight="1">
      <c r="A318" s="170"/>
      <c r="B318" s="193"/>
      <c r="C318" s="193"/>
      <c r="D318" s="195"/>
      <c r="E318" s="193"/>
      <c r="F318" s="172"/>
      <c r="G318" s="193"/>
      <c r="H318" s="55"/>
      <c r="I318" s="65"/>
      <c r="J318" s="234"/>
      <c r="K318" s="86"/>
      <c r="L318" s="86"/>
      <c r="M318" s="86"/>
      <c r="N318" s="86"/>
      <c r="O318" s="86"/>
      <c r="P318" s="86"/>
    </row>
    <row r="319" ht="18.75" customHeight="1">
      <c r="A319" s="170"/>
      <c r="B319" s="201"/>
      <c r="C319" s="201"/>
      <c r="D319" s="210"/>
      <c r="E319" s="201"/>
      <c r="F319" s="208"/>
      <c r="G319" s="201"/>
      <c r="H319" s="175"/>
      <c r="I319" s="175"/>
      <c r="J319" s="235"/>
      <c r="K319" s="86"/>
      <c r="L319" s="86"/>
      <c r="M319" s="86"/>
      <c r="N319" s="86"/>
      <c r="O319" s="86"/>
      <c r="P319" s="86"/>
    </row>
    <row r="320" ht="18.75" customHeight="1">
      <c r="A320" s="170"/>
      <c r="B320" s="193"/>
      <c r="C320" s="193"/>
      <c r="D320" s="195"/>
      <c r="E320" s="193"/>
      <c r="F320" s="172"/>
      <c r="G320" s="194"/>
      <c r="H320" s="55"/>
      <c r="I320" s="65"/>
      <c r="J320" s="234"/>
      <c r="K320" s="86"/>
      <c r="L320" s="86"/>
      <c r="M320" s="86"/>
      <c r="N320" s="86"/>
      <c r="O320" s="86"/>
      <c r="P320" s="86"/>
    </row>
    <row r="321" ht="18.75" customHeight="1">
      <c r="A321" s="170"/>
      <c r="B321" s="201"/>
      <c r="C321" s="201"/>
      <c r="D321" s="210"/>
      <c r="E321" s="201"/>
      <c r="F321" s="208"/>
      <c r="G321" s="206"/>
      <c r="H321" s="209"/>
      <c r="I321" s="175"/>
      <c r="J321" s="235"/>
      <c r="K321" s="86"/>
      <c r="L321" s="86"/>
      <c r="M321" s="86"/>
      <c r="N321" s="86"/>
      <c r="O321" s="86"/>
      <c r="P321" s="86"/>
    </row>
    <row r="322" ht="18.75" customHeight="1">
      <c r="A322" s="170"/>
      <c r="B322" s="193"/>
      <c r="C322" s="193"/>
      <c r="D322" s="195"/>
      <c r="E322" s="193"/>
      <c r="F322" s="172"/>
      <c r="G322" s="194"/>
      <c r="H322" s="55"/>
      <c r="I322" s="65"/>
      <c r="J322" s="234"/>
      <c r="K322" s="86"/>
      <c r="L322" s="86"/>
      <c r="M322" s="86"/>
      <c r="N322" s="86"/>
      <c r="O322" s="86"/>
      <c r="P322" s="86"/>
    </row>
    <row r="323" ht="18.75" customHeight="1">
      <c r="A323" s="170"/>
      <c r="B323" s="201"/>
      <c r="C323" s="201"/>
      <c r="D323" s="210"/>
      <c r="E323" s="201"/>
      <c r="F323" s="208"/>
      <c r="G323" s="206"/>
      <c r="H323" s="209"/>
      <c r="I323" s="175"/>
      <c r="J323" s="235"/>
      <c r="K323" s="86"/>
      <c r="L323" s="86"/>
      <c r="M323" s="86"/>
      <c r="N323" s="86"/>
      <c r="O323" s="86"/>
      <c r="P323" s="86"/>
    </row>
    <row r="324" ht="18.75" customHeight="1">
      <c r="A324" s="170"/>
      <c r="B324" s="193"/>
      <c r="C324" s="193"/>
      <c r="D324" s="195"/>
      <c r="E324" s="193"/>
      <c r="F324" s="172"/>
      <c r="G324" s="172"/>
      <c r="H324" s="65"/>
      <c r="I324" s="65"/>
      <c r="J324" s="234"/>
      <c r="K324" s="86"/>
      <c r="L324" s="86"/>
      <c r="M324" s="86"/>
      <c r="N324" s="86"/>
      <c r="O324" s="86"/>
      <c r="P324" s="86"/>
    </row>
    <row r="325" ht="18.75" customHeight="1">
      <c r="A325" s="170"/>
      <c r="B325" s="201"/>
      <c r="C325" s="201"/>
      <c r="D325" s="210"/>
      <c r="E325" s="201"/>
      <c r="F325" s="208"/>
      <c r="G325" s="208"/>
      <c r="H325" s="209"/>
      <c r="I325" s="175"/>
      <c r="J325" s="235"/>
      <c r="K325" s="86"/>
      <c r="L325" s="86"/>
      <c r="M325" s="86"/>
      <c r="N325" s="86"/>
      <c r="O325" s="86"/>
      <c r="P325" s="86"/>
    </row>
    <row r="326" ht="18.75" customHeight="1">
      <c r="A326" s="170"/>
      <c r="B326" s="193"/>
      <c r="C326" s="193"/>
      <c r="D326" s="195"/>
      <c r="E326" s="193"/>
      <c r="F326" s="172"/>
      <c r="G326" s="172"/>
      <c r="H326" s="55"/>
      <c r="I326" s="65"/>
      <c r="J326" s="234"/>
      <c r="K326" s="86"/>
      <c r="L326" s="86"/>
      <c r="M326" s="86"/>
      <c r="N326" s="86"/>
      <c r="O326" s="86"/>
      <c r="P326" s="86"/>
    </row>
    <row r="327" ht="18.75" customHeight="1">
      <c r="A327" s="170"/>
      <c r="B327" s="201"/>
      <c r="C327" s="201"/>
      <c r="D327" s="210"/>
      <c r="E327" s="201"/>
      <c r="F327" s="208"/>
      <c r="G327" s="208"/>
      <c r="H327" s="209"/>
      <c r="I327" s="175"/>
      <c r="J327" s="235"/>
      <c r="K327" s="86"/>
      <c r="L327" s="86"/>
      <c r="M327" s="86"/>
      <c r="N327" s="86"/>
      <c r="O327" s="86"/>
      <c r="P327" s="86"/>
    </row>
    <row r="328" ht="18.75" customHeight="1">
      <c r="A328" s="170"/>
      <c r="B328" s="193"/>
      <c r="C328" s="193"/>
      <c r="D328" s="195"/>
      <c r="E328" s="193"/>
      <c r="F328" s="172"/>
      <c r="G328" s="172"/>
      <c r="H328" s="55"/>
      <c r="I328" s="65"/>
      <c r="J328" s="234"/>
      <c r="K328" s="86"/>
      <c r="L328" s="86"/>
      <c r="M328" s="86"/>
      <c r="N328" s="86"/>
      <c r="O328" s="86"/>
      <c r="P328" s="86"/>
    </row>
    <row r="329" ht="18.75" customHeight="1">
      <c r="A329" s="170"/>
      <c r="B329" s="201"/>
      <c r="C329" s="201"/>
      <c r="D329" s="210"/>
      <c r="E329" s="201"/>
      <c r="F329" s="208"/>
      <c r="G329" s="208"/>
      <c r="H329" s="209"/>
      <c r="I329" s="175"/>
      <c r="J329" s="235"/>
      <c r="K329" s="86"/>
      <c r="L329" s="86"/>
      <c r="M329" s="86"/>
      <c r="N329" s="86"/>
      <c r="O329" s="86"/>
      <c r="P329" s="86"/>
    </row>
    <row r="330" ht="18.75" customHeight="1">
      <c r="A330" s="170"/>
      <c r="B330" s="193"/>
      <c r="C330" s="193"/>
      <c r="D330" s="195"/>
      <c r="E330" s="193"/>
      <c r="F330" s="172"/>
      <c r="G330" s="172"/>
      <c r="H330" s="55"/>
      <c r="I330" s="65"/>
      <c r="J330" s="234"/>
      <c r="K330" s="86"/>
      <c r="L330" s="86"/>
      <c r="M330" s="86"/>
      <c r="N330" s="86"/>
      <c r="O330" s="86"/>
      <c r="P330" s="86"/>
    </row>
    <row r="331" ht="18.75" customHeight="1">
      <c r="A331" s="170"/>
      <c r="B331" s="201"/>
      <c r="C331" s="201"/>
      <c r="D331" s="210"/>
      <c r="E331" s="201"/>
      <c r="F331" s="208"/>
      <c r="G331" s="208"/>
      <c r="H331" s="209"/>
      <c r="I331" s="175"/>
      <c r="J331" s="235"/>
      <c r="K331" s="86"/>
      <c r="L331" s="86"/>
      <c r="M331" s="86"/>
      <c r="N331" s="86"/>
      <c r="O331" s="86"/>
      <c r="P331" s="86"/>
    </row>
    <row r="332" ht="18.75" customHeight="1">
      <c r="A332" s="170"/>
      <c r="B332" s="193"/>
      <c r="C332" s="193"/>
      <c r="D332" s="195"/>
      <c r="E332" s="193"/>
      <c r="F332" s="172"/>
      <c r="G332" s="172"/>
      <c r="H332" s="55"/>
      <c r="I332" s="65"/>
      <c r="J332" s="234"/>
      <c r="K332" s="86"/>
      <c r="L332" s="86"/>
      <c r="M332" s="86"/>
      <c r="N332" s="86"/>
      <c r="O332" s="86"/>
      <c r="P332" s="86"/>
    </row>
    <row r="333" ht="18.75" customHeight="1">
      <c r="A333" s="170"/>
      <c r="B333" s="201"/>
      <c r="C333" s="201"/>
      <c r="D333" s="210"/>
      <c r="E333" s="201"/>
      <c r="F333" s="208"/>
      <c r="G333" s="208"/>
      <c r="H333" s="209"/>
      <c r="I333" s="175"/>
      <c r="J333" s="235"/>
      <c r="K333" s="86"/>
      <c r="L333" s="86"/>
      <c r="M333" s="86"/>
      <c r="N333" s="86"/>
      <c r="O333" s="86"/>
      <c r="P333" s="86"/>
    </row>
    <row r="334" ht="18.75" customHeight="1">
      <c r="A334" s="170"/>
      <c r="B334" s="193"/>
      <c r="C334" s="193"/>
      <c r="D334" s="195"/>
      <c r="E334" s="193"/>
      <c r="F334" s="172"/>
      <c r="G334" s="172"/>
      <c r="H334" s="55"/>
      <c r="I334" s="65"/>
      <c r="J334" s="234"/>
      <c r="K334" s="86"/>
      <c r="L334" s="86"/>
      <c r="M334" s="86"/>
      <c r="N334" s="86"/>
      <c r="O334" s="86"/>
      <c r="P334" s="86"/>
    </row>
    <row r="335" ht="18.75" customHeight="1">
      <c r="A335" s="170"/>
      <c r="B335" s="201"/>
      <c r="C335" s="201"/>
      <c r="D335" s="210"/>
      <c r="E335" s="201"/>
      <c r="F335" s="208"/>
      <c r="G335" s="208"/>
      <c r="H335" s="209"/>
      <c r="I335" s="175"/>
      <c r="J335" s="235"/>
      <c r="K335" s="86"/>
      <c r="L335" s="86"/>
      <c r="M335" s="86"/>
      <c r="N335" s="86"/>
      <c r="O335" s="86"/>
      <c r="P335" s="86"/>
    </row>
    <row r="336" ht="18.75" customHeight="1">
      <c r="A336" s="170"/>
      <c r="B336" s="193"/>
      <c r="C336" s="193"/>
      <c r="D336" s="195"/>
      <c r="E336" s="193"/>
      <c r="F336" s="172"/>
      <c r="G336" s="172"/>
      <c r="H336" s="55"/>
      <c r="I336" s="65"/>
      <c r="J336" s="234"/>
      <c r="K336" s="86"/>
      <c r="L336" s="86"/>
      <c r="M336" s="86"/>
      <c r="N336" s="86"/>
      <c r="O336" s="86"/>
      <c r="P336" s="86"/>
    </row>
    <row r="337" ht="18.75" customHeight="1">
      <c r="A337" s="170"/>
      <c r="B337" s="201"/>
      <c r="C337" s="201"/>
      <c r="D337" s="210"/>
      <c r="E337" s="201"/>
      <c r="F337" s="208"/>
      <c r="G337" s="208"/>
      <c r="H337" s="209"/>
      <c r="I337" s="175"/>
      <c r="J337" s="235"/>
      <c r="K337" s="244"/>
      <c r="L337" s="244"/>
      <c r="M337" s="244"/>
      <c r="N337" s="244"/>
      <c r="O337" s="244"/>
      <c r="P337" s="244"/>
    </row>
    <row r="338" ht="18.75" customHeight="1">
      <c r="A338" s="170"/>
      <c r="B338" s="193"/>
      <c r="C338" s="193"/>
      <c r="D338" s="195"/>
      <c r="E338" s="193"/>
      <c r="F338" s="172"/>
      <c r="G338" s="172"/>
      <c r="H338" s="55"/>
      <c r="I338" s="65"/>
      <c r="J338" s="234"/>
      <c r="K338" s="244"/>
      <c r="L338" s="244"/>
      <c r="M338" s="244"/>
      <c r="N338" s="244"/>
      <c r="O338" s="244"/>
      <c r="P338" s="244"/>
    </row>
    <row r="339" ht="18.75" customHeight="1">
      <c r="A339" s="170"/>
      <c r="B339" s="201"/>
      <c r="C339" s="201"/>
      <c r="D339" s="210"/>
      <c r="E339" s="201"/>
      <c r="F339" s="208"/>
      <c r="G339" s="208"/>
      <c r="H339" s="209"/>
      <c r="I339" s="175"/>
      <c r="J339" s="235"/>
      <c r="K339" s="244"/>
      <c r="L339" s="244"/>
      <c r="M339" s="244"/>
      <c r="N339" s="244"/>
      <c r="O339" s="244"/>
      <c r="P339" s="244"/>
    </row>
    <row r="340" ht="18.75" customHeight="1">
      <c r="A340" s="170"/>
      <c r="B340" s="193"/>
      <c r="C340" s="193"/>
      <c r="D340" s="195"/>
      <c r="E340" s="193"/>
      <c r="F340" s="172"/>
      <c r="G340" s="172"/>
      <c r="H340" s="55"/>
      <c r="I340" s="65"/>
      <c r="J340" s="234"/>
      <c r="K340" s="244"/>
      <c r="L340" s="244"/>
      <c r="M340" s="244"/>
      <c r="N340" s="244"/>
      <c r="O340" s="244"/>
      <c r="P340" s="244"/>
    </row>
    <row r="341" ht="18.75" customHeight="1">
      <c r="A341" s="170"/>
      <c r="B341" s="201"/>
      <c r="C341" s="201"/>
      <c r="D341" s="210"/>
      <c r="E341" s="201"/>
      <c r="F341" s="208"/>
      <c r="G341" s="208"/>
      <c r="H341" s="209"/>
      <c r="I341" s="175"/>
      <c r="J341" s="235"/>
      <c r="K341" s="244"/>
      <c r="L341" s="244"/>
      <c r="M341" s="244"/>
      <c r="N341" s="244"/>
      <c r="O341" s="244"/>
      <c r="P341" s="244"/>
    </row>
    <row r="342" ht="18.75" customHeight="1">
      <c r="A342" s="170"/>
      <c r="B342" s="193"/>
      <c r="C342" s="193"/>
      <c r="D342" s="195"/>
      <c r="E342" s="193"/>
      <c r="F342" s="172"/>
      <c r="G342" s="172"/>
      <c r="H342" s="55"/>
      <c r="I342" s="65"/>
      <c r="J342" s="234"/>
      <c r="K342" s="244"/>
      <c r="L342" s="244"/>
      <c r="M342" s="244"/>
      <c r="N342" s="244"/>
      <c r="O342" s="244"/>
      <c r="P342" s="244"/>
    </row>
    <row r="343" ht="18.75" customHeight="1">
      <c r="A343" s="170"/>
      <c r="B343" s="201"/>
      <c r="C343" s="201"/>
      <c r="D343" s="210"/>
      <c r="E343" s="201"/>
      <c r="F343" s="208"/>
      <c r="G343" s="208"/>
      <c r="H343" s="209"/>
      <c r="I343" s="175"/>
      <c r="J343" s="235"/>
      <c r="K343" s="244"/>
      <c r="L343" s="244"/>
      <c r="M343" s="244"/>
      <c r="N343" s="244"/>
      <c r="O343" s="244"/>
      <c r="P343" s="244"/>
    </row>
    <row r="344" ht="18.75" customHeight="1">
      <c r="A344" s="170"/>
      <c r="B344" s="193"/>
      <c r="C344" s="193"/>
      <c r="D344" s="195"/>
      <c r="E344" s="193"/>
      <c r="F344" s="172"/>
      <c r="G344" s="172"/>
      <c r="H344" s="55"/>
      <c r="I344" s="65"/>
      <c r="J344" s="234"/>
      <c r="K344" s="244"/>
      <c r="L344" s="244"/>
      <c r="M344" s="244"/>
      <c r="N344" s="244"/>
      <c r="O344" s="244"/>
      <c r="P344" s="244"/>
    </row>
    <row r="345" ht="18.75" customHeight="1">
      <c r="A345" s="170"/>
      <c r="B345" s="201"/>
      <c r="C345" s="201"/>
      <c r="D345" s="210"/>
      <c r="E345" s="201"/>
      <c r="F345" s="208"/>
      <c r="G345" s="208"/>
      <c r="H345" s="209"/>
      <c r="I345" s="175"/>
      <c r="J345" s="235"/>
      <c r="K345" s="244"/>
      <c r="L345" s="244"/>
      <c r="M345" s="244"/>
      <c r="N345" s="244"/>
      <c r="O345" s="244"/>
      <c r="P345" s="244"/>
    </row>
    <row r="346" ht="18.75" customHeight="1">
      <c r="A346" s="170"/>
      <c r="B346" s="193"/>
      <c r="C346" s="193"/>
      <c r="D346" s="195"/>
      <c r="E346" s="193"/>
      <c r="F346" s="172"/>
      <c r="G346" s="172"/>
      <c r="H346" s="55"/>
      <c r="I346" s="65"/>
      <c r="J346" s="234"/>
      <c r="K346" s="244"/>
      <c r="L346" s="244"/>
      <c r="M346" s="244"/>
      <c r="N346" s="244"/>
      <c r="O346" s="244"/>
      <c r="P346" s="244"/>
    </row>
    <row r="347" ht="18.75" customHeight="1">
      <c r="A347" s="170"/>
      <c r="B347" s="201"/>
      <c r="C347" s="201"/>
      <c r="D347" s="210"/>
      <c r="E347" s="201"/>
      <c r="F347" s="208"/>
      <c r="G347" s="208"/>
      <c r="H347" s="209"/>
      <c r="I347" s="175"/>
      <c r="J347" s="235"/>
      <c r="K347" s="244"/>
      <c r="L347" s="244"/>
      <c r="M347" s="244"/>
      <c r="N347" s="244"/>
      <c r="O347" s="244"/>
      <c r="P347" s="244"/>
    </row>
    <row r="348" ht="18.75" customHeight="1">
      <c r="A348" s="170"/>
      <c r="B348" s="193"/>
      <c r="C348" s="193"/>
      <c r="D348" s="195"/>
      <c r="E348" s="193"/>
      <c r="F348" s="172"/>
      <c r="G348" s="172"/>
      <c r="H348" s="55"/>
      <c r="I348" s="65"/>
      <c r="J348" s="234"/>
      <c r="K348" s="244"/>
      <c r="L348" s="244"/>
      <c r="M348" s="244"/>
      <c r="N348" s="244"/>
      <c r="O348" s="244"/>
      <c r="P348" s="244"/>
    </row>
    <row r="349" ht="18.75" customHeight="1">
      <c r="A349" s="170"/>
      <c r="B349" s="201"/>
      <c r="C349" s="201"/>
      <c r="D349" s="210"/>
      <c r="E349" s="201"/>
      <c r="F349" s="208"/>
      <c r="G349" s="208"/>
      <c r="H349" s="209"/>
      <c r="I349" s="175"/>
      <c r="J349" s="235"/>
      <c r="K349" s="244"/>
      <c r="L349" s="244"/>
      <c r="M349" s="244"/>
      <c r="N349" s="244"/>
      <c r="O349" s="244"/>
      <c r="P349" s="244"/>
    </row>
    <row r="350" ht="18.75" customHeight="1">
      <c r="A350" s="170"/>
      <c r="B350" s="193"/>
      <c r="C350" s="193"/>
      <c r="D350" s="195"/>
      <c r="E350" s="193"/>
      <c r="F350" s="172"/>
      <c r="G350" s="172"/>
      <c r="H350" s="65"/>
      <c r="I350" s="65"/>
      <c r="J350" s="234"/>
      <c r="K350" s="244"/>
      <c r="L350" s="244"/>
      <c r="M350" s="244"/>
      <c r="N350" s="244"/>
      <c r="O350" s="244"/>
      <c r="P350" s="244"/>
    </row>
    <row r="351" ht="18.75" customHeight="1">
      <c r="A351" s="170"/>
      <c r="B351" s="201"/>
      <c r="C351" s="201"/>
      <c r="D351" s="210"/>
      <c r="E351" s="201"/>
      <c r="F351" s="208"/>
      <c r="G351" s="208"/>
      <c r="H351" s="175"/>
      <c r="I351" s="175"/>
      <c r="J351" s="235"/>
      <c r="K351" s="244"/>
      <c r="L351" s="244"/>
      <c r="M351" s="244"/>
      <c r="N351" s="244"/>
      <c r="O351" s="244"/>
      <c r="P351" s="244"/>
    </row>
    <row r="352" ht="18.75" customHeight="1">
      <c r="A352" s="170"/>
      <c r="B352" s="193"/>
      <c r="C352" s="193"/>
      <c r="D352" s="195"/>
      <c r="E352" s="193"/>
      <c r="F352" s="172"/>
      <c r="G352" s="172"/>
      <c r="H352" s="55"/>
      <c r="I352" s="65"/>
      <c r="J352" s="234"/>
      <c r="K352" s="244"/>
      <c r="L352" s="244"/>
      <c r="M352" s="244"/>
      <c r="N352" s="244"/>
      <c r="O352" s="244"/>
      <c r="P352" s="244"/>
    </row>
    <row r="353" ht="18.75" customHeight="1">
      <c r="A353" s="170"/>
      <c r="B353" s="201"/>
      <c r="C353" s="201"/>
      <c r="D353" s="210"/>
      <c r="E353" s="201"/>
      <c r="F353" s="208"/>
      <c r="G353" s="208"/>
      <c r="H353" s="209"/>
      <c r="I353" s="175"/>
      <c r="J353" s="235"/>
      <c r="K353" s="244"/>
      <c r="L353" s="244"/>
      <c r="M353" s="244"/>
      <c r="N353" s="244"/>
      <c r="O353" s="244"/>
      <c r="P353" s="244"/>
    </row>
    <row r="354" ht="18.75" customHeight="1">
      <c r="A354" s="170"/>
      <c r="B354" s="193"/>
      <c r="C354" s="193"/>
      <c r="D354" s="195"/>
      <c r="E354" s="193"/>
      <c r="F354" s="172"/>
      <c r="G354" s="172"/>
      <c r="H354" s="55"/>
      <c r="I354" s="65"/>
      <c r="J354" s="234"/>
      <c r="K354" s="244"/>
      <c r="L354" s="244"/>
      <c r="M354" s="244"/>
      <c r="N354" s="244"/>
      <c r="O354" s="244"/>
      <c r="P354" s="244"/>
    </row>
    <row r="355" ht="18.75" customHeight="1">
      <c r="A355" s="170"/>
      <c r="B355" s="201"/>
      <c r="C355" s="201"/>
      <c r="D355" s="210"/>
      <c r="E355" s="201"/>
      <c r="F355" s="208"/>
      <c r="G355" s="208"/>
      <c r="H355" s="209"/>
      <c r="I355" s="175"/>
      <c r="J355" s="235"/>
      <c r="K355" s="244"/>
      <c r="L355" s="244"/>
      <c r="M355" s="244"/>
      <c r="N355" s="244"/>
      <c r="O355" s="244"/>
      <c r="P355" s="244"/>
    </row>
    <row r="356" ht="18.75" customHeight="1">
      <c r="A356" s="170"/>
      <c r="B356" s="193"/>
      <c r="C356" s="193"/>
      <c r="D356" s="195"/>
      <c r="E356" s="193"/>
      <c r="F356" s="172"/>
      <c r="G356" s="172"/>
      <c r="H356" s="55"/>
      <c r="I356" s="65"/>
      <c r="J356" s="234"/>
      <c r="K356" s="244"/>
      <c r="L356" s="244"/>
      <c r="M356" s="244"/>
      <c r="N356" s="244"/>
      <c r="O356" s="244"/>
      <c r="P356" s="244"/>
    </row>
    <row r="357" ht="18.75" customHeight="1">
      <c r="A357" s="170"/>
      <c r="B357" s="201"/>
      <c r="C357" s="201"/>
      <c r="D357" s="210"/>
      <c r="E357" s="201"/>
      <c r="F357" s="208"/>
      <c r="G357" s="208"/>
      <c r="H357" s="175"/>
      <c r="I357" s="175"/>
      <c r="J357" s="235"/>
      <c r="K357" s="244"/>
      <c r="L357" s="244"/>
      <c r="M357" s="244"/>
      <c r="N357" s="244"/>
      <c r="O357" s="244"/>
      <c r="P357" s="244"/>
    </row>
    <row r="358" ht="18.75" customHeight="1">
      <c r="A358" s="170"/>
      <c r="B358" s="193"/>
      <c r="C358" s="193"/>
      <c r="D358" s="195"/>
      <c r="E358" s="193"/>
      <c r="F358" s="172"/>
      <c r="G358" s="172"/>
      <c r="H358" s="65"/>
      <c r="I358" s="65"/>
      <c r="J358" s="234"/>
      <c r="K358" s="244"/>
      <c r="L358" s="244"/>
      <c r="M358" s="244"/>
      <c r="N358" s="244"/>
      <c r="O358" s="244"/>
      <c r="P358" s="244"/>
    </row>
    <row r="359" ht="18.75" customHeight="1">
      <c r="A359" s="170"/>
      <c r="B359" s="201"/>
      <c r="C359" s="201"/>
      <c r="D359" s="210"/>
      <c r="E359" s="201"/>
      <c r="F359" s="208"/>
      <c r="G359" s="208"/>
      <c r="H359" s="209"/>
      <c r="I359" s="175"/>
      <c r="J359" s="235"/>
      <c r="K359" s="244"/>
      <c r="L359" s="244"/>
      <c r="M359" s="244"/>
      <c r="N359" s="244"/>
      <c r="O359" s="244"/>
      <c r="P359" s="244"/>
    </row>
    <row r="360" ht="18.75" customHeight="1">
      <c r="A360" s="170"/>
      <c r="B360" s="193"/>
      <c r="C360" s="193"/>
      <c r="D360" s="195"/>
      <c r="E360" s="193"/>
      <c r="F360" s="172"/>
      <c r="G360" s="172"/>
      <c r="H360" s="55"/>
      <c r="I360" s="65"/>
      <c r="J360" s="234"/>
      <c r="K360" s="244"/>
      <c r="L360" s="244"/>
      <c r="M360" s="244"/>
      <c r="N360" s="244"/>
      <c r="O360" s="244"/>
      <c r="P360" s="244"/>
    </row>
    <row r="361" ht="18.75" customHeight="1">
      <c r="A361" s="170"/>
      <c r="B361" s="201"/>
      <c r="C361" s="201"/>
      <c r="D361" s="210"/>
      <c r="E361" s="201"/>
      <c r="F361" s="208"/>
      <c r="G361" s="208"/>
      <c r="H361" s="209"/>
      <c r="I361" s="175"/>
      <c r="J361" s="235"/>
      <c r="K361" s="244"/>
      <c r="L361" s="244"/>
      <c r="M361" s="244"/>
      <c r="N361" s="244"/>
      <c r="O361" s="244"/>
      <c r="P361" s="244"/>
    </row>
    <row r="362" ht="18.75" customHeight="1">
      <c r="A362" s="170"/>
      <c r="B362" s="193"/>
      <c r="C362" s="193"/>
      <c r="D362" s="195"/>
      <c r="E362" s="193"/>
      <c r="F362" s="172"/>
      <c r="G362" s="172"/>
      <c r="H362" s="55"/>
      <c r="I362" s="65"/>
      <c r="J362" s="234"/>
      <c r="K362" s="244"/>
      <c r="L362" s="244"/>
      <c r="M362" s="244"/>
      <c r="N362" s="244"/>
      <c r="O362" s="244"/>
      <c r="P362" s="244"/>
    </row>
    <row r="363" ht="18.75" customHeight="1">
      <c r="A363" s="170"/>
      <c r="B363" s="201"/>
      <c r="C363" s="201"/>
      <c r="D363" s="210"/>
      <c r="E363" s="201"/>
      <c r="F363" s="208"/>
      <c r="G363" s="208"/>
      <c r="H363" s="209"/>
      <c r="I363" s="175"/>
      <c r="J363" s="235"/>
      <c r="K363" s="244"/>
      <c r="L363" s="244"/>
      <c r="M363" s="244"/>
      <c r="N363" s="244"/>
      <c r="O363" s="244"/>
      <c r="P363" s="244"/>
    </row>
    <row r="364" ht="18.75" customHeight="1">
      <c r="A364" s="170"/>
      <c r="B364" s="193"/>
      <c r="C364" s="193"/>
      <c r="D364" s="195"/>
      <c r="E364" s="193"/>
      <c r="F364" s="172"/>
      <c r="G364" s="172"/>
      <c r="H364" s="55"/>
      <c r="I364" s="65"/>
      <c r="J364" s="234"/>
      <c r="K364" s="244"/>
      <c r="L364" s="244"/>
      <c r="M364" s="244"/>
      <c r="N364" s="244"/>
      <c r="O364" s="244"/>
      <c r="P364" s="244"/>
    </row>
    <row r="365" ht="18.75" customHeight="1">
      <c r="A365" s="170"/>
      <c r="B365" s="201"/>
      <c r="C365" s="201"/>
      <c r="D365" s="210"/>
      <c r="E365" s="201"/>
      <c r="F365" s="208"/>
      <c r="G365" s="208"/>
      <c r="H365" s="209"/>
      <c r="I365" s="175"/>
      <c r="J365" s="235"/>
      <c r="K365" s="244"/>
      <c r="L365" s="244"/>
      <c r="M365" s="244"/>
      <c r="N365" s="244"/>
      <c r="O365" s="244"/>
      <c r="P365" s="244"/>
    </row>
    <row r="366" ht="18.75" customHeight="1">
      <c r="A366" s="170"/>
      <c r="B366" s="193"/>
      <c r="C366" s="193"/>
      <c r="D366" s="195"/>
      <c r="E366" s="193"/>
      <c r="F366" s="172"/>
      <c r="G366" s="172"/>
      <c r="H366" s="55"/>
      <c r="I366" s="65"/>
      <c r="J366" s="234"/>
      <c r="K366" s="244"/>
      <c r="L366" s="244"/>
      <c r="M366" s="244"/>
      <c r="N366" s="244"/>
      <c r="O366" s="244"/>
      <c r="P366" s="244"/>
    </row>
    <row r="367" ht="18.75" customHeight="1">
      <c r="A367" s="170"/>
      <c r="B367" s="201"/>
      <c r="C367" s="201"/>
      <c r="D367" s="210"/>
      <c r="E367" s="201"/>
      <c r="F367" s="208"/>
      <c r="G367" s="208"/>
      <c r="H367" s="209"/>
      <c r="I367" s="175"/>
      <c r="J367" s="235"/>
      <c r="K367" s="244"/>
      <c r="L367" s="244"/>
      <c r="M367" s="244"/>
      <c r="N367" s="244"/>
      <c r="O367" s="244"/>
      <c r="P367" s="244"/>
    </row>
    <row r="368" ht="18.75" customHeight="1">
      <c r="A368" s="170"/>
      <c r="B368" s="193"/>
      <c r="C368" s="193"/>
      <c r="D368" s="195"/>
      <c r="E368" s="193"/>
      <c r="F368" s="172"/>
      <c r="G368" s="190"/>
      <c r="H368" s="55"/>
      <c r="I368" s="65"/>
      <c r="J368" s="234"/>
      <c r="K368" s="244"/>
      <c r="L368" s="244"/>
      <c r="M368" s="244"/>
      <c r="N368" s="244"/>
      <c r="O368" s="244"/>
      <c r="P368" s="244"/>
    </row>
    <row r="369" ht="18.75" customHeight="1">
      <c r="A369" s="170"/>
      <c r="B369" s="201"/>
      <c r="C369" s="201"/>
      <c r="D369" s="210"/>
      <c r="E369" s="201"/>
      <c r="F369" s="208"/>
      <c r="G369" s="187"/>
      <c r="H369" s="209"/>
      <c r="I369" s="175"/>
      <c r="J369" s="235"/>
      <c r="K369" s="244"/>
      <c r="L369" s="244"/>
      <c r="M369" s="244"/>
      <c r="N369" s="244"/>
      <c r="O369" s="244"/>
      <c r="P369" s="244"/>
    </row>
    <row r="370" ht="18.75" customHeight="1">
      <c r="A370" s="170"/>
      <c r="B370" s="193"/>
      <c r="C370" s="193"/>
      <c r="D370" s="195"/>
      <c r="E370" s="193"/>
      <c r="F370" s="172"/>
      <c r="G370" s="190"/>
      <c r="H370" s="55"/>
      <c r="I370" s="65"/>
      <c r="J370" s="234"/>
      <c r="K370" s="244"/>
      <c r="L370" s="244"/>
      <c r="M370" s="244"/>
      <c r="N370" s="244"/>
      <c r="O370" s="244"/>
      <c r="P370" s="244"/>
    </row>
    <row r="371" ht="18.75" customHeight="1">
      <c r="A371" s="170"/>
      <c r="B371" s="201"/>
      <c r="C371" s="201"/>
      <c r="D371" s="210"/>
      <c r="E371" s="201"/>
      <c r="F371" s="208"/>
      <c r="G371" s="187"/>
      <c r="H371" s="209"/>
      <c r="I371" s="175"/>
      <c r="J371" s="235"/>
      <c r="K371" s="244"/>
      <c r="L371" s="244"/>
      <c r="M371" s="244"/>
      <c r="N371" s="244"/>
      <c r="O371" s="244"/>
      <c r="P371" s="244"/>
    </row>
    <row r="372" ht="18.75" customHeight="1">
      <c r="A372" s="170"/>
      <c r="B372" s="193"/>
      <c r="C372" s="193"/>
      <c r="D372" s="195"/>
      <c r="E372" s="193"/>
      <c r="F372" s="172"/>
      <c r="G372" s="190"/>
      <c r="H372" s="55"/>
      <c r="I372" s="65"/>
      <c r="J372" s="234"/>
      <c r="K372" s="244"/>
      <c r="L372" s="244"/>
      <c r="M372" s="244"/>
      <c r="N372" s="244"/>
      <c r="O372" s="244"/>
      <c r="P372" s="244"/>
    </row>
    <row r="373" ht="18.75" customHeight="1">
      <c r="A373" s="170"/>
      <c r="B373" s="210"/>
      <c r="C373" s="201"/>
      <c r="D373" s="201"/>
      <c r="E373" s="201"/>
      <c r="F373" s="208"/>
      <c r="G373" s="201"/>
      <c r="H373" s="175"/>
      <c r="I373" s="175"/>
      <c r="J373" s="235"/>
      <c r="K373" s="244"/>
      <c r="L373" s="244"/>
      <c r="M373" s="244"/>
      <c r="N373" s="244"/>
      <c r="O373" s="244"/>
      <c r="P373" s="244"/>
    </row>
    <row r="374" ht="18.75" customHeight="1">
      <c r="A374" s="170"/>
      <c r="B374" s="195"/>
      <c r="C374" s="193"/>
      <c r="D374" s="193"/>
      <c r="E374" s="193"/>
      <c r="F374" s="172"/>
      <c r="G374" s="193"/>
      <c r="H374" s="65"/>
      <c r="I374" s="65"/>
      <c r="J374" s="234"/>
      <c r="K374" s="244"/>
      <c r="L374" s="244"/>
      <c r="M374" s="244"/>
      <c r="N374" s="244"/>
      <c r="O374" s="244"/>
      <c r="P374" s="244"/>
    </row>
    <row r="375" ht="18.75" customHeight="1">
      <c r="A375" s="170"/>
      <c r="B375" s="210"/>
      <c r="C375" s="208"/>
      <c r="D375" s="201"/>
      <c r="E375" s="201"/>
      <c r="F375" s="201"/>
      <c r="G375" s="201"/>
      <c r="H375" s="175"/>
      <c r="I375" s="175"/>
      <c r="J375" s="235"/>
      <c r="K375" s="244"/>
      <c r="L375" s="244"/>
      <c r="M375" s="244"/>
      <c r="N375" s="244"/>
      <c r="O375" s="244"/>
      <c r="P375" s="244"/>
    </row>
    <row r="376" ht="18.75" customHeight="1">
      <c r="A376" s="170"/>
      <c r="B376" s="195"/>
      <c r="C376" s="193"/>
      <c r="D376" s="193"/>
      <c r="E376" s="193"/>
      <c r="F376" s="193"/>
      <c r="G376" s="193"/>
      <c r="H376" s="65"/>
      <c r="I376" s="65"/>
      <c r="J376" s="234"/>
      <c r="K376" s="244"/>
      <c r="L376" s="244"/>
      <c r="M376" s="244"/>
      <c r="N376" s="244"/>
      <c r="O376" s="244"/>
      <c r="P376" s="244"/>
    </row>
    <row r="377" ht="18.75" customHeight="1">
      <c r="A377" s="170"/>
      <c r="B377" s="210"/>
      <c r="C377" s="201"/>
      <c r="D377" s="201"/>
      <c r="E377" s="201"/>
      <c r="F377" s="201"/>
      <c r="G377" s="201"/>
      <c r="H377" s="175"/>
      <c r="I377" s="175"/>
      <c r="J377" s="235"/>
      <c r="K377" s="244"/>
      <c r="L377" s="244"/>
      <c r="M377" s="244"/>
      <c r="N377" s="244"/>
      <c r="O377" s="244"/>
      <c r="P377" s="244"/>
    </row>
    <row r="378" ht="18.75" customHeight="1">
      <c r="A378" s="170"/>
      <c r="B378" s="195"/>
      <c r="C378" s="193"/>
      <c r="D378" s="193"/>
      <c r="E378" s="193"/>
      <c r="F378" s="193"/>
      <c r="G378" s="193"/>
      <c r="H378" s="65"/>
      <c r="I378" s="65"/>
      <c r="J378" s="234"/>
      <c r="K378" s="244"/>
      <c r="L378" s="244"/>
      <c r="M378" s="244"/>
      <c r="N378" s="244"/>
      <c r="O378" s="244"/>
      <c r="P378" s="244"/>
    </row>
    <row r="379" ht="18.75" customHeight="1">
      <c r="A379" s="170"/>
      <c r="B379" s="210"/>
      <c r="C379" s="208"/>
      <c r="D379" s="201"/>
      <c r="E379" s="201"/>
      <c r="F379" s="201"/>
      <c r="G379" s="201"/>
      <c r="H379" s="175"/>
      <c r="I379" s="175"/>
      <c r="J379" s="235"/>
      <c r="K379" s="244"/>
      <c r="L379" s="244"/>
      <c r="M379" s="244"/>
      <c r="N379" s="244"/>
      <c r="O379" s="244"/>
      <c r="P379" s="244"/>
    </row>
    <row r="380" ht="18.75" customHeight="1">
      <c r="A380" s="170"/>
      <c r="B380" s="195"/>
      <c r="C380" s="172"/>
      <c r="D380" s="193"/>
      <c r="E380" s="193"/>
      <c r="F380" s="193"/>
      <c r="G380" s="193"/>
      <c r="H380" s="65"/>
      <c r="I380" s="65"/>
      <c r="J380" s="234"/>
      <c r="K380" s="244"/>
      <c r="L380" s="244"/>
      <c r="M380" s="244"/>
      <c r="N380" s="244"/>
      <c r="O380" s="244"/>
      <c r="P380" s="244"/>
    </row>
    <row r="381" ht="18.75" customHeight="1">
      <c r="A381" s="170"/>
      <c r="B381" s="210"/>
      <c r="C381" s="208"/>
      <c r="D381" s="201"/>
      <c r="E381" s="201"/>
      <c r="F381" s="201"/>
      <c r="G381" s="201"/>
      <c r="H381" s="175"/>
      <c r="I381" s="175"/>
      <c r="J381" s="235"/>
      <c r="K381" s="244"/>
      <c r="L381" s="244"/>
      <c r="M381" s="244"/>
      <c r="N381" s="244"/>
      <c r="O381" s="244"/>
      <c r="P381" s="244"/>
    </row>
    <row r="382" ht="18.75" customHeight="1">
      <c r="A382" s="170"/>
      <c r="B382" s="195"/>
      <c r="C382" s="172"/>
      <c r="D382" s="193"/>
      <c r="E382" s="193"/>
      <c r="F382" s="193"/>
      <c r="G382" s="193"/>
      <c r="H382" s="65"/>
      <c r="I382" s="65"/>
      <c r="J382" s="234"/>
      <c r="K382" s="244"/>
      <c r="L382" s="244"/>
      <c r="M382" s="244"/>
      <c r="N382" s="244"/>
      <c r="O382" s="244"/>
      <c r="P382" s="244"/>
    </row>
    <row r="383" ht="18.75" customHeight="1">
      <c r="A383" s="170"/>
      <c r="B383" s="210"/>
      <c r="C383" s="201"/>
      <c r="D383" s="201"/>
      <c r="E383" s="201"/>
      <c r="F383" s="201"/>
      <c r="G383" s="201"/>
      <c r="H383" s="175"/>
      <c r="I383" s="175"/>
      <c r="J383" s="235"/>
      <c r="K383" s="244"/>
      <c r="L383" s="244"/>
      <c r="M383" s="244"/>
      <c r="N383" s="244"/>
      <c r="O383" s="244"/>
      <c r="P383" s="244"/>
    </row>
    <row r="384" ht="18.75" customHeight="1">
      <c r="A384" s="170"/>
      <c r="B384" s="195"/>
      <c r="C384" s="193"/>
      <c r="D384" s="193"/>
      <c r="E384" s="193"/>
      <c r="F384" s="193"/>
      <c r="G384" s="193"/>
      <c r="H384" s="65"/>
      <c r="I384" s="65"/>
      <c r="J384" s="234"/>
      <c r="K384" s="244"/>
      <c r="L384" s="244"/>
      <c r="M384" s="244"/>
      <c r="N384" s="244"/>
      <c r="O384" s="244"/>
      <c r="P384" s="244"/>
    </row>
    <row r="385" ht="18.75" customHeight="1">
      <c r="A385" s="170"/>
      <c r="B385" s="210"/>
      <c r="C385" s="201"/>
      <c r="D385" s="201"/>
      <c r="E385" s="201"/>
      <c r="F385" s="201"/>
      <c r="G385" s="201"/>
      <c r="H385" s="175"/>
      <c r="I385" s="175"/>
      <c r="J385" s="235"/>
      <c r="K385" s="244"/>
      <c r="L385" s="244"/>
      <c r="M385" s="244"/>
      <c r="N385" s="244"/>
      <c r="O385" s="244"/>
      <c r="P385" s="244"/>
    </row>
    <row r="386" ht="18.75" customHeight="1">
      <c r="A386" s="170"/>
      <c r="B386" s="195"/>
      <c r="C386" s="172"/>
      <c r="D386" s="193"/>
      <c r="E386" s="193"/>
      <c r="F386" s="193"/>
      <c r="G386" s="193"/>
      <c r="H386" s="65"/>
      <c r="I386" s="65"/>
      <c r="J386" s="234"/>
      <c r="K386" s="244"/>
      <c r="L386" s="244"/>
      <c r="M386" s="244"/>
      <c r="N386" s="244"/>
      <c r="O386" s="244"/>
      <c r="P386" s="244"/>
    </row>
    <row r="387" ht="18.75" customHeight="1">
      <c r="A387" s="170"/>
      <c r="B387" s="210"/>
      <c r="C387" s="208"/>
      <c r="D387" s="201"/>
      <c r="E387" s="201"/>
      <c r="F387" s="201"/>
      <c r="G387" s="201"/>
      <c r="H387" s="175"/>
      <c r="I387" s="175"/>
      <c r="J387" s="235"/>
      <c r="K387" s="244"/>
      <c r="L387" s="244"/>
      <c r="M387" s="244"/>
      <c r="N387" s="244"/>
      <c r="O387" s="244"/>
      <c r="P387" s="244"/>
    </row>
    <row r="388" ht="18.75" customHeight="1">
      <c r="A388" s="170"/>
      <c r="B388" s="195"/>
      <c r="C388" s="172"/>
      <c r="D388" s="193"/>
      <c r="E388" s="193"/>
      <c r="F388" s="193"/>
      <c r="G388" s="193"/>
      <c r="H388" s="65"/>
      <c r="I388" s="65"/>
      <c r="J388" s="234"/>
      <c r="K388" s="244"/>
      <c r="L388" s="244"/>
      <c r="M388" s="244"/>
      <c r="N388" s="244"/>
      <c r="O388" s="244"/>
      <c r="P388" s="244"/>
    </row>
    <row r="389" ht="18.75" customHeight="1">
      <c r="A389" s="170"/>
      <c r="B389" s="210"/>
      <c r="C389" s="208"/>
      <c r="D389" s="201"/>
      <c r="E389" s="201"/>
      <c r="F389" s="201"/>
      <c r="G389" s="201"/>
      <c r="H389" s="175"/>
      <c r="I389" s="175"/>
      <c r="J389" s="235"/>
      <c r="K389" s="244"/>
      <c r="L389" s="244"/>
      <c r="M389" s="244"/>
      <c r="N389" s="244"/>
      <c r="O389" s="244"/>
      <c r="P389" s="244"/>
    </row>
    <row r="390" ht="18.75" customHeight="1">
      <c r="A390" s="170"/>
      <c r="B390" s="195"/>
      <c r="C390" s="172"/>
      <c r="D390" s="193"/>
      <c r="E390" s="193"/>
      <c r="F390" s="193"/>
      <c r="G390" s="193"/>
      <c r="H390" s="65"/>
      <c r="I390" s="65"/>
      <c r="J390" s="234"/>
      <c r="K390" s="244"/>
      <c r="L390" s="244"/>
      <c r="M390" s="244"/>
      <c r="N390" s="244"/>
      <c r="O390" s="244"/>
      <c r="P390" s="244"/>
    </row>
    <row r="391" ht="18.75" customHeight="1">
      <c r="A391" s="170"/>
      <c r="B391" s="201"/>
      <c r="C391" s="201"/>
      <c r="D391" s="201"/>
      <c r="E391" s="195"/>
      <c r="F391" s="195"/>
      <c r="G391" s="208"/>
      <c r="H391" s="65"/>
      <c r="I391" s="175"/>
      <c r="J391" s="235"/>
      <c r="K391" s="244"/>
      <c r="L391" s="244"/>
      <c r="M391" s="244"/>
      <c r="N391" s="244"/>
      <c r="O391" s="244"/>
      <c r="P391" s="244"/>
    </row>
    <row r="392" ht="18.75" customHeight="1">
      <c r="A392" s="170"/>
      <c r="B392" s="193"/>
      <c r="C392" s="193"/>
      <c r="D392" s="193"/>
      <c r="E392" s="195"/>
      <c r="F392" s="195"/>
      <c r="G392" s="172"/>
      <c r="H392" s="65"/>
      <c r="I392" s="65"/>
      <c r="J392" s="234"/>
      <c r="K392" s="244"/>
      <c r="L392" s="244"/>
      <c r="M392" s="244"/>
      <c r="N392" s="244"/>
      <c r="O392" s="244"/>
      <c r="P392" s="244"/>
    </row>
    <row r="393" ht="18.75" customHeight="1">
      <c r="A393" s="170"/>
      <c r="B393" s="201"/>
      <c r="C393" s="201"/>
      <c r="D393" s="201"/>
      <c r="E393" s="195"/>
      <c r="F393" s="195"/>
      <c r="G393" s="208"/>
      <c r="H393" s="65"/>
      <c r="I393" s="175"/>
      <c r="J393" s="235"/>
      <c r="K393" s="244"/>
      <c r="L393" s="244"/>
      <c r="M393" s="244"/>
      <c r="N393" s="244"/>
      <c r="O393" s="244"/>
      <c r="P393" s="244"/>
    </row>
    <row r="394" ht="18.75" customHeight="1">
      <c r="A394" s="170"/>
      <c r="B394" s="193"/>
      <c r="C394" s="193"/>
      <c r="D394" s="193"/>
      <c r="E394" s="195"/>
      <c r="F394" s="195"/>
      <c r="G394" s="172"/>
      <c r="H394" s="65"/>
      <c r="I394" s="65"/>
      <c r="J394" s="234"/>
      <c r="K394" s="244"/>
      <c r="L394" s="244"/>
      <c r="M394" s="244"/>
      <c r="N394" s="244"/>
      <c r="O394" s="244"/>
      <c r="P394" s="244"/>
    </row>
    <row r="395" ht="18.75" customHeight="1">
      <c r="A395" s="170"/>
      <c r="B395" s="201"/>
      <c r="C395" s="201"/>
      <c r="D395" s="201"/>
      <c r="E395" s="195"/>
      <c r="F395" s="195"/>
      <c r="G395" s="208"/>
      <c r="H395" s="65"/>
      <c r="I395" s="175"/>
      <c r="J395" s="235"/>
      <c r="K395" s="244"/>
      <c r="L395" s="244"/>
      <c r="M395" s="244"/>
      <c r="N395" s="244"/>
      <c r="O395" s="244"/>
      <c r="P395" s="244"/>
    </row>
    <row r="396" ht="18.75" customHeight="1">
      <c r="A396" s="170"/>
      <c r="B396" s="193"/>
      <c r="C396" s="193"/>
      <c r="D396" s="193"/>
      <c r="E396" s="195"/>
      <c r="F396" s="195"/>
      <c r="G396" s="172"/>
      <c r="H396" s="65"/>
      <c r="I396" s="65"/>
      <c r="J396" s="234"/>
      <c r="K396" s="244"/>
      <c r="L396" s="244"/>
      <c r="M396" s="244"/>
      <c r="N396" s="244"/>
      <c r="O396" s="244"/>
      <c r="P396" s="244"/>
    </row>
    <row r="397" ht="18.75" customHeight="1">
      <c r="A397" s="170"/>
      <c r="B397" s="201"/>
      <c r="C397" s="201"/>
      <c r="D397" s="201"/>
      <c r="E397" s="195"/>
      <c r="F397" s="195"/>
      <c r="G397" s="208"/>
      <c r="H397" s="65"/>
      <c r="I397" s="175"/>
      <c r="J397" s="235"/>
      <c r="K397" s="244"/>
      <c r="L397" s="244"/>
      <c r="M397" s="244"/>
      <c r="N397" s="244"/>
      <c r="O397" s="244"/>
      <c r="P397" s="244"/>
    </row>
    <row r="398" ht="18.75" customHeight="1">
      <c r="A398" s="170"/>
      <c r="B398" s="193"/>
      <c r="C398" s="193"/>
      <c r="D398" s="193"/>
      <c r="E398" s="195"/>
      <c r="F398" s="195"/>
      <c r="G398" s="172"/>
      <c r="H398" s="65"/>
      <c r="I398" s="65"/>
      <c r="J398" s="234"/>
      <c r="K398" s="244"/>
      <c r="L398" s="244"/>
      <c r="M398" s="244"/>
      <c r="N398" s="244"/>
      <c r="O398" s="244"/>
      <c r="P398" s="244"/>
    </row>
    <row r="399" ht="18.75" customHeight="1">
      <c r="A399" s="170"/>
      <c r="B399" s="201"/>
      <c r="C399" s="201"/>
      <c r="D399" s="201"/>
      <c r="E399" s="195"/>
      <c r="F399" s="195"/>
      <c r="G399" s="208"/>
      <c r="H399" s="65"/>
      <c r="I399" s="175"/>
      <c r="J399" s="235"/>
      <c r="K399" s="244"/>
      <c r="L399" s="244"/>
      <c r="M399" s="244"/>
      <c r="N399" s="244"/>
      <c r="O399" s="244"/>
      <c r="P399" s="244"/>
    </row>
    <row r="400" ht="18.75" customHeight="1">
      <c r="A400" s="170"/>
      <c r="B400" s="193"/>
      <c r="C400" s="193"/>
      <c r="D400" s="193"/>
      <c r="E400" s="195"/>
      <c r="F400" s="195"/>
      <c r="G400" s="172"/>
      <c r="H400" s="65"/>
      <c r="I400" s="65"/>
      <c r="J400" s="234"/>
      <c r="K400" s="244"/>
      <c r="L400" s="244"/>
      <c r="M400" s="244"/>
      <c r="N400" s="244"/>
      <c r="O400" s="244"/>
      <c r="P400" s="244"/>
    </row>
    <row r="401" ht="18.75" customHeight="1">
      <c r="A401" s="170"/>
      <c r="B401" s="201"/>
      <c r="C401" s="201"/>
      <c r="D401" s="201"/>
      <c r="E401" s="195"/>
      <c r="F401" s="195"/>
      <c r="G401" s="208"/>
      <c r="H401" s="65"/>
      <c r="I401" s="175"/>
      <c r="J401" s="235"/>
      <c r="K401" s="244"/>
      <c r="L401" s="244"/>
      <c r="M401" s="244"/>
      <c r="N401" s="244"/>
      <c r="O401" s="244"/>
      <c r="P401" s="244"/>
    </row>
    <row r="402" ht="18.75" customHeight="1">
      <c r="A402" s="170"/>
      <c r="B402" s="193"/>
      <c r="C402" s="193"/>
      <c r="D402" s="193"/>
      <c r="E402" s="195"/>
      <c r="F402" s="195"/>
      <c r="G402" s="172"/>
      <c r="H402" s="65"/>
      <c r="I402" s="65"/>
      <c r="J402" s="234"/>
      <c r="K402" s="244"/>
      <c r="L402" s="244"/>
      <c r="M402" s="244"/>
      <c r="N402" s="244"/>
      <c r="O402" s="244"/>
      <c r="P402" s="244"/>
    </row>
    <row r="403" ht="18.75" customHeight="1">
      <c r="A403" s="170"/>
      <c r="B403" s="201"/>
      <c r="C403" s="201"/>
      <c r="D403" s="201"/>
      <c r="E403" s="195"/>
      <c r="F403" s="195"/>
      <c r="G403" s="208"/>
      <c r="H403" s="65"/>
      <c r="I403" s="175"/>
      <c r="J403" s="235"/>
      <c r="K403" s="244"/>
      <c r="L403" s="244"/>
      <c r="M403" s="244"/>
      <c r="N403" s="244"/>
      <c r="O403" s="244"/>
      <c r="P403" s="244"/>
    </row>
    <row r="404" ht="18.75" customHeight="1">
      <c r="A404" s="170"/>
      <c r="B404" s="193"/>
      <c r="C404" s="193"/>
      <c r="D404" s="193"/>
      <c r="E404" s="195"/>
      <c r="F404" s="195"/>
      <c r="G404" s="172"/>
      <c r="H404" s="65"/>
      <c r="I404" s="65"/>
      <c r="J404" s="234"/>
      <c r="K404" s="244"/>
      <c r="L404" s="244"/>
      <c r="M404" s="244"/>
      <c r="N404" s="244"/>
      <c r="O404" s="244"/>
      <c r="P404" s="244"/>
    </row>
    <row r="405" ht="18.75" customHeight="1">
      <c r="A405" s="170"/>
      <c r="B405" s="201"/>
      <c r="C405" s="201"/>
      <c r="D405" s="201"/>
      <c r="E405" s="201"/>
      <c r="F405" s="201"/>
      <c r="G405" s="172"/>
      <c r="H405" s="209"/>
      <c r="I405" s="175"/>
      <c r="J405" s="235"/>
      <c r="K405" s="244"/>
      <c r="L405" s="244"/>
      <c r="M405" s="244"/>
      <c r="N405" s="244"/>
      <c r="O405" s="244"/>
      <c r="P405" s="244"/>
    </row>
    <row r="406" ht="18.75" customHeight="1">
      <c r="A406" s="170"/>
      <c r="B406" s="193"/>
      <c r="C406" s="193"/>
      <c r="D406" s="193"/>
      <c r="E406" s="193"/>
      <c r="F406" s="193"/>
      <c r="G406" s="172"/>
      <c r="H406" s="55"/>
      <c r="I406" s="65"/>
      <c r="J406" s="234"/>
      <c r="K406" s="244"/>
      <c r="L406" s="244"/>
      <c r="M406" s="244"/>
      <c r="N406" s="244"/>
      <c r="O406" s="244"/>
      <c r="P406" s="244"/>
    </row>
    <row r="407" ht="18.75" customHeight="1">
      <c r="A407" s="170"/>
      <c r="B407" s="201"/>
      <c r="C407" s="201"/>
      <c r="D407" s="201"/>
      <c r="E407" s="201"/>
      <c r="F407" s="201"/>
      <c r="G407" s="172"/>
      <c r="H407" s="209"/>
      <c r="I407" s="175"/>
      <c r="J407" s="235"/>
      <c r="K407" s="244"/>
      <c r="L407" s="244"/>
      <c r="M407" s="244"/>
      <c r="N407" s="244"/>
      <c r="O407" s="244"/>
      <c r="P407" s="244"/>
    </row>
    <row r="408" ht="18.75" customHeight="1">
      <c r="A408" s="170"/>
      <c r="B408" s="193"/>
      <c r="C408" s="193"/>
      <c r="D408" s="193"/>
      <c r="E408" s="193"/>
      <c r="F408" s="193"/>
      <c r="G408" s="172"/>
      <c r="H408" s="55"/>
      <c r="I408" s="65"/>
      <c r="J408" s="234"/>
      <c r="K408" s="244"/>
      <c r="L408" s="244"/>
      <c r="M408" s="244"/>
      <c r="N408" s="244"/>
      <c r="O408" s="244"/>
      <c r="P408" s="244"/>
    </row>
    <row r="409" ht="18.75" customHeight="1">
      <c r="A409" s="170"/>
      <c r="B409" s="201"/>
      <c r="C409" s="201"/>
      <c r="D409" s="201"/>
      <c r="E409" s="201"/>
      <c r="F409" s="201"/>
      <c r="G409" s="172"/>
      <c r="H409" s="209"/>
      <c r="I409" s="175"/>
      <c r="J409" s="235"/>
      <c r="K409" s="244"/>
      <c r="L409" s="244"/>
      <c r="M409" s="244"/>
      <c r="N409" s="244"/>
      <c r="O409" s="244"/>
      <c r="P409" s="244"/>
    </row>
    <row r="410" ht="18.75" customHeight="1">
      <c r="A410" s="170"/>
      <c r="B410" s="193"/>
      <c r="C410" s="193"/>
      <c r="D410" s="193"/>
      <c r="E410" s="193"/>
      <c r="F410" s="193"/>
      <c r="G410" s="172"/>
      <c r="H410" s="55"/>
      <c r="I410" s="65"/>
      <c r="J410" s="234"/>
      <c r="K410" s="244"/>
      <c r="L410" s="244"/>
      <c r="M410" s="244"/>
      <c r="N410" s="244"/>
      <c r="O410" s="244"/>
      <c r="P410" s="244"/>
    </row>
    <row r="411" ht="18.75" customHeight="1">
      <c r="A411" s="170"/>
      <c r="B411" s="201"/>
      <c r="C411" s="201"/>
      <c r="D411" s="201"/>
      <c r="E411" s="201"/>
      <c r="F411" s="201"/>
      <c r="G411" s="172"/>
      <c r="H411" s="209"/>
      <c r="I411" s="175"/>
      <c r="J411" s="235"/>
      <c r="K411" s="244"/>
      <c r="L411" s="244"/>
      <c r="M411" s="244"/>
      <c r="N411" s="244"/>
      <c r="O411" s="244"/>
      <c r="P411" s="244"/>
    </row>
    <row r="412" ht="18.75" customHeight="1">
      <c r="A412" s="170"/>
      <c r="B412" s="193"/>
      <c r="C412" s="193"/>
      <c r="D412" s="193"/>
      <c r="E412" s="193"/>
      <c r="F412" s="193"/>
      <c r="G412" s="172"/>
      <c r="H412" s="55"/>
      <c r="I412" s="65"/>
      <c r="J412" s="234"/>
      <c r="K412" s="244"/>
      <c r="L412" s="244"/>
      <c r="M412" s="244"/>
      <c r="N412" s="244"/>
      <c r="O412" s="244"/>
      <c r="P412" s="244"/>
    </row>
    <row r="413" ht="18.75" customHeight="1">
      <c r="A413" s="170"/>
      <c r="B413" s="201"/>
      <c r="C413" s="201"/>
      <c r="D413" s="201"/>
      <c r="E413" s="201"/>
      <c r="F413" s="201"/>
      <c r="G413" s="172"/>
      <c r="H413" s="209"/>
      <c r="I413" s="175"/>
      <c r="J413" s="235"/>
      <c r="K413" s="244"/>
      <c r="L413" s="244"/>
      <c r="M413" s="244"/>
      <c r="N413" s="244"/>
      <c r="O413" s="244"/>
      <c r="P413" s="244"/>
    </row>
    <row r="414" ht="18.75" customHeight="1">
      <c r="A414" s="170"/>
      <c r="B414" s="193"/>
      <c r="C414" s="193"/>
      <c r="D414" s="193"/>
      <c r="E414" s="193"/>
      <c r="F414" s="193"/>
      <c r="G414" s="172"/>
      <c r="H414" s="55"/>
      <c r="I414" s="65"/>
      <c r="J414" s="234"/>
      <c r="K414" s="244"/>
      <c r="L414" s="244"/>
      <c r="M414" s="244"/>
      <c r="N414" s="244"/>
      <c r="O414" s="244"/>
      <c r="P414" s="244"/>
    </row>
    <row r="415" ht="18.75" customHeight="1">
      <c r="A415" s="170"/>
      <c r="B415" s="201"/>
      <c r="C415" s="201"/>
      <c r="D415" s="201"/>
      <c r="E415" s="201"/>
      <c r="F415" s="201"/>
      <c r="G415" s="172"/>
      <c r="H415" s="209"/>
      <c r="I415" s="175"/>
      <c r="J415" s="235"/>
      <c r="K415" s="244"/>
      <c r="L415" s="244"/>
      <c r="M415" s="244"/>
      <c r="N415" s="244"/>
      <c r="O415" s="244"/>
      <c r="P415" s="244"/>
    </row>
    <row r="416" ht="18.75" customHeight="1">
      <c r="A416" s="170"/>
      <c r="B416" s="193"/>
      <c r="C416" s="193"/>
      <c r="D416" s="193"/>
      <c r="E416" s="193"/>
      <c r="F416" s="193"/>
      <c r="G416" s="172"/>
      <c r="H416" s="55"/>
      <c r="I416" s="65"/>
      <c r="J416" s="234"/>
      <c r="K416" s="244"/>
      <c r="L416" s="244"/>
      <c r="M416" s="244"/>
      <c r="N416" s="244"/>
      <c r="O416" s="244"/>
      <c r="P416" s="244"/>
    </row>
    <row r="417" ht="18.75" customHeight="1">
      <c r="A417" s="170"/>
      <c r="B417" s="201"/>
      <c r="C417" s="201"/>
      <c r="D417" s="201"/>
      <c r="E417" s="201"/>
      <c r="F417" s="201"/>
      <c r="G417" s="201"/>
      <c r="H417" s="209"/>
      <c r="I417" s="175"/>
      <c r="J417" s="235"/>
      <c r="K417" s="244"/>
      <c r="L417" s="244"/>
      <c r="M417" s="244"/>
      <c r="N417" s="244"/>
      <c r="O417" s="244"/>
      <c r="P417" s="244"/>
    </row>
    <row r="418" ht="18.75" customHeight="1">
      <c r="A418" s="170"/>
      <c r="B418" s="193"/>
      <c r="C418" s="193"/>
      <c r="D418" s="193"/>
      <c r="E418" s="193"/>
      <c r="F418" s="193"/>
      <c r="G418" s="193"/>
      <c r="H418" s="55"/>
      <c r="I418" s="65"/>
      <c r="J418" s="234"/>
      <c r="K418" s="244"/>
      <c r="L418" s="244"/>
      <c r="M418" s="244"/>
      <c r="N418" s="244"/>
      <c r="O418" s="244"/>
      <c r="P418" s="244"/>
    </row>
    <row r="419" ht="18.75" customHeight="1">
      <c r="A419" s="170"/>
      <c r="B419" s="201"/>
      <c r="C419" s="201"/>
      <c r="D419" s="201"/>
      <c r="E419" s="201"/>
      <c r="F419" s="201"/>
      <c r="G419" s="201"/>
      <c r="H419" s="209"/>
      <c r="I419" s="175"/>
      <c r="J419" s="235"/>
      <c r="K419" s="244"/>
      <c r="L419" s="244"/>
      <c r="M419" s="244"/>
      <c r="N419" s="244"/>
      <c r="O419" s="244"/>
      <c r="P419" s="244"/>
    </row>
    <row r="420" ht="18.75" customHeight="1">
      <c r="A420" s="170"/>
      <c r="B420" s="193"/>
      <c r="C420" s="193"/>
      <c r="D420" s="193"/>
      <c r="E420" s="193"/>
      <c r="F420" s="193"/>
      <c r="G420" s="193"/>
      <c r="H420" s="55"/>
      <c r="I420" s="65"/>
      <c r="J420" s="234"/>
      <c r="K420" s="244"/>
      <c r="L420" s="244"/>
      <c r="M420" s="244"/>
      <c r="N420" s="244"/>
      <c r="O420" s="244"/>
      <c r="P420" s="244"/>
    </row>
    <row r="421" ht="18.75" customHeight="1">
      <c r="A421" s="170"/>
      <c r="B421" s="201"/>
      <c r="C421" s="201"/>
      <c r="D421" s="201"/>
      <c r="E421" s="201"/>
      <c r="F421" s="201"/>
      <c r="G421" s="201"/>
      <c r="H421" s="209"/>
      <c r="I421" s="175"/>
      <c r="J421" s="235"/>
      <c r="K421" s="244"/>
      <c r="L421" s="244"/>
      <c r="M421" s="244"/>
      <c r="N421" s="244"/>
      <c r="O421" s="244"/>
      <c r="P421" s="244"/>
    </row>
    <row r="422" ht="18.75" customHeight="1">
      <c r="A422" s="170"/>
      <c r="B422" s="193"/>
      <c r="C422" s="193"/>
      <c r="D422" s="193"/>
      <c r="E422" s="193"/>
      <c r="F422" s="193"/>
      <c r="G422" s="193"/>
      <c r="H422" s="55"/>
      <c r="I422" s="65"/>
      <c r="J422" s="234"/>
      <c r="K422" s="244"/>
      <c r="L422" s="244"/>
      <c r="M422" s="244"/>
      <c r="N422" s="244"/>
      <c r="O422" s="244"/>
      <c r="P422" s="244"/>
    </row>
    <row r="423" ht="18.75" customHeight="1">
      <c r="A423" s="170"/>
      <c r="B423" s="201"/>
      <c r="C423" s="201"/>
      <c r="D423" s="201"/>
      <c r="E423" s="201"/>
      <c r="F423" s="201"/>
      <c r="G423" s="172"/>
      <c r="H423" s="209"/>
      <c r="I423" s="175"/>
      <c r="J423" s="235"/>
      <c r="K423" s="244"/>
      <c r="L423" s="244"/>
      <c r="M423" s="244"/>
      <c r="N423" s="244"/>
      <c r="O423" s="244"/>
      <c r="P423" s="244"/>
    </row>
    <row r="424" ht="18.75" customHeight="1">
      <c r="A424" s="170"/>
      <c r="B424" s="193"/>
      <c r="C424" s="193"/>
      <c r="D424" s="193"/>
      <c r="E424" s="193"/>
      <c r="F424" s="193"/>
      <c r="G424" s="172"/>
      <c r="H424" s="55"/>
      <c r="I424" s="65"/>
      <c r="J424" s="234"/>
      <c r="K424" s="244"/>
      <c r="L424" s="244"/>
      <c r="M424" s="244"/>
      <c r="N424" s="244"/>
      <c r="O424" s="244"/>
      <c r="P424" s="244"/>
    </row>
    <row r="425" ht="18.75" customHeight="1">
      <c r="A425" s="170"/>
      <c r="B425" s="201"/>
      <c r="C425" s="201"/>
      <c r="D425" s="201"/>
      <c r="E425" s="201"/>
      <c r="F425" s="201"/>
      <c r="G425" s="172"/>
      <c r="H425" s="209"/>
      <c r="I425" s="175"/>
      <c r="J425" s="235"/>
      <c r="K425" s="244"/>
      <c r="L425" s="244"/>
      <c r="M425" s="244"/>
      <c r="N425" s="244"/>
      <c r="O425" s="244"/>
      <c r="P425" s="244"/>
    </row>
    <row r="426" ht="18.75" customHeight="1">
      <c r="A426" s="170"/>
      <c r="B426" s="193"/>
      <c r="C426" s="193"/>
      <c r="D426" s="193"/>
      <c r="E426" s="193"/>
      <c r="F426" s="193"/>
      <c r="G426" s="172"/>
      <c r="H426" s="55"/>
      <c r="I426" s="65"/>
      <c r="J426" s="234"/>
      <c r="K426" s="244"/>
      <c r="L426" s="244"/>
      <c r="M426" s="244"/>
      <c r="N426" s="244"/>
      <c r="O426" s="244"/>
      <c r="P426" s="244"/>
    </row>
    <row r="427" ht="18.75" customHeight="1">
      <c r="A427" s="170"/>
      <c r="B427" s="201"/>
      <c r="C427" s="201"/>
      <c r="D427" s="201"/>
      <c r="E427" s="201"/>
      <c r="F427" s="201"/>
      <c r="G427" s="172"/>
      <c r="H427" s="209"/>
      <c r="I427" s="175"/>
      <c r="J427" s="235"/>
      <c r="K427" s="244"/>
      <c r="L427" s="244"/>
      <c r="M427" s="244"/>
      <c r="N427" s="244"/>
      <c r="O427" s="244"/>
      <c r="P427" s="244"/>
    </row>
    <row r="428" ht="18.75" customHeight="1">
      <c r="A428" s="170"/>
      <c r="B428" s="193"/>
      <c r="C428" s="193"/>
      <c r="D428" s="193"/>
      <c r="E428" s="193"/>
      <c r="F428" s="193"/>
      <c r="G428" s="172"/>
      <c r="H428" s="55"/>
      <c r="I428" s="65"/>
      <c r="J428" s="234"/>
      <c r="K428" s="244"/>
      <c r="L428" s="244"/>
      <c r="M428" s="244"/>
      <c r="N428" s="244"/>
      <c r="O428" s="244"/>
      <c r="P428" s="244"/>
    </row>
    <row r="429" ht="18.75" customHeight="1">
      <c r="A429" s="170"/>
      <c r="B429" s="201"/>
      <c r="C429" s="201"/>
      <c r="D429" s="201"/>
      <c r="E429" s="201"/>
      <c r="F429" s="201"/>
      <c r="G429" s="172"/>
      <c r="H429" s="209"/>
      <c r="I429" s="175"/>
      <c r="J429" s="235"/>
      <c r="K429" s="244"/>
      <c r="L429" s="244"/>
      <c r="M429" s="244"/>
      <c r="N429" s="244"/>
      <c r="O429" s="244"/>
      <c r="P429" s="244"/>
    </row>
    <row r="430" ht="18.75" customHeight="1">
      <c r="A430" s="170"/>
      <c r="B430" s="193"/>
      <c r="C430" s="193"/>
      <c r="D430" s="193"/>
      <c r="E430" s="193"/>
      <c r="F430" s="193"/>
      <c r="G430" s="172"/>
      <c r="H430" s="55"/>
      <c r="I430" s="65"/>
      <c r="J430" s="234"/>
      <c r="K430" s="244"/>
      <c r="L430" s="244"/>
      <c r="M430" s="244"/>
      <c r="N430" s="244"/>
      <c r="O430" s="244"/>
      <c r="P430" s="244"/>
    </row>
    <row r="431" ht="18.75" customHeight="1">
      <c r="A431" s="170"/>
      <c r="B431" s="201"/>
      <c r="C431" s="201"/>
      <c r="D431" s="201"/>
      <c r="E431" s="201"/>
      <c r="F431" s="201"/>
      <c r="G431" s="172"/>
      <c r="H431" s="209"/>
      <c r="I431" s="175"/>
      <c r="J431" s="235"/>
      <c r="K431" s="244"/>
      <c r="L431" s="244"/>
      <c r="M431" s="244"/>
      <c r="N431" s="244"/>
      <c r="O431" s="244"/>
      <c r="P431" s="244"/>
    </row>
    <row r="432" ht="18.75" customHeight="1">
      <c r="A432" s="170"/>
      <c r="B432" s="193"/>
      <c r="C432" s="193"/>
      <c r="D432" s="193"/>
      <c r="E432" s="193"/>
      <c r="F432" s="193"/>
      <c r="G432" s="172"/>
      <c r="H432" s="55"/>
      <c r="I432" s="65"/>
      <c r="J432" s="234"/>
      <c r="K432" s="244"/>
      <c r="L432" s="244"/>
      <c r="M432" s="244"/>
      <c r="N432" s="244"/>
      <c r="O432" s="244"/>
      <c r="P432" s="244"/>
    </row>
    <row r="433" ht="18.75" customHeight="1">
      <c r="A433" s="170"/>
      <c r="B433" s="201"/>
      <c r="C433" s="201"/>
      <c r="D433" s="201"/>
      <c r="E433" s="201"/>
      <c r="F433" s="201"/>
      <c r="G433" s="172"/>
      <c r="H433" s="209"/>
      <c r="I433" s="175"/>
      <c r="J433" s="235"/>
      <c r="K433" s="244"/>
      <c r="L433" s="244"/>
      <c r="M433" s="244"/>
      <c r="N433" s="244"/>
      <c r="O433" s="244"/>
      <c r="P433" s="244"/>
    </row>
    <row r="434" ht="18.75" customHeight="1">
      <c r="A434" s="170"/>
      <c r="B434" s="193"/>
      <c r="C434" s="193"/>
      <c r="D434" s="193"/>
      <c r="E434" s="193"/>
      <c r="F434" s="193"/>
      <c r="G434" s="172"/>
      <c r="H434" s="55"/>
      <c r="I434" s="65"/>
      <c r="J434" s="234"/>
      <c r="K434" s="244"/>
      <c r="L434" s="244"/>
      <c r="M434" s="244"/>
      <c r="N434" s="244"/>
      <c r="O434" s="244"/>
      <c r="P434" s="244"/>
    </row>
    <row r="435" ht="18.75" customHeight="1">
      <c r="A435" s="170"/>
      <c r="B435" s="201"/>
      <c r="C435" s="201"/>
      <c r="D435" s="201"/>
      <c r="E435" s="201"/>
      <c r="F435" s="201"/>
      <c r="G435" s="172"/>
      <c r="H435" s="209"/>
      <c r="I435" s="175"/>
      <c r="J435" s="235"/>
      <c r="K435" s="244"/>
      <c r="L435" s="244"/>
      <c r="M435" s="244"/>
      <c r="N435" s="244"/>
      <c r="O435" s="244"/>
      <c r="P435" s="244"/>
    </row>
    <row r="436" ht="18.75" customHeight="1">
      <c r="A436" s="170"/>
      <c r="B436" s="193"/>
      <c r="C436" s="193"/>
      <c r="D436" s="193"/>
      <c r="E436" s="193"/>
      <c r="F436" s="193"/>
      <c r="G436" s="172"/>
      <c r="H436" s="55"/>
      <c r="I436" s="65"/>
      <c r="J436" s="234"/>
      <c r="K436" s="244"/>
      <c r="L436" s="244"/>
      <c r="M436" s="244"/>
      <c r="N436" s="244"/>
      <c r="O436" s="244"/>
      <c r="P436" s="244"/>
    </row>
    <row r="437" ht="18.75" customHeight="1">
      <c r="A437" s="170"/>
      <c r="B437" s="201"/>
      <c r="C437" s="201"/>
      <c r="D437" s="201"/>
      <c r="E437" s="201"/>
      <c r="F437" s="201"/>
      <c r="G437" s="172"/>
      <c r="H437" s="209"/>
      <c r="I437" s="175"/>
      <c r="J437" s="235"/>
      <c r="K437" s="244"/>
      <c r="L437" s="244"/>
      <c r="M437" s="244"/>
      <c r="N437" s="244"/>
      <c r="O437" s="244"/>
      <c r="P437" s="244"/>
    </row>
    <row r="438" ht="18.75" customHeight="1">
      <c r="A438" s="170"/>
      <c r="B438" s="193"/>
      <c r="C438" s="193"/>
      <c r="D438" s="193"/>
      <c r="E438" s="193"/>
      <c r="F438" s="193"/>
      <c r="G438" s="172"/>
      <c r="H438" s="55"/>
      <c r="I438" s="65"/>
      <c r="J438" s="234"/>
      <c r="K438" s="244"/>
      <c r="L438" s="244"/>
      <c r="M438" s="244"/>
      <c r="N438" s="244"/>
      <c r="O438" s="244"/>
      <c r="P438" s="244"/>
    </row>
    <row r="439" ht="18.75" customHeight="1">
      <c r="A439" s="170"/>
      <c r="B439" s="201"/>
      <c r="C439" s="201"/>
      <c r="D439" s="201"/>
      <c r="E439" s="201"/>
      <c r="F439" s="201"/>
      <c r="G439" s="172"/>
      <c r="H439" s="209"/>
      <c r="I439" s="175"/>
      <c r="J439" s="235"/>
      <c r="K439" s="244"/>
      <c r="L439" s="244"/>
      <c r="M439" s="244"/>
      <c r="N439" s="244"/>
      <c r="O439" s="244"/>
      <c r="P439" s="244"/>
    </row>
    <row r="440" ht="18.75" customHeight="1">
      <c r="A440" s="170"/>
      <c r="B440" s="193"/>
      <c r="C440" s="193"/>
      <c r="D440" s="193"/>
      <c r="E440" s="193"/>
      <c r="F440" s="193"/>
      <c r="G440" s="172"/>
      <c r="H440" s="55"/>
      <c r="I440" s="65"/>
      <c r="J440" s="234"/>
      <c r="K440" s="244"/>
      <c r="L440" s="244"/>
      <c r="M440" s="244"/>
      <c r="N440" s="244"/>
      <c r="O440" s="244"/>
      <c r="P440" s="244"/>
    </row>
    <row r="441" ht="18.75" customHeight="1">
      <c r="A441" s="170"/>
      <c r="B441" s="201"/>
      <c r="C441" s="201"/>
      <c r="D441" s="201"/>
      <c r="E441" s="201"/>
      <c r="F441" s="201"/>
      <c r="G441" s="172"/>
      <c r="H441" s="209"/>
      <c r="I441" s="175"/>
      <c r="J441" s="235"/>
      <c r="K441" s="244"/>
      <c r="L441" s="244"/>
      <c r="M441" s="244"/>
      <c r="N441" s="244"/>
      <c r="O441" s="244"/>
      <c r="P441" s="244"/>
    </row>
    <row r="442" ht="18.75" customHeight="1">
      <c r="A442" s="170"/>
      <c r="B442" s="193"/>
      <c r="C442" s="193"/>
      <c r="D442" s="193"/>
      <c r="E442" s="193"/>
      <c r="F442" s="193"/>
      <c r="G442" s="172"/>
      <c r="H442" s="55"/>
      <c r="I442" s="65"/>
      <c r="J442" s="234"/>
      <c r="K442" s="244"/>
      <c r="L442" s="244"/>
      <c r="M442" s="244"/>
      <c r="N442" s="244"/>
      <c r="O442" s="244"/>
      <c r="P442" s="244"/>
    </row>
    <row r="443" ht="18.75" customHeight="1">
      <c r="A443" s="170"/>
      <c r="B443" s="201"/>
      <c r="C443" s="201"/>
      <c r="D443" s="201"/>
      <c r="E443" s="201"/>
      <c r="F443" s="201"/>
      <c r="G443" s="172"/>
      <c r="H443" s="209"/>
      <c r="I443" s="175"/>
      <c r="J443" s="235"/>
      <c r="K443" s="244"/>
      <c r="L443" s="244"/>
      <c r="M443" s="244"/>
      <c r="N443" s="244"/>
      <c r="O443" s="244"/>
      <c r="P443" s="244"/>
    </row>
    <row r="444" ht="18.75" customHeight="1">
      <c r="A444" s="170"/>
      <c r="B444" s="193"/>
      <c r="C444" s="193"/>
      <c r="D444" s="193"/>
      <c r="E444" s="193"/>
      <c r="F444" s="193"/>
      <c r="G444" s="172"/>
      <c r="H444" s="55"/>
      <c r="I444" s="65"/>
      <c r="J444" s="234"/>
      <c r="K444" s="244"/>
      <c r="L444" s="244"/>
      <c r="M444" s="244"/>
      <c r="N444" s="244"/>
      <c r="O444" s="244"/>
      <c r="P444" s="244"/>
    </row>
    <row r="445" ht="18.75" customHeight="1">
      <c r="A445" s="170"/>
      <c r="B445" s="201"/>
      <c r="C445" s="201"/>
      <c r="D445" s="201"/>
      <c r="E445" s="201"/>
      <c r="F445" s="201"/>
      <c r="G445" s="172"/>
      <c r="H445" s="209"/>
      <c r="I445" s="175"/>
      <c r="J445" s="235"/>
      <c r="K445" s="244"/>
      <c r="L445" s="244"/>
      <c r="M445" s="244"/>
      <c r="N445" s="244"/>
      <c r="O445" s="244"/>
      <c r="P445" s="244"/>
    </row>
    <row r="446" ht="18.75" customHeight="1">
      <c r="A446" s="170"/>
      <c r="B446" s="193"/>
      <c r="C446" s="193"/>
      <c r="D446" s="193"/>
      <c r="E446" s="193"/>
      <c r="F446" s="193"/>
      <c r="G446" s="172"/>
      <c r="H446" s="55"/>
      <c r="I446" s="65"/>
      <c r="J446" s="234"/>
      <c r="K446" s="244"/>
      <c r="L446" s="244"/>
      <c r="M446" s="244"/>
      <c r="N446" s="244"/>
      <c r="O446" s="244"/>
      <c r="P446" s="244"/>
    </row>
    <row r="447" ht="18.75" customHeight="1">
      <c r="A447" s="170"/>
      <c r="B447" s="201"/>
      <c r="C447" s="201"/>
      <c r="D447" s="201"/>
      <c r="E447" s="201"/>
      <c r="F447" s="201"/>
      <c r="G447" s="172"/>
      <c r="H447" s="209"/>
      <c r="I447" s="175"/>
      <c r="J447" s="235"/>
      <c r="K447" s="244"/>
      <c r="L447" s="244"/>
      <c r="M447" s="244"/>
      <c r="N447" s="244"/>
      <c r="O447" s="244"/>
      <c r="P447" s="244"/>
    </row>
    <row r="448" ht="18.75" customHeight="1">
      <c r="A448" s="170"/>
      <c r="B448" s="193"/>
      <c r="C448" s="193"/>
      <c r="D448" s="193"/>
      <c r="E448" s="193"/>
      <c r="F448" s="193"/>
      <c r="G448" s="172"/>
      <c r="H448" s="55"/>
      <c r="I448" s="65"/>
      <c r="J448" s="234"/>
      <c r="K448" s="244"/>
      <c r="L448" s="244"/>
      <c r="M448" s="244"/>
      <c r="N448" s="244"/>
      <c r="O448" s="244"/>
      <c r="P448" s="244"/>
    </row>
    <row r="449" ht="18.75" customHeight="1">
      <c r="A449" s="170"/>
      <c r="B449" s="201"/>
      <c r="C449" s="201"/>
      <c r="D449" s="201"/>
      <c r="E449" s="201"/>
      <c r="F449" s="201"/>
      <c r="G449" s="172"/>
      <c r="H449" s="209"/>
      <c r="I449" s="175"/>
      <c r="J449" s="235"/>
      <c r="K449" s="244"/>
      <c r="L449" s="244"/>
      <c r="M449" s="244"/>
      <c r="N449" s="244"/>
      <c r="O449" s="244"/>
      <c r="P449" s="244"/>
    </row>
    <row r="450" ht="18.75" customHeight="1">
      <c r="A450" s="170"/>
      <c r="B450" s="193"/>
      <c r="C450" s="193"/>
      <c r="D450" s="193"/>
      <c r="E450" s="193"/>
      <c r="F450" s="193"/>
      <c r="G450" s="172"/>
      <c r="H450" s="55"/>
      <c r="I450" s="65"/>
      <c r="J450" s="234"/>
      <c r="K450" s="244"/>
      <c r="L450" s="244"/>
      <c r="M450" s="244"/>
      <c r="N450" s="244"/>
      <c r="O450" s="244"/>
      <c r="P450" s="244"/>
    </row>
    <row r="451" ht="18.75" customHeight="1">
      <c r="A451" s="170"/>
      <c r="B451" s="201"/>
      <c r="C451" s="201"/>
      <c r="D451" s="201"/>
      <c r="E451" s="201"/>
      <c r="F451" s="201"/>
      <c r="G451" s="172"/>
      <c r="H451" s="209"/>
      <c r="I451" s="175"/>
      <c r="J451" s="235"/>
      <c r="K451" s="244"/>
      <c r="L451" s="244"/>
      <c r="M451" s="244"/>
      <c r="N451" s="244"/>
      <c r="O451" s="244"/>
      <c r="P451" s="244"/>
    </row>
    <row r="452" ht="18.75" customHeight="1">
      <c r="A452" s="170"/>
      <c r="B452" s="193"/>
      <c r="C452" s="193"/>
      <c r="D452" s="193"/>
      <c r="E452" s="193"/>
      <c r="F452" s="193"/>
      <c r="G452" s="172"/>
      <c r="H452" s="55"/>
      <c r="I452" s="65"/>
      <c r="J452" s="234"/>
      <c r="K452" s="244"/>
      <c r="L452" s="244"/>
      <c r="M452" s="244"/>
      <c r="N452" s="244"/>
      <c r="O452" s="244"/>
      <c r="P452" s="244"/>
    </row>
    <row r="453" ht="18.75" customHeight="1">
      <c r="A453" s="170"/>
      <c r="B453" s="201"/>
      <c r="C453" s="201"/>
      <c r="D453" s="201"/>
      <c r="E453" s="201"/>
      <c r="F453" s="201"/>
      <c r="G453" s="172"/>
      <c r="H453" s="209"/>
      <c r="I453" s="175"/>
      <c r="J453" s="235"/>
      <c r="K453" s="244"/>
      <c r="L453" s="244"/>
      <c r="M453" s="244"/>
      <c r="N453" s="244"/>
      <c r="O453" s="244"/>
      <c r="P453" s="244"/>
    </row>
    <row r="454" ht="18.75" customHeight="1">
      <c r="A454" s="170"/>
      <c r="B454" s="193"/>
      <c r="C454" s="193"/>
      <c r="D454" s="193"/>
      <c r="E454" s="193"/>
      <c r="F454" s="193"/>
      <c r="G454" s="172"/>
      <c r="H454" s="55"/>
      <c r="I454" s="65"/>
      <c r="J454" s="234"/>
      <c r="K454" s="244"/>
      <c r="L454" s="244"/>
      <c r="M454" s="244"/>
      <c r="N454" s="244"/>
      <c r="O454" s="244"/>
      <c r="P454" s="244"/>
    </row>
    <row r="455" ht="18.75" customHeight="1">
      <c r="A455" s="170"/>
      <c r="B455" s="201"/>
      <c r="C455" s="201"/>
      <c r="D455" s="201"/>
      <c r="E455" s="201"/>
      <c r="F455" s="201"/>
      <c r="G455" s="172"/>
      <c r="H455" s="209"/>
      <c r="I455" s="175"/>
      <c r="J455" s="235"/>
      <c r="K455" s="244"/>
      <c r="L455" s="244"/>
      <c r="M455" s="244"/>
      <c r="N455" s="244"/>
      <c r="O455" s="244"/>
      <c r="P455" s="244"/>
    </row>
    <row r="456" ht="18.75" customHeight="1">
      <c r="A456" s="170"/>
      <c r="B456" s="193"/>
      <c r="C456" s="193"/>
      <c r="D456" s="193"/>
      <c r="E456" s="193"/>
      <c r="F456" s="193"/>
      <c r="G456" s="172"/>
      <c r="H456" s="55"/>
      <c r="I456" s="65"/>
      <c r="J456" s="234"/>
      <c r="K456" s="244"/>
      <c r="L456" s="244"/>
      <c r="M456" s="244"/>
      <c r="N456" s="244"/>
      <c r="O456" s="244"/>
      <c r="P456" s="244"/>
    </row>
    <row r="457" ht="18.75" customHeight="1">
      <c r="A457" s="170"/>
      <c r="B457" s="201"/>
      <c r="C457" s="201"/>
      <c r="D457" s="201"/>
      <c r="E457" s="201"/>
      <c r="F457" s="201"/>
      <c r="G457" s="172"/>
      <c r="H457" s="209"/>
      <c r="I457" s="175"/>
      <c r="J457" s="235"/>
      <c r="K457" s="244"/>
      <c r="L457" s="244"/>
      <c r="M457" s="244"/>
      <c r="N457" s="244"/>
      <c r="O457" s="244"/>
      <c r="P457" s="244"/>
    </row>
    <row r="458" ht="18.75" customHeight="1">
      <c r="A458" s="170"/>
      <c r="B458" s="193"/>
      <c r="C458" s="193"/>
      <c r="D458" s="193"/>
      <c r="E458" s="193"/>
      <c r="F458" s="193"/>
      <c r="G458" s="172"/>
      <c r="H458" s="55"/>
      <c r="I458" s="65"/>
      <c r="J458" s="234"/>
      <c r="K458" s="244"/>
      <c r="L458" s="244"/>
      <c r="M458" s="244"/>
      <c r="N458" s="244"/>
      <c r="O458" s="244"/>
      <c r="P458" s="244"/>
    </row>
    <row r="459" ht="18.75" customHeight="1">
      <c r="A459" s="170"/>
      <c r="B459" s="201"/>
      <c r="C459" s="201"/>
      <c r="D459" s="201"/>
      <c r="E459" s="201"/>
      <c r="F459" s="201"/>
      <c r="G459" s="172"/>
      <c r="H459" s="209"/>
      <c r="I459" s="175"/>
      <c r="J459" s="235"/>
      <c r="K459" s="244"/>
      <c r="L459" s="244"/>
      <c r="M459" s="244"/>
      <c r="N459" s="244"/>
      <c r="O459" s="244"/>
      <c r="P459" s="244"/>
    </row>
    <row r="460" ht="18.75" customHeight="1">
      <c r="A460" s="170"/>
      <c r="B460" s="193"/>
      <c r="C460" s="193"/>
      <c r="D460" s="193"/>
      <c r="E460" s="193"/>
      <c r="F460" s="193"/>
      <c r="G460" s="172"/>
      <c r="H460" s="55"/>
      <c r="I460" s="65"/>
      <c r="J460" s="234"/>
      <c r="K460" s="244"/>
      <c r="L460" s="244"/>
      <c r="M460" s="244"/>
      <c r="N460" s="244"/>
      <c r="O460" s="244"/>
      <c r="P460" s="244"/>
    </row>
    <row r="461" ht="18.75" customHeight="1">
      <c r="A461" s="170"/>
      <c r="B461" s="201"/>
      <c r="C461" s="201"/>
      <c r="D461" s="201"/>
      <c r="E461" s="201"/>
      <c r="F461" s="201"/>
      <c r="G461" s="172"/>
      <c r="H461" s="209"/>
      <c r="I461" s="175"/>
      <c r="J461" s="235"/>
      <c r="K461" s="244"/>
      <c r="L461" s="244"/>
      <c r="M461" s="244"/>
      <c r="N461" s="244"/>
      <c r="O461" s="244"/>
      <c r="P461" s="244"/>
    </row>
    <row r="462" ht="18.75" customHeight="1">
      <c r="A462" s="170"/>
      <c r="B462" s="193"/>
      <c r="C462" s="193"/>
      <c r="D462" s="193"/>
      <c r="E462" s="193"/>
      <c r="F462" s="193"/>
      <c r="G462" s="172"/>
      <c r="H462" s="55"/>
      <c r="I462" s="65"/>
      <c r="J462" s="234"/>
      <c r="K462" s="244"/>
      <c r="L462" s="244"/>
      <c r="M462" s="244"/>
      <c r="N462" s="244"/>
      <c r="O462" s="244"/>
      <c r="P462" s="244"/>
    </row>
    <row r="463" ht="18.75" customHeight="1">
      <c r="A463" s="170"/>
      <c r="B463" s="201"/>
      <c r="C463" s="201"/>
      <c r="D463" s="201"/>
      <c r="E463" s="201"/>
      <c r="F463" s="201"/>
      <c r="G463" s="172"/>
      <c r="H463" s="209"/>
      <c r="I463" s="175"/>
      <c r="J463" s="235"/>
      <c r="K463" s="244"/>
      <c r="L463" s="244"/>
      <c r="M463" s="244"/>
      <c r="N463" s="244"/>
      <c r="O463" s="244"/>
      <c r="P463" s="244"/>
    </row>
    <row r="464" ht="18.75" customHeight="1">
      <c r="A464" s="170"/>
      <c r="B464" s="193"/>
      <c r="C464" s="193"/>
      <c r="D464" s="193"/>
      <c r="E464" s="193"/>
      <c r="F464" s="193"/>
      <c r="G464" s="172"/>
      <c r="H464" s="55"/>
      <c r="I464" s="65"/>
      <c r="J464" s="234"/>
      <c r="K464" s="244"/>
      <c r="L464" s="244"/>
      <c r="M464" s="244"/>
      <c r="N464" s="244"/>
      <c r="O464" s="244"/>
      <c r="P464" s="244"/>
    </row>
    <row r="465" ht="18.75" customHeight="1">
      <c r="A465" s="170"/>
      <c r="B465" s="201"/>
      <c r="C465" s="201"/>
      <c r="D465" s="201"/>
      <c r="E465" s="201"/>
      <c r="F465" s="201"/>
      <c r="G465" s="172"/>
      <c r="H465" s="209"/>
      <c r="I465" s="175"/>
      <c r="J465" s="235"/>
      <c r="K465" s="244"/>
      <c r="L465" s="244"/>
      <c r="M465" s="244"/>
      <c r="N465" s="244"/>
      <c r="O465" s="244"/>
      <c r="P465" s="244"/>
    </row>
    <row r="466" ht="18.75" customHeight="1">
      <c r="A466" s="170"/>
      <c r="B466" s="193"/>
      <c r="C466" s="193"/>
      <c r="D466" s="193"/>
      <c r="E466" s="193"/>
      <c r="F466" s="193"/>
      <c r="G466" s="172"/>
      <c r="H466" s="55"/>
      <c r="I466" s="65"/>
      <c r="J466" s="234"/>
      <c r="K466" s="244"/>
      <c r="L466" s="244"/>
      <c r="M466" s="244"/>
      <c r="N466" s="244"/>
      <c r="O466" s="244"/>
      <c r="P466" s="244"/>
    </row>
    <row r="467" ht="18.75" customHeight="1">
      <c r="A467" s="170"/>
      <c r="B467" s="201"/>
      <c r="C467" s="201"/>
      <c r="D467" s="201"/>
      <c r="E467" s="201"/>
      <c r="F467" s="201"/>
      <c r="G467" s="172"/>
      <c r="H467" s="209"/>
      <c r="I467" s="175"/>
      <c r="J467" s="235"/>
      <c r="K467" s="244"/>
      <c r="L467" s="244"/>
      <c r="M467" s="244"/>
      <c r="N467" s="244"/>
      <c r="O467" s="244"/>
      <c r="P467" s="244"/>
    </row>
    <row r="468" ht="18.75" customHeight="1">
      <c r="A468" s="170"/>
      <c r="B468" s="193"/>
      <c r="C468" s="193"/>
      <c r="D468" s="193"/>
      <c r="E468" s="193"/>
      <c r="F468" s="193"/>
      <c r="G468" s="172"/>
      <c r="H468" s="55"/>
      <c r="I468" s="65"/>
      <c r="J468" s="234"/>
      <c r="K468" s="244"/>
      <c r="L468" s="244"/>
      <c r="M468" s="244"/>
      <c r="N468" s="244"/>
      <c r="O468" s="244"/>
      <c r="P468" s="244"/>
    </row>
    <row r="469" ht="18.75" customHeight="1">
      <c r="A469" s="170"/>
      <c r="B469" s="201"/>
      <c r="C469" s="201"/>
      <c r="D469" s="201"/>
      <c r="E469" s="201"/>
      <c r="F469" s="201"/>
      <c r="G469" s="172"/>
      <c r="H469" s="209"/>
      <c r="I469" s="175"/>
      <c r="J469" s="235"/>
      <c r="K469" s="244"/>
      <c r="L469" s="244"/>
      <c r="M469" s="244"/>
      <c r="N469" s="244"/>
      <c r="O469" s="244"/>
      <c r="P469" s="244"/>
    </row>
    <row r="470" ht="18.75" customHeight="1">
      <c r="A470" s="170"/>
      <c r="B470" s="193"/>
      <c r="C470" s="193"/>
      <c r="D470" s="193"/>
      <c r="E470" s="193"/>
      <c r="F470" s="193"/>
      <c r="G470" s="172"/>
      <c r="H470" s="55"/>
      <c r="I470" s="65"/>
      <c r="J470" s="234"/>
      <c r="K470" s="244"/>
      <c r="L470" s="244"/>
      <c r="M470" s="244"/>
      <c r="N470" s="244"/>
      <c r="O470" s="244"/>
      <c r="P470" s="244"/>
    </row>
    <row r="471" ht="18.75" customHeight="1">
      <c r="A471" s="170"/>
      <c r="B471" s="201"/>
      <c r="C471" s="201"/>
      <c r="D471" s="201"/>
      <c r="E471" s="201"/>
      <c r="F471" s="201"/>
      <c r="G471" s="172"/>
      <c r="H471" s="209"/>
      <c r="I471" s="175"/>
      <c r="J471" s="235"/>
      <c r="K471" s="244"/>
      <c r="L471" s="244"/>
      <c r="M471" s="244"/>
      <c r="N471" s="244"/>
      <c r="O471" s="244"/>
      <c r="P471" s="244"/>
    </row>
    <row r="472" ht="18.75" customHeight="1">
      <c r="A472" s="170"/>
      <c r="B472" s="193"/>
      <c r="C472" s="193"/>
      <c r="D472" s="193"/>
      <c r="E472" s="193"/>
      <c r="F472" s="193"/>
      <c r="G472" s="172"/>
      <c r="H472" s="55"/>
      <c r="I472" s="65"/>
      <c r="J472" s="234"/>
      <c r="K472" s="244"/>
      <c r="L472" s="244"/>
      <c r="M472" s="244"/>
      <c r="N472" s="244"/>
      <c r="O472" s="244"/>
      <c r="P472" s="244"/>
    </row>
    <row r="473" ht="18.75" customHeight="1">
      <c r="A473" s="170"/>
      <c r="B473" s="201"/>
      <c r="C473" s="201"/>
      <c r="D473" s="201"/>
      <c r="E473" s="201"/>
      <c r="F473" s="201"/>
      <c r="G473" s="172"/>
      <c r="H473" s="209"/>
      <c r="I473" s="175"/>
      <c r="J473" s="235"/>
      <c r="K473" s="244"/>
      <c r="L473" s="244"/>
      <c r="M473" s="244"/>
      <c r="N473" s="244"/>
      <c r="O473" s="244"/>
      <c r="P473" s="244"/>
    </row>
    <row r="474" ht="18.75" customHeight="1">
      <c r="A474" s="170"/>
      <c r="B474" s="193"/>
      <c r="C474" s="193"/>
      <c r="D474" s="193"/>
      <c r="E474" s="193"/>
      <c r="F474" s="193"/>
      <c r="G474" s="172"/>
      <c r="H474" s="55"/>
      <c r="I474" s="65"/>
      <c r="J474" s="234"/>
      <c r="K474" s="244"/>
      <c r="L474" s="244"/>
      <c r="M474" s="244"/>
      <c r="N474" s="244"/>
      <c r="O474" s="244"/>
      <c r="P474" s="244"/>
    </row>
    <row r="475" ht="18.75" customHeight="1">
      <c r="A475" s="170"/>
      <c r="B475" s="201"/>
      <c r="C475" s="201"/>
      <c r="D475" s="201"/>
      <c r="E475" s="201"/>
      <c r="F475" s="201"/>
      <c r="G475" s="172"/>
      <c r="H475" s="209"/>
      <c r="I475" s="175"/>
      <c r="J475" s="235"/>
      <c r="K475" s="244"/>
      <c r="L475" s="244"/>
      <c r="M475" s="244"/>
      <c r="N475" s="244"/>
      <c r="O475" s="244"/>
      <c r="P475" s="244"/>
    </row>
    <row r="476" ht="18.75" customHeight="1">
      <c r="A476" s="170"/>
      <c r="B476" s="193"/>
      <c r="C476" s="193"/>
      <c r="D476" s="193"/>
      <c r="E476" s="193"/>
      <c r="F476" s="193"/>
      <c r="G476" s="172"/>
      <c r="H476" s="55"/>
      <c r="I476" s="65"/>
      <c r="J476" s="234"/>
      <c r="K476" s="244"/>
      <c r="L476" s="244"/>
      <c r="M476" s="244"/>
      <c r="N476" s="244"/>
      <c r="O476" s="244"/>
      <c r="P476" s="244"/>
    </row>
    <row r="477" ht="18.75" customHeight="1">
      <c r="A477" s="170"/>
      <c r="B477" s="201"/>
      <c r="C477" s="201"/>
      <c r="D477" s="201"/>
      <c r="E477" s="201"/>
      <c r="F477" s="201"/>
      <c r="G477" s="172"/>
      <c r="H477" s="209"/>
      <c r="I477" s="175"/>
      <c r="J477" s="235"/>
      <c r="K477" s="244"/>
      <c r="L477" s="244"/>
      <c r="M477" s="244"/>
      <c r="N477" s="244"/>
      <c r="O477" s="244"/>
      <c r="P477" s="244"/>
    </row>
    <row r="478" ht="18.75" customHeight="1">
      <c r="A478" s="170"/>
      <c r="B478" s="193"/>
      <c r="C478" s="193"/>
      <c r="D478" s="193"/>
      <c r="E478" s="193"/>
      <c r="F478" s="193"/>
      <c r="G478" s="172"/>
      <c r="H478" s="55"/>
      <c r="I478" s="65"/>
      <c r="J478" s="234"/>
      <c r="K478" s="244"/>
      <c r="L478" s="244"/>
      <c r="M478" s="244"/>
      <c r="N478" s="244"/>
      <c r="O478" s="244"/>
      <c r="P478" s="244"/>
    </row>
    <row r="479" ht="18.75" customHeight="1">
      <c r="A479" s="170"/>
      <c r="B479" s="201"/>
      <c r="C479" s="201"/>
      <c r="D479" s="201"/>
      <c r="E479" s="201"/>
      <c r="F479" s="201"/>
      <c r="G479" s="172"/>
      <c r="H479" s="209"/>
      <c r="I479" s="175"/>
      <c r="J479" s="235"/>
      <c r="K479" s="244"/>
      <c r="L479" s="244"/>
      <c r="M479" s="244"/>
      <c r="N479" s="244"/>
      <c r="O479" s="244"/>
      <c r="P479" s="244"/>
    </row>
    <row r="480" ht="18.75" customHeight="1">
      <c r="A480" s="170"/>
      <c r="B480" s="193"/>
      <c r="C480" s="193"/>
      <c r="D480" s="193"/>
      <c r="E480" s="193"/>
      <c r="F480" s="193"/>
      <c r="G480" s="172"/>
      <c r="H480" s="55"/>
      <c r="I480" s="65"/>
      <c r="J480" s="234"/>
      <c r="K480" s="244"/>
      <c r="L480" s="244"/>
      <c r="M480" s="244"/>
      <c r="N480" s="244"/>
      <c r="O480" s="244"/>
      <c r="P480" s="244"/>
    </row>
    <row r="481" ht="18.75" customHeight="1">
      <c r="A481" s="170"/>
      <c r="B481" s="201"/>
      <c r="C481" s="201"/>
      <c r="D481" s="201"/>
      <c r="E481" s="201"/>
      <c r="F481" s="201"/>
      <c r="G481" s="172"/>
      <c r="H481" s="209"/>
      <c r="I481" s="175"/>
      <c r="J481" s="235"/>
      <c r="K481" s="244"/>
      <c r="L481" s="244"/>
      <c r="M481" s="244"/>
      <c r="N481" s="244"/>
      <c r="O481" s="244"/>
      <c r="P481" s="244"/>
    </row>
    <row r="482" ht="18.75" customHeight="1">
      <c r="A482" s="170"/>
      <c r="B482" s="193"/>
      <c r="C482" s="193"/>
      <c r="D482" s="193"/>
      <c r="E482" s="193"/>
      <c r="F482" s="193"/>
      <c r="G482" s="172"/>
      <c r="H482" s="55"/>
      <c r="I482" s="65"/>
      <c r="J482" s="234"/>
      <c r="K482" s="244"/>
      <c r="L482" s="244"/>
      <c r="M482" s="244"/>
      <c r="N482" s="244"/>
      <c r="O482" s="244"/>
      <c r="P482" s="244"/>
    </row>
    <row r="483" ht="18.75" customHeight="1">
      <c r="A483" s="170"/>
      <c r="B483" s="201"/>
      <c r="C483" s="201"/>
      <c r="D483" s="201"/>
      <c r="E483" s="201"/>
      <c r="F483" s="201"/>
      <c r="G483" s="172"/>
      <c r="H483" s="209"/>
      <c r="I483" s="175"/>
      <c r="J483" s="235"/>
      <c r="K483" s="244"/>
      <c r="L483" s="244"/>
      <c r="M483" s="244"/>
      <c r="N483" s="244"/>
      <c r="O483" s="244"/>
      <c r="P483" s="244"/>
    </row>
    <row r="484" ht="18.75" customHeight="1">
      <c r="A484" s="170"/>
      <c r="B484" s="193"/>
      <c r="C484" s="193"/>
      <c r="D484" s="193"/>
      <c r="E484" s="193"/>
      <c r="F484" s="193"/>
      <c r="G484" s="172"/>
      <c r="H484" s="55"/>
      <c r="I484" s="65"/>
      <c r="J484" s="234"/>
      <c r="K484" s="244"/>
      <c r="L484" s="244"/>
      <c r="M484" s="244"/>
      <c r="N484" s="244"/>
      <c r="O484" s="244"/>
      <c r="P484" s="244"/>
    </row>
    <row r="485" ht="18.75" customHeight="1">
      <c r="A485" s="170"/>
      <c r="B485" s="201"/>
      <c r="C485" s="201"/>
      <c r="D485" s="201"/>
      <c r="E485" s="201"/>
      <c r="F485" s="201"/>
      <c r="G485" s="172"/>
      <c r="H485" s="209"/>
      <c r="I485" s="175"/>
      <c r="J485" s="235"/>
      <c r="K485" s="244"/>
      <c r="L485" s="244"/>
      <c r="M485" s="244"/>
      <c r="N485" s="244"/>
      <c r="O485" s="244"/>
      <c r="P485" s="244"/>
    </row>
    <row r="486" ht="18.75" customHeight="1">
      <c r="A486" s="170"/>
      <c r="B486" s="193"/>
      <c r="C486" s="193"/>
      <c r="D486" s="193"/>
      <c r="E486" s="193"/>
      <c r="F486" s="193"/>
      <c r="G486" s="172"/>
      <c r="H486" s="55"/>
      <c r="I486" s="65"/>
      <c r="J486" s="234"/>
      <c r="K486" s="244"/>
      <c r="L486" s="244"/>
      <c r="M486" s="244"/>
      <c r="N486" s="244"/>
      <c r="O486" s="244"/>
      <c r="P486" s="244"/>
    </row>
    <row r="487" ht="18.75" customHeight="1">
      <c r="A487" s="170"/>
      <c r="B487" s="201"/>
      <c r="C487" s="201"/>
      <c r="D487" s="201"/>
      <c r="E487" s="201"/>
      <c r="F487" s="201"/>
      <c r="G487" s="172"/>
      <c r="H487" s="209"/>
      <c r="I487" s="175"/>
      <c r="J487" s="235"/>
      <c r="K487" s="244"/>
      <c r="L487" s="244"/>
      <c r="M487" s="244"/>
      <c r="N487" s="244"/>
      <c r="O487" s="244"/>
      <c r="P487" s="244"/>
    </row>
    <row r="488" ht="18.75" customHeight="1">
      <c r="A488" s="170"/>
      <c r="B488" s="193"/>
      <c r="C488" s="193"/>
      <c r="D488" s="193"/>
      <c r="E488" s="193"/>
      <c r="F488" s="193"/>
      <c r="G488" s="172"/>
      <c r="H488" s="55"/>
      <c r="I488" s="65"/>
      <c r="J488" s="234"/>
      <c r="K488" s="244"/>
      <c r="L488" s="244"/>
      <c r="M488" s="244"/>
      <c r="N488" s="244"/>
      <c r="O488" s="244"/>
      <c r="P488" s="244"/>
    </row>
    <row r="489" ht="18.75" customHeight="1">
      <c r="A489" s="170"/>
      <c r="B489" s="201"/>
      <c r="C489" s="201"/>
      <c r="D489" s="201"/>
      <c r="E489" s="201"/>
      <c r="F489" s="201"/>
      <c r="G489" s="172"/>
      <c r="H489" s="209"/>
      <c r="I489" s="175"/>
      <c r="J489" s="235"/>
      <c r="K489" s="244"/>
      <c r="L489" s="244"/>
      <c r="M489" s="244"/>
      <c r="N489" s="244"/>
      <c r="O489" s="244"/>
      <c r="P489" s="244"/>
    </row>
    <row r="490" ht="18.75" customHeight="1">
      <c r="A490" s="170"/>
      <c r="B490" s="193"/>
      <c r="C490" s="193"/>
      <c r="D490" s="193"/>
      <c r="E490" s="193"/>
      <c r="F490" s="193"/>
      <c r="G490" s="172"/>
      <c r="H490" s="55"/>
      <c r="I490" s="65"/>
      <c r="J490" s="234"/>
      <c r="K490" s="244"/>
      <c r="L490" s="244"/>
      <c r="M490" s="244"/>
      <c r="N490" s="244"/>
      <c r="O490" s="244"/>
      <c r="P490" s="244"/>
    </row>
    <row r="491" ht="18.75" customHeight="1">
      <c r="A491" s="170"/>
      <c r="B491" s="201"/>
      <c r="C491" s="201"/>
      <c r="D491" s="201"/>
      <c r="E491" s="201"/>
      <c r="F491" s="201"/>
      <c r="G491" s="172"/>
      <c r="H491" s="209"/>
      <c r="I491" s="175"/>
      <c r="J491" s="235"/>
      <c r="K491" s="244"/>
      <c r="L491" s="244"/>
      <c r="M491" s="244"/>
      <c r="N491" s="244"/>
      <c r="O491" s="244"/>
      <c r="P491" s="244"/>
    </row>
    <row r="492" ht="18.75" customHeight="1">
      <c r="A492" s="170"/>
      <c r="B492" s="193"/>
      <c r="C492" s="193"/>
      <c r="D492" s="193"/>
      <c r="E492" s="193"/>
      <c r="F492" s="193"/>
      <c r="G492" s="172"/>
      <c r="H492" s="55"/>
      <c r="I492" s="65"/>
      <c r="J492" s="234"/>
      <c r="K492" s="244"/>
      <c r="L492" s="244"/>
      <c r="M492" s="244"/>
      <c r="N492" s="244"/>
      <c r="O492" s="244"/>
      <c r="P492" s="244"/>
    </row>
    <row r="493" ht="18.75" customHeight="1">
      <c r="A493" s="170"/>
      <c r="B493" s="201"/>
      <c r="C493" s="201"/>
      <c r="D493" s="201"/>
      <c r="E493" s="201"/>
      <c r="F493" s="201"/>
      <c r="G493" s="172"/>
      <c r="H493" s="209"/>
      <c r="I493" s="175"/>
      <c r="J493" s="235"/>
      <c r="K493" s="244"/>
      <c r="L493" s="244"/>
      <c r="M493" s="244"/>
      <c r="N493" s="244"/>
      <c r="O493" s="244"/>
      <c r="P493" s="244"/>
    </row>
    <row r="494" ht="18.75" customHeight="1">
      <c r="A494" s="170"/>
      <c r="B494" s="193"/>
      <c r="C494" s="193"/>
      <c r="D494" s="193"/>
      <c r="E494" s="193"/>
      <c r="F494" s="193"/>
      <c r="G494" s="172"/>
      <c r="H494" s="55"/>
      <c r="I494" s="65"/>
      <c r="J494" s="234"/>
      <c r="K494" s="244"/>
      <c r="L494" s="244"/>
      <c r="M494" s="244"/>
      <c r="N494" s="244"/>
      <c r="O494" s="244"/>
      <c r="P494" s="244"/>
    </row>
    <row r="495" ht="18.75" customHeight="1">
      <c r="A495" s="170"/>
      <c r="B495" s="201"/>
      <c r="C495" s="201"/>
      <c r="D495" s="201"/>
      <c r="E495" s="201"/>
      <c r="F495" s="201"/>
      <c r="G495" s="172"/>
      <c r="H495" s="209"/>
      <c r="I495" s="175"/>
      <c r="J495" s="235"/>
      <c r="K495" s="244"/>
      <c r="L495" s="244"/>
      <c r="M495" s="244"/>
      <c r="N495" s="244"/>
      <c r="O495" s="244"/>
      <c r="P495" s="244"/>
    </row>
    <row r="496" ht="18.75" customHeight="1">
      <c r="A496" s="170"/>
      <c r="B496" s="193"/>
      <c r="C496" s="193"/>
      <c r="D496" s="193"/>
      <c r="E496" s="193"/>
      <c r="F496" s="193"/>
      <c r="G496" s="172"/>
      <c r="H496" s="55"/>
      <c r="I496" s="65"/>
      <c r="J496" s="234"/>
      <c r="K496" s="244"/>
      <c r="L496" s="244"/>
      <c r="M496" s="244"/>
      <c r="N496" s="244"/>
      <c r="O496" s="244"/>
      <c r="P496" s="244"/>
    </row>
    <row r="497" ht="18.75" customHeight="1">
      <c r="A497" s="170"/>
      <c r="B497" s="201"/>
      <c r="C497" s="201"/>
      <c r="D497" s="201"/>
      <c r="E497" s="201"/>
      <c r="F497" s="201"/>
      <c r="G497" s="172"/>
      <c r="H497" s="209"/>
      <c r="I497" s="175"/>
      <c r="J497" s="235"/>
      <c r="K497" s="244"/>
      <c r="L497" s="244"/>
      <c r="M497" s="244"/>
      <c r="N497" s="244"/>
      <c r="O497" s="244"/>
      <c r="P497" s="244"/>
    </row>
    <row r="498" ht="18.75" customHeight="1">
      <c r="A498" s="170"/>
      <c r="B498" s="193"/>
      <c r="C498" s="193"/>
      <c r="D498" s="193"/>
      <c r="E498" s="193"/>
      <c r="F498" s="193"/>
      <c r="G498" s="172"/>
      <c r="H498" s="55"/>
      <c r="I498" s="65"/>
      <c r="J498" s="234"/>
      <c r="K498" s="244"/>
      <c r="L498" s="244"/>
      <c r="M498" s="244"/>
      <c r="N498" s="244"/>
      <c r="O498" s="244"/>
      <c r="P498" s="244"/>
    </row>
    <row r="499" ht="18.75" customHeight="1">
      <c r="A499" s="170"/>
      <c r="B499" s="201"/>
      <c r="C499" s="201"/>
      <c r="D499" s="201"/>
      <c r="E499" s="201"/>
      <c r="F499" s="201"/>
      <c r="G499" s="172"/>
      <c r="H499" s="209"/>
      <c r="I499" s="175"/>
      <c r="J499" s="235"/>
      <c r="K499" s="244"/>
      <c r="L499" s="244"/>
      <c r="M499" s="244"/>
      <c r="N499" s="244"/>
      <c r="O499" s="244"/>
      <c r="P499" s="244"/>
    </row>
    <row r="500" ht="18.75" customHeight="1">
      <c r="A500" s="170"/>
      <c r="B500" s="193"/>
      <c r="C500" s="193"/>
      <c r="D500" s="193"/>
      <c r="E500" s="193"/>
      <c r="F500" s="193"/>
      <c r="G500" s="172"/>
      <c r="H500" s="55"/>
      <c r="I500" s="65"/>
      <c r="J500" s="234"/>
      <c r="K500" s="244"/>
      <c r="L500" s="244"/>
      <c r="M500" s="244"/>
      <c r="N500" s="244"/>
      <c r="O500" s="244"/>
      <c r="P500" s="244"/>
    </row>
    <row r="501" ht="18.75" customHeight="1">
      <c r="A501" s="170"/>
      <c r="B501" s="201"/>
      <c r="C501" s="193"/>
      <c r="D501" s="201"/>
      <c r="E501" s="201"/>
      <c r="F501" s="193"/>
      <c r="G501" s="208"/>
      <c r="H501" s="209"/>
      <c r="I501" s="175"/>
      <c r="J501" s="235"/>
      <c r="K501" s="244"/>
      <c r="L501" s="244"/>
      <c r="M501" s="244"/>
      <c r="N501" s="244"/>
      <c r="O501" s="244"/>
      <c r="P501" s="244"/>
    </row>
    <row r="502" ht="18.75" customHeight="1">
      <c r="A502" s="170"/>
      <c r="B502" s="193"/>
      <c r="C502" s="193"/>
      <c r="D502" s="193"/>
      <c r="E502" s="193"/>
      <c r="F502" s="193"/>
      <c r="G502" s="172"/>
      <c r="H502" s="55"/>
      <c r="I502" s="65"/>
      <c r="J502" s="234"/>
      <c r="K502" s="244"/>
      <c r="L502" s="244"/>
      <c r="M502" s="244"/>
      <c r="N502" s="244"/>
      <c r="O502" s="244"/>
      <c r="P502" s="244"/>
    </row>
    <row r="503" ht="18.75" customHeight="1">
      <c r="A503" s="170"/>
      <c r="B503" s="201"/>
      <c r="C503" s="193"/>
      <c r="D503" s="201"/>
      <c r="E503" s="201"/>
      <c r="F503" s="193"/>
      <c r="G503" s="208"/>
      <c r="H503" s="209"/>
      <c r="I503" s="175"/>
      <c r="J503" s="235"/>
      <c r="K503" s="244"/>
      <c r="L503" s="244"/>
      <c r="M503" s="244"/>
      <c r="N503" s="244"/>
      <c r="O503" s="244"/>
      <c r="P503" s="244"/>
    </row>
    <row r="504" ht="18.75" customHeight="1">
      <c r="A504" s="170"/>
      <c r="B504" s="193"/>
      <c r="C504" s="193"/>
      <c r="D504" s="193"/>
      <c r="E504" s="193"/>
      <c r="F504" s="193"/>
      <c r="G504" s="172"/>
      <c r="H504" s="55"/>
      <c r="I504" s="65"/>
      <c r="J504" s="234"/>
      <c r="K504" s="244"/>
      <c r="L504" s="244"/>
      <c r="M504" s="244"/>
      <c r="N504" s="244"/>
      <c r="O504" s="244"/>
      <c r="P504" s="244"/>
    </row>
    <row r="505" ht="18.75" customHeight="1">
      <c r="A505" s="170"/>
      <c r="B505" s="201"/>
      <c r="C505" s="193"/>
      <c r="D505" s="201"/>
      <c r="E505" s="201"/>
      <c r="F505" s="193"/>
      <c r="G505" s="208"/>
      <c r="H505" s="209"/>
      <c r="I505" s="175"/>
      <c r="J505" s="235"/>
      <c r="K505" s="244"/>
      <c r="L505" s="244"/>
      <c r="M505" s="244"/>
      <c r="N505" s="244"/>
      <c r="O505" s="244"/>
      <c r="P505" s="244"/>
    </row>
    <row r="506" ht="18.75" customHeight="1">
      <c r="A506" s="170"/>
      <c r="B506" s="193"/>
      <c r="C506" s="193"/>
      <c r="D506" s="193"/>
      <c r="E506" s="193"/>
      <c r="F506" s="193"/>
      <c r="G506" s="172"/>
      <c r="H506" s="55"/>
      <c r="I506" s="65"/>
      <c r="J506" s="234"/>
      <c r="K506" s="244"/>
      <c r="L506" s="244"/>
      <c r="M506" s="244"/>
      <c r="N506" s="244"/>
      <c r="O506" s="244"/>
      <c r="P506" s="244"/>
    </row>
    <row r="507" ht="18.75" customHeight="1">
      <c r="A507" s="170"/>
      <c r="B507" s="201"/>
      <c r="C507" s="193"/>
      <c r="D507" s="201"/>
      <c r="E507" s="201"/>
      <c r="F507" s="193"/>
      <c r="G507" s="208"/>
      <c r="H507" s="209"/>
      <c r="I507" s="175"/>
      <c r="J507" s="235"/>
      <c r="K507" s="244"/>
      <c r="L507" s="244"/>
      <c r="M507" s="244"/>
      <c r="N507" s="244"/>
      <c r="O507" s="244"/>
      <c r="P507" s="244"/>
    </row>
    <row r="508" ht="18.75" customHeight="1">
      <c r="A508" s="170"/>
      <c r="B508" s="193"/>
      <c r="C508" s="193"/>
      <c r="D508" s="193"/>
      <c r="E508" s="193"/>
      <c r="F508" s="193"/>
      <c r="G508" s="172"/>
      <c r="H508" s="55"/>
      <c r="I508" s="65"/>
      <c r="J508" s="234"/>
      <c r="K508" s="244"/>
      <c r="L508" s="244"/>
      <c r="M508" s="244"/>
      <c r="N508" s="244"/>
      <c r="O508" s="244"/>
      <c r="P508" s="244"/>
    </row>
    <row r="509" ht="18.75" customHeight="1">
      <c r="A509" s="170"/>
      <c r="B509" s="201"/>
      <c r="C509" s="193"/>
      <c r="D509" s="201"/>
      <c r="E509" s="201"/>
      <c r="F509" s="193"/>
      <c r="G509" s="208"/>
      <c r="H509" s="209"/>
      <c r="I509" s="175"/>
      <c r="J509" s="235"/>
      <c r="K509" s="244"/>
      <c r="L509" s="244"/>
      <c r="M509" s="244"/>
      <c r="N509" s="244"/>
      <c r="O509" s="244"/>
      <c r="P509" s="244"/>
    </row>
    <row r="510" ht="18.75" customHeight="1">
      <c r="A510" s="170"/>
      <c r="B510" s="193"/>
      <c r="C510" s="193"/>
      <c r="D510" s="193"/>
      <c r="E510" s="193"/>
      <c r="F510" s="193"/>
      <c r="G510" s="172"/>
      <c r="H510" s="55"/>
      <c r="I510" s="65"/>
      <c r="J510" s="234"/>
      <c r="K510" s="244"/>
      <c r="L510" s="244"/>
      <c r="M510" s="244"/>
      <c r="N510" s="244"/>
      <c r="O510" s="244"/>
      <c r="P510" s="244"/>
    </row>
    <row r="511" ht="18.75" customHeight="1">
      <c r="A511" s="170"/>
      <c r="B511" s="201"/>
      <c r="C511" s="193"/>
      <c r="D511" s="201"/>
      <c r="E511" s="201"/>
      <c r="F511" s="193"/>
      <c r="G511" s="208"/>
      <c r="H511" s="55"/>
      <c r="I511" s="175"/>
      <c r="J511" s="235"/>
      <c r="K511" s="244"/>
      <c r="L511" s="244"/>
      <c r="M511" s="244"/>
      <c r="N511" s="244"/>
      <c r="O511" s="244"/>
      <c r="P511" s="244"/>
    </row>
    <row r="512" ht="18.75" customHeight="1">
      <c r="A512" s="170"/>
      <c r="B512" s="193"/>
      <c r="C512" s="193"/>
      <c r="D512" s="193"/>
      <c r="E512" s="193"/>
      <c r="F512" s="193"/>
      <c r="G512" s="172"/>
      <c r="H512" s="55"/>
      <c r="I512" s="65"/>
      <c r="J512" s="234"/>
      <c r="K512" s="244"/>
      <c r="L512" s="244"/>
      <c r="M512" s="244"/>
      <c r="N512" s="244"/>
      <c r="O512" s="244"/>
      <c r="P512" s="244"/>
    </row>
    <row r="513" ht="18.75" customHeight="1">
      <c r="A513" s="170"/>
      <c r="B513" s="201"/>
      <c r="C513" s="193"/>
      <c r="D513" s="201"/>
      <c r="E513" s="201"/>
      <c r="F513" s="193"/>
      <c r="G513" s="208"/>
      <c r="H513" s="209"/>
      <c r="I513" s="175"/>
      <c r="J513" s="235"/>
      <c r="K513" s="244"/>
      <c r="L513" s="244"/>
      <c r="M513" s="244"/>
      <c r="N513" s="244"/>
      <c r="O513" s="244"/>
      <c r="P513" s="244"/>
    </row>
    <row r="514" ht="18.75" customHeight="1">
      <c r="A514" s="170"/>
      <c r="B514" s="193"/>
      <c r="C514" s="193"/>
      <c r="D514" s="193"/>
      <c r="E514" s="193"/>
      <c r="F514" s="193"/>
      <c r="G514" s="172"/>
      <c r="H514" s="55"/>
      <c r="I514" s="65"/>
      <c r="J514" s="234"/>
      <c r="K514" s="244"/>
      <c r="L514" s="244"/>
      <c r="M514" s="244"/>
      <c r="N514" s="244"/>
      <c r="O514" s="244"/>
      <c r="P514" s="244"/>
    </row>
    <row r="515" ht="18.75" customHeight="1">
      <c r="A515" s="170"/>
      <c r="B515" s="201"/>
      <c r="C515" s="193"/>
      <c r="D515" s="201"/>
      <c r="E515" s="201"/>
      <c r="F515" s="193"/>
      <c r="G515" s="208"/>
      <c r="H515" s="209"/>
      <c r="I515" s="175"/>
      <c r="J515" s="235"/>
      <c r="K515" s="244"/>
      <c r="L515" s="244"/>
      <c r="M515" s="244"/>
      <c r="N515" s="244"/>
      <c r="O515" s="244"/>
      <c r="P515" s="244"/>
    </row>
    <row r="516" ht="18.75" customHeight="1">
      <c r="A516" s="170"/>
      <c r="B516" s="193"/>
      <c r="C516" s="193"/>
      <c r="D516" s="193"/>
      <c r="E516" s="193"/>
      <c r="F516" s="193"/>
      <c r="G516" s="172"/>
      <c r="H516" s="55"/>
      <c r="I516" s="65"/>
      <c r="J516" s="234"/>
      <c r="K516" s="244"/>
      <c r="L516" s="244"/>
      <c r="M516" s="244"/>
      <c r="N516" s="244"/>
      <c r="O516" s="244"/>
      <c r="P516" s="244"/>
    </row>
    <row r="517" ht="18.75" customHeight="1">
      <c r="A517" s="170"/>
      <c r="B517" s="201"/>
      <c r="C517" s="193"/>
      <c r="D517" s="201"/>
      <c r="E517" s="201"/>
      <c r="F517" s="193"/>
      <c r="G517" s="208"/>
      <c r="H517" s="209"/>
      <c r="I517" s="175"/>
      <c r="J517" s="235"/>
      <c r="K517" s="244"/>
      <c r="L517" s="244"/>
      <c r="M517" s="244"/>
      <c r="N517" s="244"/>
      <c r="O517" s="244"/>
      <c r="P517" s="244"/>
    </row>
    <row r="518" ht="18.75" customHeight="1">
      <c r="A518" s="170"/>
      <c r="B518" s="193"/>
      <c r="C518" s="193"/>
      <c r="D518" s="193"/>
      <c r="E518" s="193"/>
      <c r="F518" s="193"/>
      <c r="G518" s="172"/>
      <c r="H518" s="55"/>
      <c r="I518" s="65"/>
      <c r="J518" s="234"/>
      <c r="K518" s="244"/>
      <c r="L518" s="244"/>
      <c r="M518" s="244"/>
      <c r="N518" s="244"/>
      <c r="O518" s="244"/>
      <c r="P518" s="244"/>
    </row>
    <row r="519" ht="18.75" customHeight="1">
      <c r="A519" s="170"/>
      <c r="B519" s="201"/>
      <c r="C519" s="193"/>
      <c r="D519" s="201"/>
      <c r="E519" s="201"/>
      <c r="F519" s="193"/>
      <c r="G519" s="208"/>
      <c r="H519" s="55"/>
      <c r="I519" s="175"/>
      <c r="J519" s="235"/>
      <c r="K519" s="244"/>
      <c r="L519" s="244"/>
      <c r="M519" s="244"/>
      <c r="N519" s="244"/>
      <c r="O519" s="244"/>
      <c r="P519" s="244"/>
    </row>
    <row r="520" ht="18.75" customHeight="1">
      <c r="A520" s="170"/>
      <c r="B520" s="193"/>
      <c r="C520" s="193"/>
      <c r="D520" s="193"/>
      <c r="E520" s="193"/>
      <c r="F520" s="193"/>
      <c r="G520" s="172"/>
      <c r="H520" s="55"/>
      <c r="I520" s="65"/>
      <c r="J520" s="234"/>
      <c r="K520" s="244"/>
      <c r="L520" s="244"/>
      <c r="M520" s="244"/>
      <c r="N520" s="244"/>
      <c r="O520" s="244"/>
      <c r="P520" s="244"/>
    </row>
    <row r="521" ht="18.75" customHeight="1">
      <c r="A521" s="170"/>
      <c r="B521" s="201"/>
      <c r="C521" s="193"/>
      <c r="D521" s="201"/>
      <c r="E521" s="201"/>
      <c r="F521" s="193"/>
      <c r="G521" s="208"/>
      <c r="H521" s="209"/>
      <c r="I521" s="175"/>
      <c r="J521" s="235"/>
      <c r="K521" s="244"/>
      <c r="L521" s="244"/>
      <c r="M521" s="244"/>
      <c r="N521" s="244"/>
      <c r="O521" s="244"/>
      <c r="P521" s="244"/>
    </row>
    <row r="522" ht="18.75" customHeight="1">
      <c r="A522" s="170"/>
      <c r="B522" s="193"/>
      <c r="C522" s="193"/>
      <c r="D522" s="193"/>
      <c r="E522" s="193"/>
      <c r="F522" s="193"/>
      <c r="G522" s="172"/>
      <c r="H522" s="55"/>
      <c r="I522" s="65"/>
      <c r="J522" s="234"/>
      <c r="K522" s="244"/>
      <c r="L522" s="244"/>
      <c r="M522" s="244"/>
      <c r="N522" s="244"/>
      <c r="O522" s="244"/>
      <c r="P522" s="244"/>
    </row>
    <row r="523" ht="18.75" customHeight="1">
      <c r="A523" s="170"/>
      <c r="B523" s="201"/>
      <c r="C523" s="193"/>
      <c r="D523" s="201"/>
      <c r="E523" s="201"/>
      <c r="F523" s="193"/>
      <c r="G523" s="172"/>
      <c r="H523" s="55"/>
      <c r="I523" s="175"/>
      <c r="J523" s="235"/>
      <c r="K523" s="244"/>
      <c r="L523" s="244"/>
      <c r="M523" s="244"/>
      <c r="N523" s="244"/>
      <c r="O523" s="244"/>
      <c r="P523" s="244"/>
    </row>
    <row r="524" ht="18.75" customHeight="1">
      <c r="A524" s="170"/>
      <c r="B524" s="193"/>
      <c r="C524" s="193"/>
      <c r="D524" s="193"/>
      <c r="E524" s="193"/>
      <c r="F524" s="193"/>
      <c r="G524" s="172"/>
      <c r="H524" s="55"/>
      <c r="I524" s="65"/>
      <c r="J524" s="234"/>
      <c r="K524" s="244"/>
      <c r="L524" s="244"/>
      <c r="M524" s="244"/>
      <c r="N524" s="244"/>
      <c r="O524" s="244"/>
      <c r="P524" s="244"/>
    </row>
    <row r="525" ht="18.75" customHeight="1">
      <c r="A525" s="170"/>
      <c r="B525" s="201"/>
      <c r="C525" s="193"/>
      <c r="D525" s="201"/>
      <c r="E525" s="201"/>
      <c r="F525" s="193"/>
      <c r="G525" s="172"/>
      <c r="H525" s="55"/>
      <c r="I525" s="175"/>
      <c r="J525" s="235"/>
      <c r="K525" s="244"/>
      <c r="L525" s="244"/>
      <c r="M525" s="244"/>
      <c r="N525" s="244"/>
      <c r="O525" s="244"/>
      <c r="P525" s="244"/>
    </row>
    <row r="526" ht="18.75" customHeight="1">
      <c r="A526" s="170"/>
      <c r="B526" s="193"/>
      <c r="C526" s="193"/>
      <c r="D526" s="193"/>
      <c r="E526" s="193"/>
      <c r="F526" s="193"/>
      <c r="G526" s="172"/>
      <c r="H526" s="55"/>
      <c r="I526" s="65"/>
      <c r="J526" s="234"/>
      <c r="K526" s="244"/>
      <c r="L526" s="244"/>
      <c r="M526" s="244"/>
      <c r="N526" s="244"/>
      <c r="O526" s="244"/>
      <c r="P526" s="244"/>
    </row>
    <row r="527" ht="18.75" customHeight="1">
      <c r="A527" s="170"/>
      <c r="B527" s="201"/>
      <c r="C527" s="193"/>
      <c r="D527" s="201"/>
      <c r="E527" s="201"/>
      <c r="F527" s="201"/>
      <c r="G527" s="201"/>
      <c r="H527" s="55"/>
      <c r="I527" s="175"/>
      <c r="J527" s="235"/>
      <c r="K527" s="244"/>
      <c r="L527" s="244"/>
      <c r="M527" s="244"/>
      <c r="N527" s="244"/>
      <c r="O527" s="244"/>
      <c r="P527" s="244"/>
    </row>
    <row r="528" ht="18.75" customHeight="1">
      <c r="A528" s="170"/>
      <c r="B528" s="193"/>
      <c r="C528" s="193"/>
      <c r="D528" s="193"/>
      <c r="E528" s="193"/>
      <c r="F528" s="193"/>
      <c r="G528" s="193"/>
      <c r="H528" s="55"/>
      <c r="I528" s="65"/>
      <c r="J528" s="234"/>
      <c r="K528" s="244"/>
      <c r="L528" s="244"/>
      <c r="M528" s="244"/>
      <c r="N528" s="244"/>
      <c r="O528" s="244"/>
      <c r="P528" s="244"/>
    </row>
    <row r="529" ht="18.75" customHeight="1">
      <c r="A529" s="170"/>
      <c r="B529" s="201"/>
      <c r="C529" s="193"/>
      <c r="D529" s="201"/>
      <c r="E529" s="201"/>
      <c r="F529" s="201"/>
      <c r="G529" s="201"/>
      <c r="H529" s="55"/>
      <c r="I529" s="175"/>
      <c r="J529" s="235"/>
      <c r="K529" s="244"/>
      <c r="L529" s="244"/>
      <c r="M529" s="244"/>
      <c r="N529" s="244"/>
      <c r="O529" s="244"/>
      <c r="P529" s="244"/>
    </row>
    <row r="530" ht="18.75" customHeight="1">
      <c r="A530" s="170"/>
      <c r="B530" s="193"/>
      <c r="C530" s="193"/>
      <c r="D530" s="193"/>
      <c r="E530" s="193"/>
      <c r="F530" s="193"/>
      <c r="G530" s="193"/>
      <c r="H530" s="55"/>
      <c r="I530" s="65"/>
      <c r="J530" s="234"/>
      <c r="K530" s="244"/>
      <c r="L530" s="244"/>
      <c r="M530" s="244"/>
      <c r="N530" s="244"/>
      <c r="O530" s="244"/>
      <c r="P530" s="244"/>
    </row>
    <row r="531" ht="18.75" customHeight="1">
      <c r="A531" s="170"/>
      <c r="B531" s="201"/>
      <c r="C531" s="193"/>
      <c r="D531" s="201"/>
      <c r="E531" s="201"/>
      <c r="F531" s="201"/>
      <c r="G531" s="201"/>
      <c r="H531" s="55"/>
      <c r="I531" s="175"/>
      <c r="J531" s="235"/>
      <c r="K531" s="244"/>
      <c r="L531" s="244"/>
      <c r="M531" s="244"/>
      <c r="N531" s="244"/>
      <c r="O531" s="244"/>
      <c r="P531" s="244"/>
    </row>
    <row r="532" ht="18.75" customHeight="1">
      <c r="A532" s="170"/>
      <c r="B532" s="193"/>
      <c r="C532" s="193"/>
      <c r="D532" s="193"/>
      <c r="E532" s="193"/>
      <c r="F532" s="193"/>
      <c r="G532" s="193"/>
      <c r="H532" s="55"/>
      <c r="I532" s="65"/>
      <c r="J532" s="234"/>
      <c r="K532" s="244"/>
      <c r="L532" s="244"/>
      <c r="M532" s="244"/>
      <c r="N532" s="244"/>
      <c r="O532" s="244"/>
      <c r="P532" s="244"/>
    </row>
    <row r="533" ht="18.75" customHeight="1">
      <c r="A533" s="170"/>
      <c r="B533" s="201"/>
      <c r="C533" s="193"/>
      <c r="D533" s="201"/>
      <c r="E533" s="201"/>
      <c r="F533" s="201"/>
      <c r="G533" s="201"/>
      <c r="H533" s="55"/>
      <c r="I533" s="175"/>
      <c r="J533" s="235"/>
      <c r="K533" s="244"/>
      <c r="L533" s="244"/>
      <c r="M533" s="244"/>
      <c r="N533" s="244"/>
      <c r="O533" s="244"/>
      <c r="P533" s="244"/>
    </row>
    <row r="534" ht="18.75" customHeight="1">
      <c r="A534" s="170"/>
      <c r="B534" s="193"/>
      <c r="C534" s="193"/>
      <c r="D534" s="193"/>
      <c r="E534" s="193"/>
      <c r="F534" s="193"/>
      <c r="G534" s="193"/>
      <c r="H534" s="55"/>
      <c r="I534" s="65"/>
      <c r="J534" s="234"/>
      <c r="K534" s="244"/>
      <c r="L534" s="244"/>
      <c r="M534" s="244"/>
      <c r="N534" s="244"/>
      <c r="O534" s="244"/>
      <c r="P534" s="244"/>
    </row>
    <row r="535" ht="18.75" customHeight="1">
      <c r="A535" s="170"/>
      <c r="B535" s="201"/>
      <c r="C535" s="193"/>
      <c r="D535" s="201"/>
      <c r="E535" s="201"/>
      <c r="F535" s="201"/>
      <c r="G535" s="201"/>
      <c r="H535" s="55"/>
      <c r="I535" s="175"/>
      <c r="J535" s="235"/>
      <c r="K535" s="244"/>
      <c r="L535" s="244"/>
      <c r="M535" s="244"/>
      <c r="N535" s="244"/>
      <c r="O535" s="244"/>
      <c r="P535" s="244"/>
    </row>
    <row r="536" ht="18.75" customHeight="1">
      <c r="A536" s="170"/>
      <c r="B536" s="193"/>
      <c r="C536" s="193"/>
      <c r="D536" s="193"/>
      <c r="E536" s="193"/>
      <c r="F536" s="193"/>
      <c r="G536" s="193"/>
      <c r="H536" s="55"/>
      <c r="I536" s="65"/>
      <c r="J536" s="234"/>
      <c r="K536" s="244"/>
      <c r="L536" s="244"/>
      <c r="M536" s="244"/>
      <c r="N536" s="244"/>
      <c r="O536" s="244"/>
      <c r="P536" s="244"/>
    </row>
    <row r="537" ht="18.75" customHeight="1">
      <c r="A537" s="170"/>
      <c r="B537" s="201"/>
      <c r="C537" s="193"/>
      <c r="D537" s="201"/>
      <c r="E537" s="201"/>
      <c r="F537" s="201"/>
      <c r="G537" s="201"/>
      <c r="H537" s="55"/>
      <c r="I537" s="175"/>
      <c r="J537" s="235"/>
      <c r="K537" s="244"/>
      <c r="L537" s="244"/>
      <c r="M537" s="244"/>
      <c r="N537" s="244"/>
      <c r="O537" s="244"/>
      <c r="P537" s="244"/>
    </row>
    <row r="538" ht="18.75" customHeight="1">
      <c r="A538" s="170"/>
      <c r="B538" s="193"/>
      <c r="C538" s="193"/>
      <c r="D538" s="193"/>
      <c r="E538" s="193"/>
      <c r="F538" s="193"/>
      <c r="G538" s="193"/>
      <c r="H538" s="55"/>
      <c r="I538" s="65"/>
      <c r="J538" s="234"/>
      <c r="K538" s="244"/>
      <c r="L538" s="244"/>
      <c r="M538" s="244"/>
      <c r="N538" s="244"/>
      <c r="O538" s="244"/>
      <c r="P538" s="244"/>
    </row>
    <row r="539" ht="18.75" customHeight="1">
      <c r="A539" s="170"/>
      <c r="B539" s="201"/>
      <c r="C539" s="193"/>
      <c r="D539" s="201"/>
      <c r="E539" s="201"/>
      <c r="F539" s="201"/>
      <c r="G539" s="201"/>
      <c r="H539" s="55"/>
      <c r="I539" s="175"/>
      <c r="J539" s="235"/>
      <c r="K539" s="244"/>
      <c r="L539" s="244"/>
      <c r="M539" s="244"/>
      <c r="N539" s="244"/>
      <c r="O539" s="244"/>
      <c r="P539" s="244"/>
    </row>
    <row r="540" ht="18.75" customHeight="1">
      <c r="A540" s="170"/>
      <c r="B540" s="193"/>
      <c r="C540" s="193"/>
      <c r="D540" s="193"/>
      <c r="E540" s="193"/>
      <c r="F540" s="193"/>
      <c r="G540" s="193"/>
      <c r="H540" s="55"/>
      <c r="I540" s="65"/>
      <c r="J540" s="234"/>
      <c r="K540" s="244"/>
      <c r="L540" s="244"/>
      <c r="M540" s="244"/>
      <c r="N540" s="244"/>
      <c r="O540" s="244"/>
      <c r="P540" s="244"/>
    </row>
    <row r="541" ht="18.75" customHeight="1">
      <c r="A541" s="170"/>
      <c r="B541" s="201"/>
      <c r="C541" s="193"/>
      <c r="D541" s="201"/>
      <c r="E541" s="201"/>
      <c r="F541" s="201"/>
      <c r="G541" s="201"/>
      <c r="H541" s="55"/>
      <c r="I541" s="175"/>
      <c r="J541" s="235"/>
      <c r="K541" s="244"/>
      <c r="L541" s="244"/>
      <c r="M541" s="244"/>
      <c r="N541" s="244"/>
      <c r="O541" s="244"/>
      <c r="P541" s="244"/>
    </row>
    <row r="542" ht="18.75" customHeight="1">
      <c r="A542" s="170"/>
      <c r="B542" s="193"/>
      <c r="C542" s="193"/>
      <c r="D542" s="193"/>
      <c r="E542" s="193"/>
      <c r="F542" s="193"/>
      <c r="G542" s="193"/>
      <c r="H542" s="55"/>
      <c r="I542" s="65"/>
      <c r="J542" s="234"/>
      <c r="K542" s="244"/>
      <c r="L542" s="244"/>
      <c r="M542" s="244"/>
      <c r="N542" s="244"/>
      <c r="O542" s="244"/>
      <c r="P542" s="244"/>
    </row>
    <row r="543" ht="18.75" customHeight="1">
      <c r="A543" s="170"/>
      <c r="B543" s="201"/>
      <c r="C543" s="193"/>
      <c r="D543" s="201"/>
      <c r="E543" s="201"/>
      <c r="F543" s="201"/>
      <c r="G543" s="201"/>
      <c r="H543" s="55"/>
      <c r="I543" s="175"/>
      <c r="J543" s="235"/>
      <c r="K543" s="244"/>
      <c r="L543" s="244"/>
      <c r="M543" s="244"/>
      <c r="N543" s="244"/>
      <c r="O543" s="244"/>
      <c r="P543" s="244"/>
    </row>
    <row r="544" ht="18.75" customHeight="1">
      <c r="A544" s="170"/>
      <c r="B544" s="193"/>
      <c r="C544" s="193"/>
      <c r="D544" s="193"/>
      <c r="E544" s="193"/>
      <c r="F544" s="193"/>
      <c r="G544" s="193"/>
      <c r="H544" s="55"/>
      <c r="I544" s="65"/>
      <c r="J544" s="234"/>
      <c r="K544" s="244"/>
      <c r="L544" s="244"/>
      <c r="M544" s="244"/>
      <c r="N544" s="244"/>
      <c r="O544" s="244"/>
      <c r="P544" s="244"/>
    </row>
    <row r="545" ht="18.75" customHeight="1">
      <c r="A545" s="170"/>
      <c r="B545" s="201"/>
      <c r="C545" s="193"/>
      <c r="D545" s="201"/>
      <c r="E545" s="201"/>
      <c r="F545" s="201"/>
      <c r="G545" s="201"/>
      <c r="H545" s="55"/>
      <c r="I545" s="175"/>
      <c r="J545" s="235"/>
      <c r="K545" s="244"/>
      <c r="L545" s="244"/>
      <c r="M545" s="244"/>
      <c r="N545" s="244"/>
      <c r="O545" s="244"/>
      <c r="P545" s="244"/>
    </row>
    <row r="546" ht="18.75" customHeight="1">
      <c r="A546" s="170"/>
      <c r="B546" s="193"/>
      <c r="C546" s="193"/>
      <c r="D546" s="193"/>
      <c r="E546" s="193"/>
      <c r="F546" s="193"/>
      <c r="G546" s="193"/>
      <c r="H546" s="55"/>
      <c r="I546" s="65"/>
      <c r="J546" s="234"/>
      <c r="K546" s="244"/>
      <c r="L546" s="244"/>
      <c r="M546" s="244"/>
      <c r="N546" s="244"/>
      <c r="O546" s="244"/>
      <c r="P546" s="244"/>
    </row>
    <row r="547" ht="18.75" customHeight="1">
      <c r="A547" s="170"/>
      <c r="B547" s="201"/>
      <c r="C547" s="193"/>
      <c r="D547" s="201"/>
      <c r="E547" s="201"/>
      <c r="F547" s="201"/>
      <c r="G547" s="201"/>
      <c r="H547" s="55"/>
      <c r="I547" s="175"/>
      <c r="J547" s="235"/>
      <c r="K547" s="244"/>
      <c r="L547" s="244"/>
      <c r="M547" s="244"/>
      <c r="N547" s="244"/>
      <c r="O547" s="244"/>
      <c r="P547" s="244"/>
    </row>
    <row r="548" ht="18.75" customHeight="1">
      <c r="A548" s="170"/>
      <c r="B548" s="193"/>
      <c r="C548" s="193"/>
      <c r="D548" s="193"/>
      <c r="E548" s="193"/>
      <c r="F548" s="193"/>
      <c r="G548" s="193"/>
      <c r="H548" s="55"/>
      <c r="I548" s="65"/>
      <c r="J548" s="234"/>
      <c r="K548" s="244"/>
      <c r="L548" s="244"/>
      <c r="M548" s="244"/>
      <c r="N548" s="244"/>
      <c r="O548" s="244"/>
      <c r="P548" s="244"/>
    </row>
    <row r="549" ht="18.75" customHeight="1">
      <c r="A549" s="170"/>
      <c r="B549" s="201"/>
      <c r="C549" s="193"/>
      <c r="D549" s="201"/>
      <c r="E549" s="201"/>
      <c r="F549" s="201"/>
      <c r="G549" s="201"/>
      <c r="H549" s="55"/>
      <c r="I549" s="175"/>
      <c r="J549" s="235"/>
      <c r="K549" s="244"/>
      <c r="L549" s="244"/>
      <c r="M549" s="244"/>
      <c r="N549" s="244"/>
      <c r="O549" s="244"/>
      <c r="P549" s="244"/>
    </row>
    <row r="550" ht="18.75" customHeight="1">
      <c r="A550" s="170"/>
      <c r="B550" s="193"/>
      <c r="C550" s="193"/>
      <c r="D550" s="193"/>
      <c r="E550" s="193"/>
      <c r="F550" s="193"/>
      <c r="G550" s="193"/>
      <c r="H550" s="55"/>
      <c r="I550" s="65"/>
      <c r="J550" s="234"/>
      <c r="K550" s="244"/>
      <c r="L550" s="244"/>
      <c r="M550" s="244"/>
      <c r="N550" s="244"/>
      <c r="O550" s="244"/>
      <c r="P550" s="244"/>
    </row>
    <row r="551" ht="18.75" customHeight="1">
      <c r="A551" s="170"/>
      <c r="B551" s="201"/>
      <c r="C551" s="193"/>
      <c r="D551" s="201"/>
      <c r="E551" s="201"/>
      <c r="F551" s="201"/>
      <c r="G551" s="201"/>
      <c r="H551" s="55"/>
      <c r="I551" s="175"/>
      <c r="J551" s="235"/>
      <c r="K551" s="244"/>
      <c r="L551" s="244"/>
      <c r="M551" s="244"/>
      <c r="N551" s="244"/>
      <c r="O551" s="244"/>
      <c r="P551" s="244"/>
    </row>
    <row r="552" ht="18.75" customHeight="1">
      <c r="A552" s="170"/>
      <c r="B552" s="193"/>
      <c r="C552" s="193"/>
      <c r="D552" s="193"/>
      <c r="E552" s="193"/>
      <c r="F552" s="193"/>
      <c r="G552" s="193"/>
      <c r="H552" s="55"/>
      <c r="I552" s="65"/>
      <c r="J552" s="234"/>
      <c r="K552" s="244"/>
      <c r="L552" s="244"/>
      <c r="M552" s="244"/>
      <c r="N552" s="244"/>
      <c r="O552" s="244"/>
      <c r="P552" s="244"/>
    </row>
    <row r="553" ht="18.75" customHeight="1">
      <c r="A553" s="170"/>
      <c r="B553" s="201"/>
      <c r="C553" s="193"/>
      <c r="D553" s="201"/>
      <c r="E553" s="201"/>
      <c r="F553" s="201"/>
      <c r="G553" s="201"/>
      <c r="H553" s="55"/>
      <c r="I553" s="175"/>
      <c r="J553" s="235"/>
      <c r="K553" s="244"/>
      <c r="L553" s="244"/>
      <c r="M553" s="244"/>
      <c r="N553" s="244"/>
      <c r="O553" s="244"/>
      <c r="P553" s="244"/>
    </row>
    <row r="554" ht="18.75" customHeight="1">
      <c r="A554" s="170"/>
      <c r="B554" s="193"/>
      <c r="C554" s="193"/>
      <c r="D554" s="193"/>
      <c r="E554" s="193"/>
      <c r="F554" s="193"/>
      <c r="G554" s="193"/>
      <c r="H554" s="55"/>
      <c r="I554" s="65"/>
      <c r="J554" s="234"/>
      <c r="K554" s="244"/>
      <c r="L554" s="244"/>
      <c r="M554" s="244"/>
      <c r="N554" s="244"/>
      <c r="O554" s="244"/>
      <c r="P554" s="244"/>
    </row>
    <row r="555" ht="18.75" customHeight="1">
      <c r="A555" s="170"/>
      <c r="B555" s="201"/>
      <c r="C555" s="193"/>
      <c r="D555" s="201"/>
      <c r="E555" s="201"/>
      <c r="F555" s="201"/>
      <c r="G555" s="201"/>
      <c r="H555" s="55"/>
      <c r="I555" s="175"/>
      <c r="J555" s="235"/>
      <c r="K555" s="244"/>
      <c r="L555" s="244"/>
      <c r="M555" s="244"/>
      <c r="N555" s="244"/>
      <c r="O555" s="244"/>
      <c r="P555" s="244"/>
    </row>
    <row r="556" ht="18.75" customHeight="1">
      <c r="A556" s="170"/>
      <c r="B556" s="193"/>
      <c r="C556" s="193"/>
      <c r="D556" s="193"/>
      <c r="E556" s="193"/>
      <c r="F556" s="193"/>
      <c r="G556" s="193"/>
      <c r="H556" s="55"/>
      <c r="I556" s="65"/>
      <c r="J556" s="234"/>
      <c r="K556" s="244"/>
      <c r="L556" s="244"/>
      <c r="M556" s="244"/>
      <c r="N556" s="244"/>
      <c r="O556" s="244"/>
      <c r="P556" s="244"/>
    </row>
    <row r="557" ht="18.75" customHeight="1">
      <c r="A557" s="170"/>
      <c r="B557" s="201"/>
      <c r="C557" s="193"/>
      <c r="D557" s="201"/>
      <c r="E557" s="201"/>
      <c r="F557" s="201"/>
      <c r="G557" s="201"/>
      <c r="H557" s="55"/>
      <c r="I557" s="175"/>
      <c r="J557" s="235"/>
      <c r="K557" s="244"/>
      <c r="L557" s="244"/>
      <c r="M557" s="244"/>
      <c r="N557" s="244"/>
      <c r="O557" s="244"/>
      <c r="P557" s="244"/>
    </row>
    <row r="558" ht="18.75" customHeight="1">
      <c r="A558" s="170"/>
      <c r="B558" s="193"/>
      <c r="C558" s="193"/>
      <c r="D558" s="193"/>
      <c r="E558" s="193"/>
      <c r="F558" s="193"/>
      <c r="G558" s="193"/>
      <c r="H558" s="55"/>
      <c r="I558" s="65"/>
      <c r="J558" s="234"/>
      <c r="K558" s="244"/>
      <c r="L558" s="244"/>
      <c r="M558" s="244"/>
      <c r="N558" s="244"/>
      <c r="O558" s="244"/>
      <c r="P558" s="244"/>
    </row>
    <row r="559" ht="18.75" customHeight="1">
      <c r="A559" s="170"/>
      <c r="B559" s="201"/>
      <c r="C559" s="193"/>
      <c r="D559" s="201"/>
      <c r="E559" s="201"/>
      <c r="F559" s="201"/>
      <c r="G559" s="201"/>
      <c r="H559" s="55"/>
      <c r="I559" s="175"/>
      <c r="J559" s="235"/>
      <c r="K559" s="244"/>
      <c r="L559" s="244"/>
      <c r="M559" s="244"/>
      <c r="N559" s="244"/>
      <c r="O559" s="244"/>
      <c r="P559" s="244"/>
    </row>
    <row r="560" ht="18.75" customHeight="1">
      <c r="A560" s="170"/>
      <c r="B560" s="193"/>
      <c r="C560" s="193"/>
      <c r="D560" s="193"/>
      <c r="E560" s="193"/>
      <c r="F560" s="193"/>
      <c r="G560" s="193"/>
      <c r="H560" s="55"/>
      <c r="I560" s="65"/>
      <c r="J560" s="234"/>
      <c r="K560" s="244"/>
      <c r="L560" s="244"/>
      <c r="M560" s="244"/>
      <c r="N560" s="244"/>
      <c r="O560" s="244"/>
      <c r="P560" s="244"/>
    </row>
    <row r="561" ht="18.75" customHeight="1">
      <c r="A561" s="170"/>
      <c r="B561" s="201"/>
      <c r="C561" s="193"/>
      <c r="D561" s="201"/>
      <c r="E561" s="201"/>
      <c r="F561" s="201"/>
      <c r="G561" s="201"/>
      <c r="H561" s="55"/>
      <c r="I561" s="175"/>
      <c r="J561" s="235"/>
      <c r="K561" s="244"/>
      <c r="L561" s="244"/>
      <c r="M561" s="244"/>
      <c r="N561" s="244"/>
      <c r="O561" s="244"/>
      <c r="P561" s="244"/>
    </row>
    <row r="562" ht="18.75" customHeight="1">
      <c r="A562" s="170"/>
      <c r="B562" s="193"/>
      <c r="C562" s="193"/>
      <c r="D562" s="193"/>
      <c r="E562" s="193"/>
      <c r="F562" s="193"/>
      <c r="G562" s="193"/>
      <c r="H562" s="55"/>
      <c r="I562" s="65"/>
      <c r="J562" s="234"/>
      <c r="K562" s="244"/>
      <c r="L562" s="244"/>
      <c r="M562" s="244"/>
      <c r="N562" s="244"/>
      <c r="O562" s="244"/>
      <c r="P562" s="244"/>
    </row>
    <row r="563" ht="18.75" customHeight="1">
      <c r="A563" s="170"/>
      <c r="B563" s="201"/>
      <c r="C563" s="193"/>
      <c r="D563" s="201"/>
      <c r="E563" s="201"/>
      <c r="F563" s="201"/>
      <c r="G563" s="201"/>
      <c r="H563" s="55"/>
      <c r="I563" s="175"/>
      <c r="J563" s="235"/>
      <c r="K563" s="244"/>
      <c r="L563" s="244"/>
      <c r="M563" s="244"/>
      <c r="N563" s="244"/>
      <c r="O563" s="244"/>
      <c r="P563" s="244"/>
    </row>
    <row r="564" ht="18.75" customHeight="1">
      <c r="A564" s="170"/>
      <c r="B564" s="193"/>
      <c r="C564" s="193"/>
      <c r="D564" s="193"/>
      <c r="E564" s="193"/>
      <c r="F564" s="193"/>
      <c r="G564" s="193"/>
      <c r="H564" s="55"/>
      <c r="I564" s="65"/>
      <c r="J564" s="234"/>
      <c r="K564" s="244"/>
      <c r="L564" s="244"/>
      <c r="M564" s="244"/>
      <c r="N564" s="244"/>
      <c r="O564" s="244"/>
      <c r="P564" s="244"/>
    </row>
    <row r="565" ht="18.75" customHeight="1">
      <c r="A565" s="170"/>
      <c r="B565" s="201"/>
      <c r="C565" s="201"/>
      <c r="D565" s="172"/>
      <c r="E565" s="172"/>
      <c r="F565" s="172"/>
      <c r="G565" s="208"/>
      <c r="H565" s="175"/>
      <c r="I565" s="175"/>
      <c r="J565" s="235"/>
      <c r="K565" s="244"/>
      <c r="L565" s="244"/>
      <c r="M565" s="244"/>
      <c r="N565" s="244"/>
      <c r="O565" s="244"/>
      <c r="P565" s="244"/>
    </row>
    <row r="566" ht="18.75" customHeight="1">
      <c r="A566" s="170"/>
      <c r="B566" s="193"/>
      <c r="C566" s="193"/>
      <c r="D566" s="172"/>
      <c r="E566" s="172"/>
      <c r="F566" s="172"/>
      <c r="G566" s="172"/>
      <c r="H566" s="65"/>
      <c r="I566" s="65"/>
      <c r="J566" s="234"/>
      <c r="K566" s="244"/>
      <c r="L566" s="244"/>
      <c r="M566" s="244"/>
      <c r="N566" s="244"/>
      <c r="O566" s="244"/>
      <c r="P566" s="244"/>
    </row>
    <row r="567" ht="18.75" customHeight="1">
      <c r="A567" s="170"/>
      <c r="B567" s="201"/>
      <c r="C567" s="201"/>
      <c r="D567" s="172"/>
      <c r="E567" s="172"/>
      <c r="F567" s="172"/>
      <c r="G567" s="208"/>
      <c r="H567" s="175"/>
      <c r="I567" s="175"/>
      <c r="J567" s="235"/>
      <c r="K567" s="244"/>
      <c r="L567" s="244"/>
      <c r="M567" s="244"/>
      <c r="N567" s="244"/>
      <c r="O567" s="244"/>
      <c r="P567" s="244"/>
    </row>
    <row r="568" ht="18.75" customHeight="1">
      <c r="A568" s="170"/>
      <c r="B568" s="193"/>
      <c r="C568" s="193"/>
      <c r="D568" s="172"/>
      <c r="E568" s="172"/>
      <c r="F568" s="172"/>
      <c r="G568" s="172"/>
      <c r="H568" s="65"/>
      <c r="I568" s="65"/>
      <c r="J568" s="234"/>
      <c r="K568" s="244"/>
      <c r="L568" s="244"/>
      <c r="M568" s="244"/>
      <c r="N568" s="244"/>
      <c r="O568" s="244"/>
      <c r="P568" s="244"/>
    </row>
    <row r="569" ht="18.75" customHeight="1">
      <c r="A569" s="170"/>
      <c r="B569" s="201"/>
      <c r="C569" s="201"/>
      <c r="D569" s="172"/>
      <c r="E569" s="172"/>
      <c r="F569" s="172"/>
      <c r="G569" s="208"/>
      <c r="H569" s="175"/>
      <c r="I569" s="175"/>
      <c r="J569" s="235"/>
      <c r="K569" s="244"/>
      <c r="L569" s="244"/>
      <c r="M569" s="244"/>
      <c r="N569" s="244"/>
      <c r="O569" s="244"/>
      <c r="P569" s="244"/>
    </row>
    <row r="570" ht="18.75" customHeight="1">
      <c r="A570" s="170"/>
      <c r="B570" s="193"/>
      <c r="C570" s="193"/>
      <c r="D570" s="172"/>
      <c r="E570" s="172"/>
      <c r="F570" s="172"/>
      <c r="G570" s="172"/>
      <c r="H570" s="55"/>
      <c r="I570" s="65"/>
      <c r="J570" s="234"/>
      <c r="K570" s="244"/>
      <c r="L570" s="244"/>
      <c r="M570" s="244"/>
      <c r="N570" s="244"/>
      <c r="O570" s="244"/>
      <c r="P570" s="244"/>
    </row>
    <row r="571" ht="18.75" customHeight="1">
      <c r="A571" s="170"/>
      <c r="B571" s="201"/>
      <c r="C571" s="201"/>
      <c r="D571" s="172"/>
      <c r="E571" s="172"/>
      <c r="F571" s="172"/>
      <c r="G571" s="208"/>
      <c r="H571" s="175"/>
      <c r="I571" s="175"/>
      <c r="J571" s="235"/>
      <c r="K571" s="244"/>
      <c r="L571" s="244"/>
      <c r="M571" s="244"/>
      <c r="N571" s="244"/>
      <c r="O571" s="244"/>
      <c r="P571" s="244"/>
    </row>
    <row r="572" ht="18.75" customHeight="1">
      <c r="A572" s="170"/>
      <c r="B572" s="193"/>
      <c r="C572" s="193"/>
      <c r="D572" s="172"/>
      <c r="E572" s="172"/>
      <c r="F572" s="172"/>
      <c r="G572" s="172"/>
      <c r="H572" s="65"/>
      <c r="I572" s="65"/>
      <c r="J572" s="234"/>
      <c r="K572" s="244"/>
      <c r="L572" s="244"/>
      <c r="M572" s="244"/>
      <c r="N572" s="244"/>
      <c r="O572" s="244"/>
      <c r="P572" s="244"/>
    </row>
    <row r="573" ht="18.75" customHeight="1">
      <c r="A573" s="170"/>
      <c r="B573" s="201"/>
      <c r="C573" s="201"/>
      <c r="D573" s="172"/>
      <c r="E573" s="172"/>
      <c r="F573" s="172"/>
      <c r="G573" s="208"/>
      <c r="H573" s="175"/>
      <c r="I573" s="175"/>
      <c r="J573" s="235"/>
      <c r="K573" s="244"/>
      <c r="L573" s="244"/>
      <c r="M573" s="244"/>
      <c r="N573" s="244"/>
      <c r="O573" s="244"/>
      <c r="P573" s="244"/>
    </row>
    <row r="574" ht="18.75" customHeight="1">
      <c r="A574" s="170"/>
      <c r="B574" s="193"/>
      <c r="C574" s="193"/>
      <c r="D574" s="172"/>
      <c r="E574" s="172"/>
      <c r="F574" s="172"/>
      <c r="G574" s="172"/>
      <c r="H574" s="65"/>
      <c r="I574" s="65"/>
      <c r="J574" s="234"/>
      <c r="K574" s="244"/>
      <c r="L574" s="244"/>
      <c r="M574" s="244"/>
      <c r="N574" s="244"/>
      <c r="O574" s="244"/>
      <c r="P574" s="244"/>
    </row>
    <row r="575" ht="18.75" customHeight="1">
      <c r="A575" s="170"/>
      <c r="B575" s="201"/>
      <c r="C575" s="201"/>
      <c r="D575" s="172"/>
      <c r="E575" s="172"/>
      <c r="F575" s="172"/>
      <c r="G575" s="208"/>
      <c r="H575" s="175"/>
      <c r="I575" s="175"/>
      <c r="J575" s="235"/>
      <c r="K575" s="244"/>
      <c r="L575" s="244"/>
      <c r="M575" s="244"/>
      <c r="N575" s="244"/>
      <c r="O575" s="244"/>
      <c r="P575" s="244"/>
    </row>
    <row r="576" ht="18.75" customHeight="1">
      <c r="A576" s="170"/>
      <c r="B576" s="193"/>
      <c r="C576" s="193"/>
      <c r="D576" s="172"/>
      <c r="E576" s="172"/>
      <c r="F576" s="172"/>
      <c r="G576" s="172"/>
      <c r="H576" s="65"/>
      <c r="I576" s="65"/>
      <c r="J576" s="234"/>
      <c r="K576" s="244"/>
      <c r="L576" s="244"/>
      <c r="M576" s="244"/>
      <c r="N576" s="244"/>
      <c r="O576" s="244"/>
      <c r="P576" s="244"/>
    </row>
    <row r="577" ht="18.75" customHeight="1">
      <c r="A577" s="170"/>
      <c r="B577" s="201"/>
      <c r="C577" s="201"/>
      <c r="D577" s="172"/>
      <c r="E577" s="172"/>
      <c r="F577" s="172"/>
      <c r="G577" s="208"/>
      <c r="H577" s="175"/>
      <c r="I577" s="175"/>
      <c r="J577" s="235"/>
      <c r="K577" s="244"/>
      <c r="L577" s="244"/>
      <c r="M577" s="244"/>
      <c r="N577" s="244"/>
      <c r="O577" s="244"/>
      <c r="P577" s="244"/>
    </row>
    <row r="578" ht="18.75" customHeight="1">
      <c r="A578" s="170"/>
      <c r="B578" s="193"/>
      <c r="C578" s="193"/>
      <c r="D578" s="172"/>
      <c r="E578" s="172"/>
      <c r="F578" s="172"/>
      <c r="G578" s="172"/>
      <c r="H578" s="65"/>
      <c r="I578" s="65"/>
      <c r="J578" s="234"/>
      <c r="K578" s="244"/>
      <c r="L578" s="244"/>
      <c r="M578" s="244"/>
      <c r="N578" s="244"/>
      <c r="O578" s="244"/>
      <c r="P578" s="244"/>
    </row>
    <row r="579" ht="18.75" customHeight="1">
      <c r="A579" s="170"/>
      <c r="B579" s="201"/>
      <c r="C579" s="201"/>
      <c r="D579" s="172"/>
      <c r="E579" s="172"/>
      <c r="F579" s="172"/>
      <c r="G579" s="208"/>
      <c r="H579" s="209"/>
      <c r="I579" s="175"/>
      <c r="J579" s="235"/>
      <c r="K579" s="244"/>
      <c r="L579" s="244"/>
      <c r="M579" s="244"/>
      <c r="N579" s="244"/>
      <c r="O579" s="244"/>
      <c r="P579" s="244"/>
    </row>
    <row r="580" ht="18.75" customHeight="1">
      <c r="A580" s="170"/>
      <c r="B580" s="193"/>
      <c r="C580" s="193"/>
      <c r="D580" s="172"/>
      <c r="E580" s="172"/>
      <c r="F580" s="172"/>
      <c r="G580" s="172"/>
      <c r="H580" s="55"/>
      <c r="I580" s="65"/>
      <c r="J580" s="234"/>
      <c r="K580" s="244"/>
      <c r="L580" s="244"/>
      <c r="M580" s="244"/>
      <c r="N580" s="244"/>
      <c r="O580" s="244"/>
      <c r="P580" s="244"/>
    </row>
    <row r="581" ht="18.75" customHeight="1">
      <c r="A581" s="170"/>
      <c r="B581" s="201"/>
      <c r="C581" s="201"/>
      <c r="D581" s="172"/>
      <c r="E581" s="172"/>
      <c r="F581" s="172"/>
      <c r="G581" s="208"/>
      <c r="H581" s="175"/>
      <c r="I581" s="175"/>
      <c r="J581" s="235"/>
      <c r="K581" s="244"/>
      <c r="L581" s="244"/>
      <c r="M581" s="244"/>
      <c r="N581" s="244"/>
      <c r="O581" s="244"/>
      <c r="P581" s="244"/>
    </row>
    <row r="582" ht="18.75" customHeight="1">
      <c r="A582" s="170"/>
      <c r="B582" s="193"/>
      <c r="C582" s="193"/>
      <c r="D582" s="172"/>
      <c r="E582" s="172"/>
      <c r="F582" s="172"/>
      <c r="G582" s="172"/>
      <c r="H582" s="65"/>
      <c r="I582" s="65"/>
      <c r="J582" s="234"/>
      <c r="K582" s="244"/>
      <c r="L582" s="244"/>
      <c r="M582" s="244"/>
      <c r="N582" s="244"/>
      <c r="O582" s="244"/>
      <c r="P582" s="244"/>
    </row>
    <row r="583" ht="18.75" customHeight="1">
      <c r="A583" s="170"/>
      <c r="B583" s="201"/>
      <c r="C583" s="201"/>
      <c r="D583" s="172"/>
      <c r="E583" s="172"/>
      <c r="F583" s="172"/>
      <c r="G583" s="208"/>
      <c r="H583" s="175"/>
      <c r="I583" s="175"/>
      <c r="J583" s="235"/>
      <c r="K583" s="244"/>
      <c r="L583" s="244"/>
      <c r="M583" s="244"/>
      <c r="N583" s="244"/>
      <c r="O583" s="244"/>
      <c r="P583" s="244"/>
    </row>
    <row r="584" ht="18.75" customHeight="1">
      <c r="A584" s="170"/>
      <c r="B584" s="193"/>
      <c r="C584" s="193"/>
      <c r="D584" s="172"/>
      <c r="E584" s="172"/>
      <c r="F584" s="172"/>
      <c r="G584" s="172"/>
      <c r="H584" s="65"/>
      <c r="I584" s="65"/>
      <c r="J584" s="234"/>
      <c r="K584" s="244"/>
      <c r="L584" s="244"/>
      <c r="M584" s="244"/>
      <c r="N584" s="244"/>
      <c r="O584" s="244"/>
      <c r="P584" s="244"/>
    </row>
    <row r="585" ht="18.75" customHeight="1">
      <c r="A585" s="170"/>
      <c r="B585" s="201"/>
      <c r="C585" s="201"/>
      <c r="D585" s="172"/>
      <c r="E585" s="172"/>
      <c r="F585" s="172"/>
      <c r="G585" s="208"/>
      <c r="H585" s="175"/>
      <c r="I585" s="175"/>
      <c r="J585" s="235"/>
      <c r="K585" s="244"/>
      <c r="L585" s="244"/>
      <c r="M585" s="244"/>
      <c r="N585" s="244"/>
      <c r="O585" s="244"/>
      <c r="P585" s="244"/>
    </row>
    <row r="586" ht="18.75" customHeight="1">
      <c r="A586" s="170"/>
      <c r="B586" s="193"/>
      <c r="C586" s="193"/>
      <c r="D586" s="194"/>
      <c r="E586" s="195"/>
      <c r="F586" s="195"/>
      <c r="G586" s="195"/>
      <c r="H586" s="55"/>
      <c r="I586" s="65"/>
      <c r="J586" s="234"/>
      <c r="K586" s="244"/>
      <c r="L586" s="244"/>
      <c r="M586" s="244"/>
      <c r="N586" s="244"/>
      <c r="O586" s="244"/>
      <c r="P586" s="244"/>
    </row>
    <row r="587" ht="18.75" customHeight="1">
      <c r="A587" s="170"/>
      <c r="B587" s="193"/>
      <c r="C587" s="193"/>
      <c r="D587" s="194"/>
      <c r="E587" s="195"/>
      <c r="F587" s="195"/>
      <c r="G587" s="195"/>
      <c r="H587" s="55"/>
      <c r="I587" s="175"/>
      <c r="J587" s="235"/>
      <c r="K587" s="244"/>
      <c r="L587" s="244"/>
      <c r="M587" s="244"/>
      <c r="N587" s="244"/>
      <c r="O587" s="244"/>
      <c r="P587" s="244"/>
    </row>
    <row r="588" ht="18.75" customHeight="1">
      <c r="A588" s="170"/>
      <c r="B588" s="193"/>
      <c r="C588" s="193"/>
      <c r="D588" s="194"/>
      <c r="E588" s="195"/>
      <c r="F588" s="195"/>
      <c r="G588" s="195"/>
      <c r="H588" s="55"/>
      <c r="I588" s="65"/>
      <c r="J588" s="234"/>
      <c r="K588" s="244"/>
      <c r="L588" s="244"/>
      <c r="M588" s="244"/>
      <c r="N588" s="244"/>
      <c r="O588" s="244"/>
      <c r="P588" s="244"/>
    </row>
    <row r="589" ht="18.75" customHeight="1">
      <c r="A589" s="170"/>
      <c r="B589" s="193"/>
      <c r="C589" s="193"/>
      <c r="D589" s="194"/>
      <c r="E589" s="195"/>
      <c r="F589" s="195"/>
      <c r="G589" s="195"/>
      <c r="H589" s="55"/>
      <c r="I589" s="175"/>
      <c r="J589" s="235"/>
      <c r="K589" s="244"/>
      <c r="L589" s="244"/>
      <c r="M589" s="244"/>
      <c r="N589" s="244"/>
      <c r="O589" s="244"/>
      <c r="P589" s="244"/>
    </row>
    <row r="590" ht="18.75" customHeight="1">
      <c r="A590" s="170"/>
      <c r="B590" s="193"/>
      <c r="C590" s="193"/>
      <c r="D590" s="194"/>
      <c r="E590" s="195"/>
      <c r="F590" s="195"/>
      <c r="G590" s="195"/>
      <c r="H590" s="55"/>
      <c r="I590" s="65"/>
      <c r="J590" s="234"/>
      <c r="K590" s="244"/>
      <c r="L590" s="244"/>
      <c r="M590" s="244"/>
      <c r="N590" s="244"/>
      <c r="O590" s="244"/>
      <c r="P590" s="244"/>
    </row>
    <row r="591" ht="18.75" customHeight="1">
      <c r="A591" s="170"/>
      <c r="B591" s="193"/>
      <c r="C591" s="193"/>
      <c r="D591" s="194"/>
      <c r="E591" s="195"/>
      <c r="F591" s="195"/>
      <c r="G591" s="195"/>
      <c r="H591" s="55"/>
      <c r="I591" s="175"/>
      <c r="J591" s="235"/>
      <c r="K591" s="244"/>
      <c r="L591" s="244"/>
      <c r="M591" s="244"/>
      <c r="N591" s="244"/>
      <c r="O591" s="244"/>
      <c r="P591" s="244"/>
    </row>
    <row r="592" ht="18.75" customHeight="1">
      <c r="A592" s="170"/>
      <c r="B592" s="193"/>
      <c r="C592" s="193"/>
      <c r="D592" s="194"/>
      <c r="E592" s="195"/>
      <c r="F592" s="195"/>
      <c r="G592" s="195"/>
      <c r="H592" s="55"/>
      <c r="I592" s="65"/>
      <c r="J592" s="234"/>
      <c r="K592" s="244"/>
      <c r="L592" s="244"/>
      <c r="M592" s="244"/>
      <c r="N592" s="244"/>
      <c r="O592" s="244"/>
      <c r="P592" s="244"/>
    </row>
    <row r="593" ht="18.75" customHeight="1">
      <c r="A593" s="170"/>
      <c r="B593" s="193"/>
      <c r="C593" s="193"/>
      <c r="D593" s="194"/>
      <c r="E593" s="195"/>
      <c r="F593" s="195"/>
      <c r="G593" s="195"/>
      <c r="H593" s="55"/>
      <c r="I593" s="175"/>
      <c r="J593" s="235"/>
      <c r="K593" s="244"/>
      <c r="L593" s="244"/>
      <c r="M593" s="244"/>
      <c r="N593" s="244"/>
      <c r="O593" s="244"/>
      <c r="P593" s="244"/>
    </row>
    <row r="594" ht="18.75" customHeight="1">
      <c r="A594" s="170"/>
      <c r="B594" s="193"/>
      <c r="C594" s="193"/>
      <c r="D594" s="194"/>
      <c r="E594" s="195"/>
      <c r="F594" s="195"/>
      <c r="G594" s="195"/>
      <c r="H594" s="55"/>
      <c r="I594" s="65"/>
      <c r="J594" s="234"/>
      <c r="K594" s="244"/>
      <c r="L594" s="244"/>
      <c r="M594" s="244"/>
      <c r="N594" s="244"/>
      <c r="O594" s="244"/>
      <c r="P594" s="244"/>
    </row>
    <row r="595" ht="18.75" customHeight="1">
      <c r="A595" s="170"/>
      <c r="B595" s="193"/>
      <c r="C595" s="193"/>
      <c r="D595" s="194"/>
      <c r="E595" s="195"/>
      <c r="F595" s="195"/>
      <c r="G595" s="195"/>
      <c r="H595" s="55"/>
      <c r="I595" s="175"/>
      <c r="J595" s="235"/>
      <c r="K595" s="244"/>
      <c r="L595" s="244"/>
      <c r="M595" s="244"/>
      <c r="N595" s="244"/>
      <c r="O595" s="244"/>
      <c r="P595" s="244"/>
    </row>
    <row r="596" ht="18.75" customHeight="1">
      <c r="A596" s="170"/>
      <c r="B596" s="193"/>
      <c r="C596" s="193"/>
      <c r="D596" s="194"/>
      <c r="E596" s="195"/>
      <c r="F596" s="195"/>
      <c r="G596" s="195"/>
      <c r="H596" s="55"/>
      <c r="I596" s="65"/>
      <c r="J596" s="234"/>
      <c r="K596" s="244"/>
      <c r="L596" s="244"/>
      <c r="M596" s="244"/>
      <c r="N596" s="244"/>
      <c r="O596" s="244"/>
      <c r="P596" s="244"/>
    </row>
    <row r="597" ht="18.75" customHeight="1">
      <c r="A597" s="170"/>
      <c r="B597" s="193"/>
      <c r="C597" s="193"/>
      <c r="D597" s="194"/>
      <c r="E597" s="195"/>
      <c r="F597" s="195"/>
      <c r="G597" s="195"/>
      <c r="H597" s="55"/>
      <c r="I597" s="175"/>
      <c r="J597" s="235"/>
      <c r="K597" s="244"/>
      <c r="L597" s="244"/>
      <c r="M597" s="244"/>
      <c r="N597" s="244"/>
      <c r="O597" s="244"/>
      <c r="P597" s="244"/>
    </row>
    <row r="598" ht="18.75" customHeight="1">
      <c r="A598" s="170"/>
      <c r="B598" s="193"/>
      <c r="C598" s="193"/>
      <c r="D598" s="194"/>
      <c r="E598" s="195"/>
      <c r="F598" s="195"/>
      <c r="G598" s="195"/>
      <c r="H598" s="55"/>
      <c r="I598" s="65"/>
      <c r="J598" s="234"/>
      <c r="K598" s="244"/>
      <c r="L598" s="244"/>
      <c r="M598" s="244"/>
      <c r="N598" s="244"/>
      <c r="O598" s="244"/>
      <c r="P598" s="244"/>
    </row>
    <row r="599" ht="18.75" customHeight="1">
      <c r="A599" s="170"/>
      <c r="B599" s="193"/>
      <c r="C599" s="193"/>
      <c r="D599" s="194"/>
      <c r="E599" s="195"/>
      <c r="F599" s="195"/>
      <c r="G599" s="195"/>
      <c r="H599" s="55"/>
      <c r="I599" s="175"/>
      <c r="J599" s="235"/>
      <c r="K599" s="244"/>
      <c r="L599" s="244"/>
      <c r="M599" s="244"/>
      <c r="N599" s="244"/>
      <c r="O599" s="244"/>
      <c r="P599" s="244"/>
    </row>
    <row r="600" ht="18.75" customHeight="1">
      <c r="A600" s="170"/>
      <c r="B600" s="193"/>
      <c r="C600" s="193"/>
      <c r="D600" s="194"/>
      <c r="E600" s="195"/>
      <c r="F600" s="195"/>
      <c r="G600" s="195"/>
      <c r="H600" s="55"/>
      <c r="I600" s="65"/>
      <c r="J600" s="234"/>
      <c r="K600" s="244"/>
      <c r="L600" s="244"/>
      <c r="M600" s="244"/>
      <c r="N600" s="244"/>
      <c r="O600" s="244"/>
      <c r="P600" s="244"/>
    </row>
    <row r="601" ht="18.75" customHeight="1">
      <c r="A601" s="170"/>
      <c r="B601" s="193"/>
      <c r="C601" s="193"/>
      <c r="D601" s="194"/>
      <c r="E601" s="195"/>
      <c r="F601" s="195"/>
      <c r="G601" s="195"/>
      <c r="H601" s="55"/>
      <c r="I601" s="175"/>
      <c r="J601" s="235"/>
      <c r="K601" s="244"/>
      <c r="L601" s="244"/>
      <c r="M601" s="244"/>
      <c r="N601" s="244"/>
      <c r="O601" s="244"/>
      <c r="P601" s="244"/>
    </row>
    <row r="602" ht="18.75" customHeight="1">
      <c r="A602" s="170"/>
      <c r="B602" s="193"/>
      <c r="C602" s="193"/>
      <c r="D602" s="194"/>
      <c r="E602" s="195"/>
      <c r="F602" s="195"/>
      <c r="G602" s="195"/>
      <c r="H602" s="55"/>
      <c r="I602" s="65"/>
      <c r="J602" s="234"/>
      <c r="K602" s="244"/>
      <c r="L602" s="244"/>
      <c r="M602" s="244"/>
      <c r="N602" s="244"/>
      <c r="O602" s="244"/>
      <c r="P602" s="244"/>
    </row>
    <row r="603" ht="18.75" customHeight="1">
      <c r="A603" s="170"/>
      <c r="B603" s="193"/>
      <c r="C603" s="193"/>
      <c r="D603" s="194"/>
      <c r="E603" s="195"/>
      <c r="F603" s="195"/>
      <c r="G603" s="195"/>
      <c r="H603" s="55"/>
      <c r="I603" s="175"/>
      <c r="J603" s="235"/>
      <c r="K603" s="244"/>
      <c r="L603" s="244"/>
      <c r="M603" s="244"/>
      <c r="N603" s="244"/>
      <c r="O603" s="244"/>
      <c r="P603" s="244"/>
    </row>
    <row r="604" ht="18.75" customHeight="1">
      <c r="A604" s="170"/>
      <c r="B604" s="193"/>
      <c r="C604" s="193"/>
      <c r="D604" s="194"/>
      <c r="E604" s="195"/>
      <c r="F604" s="195"/>
      <c r="G604" s="195"/>
      <c r="H604" s="55"/>
      <c r="I604" s="65"/>
      <c r="J604" s="234"/>
      <c r="K604" s="244"/>
      <c r="L604" s="244"/>
      <c r="M604" s="244"/>
      <c r="N604" s="244"/>
      <c r="O604" s="244"/>
      <c r="P604" s="244"/>
    </row>
    <row r="605" ht="18.75" customHeight="1">
      <c r="A605" s="170"/>
      <c r="B605" s="193"/>
      <c r="C605" s="193"/>
      <c r="D605" s="194"/>
      <c r="E605" s="195"/>
      <c r="F605" s="195"/>
      <c r="G605" s="195"/>
      <c r="H605" s="55"/>
      <c r="I605" s="175"/>
      <c r="J605" s="235"/>
      <c r="K605" s="244"/>
      <c r="L605" s="244"/>
      <c r="M605" s="244"/>
      <c r="N605" s="244"/>
      <c r="O605" s="244"/>
      <c r="P605" s="244"/>
    </row>
    <row r="606" ht="18.75" customHeight="1">
      <c r="A606" s="170"/>
      <c r="B606" s="193"/>
      <c r="C606" s="193"/>
      <c r="D606" s="194"/>
      <c r="E606" s="195"/>
      <c r="F606" s="195"/>
      <c r="G606" s="195"/>
      <c r="H606" s="55"/>
      <c r="I606" s="65"/>
      <c r="J606" s="234"/>
      <c r="K606" s="244"/>
      <c r="L606" s="244"/>
      <c r="M606" s="244"/>
      <c r="N606" s="244"/>
      <c r="O606" s="244"/>
      <c r="P606" s="244"/>
    </row>
    <row r="607" ht="18.75" customHeight="1">
      <c r="A607" s="170"/>
      <c r="B607" s="193"/>
      <c r="C607" s="193"/>
      <c r="D607" s="194"/>
      <c r="E607" s="195"/>
      <c r="F607" s="195"/>
      <c r="G607" s="195"/>
      <c r="H607" s="55"/>
      <c r="I607" s="175"/>
      <c r="J607" s="235"/>
      <c r="K607" s="244"/>
      <c r="L607" s="244"/>
      <c r="M607" s="244"/>
      <c r="N607" s="244"/>
      <c r="O607" s="244"/>
      <c r="P607" s="244"/>
    </row>
    <row r="608" ht="18.75" customHeight="1">
      <c r="A608" s="170"/>
      <c r="B608" s="193"/>
      <c r="C608" s="193"/>
      <c r="D608" s="194"/>
      <c r="E608" s="195"/>
      <c r="F608" s="195"/>
      <c r="G608" s="195"/>
      <c r="H608" s="55"/>
      <c r="I608" s="65"/>
      <c r="J608" s="234"/>
      <c r="K608" s="244"/>
      <c r="L608" s="244"/>
      <c r="M608" s="244"/>
      <c r="N608" s="244"/>
      <c r="O608" s="244"/>
      <c r="P608" s="244"/>
    </row>
    <row r="609" ht="18.75" customHeight="1">
      <c r="A609" s="170"/>
      <c r="B609" s="193"/>
      <c r="C609" s="193"/>
      <c r="D609" s="194"/>
      <c r="E609" s="195"/>
      <c r="F609" s="195"/>
      <c r="G609" s="195"/>
      <c r="H609" s="55"/>
      <c r="I609" s="175"/>
      <c r="J609" s="235"/>
      <c r="K609" s="244"/>
      <c r="L609" s="244"/>
      <c r="M609" s="244"/>
      <c r="N609" s="244"/>
      <c r="O609" s="244"/>
      <c r="P609" s="244"/>
    </row>
    <row r="610" ht="18.75" customHeight="1">
      <c r="A610" s="170"/>
      <c r="B610" s="193"/>
      <c r="C610" s="193"/>
      <c r="D610" s="193"/>
      <c r="E610" s="193"/>
      <c r="F610" s="172"/>
      <c r="G610" s="193"/>
      <c r="H610" s="55"/>
      <c r="I610" s="65"/>
      <c r="J610" s="234"/>
      <c r="K610" s="244"/>
      <c r="L610" s="244"/>
      <c r="M610" s="244"/>
      <c r="N610" s="244"/>
      <c r="O610" s="244"/>
      <c r="P610" s="244"/>
    </row>
    <row r="611" ht="18.75" customHeight="1">
      <c r="A611" s="170"/>
      <c r="B611" s="201"/>
      <c r="C611" s="193"/>
      <c r="D611" s="201"/>
      <c r="E611" s="201"/>
      <c r="F611" s="208"/>
      <c r="G611" s="201"/>
      <c r="H611" s="55"/>
      <c r="I611" s="175"/>
      <c r="J611" s="235"/>
      <c r="K611" s="244"/>
      <c r="L611" s="244"/>
      <c r="M611" s="244"/>
      <c r="N611" s="244"/>
      <c r="O611" s="244"/>
      <c r="P611" s="244"/>
    </row>
    <row r="612" ht="18.75" customHeight="1">
      <c r="A612" s="170"/>
      <c r="B612" s="193"/>
      <c r="C612" s="193"/>
      <c r="D612" s="193"/>
      <c r="E612" s="193"/>
      <c r="F612" s="172"/>
      <c r="G612" s="193"/>
      <c r="H612" s="55"/>
      <c r="I612" s="65"/>
      <c r="J612" s="234"/>
      <c r="K612" s="244"/>
      <c r="L612" s="244"/>
      <c r="M612" s="244"/>
      <c r="N612" s="244"/>
      <c r="O612" s="244"/>
      <c r="P612" s="244"/>
    </row>
    <row r="613" ht="18.75" customHeight="1">
      <c r="A613" s="170"/>
      <c r="B613" s="201"/>
      <c r="C613" s="193"/>
      <c r="D613" s="201"/>
      <c r="E613" s="201"/>
      <c r="F613" s="208"/>
      <c r="G613" s="201"/>
      <c r="H613" s="55"/>
      <c r="I613" s="175"/>
      <c r="J613" s="235"/>
      <c r="K613" s="244"/>
      <c r="L613" s="244"/>
      <c r="M613" s="244"/>
      <c r="N613" s="244"/>
      <c r="O613" s="244"/>
      <c r="P613" s="244"/>
    </row>
    <row r="614" ht="18.75" customHeight="1">
      <c r="A614" s="170"/>
      <c r="B614" s="193"/>
      <c r="C614" s="193"/>
      <c r="D614" s="193"/>
      <c r="E614" s="193"/>
      <c r="F614" s="172"/>
      <c r="G614" s="193"/>
      <c r="H614" s="55"/>
      <c r="I614" s="65"/>
      <c r="J614" s="234"/>
      <c r="K614" s="244"/>
      <c r="L614" s="244"/>
      <c r="M614" s="244"/>
      <c r="N614" s="244"/>
      <c r="O614" s="244"/>
      <c r="P614" s="244"/>
    </row>
    <row r="615" ht="18.75" customHeight="1">
      <c r="A615" s="170"/>
      <c r="B615" s="201"/>
      <c r="C615" s="193"/>
      <c r="D615" s="201"/>
      <c r="E615" s="201"/>
      <c r="F615" s="208"/>
      <c r="G615" s="201"/>
      <c r="H615" s="55"/>
      <c r="I615" s="175"/>
      <c r="J615" s="235"/>
      <c r="K615" s="244"/>
      <c r="L615" s="244"/>
      <c r="M615" s="244"/>
      <c r="N615" s="244"/>
      <c r="O615" s="244"/>
      <c r="P615" s="244"/>
    </row>
    <row r="616" ht="18.75" customHeight="1">
      <c r="A616" s="170"/>
      <c r="B616" s="193"/>
      <c r="C616" s="193"/>
      <c r="D616" s="193"/>
      <c r="E616" s="193"/>
      <c r="F616" s="172"/>
      <c r="G616" s="195"/>
      <c r="H616" s="55"/>
      <c r="I616" s="65"/>
      <c r="J616" s="234"/>
      <c r="K616" s="244"/>
      <c r="L616" s="244"/>
      <c r="M616" s="244"/>
      <c r="N616" s="244"/>
      <c r="O616" s="244"/>
      <c r="P616" s="244"/>
    </row>
    <row r="617" ht="18.75" customHeight="1">
      <c r="A617" s="170"/>
      <c r="B617" s="201"/>
      <c r="C617" s="193"/>
      <c r="D617" s="201"/>
      <c r="E617" s="201"/>
      <c r="F617" s="208"/>
      <c r="G617" s="210"/>
      <c r="H617" s="55"/>
      <c r="I617" s="175"/>
      <c r="J617" s="235"/>
      <c r="K617" s="244"/>
      <c r="L617" s="244"/>
      <c r="M617" s="244"/>
      <c r="N617" s="244"/>
      <c r="O617" s="244"/>
      <c r="P617" s="244"/>
    </row>
    <row r="618" ht="18.75" customHeight="1">
      <c r="A618" s="170"/>
      <c r="B618" s="193"/>
      <c r="C618" s="193"/>
      <c r="D618" s="193"/>
      <c r="E618" s="193"/>
      <c r="F618" s="172"/>
      <c r="G618" s="195"/>
      <c r="H618" s="55"/>
      <c r="I618" s="65"/>
      <c r="J618" s="234"/>
      <c r="K618" s="244"/>
      <c r="L618" s="244"/>
      <c r="M618" s="244"/>
      <c r="N618" s="244"/>
      <c r="O618" s="244"/>
      <c r="P618" s="244"/>
    </row>
    <row r="619" ht="18.75" customHeight="1">
      <c r="A619" s="170"/>
      <c r="B619" s="201"/>
      <c r="C619" s="193"/>
      <c r="D619" s="201"/>
      <c r="E619" s="201"/>
      <c r="F619" s="208"/>
      <c r="G619" s="210"/>
      <c r="H619" s="55"/>
      <c r="I619" s="175"/>
      <c r="J619" s="235"/>
      <c r="K619" s="244"/>
      <c r="L619" s="244"/>
      <c r="M619" s="244"/>
      <c r="N619" s="244"/>
      <c r="O619" s="244"/>
      <c r="P619" s="244"/>
    </row>
    <row r="620" ht="18.75" customHeight="1">
      <c r="A620" s="170"/>
      <c r="B620" s="193"/>
      <c r="C620" s="193"/>
      <c r="D620" s="193"/>
      <c r="E620" s="193"/>
      <c r="F620" s="172"/>
      <c r="G620" s="195"/>
      <c r="H620" s="55"/>
      <c r="I620" s="65"/>
      <c r="J620" s="234"/>
      <c r="K620" s="244"/>
      <c r="L620" s="244"/>
      <c r="M620" s="244"/>
      <c r="N620" s="244"/>
      <c r="O620" s="244"/>
      <c r="P620" s="244"/>
    </row>
    <row r="621" ht="18.75" customHeight="1">
      <c r="A621" s="170"/>
      <c r="B621" s="201"/>
      <c r="C621" s="193"/>
      <c r="D621" s="201"/>
      <c r="E621" s="201"/>
      <c r="F621" s="208"/>
      <c r="G621" s="201"/>
      <c r="H621" s="55"/>
      <c r="I621" s="175"/>
      <c r="J621" s="235"/>
      <c r="K621" s="244"/>
      <c r="L621" s="244"/>
      <c r="M621" s="244"/>
      <c r="N621" s="244"/>
      <c r="O621" s="244"/>
      <c r="P621" s="244"/>
    </row>
    <row r="622" ht="18.75" customHeight="1">
      <c r="A622" s="170"/>
      <c r="B622" s="193"/>
      <c r="C622" s="193"/>
      <c r="D622" s="193"/>
      <c r="E622" s="193"/>
      <c r="F622" s="172"/>
      <c r="G622" s="193"/>
      <c r="H622" s="55"/>
      <c r="I622" s="65"/>
      <c r="J622" s="234"/>
      <c r="K622" s="244"/>
      <c r="L622" s="244"/>
      <c r="M622" s="244"/>
      <c r="N622" s="244"/>
      <c r="O622" s="244"/>
      <c r="P622" s="244"/>
    </row>
    <row r="623" ht="18.75" customHeight="1">
      <c r="A623" s="170"/>
      <c r="B623" s="201"/>
      <c r="C623" s="193"/>
      <c r="D623" s="201"/>
      <c r="E623" s="201"/>
      <c r="F623" s="193"/>
      <c r="G623" s="208"/>
      <c r="H623" s="55"/>
      <c r="I623" s="175"/>
      <c r="J623" s="235"/>
      <c r="K623" s="244"/>
      <c r="L623" s="244"/>
      <c r="M623" s="244"/>
      <c r="N623" s="244"/>
      <c r="O623" s="244"/>
      <c r="P623" s="244"/>
    </row>
    <row r="624" ht="18.75" customHeight="1">
      <c r="A624" s="246"/>
      <c r="B624" s="247"/>
      <c r="C624" s="247"/>
      <c r="D624" s="247"/>
      <c r="E624" s="247"/>
      <c r="F624" s="247"/>
      <c r="G624" s="248"/>
      <c r="H624" s="249"/>
      <c r="I624" s="250"/>
      <c r="J624" s="234"/>
      <c r="K624" s="244"/>
      <c r="L624" s="244"/>
      <c r="M624" s="244"/>
      <c r="N624" s="244"/>
      <c r="O624" s="244"/>
      <c r="P624" s="244"/>
    </row>
    <row r="625" ht="18.75" customHeight="1">
      <c r="A625" s="246"/>
      <c r="B625" s="247"/>
      <c r="C625" s="247"/>
      <c r="D625" s="247"/>
      <c r="E625" s="251"/>
      <c r="F625" s="247"/>
      <c r="G625" s="252"/>
      <c r="H625" s="253"/>
      <c r="I625" s="254"/>
      <c r="J625" s="235"/>
      <c r="K625" s="244"/>
      <c r="L625" s="244"/>
      <c r="M625" s="244"/>
      <c r="N625" s="244"/>
      <c r="O625" s="244"/>
      <c r="P625" s="244"/>
    </row>
    <row r="626" ht="18.75" customHeight="1">
      <c r="A626" s="246"/>
      <c r="B626" s="247"/>
      <c r="C626" s="247"/>
      <c r="D626" s="247"/>
      <c r="E626" s="247"/>
      <c r="F626" s="247"/>
      <c r="G626" s="248"/>
      <c r="H626" s="249"/>
      <c r="I626" s="250"/>
      <c r="J626" s="234"/>
      <c r="K626" s="244"/>
      <c r="L626" s="244"/>
      <c r="M626" s="244"/>
      <c r="N626" s="244"/>
      <c r="O626" s="244"/>
      <c r="P626" s="244"/>
    </row>
    <row r="627" ht="18.75" customHeight="1">
      <c r="A627" s="246"/>
      <c r="B627" s="247"/>
      <c r="C627" s="247"/>
      <c r="D627" s="247"/>
      <c r="E627" s="251"/>
      <c r="F627" s="247"/>
      <c r="G627" s="252"/>
      <c r="H627" s="253"/>
      <c r="I627" s="254"/>
      <c r="J627" s="235"/>
      <c r="K627" s="244"/>
      <c r="L627" s="244"/>
      <c r="M627" s="244"/>
      <c r="N627" s="244"/>
      <c r="O627" s="244"/>
      <c r="P627" s="244"/>
    </row>
    <row r="628" ht="18.75" customHeight="1">
      <c r="A628" s="246"/>
      <c r="B628" s="247"/>
      <c r="C628" s="247"/>
      <c r="D628" s="247"/>
      <c r="E628" s="247"/>
      <c r="F628" s="247"/>
      <c r="G628" s="248"/>
      <c r="H628" s="249"/>
      <c r="I628" s="250"/>
      <c r="J628" s="234"/>
      <c r="K628" s="244"/>
      <c r="L628" s="244"/>
      <c r="M628" s="244"/>
      <c r="N628" s="244"/>
      <c r="O628" s="244"/>
      <c r="P628" s="244"/>
    </row>
    <row r="629" ht="18.75" customHeight="1">
      <c r="A629" s="246"/>
      <c r="B629" s="247"/>
      <c r="C629" s="247"/>
      <c r="D629" s="247"/>
      <c r="E629" s="251"/>
      <c r="F629" s="247"/>
      <c r="G629" s="252"/>
      <c r="H629" s="253"/>
      <c r="I629" s="254"/>
      <c r="J629" s="235"/>
      <c r="K629" s="244"/>
      <c r="L629" s="244"/>
      <c r="M629" s="244"/>
      <c r="N629" s="244"/>
      <c r="O629" s="244"/>
      <c r="P629" s="244"/>
    </row>
    <row r="630" ht="18.75" customHeight="1">
      <c r="A630" s="246"/>
      <c r="B630" s="247"/>
      <c r="C630" s="247"/>
      <c r="D630" s="247"/>
      <c r="E630" s="247"/>
      <c r="F630" s="247"/>
      <c r="G630" s="248"/>
      <c r="H630" s="249"/>
      <c r="I630" s="250"/>
      <c r="J630" s="234"/>
      <c r="K630" s="244"/>
      <c r="L630" s="244"/>
      <c r="M630" s="244"/>
      <c r="N630" s="244"/>
      <c r="O630" s="244"/>
      <c r="P630" s="244"/>
    </row>
    <row r="631" ht="18.75" customHeight="1">
      <c r="A631" s="246"/>
      <c r="B631" s="247"/>
      <c r="C631" s="247"/>
      <c r="D631" s="247"/>
      <c r="E631" s="251"/>
      <c r="F631" s="247"/>
      <c r="G631" s="252"/>
      <c r="H631" s="253"/>
      <c r="I631" s="254"/>
      <c r="J631" s="235"/>
      <c r="K631" s="244"/>
      <c r="L631" s="244"/>
      <c r="M631" s="244"/>
      <c r="N631" s="244"/>
      <c r="O631" s="244"/>
      <c r="P631" s="244"/>
    </row>
    <row r="632" ht="18.75" customHeight="1">
      <c r="A632" s="246"/>
      <c r="B632" s="247"/>
      <c r="C632" s="247"/>
      <c r="D632" s="247"/>
      <c r="E632" s="247"/>
      <c r="F632" s="247"/>
      <c r="G632" s="248"/>
      <c r="H632" s="249"/>
      <c r="I632" s="250"/>
      <c r="J632" s="234"/>
      <c r="K632" s="244"/>
      <c r="L632" s="244"/>
      <c r="M632" s="244"/>
      <c r="N632" s="244"/>
      <c r="O632" s="244"/>
      <c r="P632" s="244"/>
    </row>
    <row r="633" ht="18.75" customHeight="1">
      <c r="A633" s="246"/>
      <c r="B633" s="247"/>
      <c r="C633" s="247"/>
      <c r="D633" s="247"/>
      <c r="E633" s="251"/>
      <c r="F633" s="247"/>
      <c r="G633" s="252"/>
      <c r="H633" s="253"/>
      <c r="I633" s="254"/>
      <c r="J633" s="235"/>
      <c r="K633" s="244"/>
      <c r="L633" s="244"/>
      <c r="M633" s="244"/>
      <c r="N633" s="244"/>
      <c r="O633" s="244"/>
      <c r="P633" s="244"/>
    </row>
    <row r="634" ht="18.75" customHeight="1">
      <c r="A634" s="246"/>
      <c r="B634" s="247"/>
      <c r="C634" s="247"/>
      <c r="D634" s="247"/>
      <c r="E634" s="247"/>
      <c r="F634" s="247"/>
      <c r="G634" s="248"/>
      <c r="H634" s="249"/>
      <c r="I634" s="250"/>
      <c r="J634" s="234"/>
      <c r="K634" s="244"/>
      <c r="L634" s="244"/>
      <c r="M634" s="244"/>
      <c r="N634" s="244"/>
      <c r="O634" s="244"/>
      <c r="P634" s="244"/>
    </row>
    <row r="635" ht="18.75" customHeight="1">
      <c r="A635" s="246"/>
      <c r="B635" s="247"/>
      <c r="C635" s="247"/>
      <c r="D635" s="247"/>
      <c r="E635" s="251"/>
      <c r="F635" s="247"/>
      <c r="G635" s="252"/>
      <c r="H635" s="253"/>
      <c r="I635" s="254"/>
      <c r="J635" s="235"/>
      <c r="K635" s="244"/>
      <c r="L635" s="244"/>
      <c r="M635" s="244"/>
      <c r="N635" s="244"/>
      <c r="O635" s="244"/>
      <c r="P635" s="244"/>
    </row>
    <row r="636" ht="18.75" customHeight="1">
      <c r="A636" s="246"/>
      <c r="B636" s="247"/>
      <c r="C636" s="247"/>
      <c r="D636" s="247"/>
      <c r="E636" s="247"/>
      <c r="F636" s="247"/>
      <c r="G636" s="248"/>
      <c r="H636" s="249"/>
      <c r="I636" s="250"/>
      <c r="J636" s="234"/>
      <c r="K636" s="244"/>
      <c r="L636" s="244"/>
      <c r="M636" s="244"/>
      <c r="N636" s="244"/>
      <c r="O636" s="244"/>
      <c r="P636" s="244"/>
    </row>
    <row r="637" ht="18.75" customHeight="1">
      <c r="A637" s="246"/>
      <c r="B637" s="247"/>
      <c r="C637" s="247"/>
      <c r="D637" s="247"/>
      <c r="E637" s="251"/>
      <c r="F637" s="247"/>
      <c r="G637" s="252"/>
      <c r="H637" s="253"/>
      <c r="I637" s="254"/>
      <c r="J637" s="235"/>
      <c r="K637" s="244"/>
      <c r="L637" s="244"/>
      <c r="M637" s="244"/>
      <c r="N637" s="244"/>
      <c r="O637" s="244"/>
      <c r="P637" s="244"/>
    </row>
    <row r="638" ht="18.75" customHeight="1">
      <c r="A638" s="246"/>
      <c r="B638" s="247"/>
      <c r="C638" s="247"/>
      <c r="D638" s="247"/>
      <c r="E638" s="247"/>
      <c r="F638" s="247"/>
      <c r="G638" s="248"/>
      <c r="H638" s="249"/>
      <c r="I638" s="250"/>
      <c r="J638" s="234"/>
      <c r="K638" s="244"/>
      <c r="L638" s="244"/>
      <c r="M638" s="244"/>
      <c r="N638" s="244"/>
      <c r="O638" s="244"/>
      <c r="P638" s="244"/>
    </row>
    <row r="639" ht="18.75" customHeight="1">
      <c r="A639" s="246"/>
      <c r="B639" s="247"/>
      <c r="C639" s="247"/>
      <c r="D639" s="247"/>
      <c r="E639" s="251"/>
      <c r="F639" s="247"/>
      <c r="G639" s="252"/>
      <c r="H639" s="253"/>
      <c r="I639" s="254"/>
      <c r="J639" s="235"/>
      <c r="K639" s="244"/>
      <c r="L639" s="244"/>
      <c r="M639" s="244"/>
      <c r="N639" s="244"/>
      <c r="O639" s="244"/>
      <c r="P639" s="244"/>
    </row>
    <row r="640" ht="18.75" customHeight="1">
      <c r="A640" s="246"/>
      <c r="B640" s="247"/>
      <c r="C640" s="247"/>
      <c r="D640" s="247"/>
      <c r="E640" s="247"/>
      <c r="F640" s="247"/>
      <c r="G640" s="248"/>
      <c r="H640" s="249"/>
      <c r="I640" s="250"/>
      <c r="J640" s="234"/>
      <c r="K640" s="244"/>
      <c r="L640" s="244"/>
      <c r="M640" s="244"/>
      <c r="N640" s="244"/>
      <c r="O640" s="244"/>
      <c r="P640" s="244"/>
    </row>
    <row r="641" ht="18.75" customHeight="1">
      <c r="A641" s="246"/>
      <c r="B641" s="247"/>
      <c r="C641" s="247"/>
      <c r="D641" s="247"/>
      <c r="E641" s="251"/>
      <c r="F641" s="247"/>
      <c r="G641" s="252"/>
      <c r="H641" s="253"/>
      <c r="I641" s="254"/>
      <c r="J641" s="235"/>
      <c r="K641" s="244"/>
      <c r="L641" s="244"/>
      <c r="M641" s="244"/>
      <c r="N641" s="244"/>
      <c r="O641" s="244"/>
      <c r="P641" s="244"/>
    </row>
    <row r="642" ht="18.75" customHeight="1">
      <c r="A642" s="246"/>
      <c r="B642" s="247"/>
      <c r="C642" s="247"/>
      <c r="D642" s="247"/>
      <c r="E642" s="247"/>
      <c r="F642" s="247"/>
      <c r="G642" s="248"/>
      <c r="H642" s="249"/>
      <c r="I642" s="250"/>
      <c r="J642" s="234"/>
      <c r="K642" s="244"/>
      <c r="L642" s="244"/>
      <c r="M642" s="244"/>
      <c r="N642" s="244"/>
      <c r="O642" s="244"/>
      <c r="P642" s="244"/>
    </row>
    <row r="643" ht="18.75" customHeight="1">
      <c r="A643" s="246"/>
      <c r="B643" s="247"/>
      <c r="C643" s="247"/>
      <c r="D643" s="247"/>
      <c r="E643" s="251"/>
      <c r="F643" s="247"/>
      <c r="G643" s="252"/>
      <c r="H643" s="253"/>
      <c r="I643" s="254"/>
      <c r="J643" s="235"/>
      <c r="K643" s="244"/>
      <c r="L643" s="244"/>
      <c r="M643" s="244"/>
      <c r="N643" s="244"/>
      <c r="O643" s="244"/>
      <c r="P643" s="244"/>
    </row>
    <row r="644" ht="18.75" customHeight="1">
      <c r="A644" s="246"/>
      <c r="B644" s="247"/>
      <c r="C644" s="247"/>
      <c r="D644" s="247"/>
      <c r="E644" s="247"/>
      <c r="F644" s="247"/>
      <c r="G644" s="248"/>
      <c r="H644" s="249"/>
      <c r="I644" s="250"/>
      <c r="J644" s="234"/>
      <c r="K644" s="244"/>
      <c r="L644" s="244"/>
      <c r="M644" s="244"/>
      <c r="N644" s="244"/>
      <c r="O644" s="244"/>
      <c r="P644" s="244"/>
    </row>
    <row r="645" ht="18.75" customHeight="1">
      <c r="A645" s="246"/>
      <c r="B645" s="247"/>
      <c r="C645" s="247"/>
      <c r="D645" s="247"/>
      <c r="E645" s="251"/>
      <c r="F645" s="247"/>
      <c r="G645" s="252"/>
      <c r="H645" s="253"/>
      <c r="I645" s="254"/>
      <c r="J645" s="235"/>
      <c r="K645" s="244"/>
      <c r="L645" s="244"/>
      <c r="M645" s="244"/>
      <c r="N645" s="244"/>
      <c r="O645" s="244"/>
      <c r="P645" s="244"/>
    </row>
    <row r="646" ht="18.75" customHeight="1">
      <c r="A646" s="246"/>
      <c r="B646" s="247"/>
      <c r="C646" s="247"/>
      <c r="D646" s="247"/>
      <c r="E646" s="247"/>
      <c r="F646" s="247"/>
      <c r="G646" s="248"/>
      <c r="H646" s="249"/>
      <c r="I646" s="250"/>
      <c r="J646" s="234"/>
      <c r="K646" s="244"/>
      <c r="L646" s="244"/>
      <c r="M646" s="244"/>
      <c r="N646" s="244"/>
      <c r="O646" s="244"/>
      <c r="P646" s="244"/>
    </row>
    <row r="647" ht="18.75" customHeight="1">
      <c r="A647" s="246"/>
      <c r="B647" s="247"/>
      <c r="C647" s="247"/>
      <c r="D647" s="247"/>
      <c r="E647" s="251"/>
      <c r="F647" s="247"/>
      <c r="G647" s="252"/>
      <c r="H647" s="253"/>
      <c r="I647" s="254"/>
      <c r="J647" s="235"/>
      <c r="K647" s="244"/>
      <c r="L647" s="244"/>
      <c r="M647" s="244"/>
      <c r="N647" s="244"/>
      <c r="O647" s="244"/>
      <c r="P647" s="244"/>
    </row>
    <row r="648" ht="18.75" customHeight="1">
      <c r="A648" s="246"/>
      <c r="B648" s="247"/>
      <c r="C648" s="247"/>
      <c r="D648" s="247"/>
      <c r="E648" s="247"/>
      <c r="F648" s="247"/>
      <c r="G648" s="248"/>
      <c r="H648" s="249"/>
      <c r="I648" s="250"/>
      <c r="J648" s="234"/>
      <c r="K648" s="244"/>
      <c r="L648" s="244"/>
      <c r="M648" s="244"/>
      <c r="N648" s="244"/>
      <c r="O648" s="244"/>
      <c r="P648" s="244"/>
    </row>
    <row r="649" ht="18.75" customHeight="1">
      <c r="A649" s="246"/>
      <c r="B649" s="247"/>
      <c r="C649" s="247"/>
      <c r="D649" s="247"/>
      <c r="E649" s="251"/>
      <c r="F649" s="247"/>
      <c r="G649" s="252"/>
      <c r="H649" s="253"/>
      <c r="I649" s="254"/>
      <c r="J649" s="235"/>
      <c r="K649" s="244"/>
      <c r="L649" s="244"/>
      <c r="M649" s="244"/>
      <c r="N649" s="244"/>
      <c r="O649" s="244"/>
      <c r="P649" s="244"/>
    </row>
    <row r="650" ht="18.75" customHeight="1">
      <c r="A650" s="246"/>
      <c r="B650" s="247"/>
      <c r="C650" s="247"/>
      <c r="D650" s="247"/>
      <c r="E650" s="247"/>
      <c r="F650" s="247"/>
      <c r="G650" s="248"/>
      <c r="H650" s="249"/>
      <c r="I650" s="250"/>
      <c r="J650" s="234"/>
      <c r="K650" s="244"/>
      <c r="L650" s="244"/>
      <c r="M650" s="244"/>
      <c r="N650" s="244"/>
      <c r="O650" s="244"/>
      <c r="P650" s="244"/>
    </row>
    <row r="651" ht="18.75" customHeight="1">
      <c r="A651" s="246"/>
      <c r="B651" s="247"/>
      <c r="C651" s="247"/>
      <c r="D651" s="247"/>
      <c r="E651" s="251"/>
      <c r="F651" s="247"/>
      <c r="G651" s="252"/>
      <c r="H651" s="253"/>
      <c r="I651" s="254"/>
      <c r="J651" s="235"/>
      <c r="K651" s="244"/>
      <c r="L651" s="244"/>
      <c r="M651" s="244"/>
      <c r="N651" s="244"/>
      <c r="O651" s="244"/>
      <c r="P651" s="244"/>
    </row>
    <row r="652" ht="18.75" customHeight="1">
      <c r="A652" s="246"/>
      <c r="B652" s="247"/>
      <c r="C652" s="247"/>
      <c r="D652" s="247"/>
      <c r="E652" s="247"/>
      <c r="F652" s="247"/>
      <c r="G652" s="248"/>
      <c r="H652" s="249"/>
      <c r="I652" s="250"/>
      <c r="J652" s="234"/>
      <c r="K652" s="244"/>
      <c r="L652" s="244"/>
      <c r="M652" s="244"/>
      <c r="N652" s="244"/>
      <c r="O652" s="244"/>
      <c r="P652" s="244"/>
    </row>
    <row r="653" ht="18.75" customHeight="1">
      <c r="A653" s="246"/>
      <c r="B653" s="247"/>
      <c r="C653" s="247"/>
      <c r="D653" s="247"/>
      <c r="E653" s="251"/>
      <c r="F653" s="247"/>
      <c r="G653" s="252"/>
      <c r="H653" s="253"/>
      <c r="I653" s="254"/>
      <c r="J653" s="235"/>
      <c r="K653" s="244"/>
      <c r="L653" s="244"/>
      <c r="M653" s="244"/>
      <c r="N653" s="244"/>
      <c r="O653" s="244"/>
      <c r="P653" s="244"/>
    </row>
    <row r="654" ht="18.75" customHeight="1">
      <c r="A654" s="246"/>
      <c r="B654" s="247"/>
      <c r="C654" s="247"/>
      <c r="D654" s="247"/>
      <c r="E654" s="247"/>
      <c r="F654" s="247"/>
      <c r="G654" s="248"/>
      <c r="H654" s="249"/>
      <c r="I654" s="250"/>
      <c r="J654" s="234"/>
      <c r="K654" s="244"/>
      <c r="L654" s="244"/>
      <c r="M654" s="244"/>
      <c r="N654" s="244"/>
      <c r="O654" s="244"/>
      <c r="P654" s="244"/>
    </row>
    <row r="655" ht="18.75" customHeight="1">
      <c r="A655" s="246"/>
      <c r="B655" s="247"/>
      <c r="C655" s="247"/>
      <c r="D655" s="247"/>
      <c r="E655" s="251"/>
      <c r="F655" s="247"/>
      <c r="G655" s="252"/>
      <c r="H655" s="253"/>
      <c r="I655" s="254"/>
      <c r="J655" s="235"/>
      <c r="K655" s="244"/>
      <c r="L655" s="244"/>
      <c r="M655" s="244"/>
      <c r="N655" s="244"/>
      <c r="O655" s="244"/>
      <c r="P655" s="244"/>
    </row>
    <row r="656" ht="18.75" customHeight="1">
      <c r="A656" s="246"/>
      <c r="B656" s="247"/>
      <c r="C656" s="247"/>
      <c r="D656" s="247"/>
      <c r="E656" s="247"/>
      <c r="F656" s="247"/>
      <c r="G656" s="248"/>
      <c r="H656" s="249"/>
      <c r="I656" s="250"/>
      <c r="J656" s="234"/>
      <c r="K656" s="244"/>
      <c r="L656" s="244"/>
      <c r="M656" s="244"/>
      <c r="N656" s="244"/>
      <c r="O656" s="244"/>
      <c r="P656" s="244"/>
    </row>
    <row r="657" ht="18.75" customHeight="1">
      <c r="A657" s="246"/>
      <c r="B657" s="247"/>
      <c r="C657" s="247"/>
      <c r="D657" s="247"/>
      <c r="E657" s="251"/>
      <c r="F657" s="247"/>
      <c r="G657" s="252"/>
      <c r="H657" s="253"/>
      <c r="I657" s="254"/>
      <c r="J657" s="235"/>
      <c r="K657" s="244"/>
      <c r="L657" s="244"/>
      <c r="M657" s="244"/>
      <c r="N657" s="244"/>
      <c r="O657" s="244"/>
      <c r="P657" s="244"/>
    </row>
    <row r="658" ht="18.75" customHeight="1">
      <c r="A658" s="246"/>
      <c r="B658" s="247"/>
      <c r="C658" s="247"/>
      <c r="D658" s="247"/>
      <c r="E658" s="247"/>
      <c r="F658" s="247"/>
      <c r="G658" s="248"/>
      <c r="H658" s="249"/>
      <c r="I658" s="250"/>
      <c r="J658" s="234"/>
      <c r="K658" s="244"/>
      <c r="L658" s="244"/>
      <c r="M658" s="244"/>
      <c r="N658" s="244"/>
      <c r="O658" s="244"/>
      <c r="P658" s="244"/>
    </row>
    <row r="659" ht="18.75" customHeight="1">
      <c r="A659" s="246"/>
      <c r="B659" s="247"/>
      <c r="C659" s="247"/>
      <c r="D659" s="247"/>
      <c r="E659" s="251"/>
      <c r="F659" s="247"/>
      <c r="G659" s="252"/>
      <c r="H659" s="253"/>
      <c r="I659" s="254"/>
      <c r="J659" s="235"/>
      <c r="K659" s="244"/>
      <c r="L659" s="244"/>
      <c r="M659" s="244"/>
      <c r="N659" s="244"/>
      <c r="O659" s="244"/>
      <c r="P659" s="244"/>
    </row>
    <row r="660" ht="18.75" customHeight="1">
      <c r="A660" s="246"/>
      <c r="B660" s="247"/>
      <c r="C660" s="247"/>
      <c r="D660" s="247"/>
      <c r="E660" s="247"/>
      <c r="F660" s="247"/>
      <c r="G660" s="248"/>
      <c r="H660" s="249"/>
      <c r="I660" s="250"/>
      <c r="J660" s="234"/>
      <c r="K660" s="244"/>
      <c r="L660" s="244"/>
      <c r="M660" s="244"/>
      <c r="N660" s="244"/>
      <c r="O660" s="244"/>
      <c r="P660" s="244"/>
    </row>
    <row r="661" ht="18.75" customHeight="1">
      <c r="A661" s="246"/>
      <c r="B661" s="247"/>
      <c r="C661" s="247"/>
      <c r="D661" s="247"/>
      <c r="E661" s="251"/>
      <c r="F661" s="247"/>
      <c r="G661" s="252"/>
      <c r="H661" s="253"/>
      <c r="I661" s="254"/>
      <c r="J661" s="235"/>
      <c r="K661" s="244"/>
      <c r="L661" s="244"/>
      <c r="M661" s="244"/>
      <c r="N661" s="244"/>
      <c r="O661" s="244"/>
      <c r="P661" s="244"/>
    </row>
    <row r="662" ht="18.75" customHeight="1">
      <c r="A662" s="246"/>
      <c r="B662" s="247"/>
      <c r="C662" s="247"/>
      <c r="D662" s="247"/>
      <c r="E662" s="247"/>
      <c r="F662" s="247"/>
      <c r="G662" s="248"/>
      <c r="H662" s="249"/>
      <c r="I662" s="250"/>
      <c r="J662" s="234"/>
      <c r="K662" s="244"/>
      <c r="L662" s="244"/>
      <c r="M662" s="244"/>
      <c r="N662" s="244"/>
      <c r="O662" s="244"/>
      <c r="P662" s="244"/>
    </row>
    <row r="663" ht="18.75" customHeight="1">
      <c r="A663" s="246"/>
      <c r="B663" s="247"/>
      <c r="C663" s="247"/>
      <c r="D663" s="247"/>
      <c r="E663" s="251"/>
      <c r="F663" s="247"/>
      <c r="G663" s="252"/>
      <c r="H663" s="253"/>
      <c r="I663" s="254"/>
      <c r="J663" s="235"/>
      <c r="K663" s="244"/>
      <c r="L663" s="244"/>
      <c r="M663" s="244"/>
      <c r="N663" s="244"/>
      <c r="O663" s="244"/>
      <c r="P663" s="244"/>
    </row>
    <row r="664" ht="18.75" customHeight="1">
      <c r="A664" s="246"/>
      <c r="B664" s="247"/>
      <c r="C664" s="247"/>
      <c r="D664" s="247"/>
      <c r="E664" s="247"/>
      <c r="F664" s="247"/>
      <c r="G664" s="248"/>
      <c r="H664" s="249"/>
      <c r="I664" s="250"/>
      <c r="J664" s="234"/>
      <c r="K664" s="244"/>
      <c r="L664" s="244"/>
      <c r="M664" s="244"/>
      <c r="N664" s="244"/>
      <c r="O664" s="244"/>
      <c r="P664" s="244"/>
    </row>
    <row r="665" ht="18.75" customHeight="1">
      <c r="A665" s="246"/>
      <c r="B665" s="247"/>
      <c r="C665" s="247"/>
      <c r="D665" s="247"/>
      <c r="E665" s="251"/>
      <c r="F665" s="247"/>
      <c r="G665" s="252"/>
      <c r="H665" s="253"/>
      <c r="I665" s="254"/>
      <c r="J665" s="235"/>
      <c r="K665" s="244"/>
      <c r="L665" s="244"/>
      <c r="M665" s="244"/>
      <c r="N665" s="244"/>
      <c r="O665" s="244"/>
      <c r="P665" s="244"/>
    </row>
    <row r="666" ht="18.75" customHeight="1">
      <c r="A666" s="246"/>
      <c r="B666" s="247"/>
      <c r="C666" s="247"/>
      <c r="D666" s="247"/>
      <c r="E666" s="247"/>
      <c r="F666" s="247"/>
      <c r="G666" s="248"/>
      <c r="H666" s="249"/>
      <c r="I666" s="250"/>
      <c r="J666" s="234"/>
      <c r="K666" s="244"/>
      <c r="L666" s="244"/>
      <c r="M666" s="244"/>
      <c r="N666" s="244"/>
      <c r="O666" s="244"/>
      <c r="P666" s="244"/>
    </row>
    <row r="667" ht="18.75" customHeight="1">
      <c r="A667" s="246"/>
      <c r="B667" s="247"/>
      <c r="C667" s="247"/>
      <c r="D667" s="247"/>
      <c r="E667" s="251"/>
      <c r="F667" s="247"/>
      <c r="G667" s="252"/>
      <c r="H667" s="253"/>
      <c r="I667" s="254"/>
      <c r="J667" s="235"/>
      <c r="K667" s="244"/>
      <c r="L667" s="244"/>
      <c r="M667" s="244"/>
      <c r="N667" s="244"/>
      <c r="O667" s="244"/>
      <c r="P667" s="244"/>
    </row>
    <row r="668" ht="18.75" customHeight="1">
      <c r="A668" s="246"/>
      <c r="B668" s="247"/>
      <c r="C668" s="247"/>
      <c r="D668" s="247"/>
      <c r="E668" s="247"/>
      <c r="F668" s="247"/>
      <c r="G668" s="248"/>
      <c r="H668" s="249"/>
      <c r="I668" s="250"/>
      <c r="J668" s="234"/>
      <c r="K668" s="244"/>
      <c r="L668" s="244"/>
      <c r="M668" s="244"/>
      <c r="N668" s="244"/>
      <c r="O668" s="244"/>
      <c r="P668" s="244"/>
    </row>
    <row r="669" ht="18.75" customHeight="1">
      <c r="A669" s="246"/>
      <c r="B669" s="247"/>
      <c r="C669" s="247"/>
      <c r="D669" s="247"/>
      <c r="E669" s="251"/>
      <c r="F669" s="247"/>
      <c r="G669" s="252"/>
      <c r="H669" s="253"/>
      <c r="I669" s="254"/>
      <c r="J669" s="235"/>
      <c r="K669" s="244"/>
      <c r="L669" s="244"/>
      <c r="M669" s="244"/>
      <c r="N669" s="244"/>
      <c r="O669" s="244"/>
      <c r="P669" s="244"/>
    </row>
    <row r="670" ht="18.75" customHeight="1">
      <c r="A670" s="246"/>
      <c r="B670" s="247"/>
      <c r="C670" s="247"/>
      <c r="D670" s="247"/>
      <c r="E670" s="247"/>
      <c r="F670" s="247"/>
      <c r="G670" s="248"/>
      <c r="H670" s="249"/>
      <c r="I670" s="250"/>
      <c r="J670" s="234"/>
      <c r="K670" s="244"/>
      <c r="L670" s="244"/>
      <c r="M670" s="244"/>
      <c r="N670" s="244"/>
      <c r="O670" s="244"/>
      <c r="P670" s="244"/>
    </row>
    <row r="671" ht="18.75" customHeight="1">
      <c r="A671" s="246"/>
      <c r="B671" s="247"/>
      <c r="C671" s="247"/>
      <c r="D671" s="247"/>
      <c r="E671" s="251"/>
      <c r="F671" s="247"/>
      <c r="G671" s="252"/>
      <c r="H671" s="253"/>
      <c r="I671" s="254"/>
      <c r="J671" s="235"/>
      <c r="K671" s="244"/>
      <c r="L671" s="244"/>
      <c r="M671" s="244"/>
      <c r="N671" s="244"/>
      <c r="O671" s="244"/>
      <c r="P671" s="244"/>
    </row>
    <row r="672" ht="18.75" customHeight="1">
      <c r="A672" s="246"/>
      <c r="B672" s="247"/>
      <c r="C672" s="247"/>
      <c r="D672" s="247"/>
      <c r="E672" s="247"/>
      <c r="F672" s="247"/>
      <c r="G672" s="248"/>
      <c r="H672" s="249"/>
      <c r="I672" s="250"/>
      <c r="J672" s="234"/>
      <c r="K672" s="244"/>
      <c r="L672" s="244"/>
      <c r="M672" s="244"/>
      <c r="N672" s="244"/>
      <c r="O672" s="244"/>
      <c r="P672" s="244"/>
    </row>
    <row r="673" ht="18.75" customHeight="1">
      <c r="A673" s="246"/>
      <c r="B673" s="247"/>
      <c r="C673" s="247"/>
      <c r="D673" s="247"/>
      <c r="E673" s="251"/>
      <c r="F673" s="247"/>
      <c r="G673" s="252"/>
      <c r="H673" s="253"/>
      <c r="I673" s="254"/>
      <c r="J673" s="235"/>
      <c r="K673" s="244"/>
      <c r="L673" s="244"/>
      <c r="M673" s="244"/>
      <c r="N673" s="244"/>
      <c r="O673" s="244"/>
      <c r="P673" s="244"/>
    </row>
    <row r="674" ht="18.75" customHeight="1">
      <c r="A674" s="246"/>
      <c r="B674" s="247"/>
      <c r="C674" s="247"/>
      <c r="D674" s="247"/>
      <c r="E674" s="247"/>
      <c r="F674" s="247"/>
      <c r="G674" s="248"/>
      <c r="H674" s="249"/>
      <c r="I674" s="250"/>
      <c r="J674" s="234"/>
      <c r="K674" s="244"/>
      <c r="L674" s="244"/>
      <c r="M674" s="244"/>
      <c r="N674" s="244"/>
      <c r="O674" s="244"/>
      <c r="P674" s="244"/>
    </row>
    <row r="675" ht="18.75" customHeight="1">
      <c r="A675" s="246"/>
      <c r="B675" s="247"/>
      <c r="C675" s="247"/>
      <c r="D675" s="247"/>
      <c r="E675" s="251"/>
      <c r="F675" s="247"/>
      <c r="G675" s="252"/>
      <c r="H675" s="253"/>
      <c r="I675" s="254"/>
      <c r="J675" s="235"/>
      <c r="K675" s="244"/>
      <c r="L675" s="244"/>
      <c r="M675" s="244"/>
      <c r="N675" s="244"/>
      <c r="O675" s="244"/>
      <c r="P675" s="244"/>
    </row>
    <row r="676" ht="18.75" customHeight="1">
      <c r="A676" s="246"/>
      <c r="B676" s="247"/>
      <c r="C676" s="247"/>
      <c r="D676" s="247"/>
      <c r="E676" s="247"/>
      <c r="F676" s="247"/>
      <c r="G676" s="248"/>
      <c r="H676" s="249"/>
      <c r="I676" s="250"/>
      <c r="J676" s="234"/>
      <c r="K676" s="244"/>
      <c r="L676" s="244"/>
      <c r="M676" s="244"/>
      <c r="N676" s="244"/>
      <c r="O676" s="244"/>
      <c r="P676" s="244"/>
    </row>
    <row r="677" ht="18.75" customHeight="1">
      <c r="A677" s="246"/>
      <c r="B677" s="247"/>
      <c r="C677" s="247"/>
      <c r="D677" s="247"/>
      <c r="E677" s="251"/>
      <c r="F677" s="247"/>
      <c r="G677" s="252"/>
      <c r="H677" s="253"/>
      <c r="I677" s="254"/>
      <c r="J677" s="235"/>
      <c r="K677" s="244"/>
      <c r="L677" s="244"/>
      <c r="M677" s="244"/>
      <c r="N677" s="244"/>
      <c r="O677" s="244"/>
      <c r="P677" s="244"/>
    </row>
    <row r="678" ht="18.75" customHeight="1">
      <c r="A678" s="246"/>
      <c r="B678" s="247"/>
      <c r="C678" s="247"/>
      <c r="D678" s="247"/>
      <c r="E678" s="247"/>
      <c r="F678" s="247"/>
      <c r="G678" s="248"/>
      <c r="H678" s="249"/>
      <c r="I678" s="250"/>
      <c r="J678" s="234"/>
      <c r="K678" s="244"/>
      <c r="L678" s="244"/>
      <c r="M678" s="244"/>
      <c r="N678" s="244"/>
      <c r="O678" s="244"/>
      <c r="P678" s="244"/>
    </row>
    <row r="679" ht="18.75" customHeight="1">
      <c r="A679" s="246"/>
      <c r="B679" s="247"/>
      <c r="C679" s="247"/>
      <c r="D679" s="247"/>
      <c r="E679" s="251"/>
      <c r="F679" s="247"/>
      <c r="G679" s="252"/>
      <c r="H679" s="253"/>
      <c r="I679" s="254"/>
      <c r="J679" s="235"/>
      <c r="K679" s="244"/>
      <c r="L679" s="244"/>
      <c r="M679" s="244"/>
      <c r="N679" s="244"/>
      <c r="O679" s="244"/>
      <c r="P679" s="244"/>
    </row>
    <row r="680" ht="18.75" customHeight="1">
      <c r="A680" s="246"/>
      <c r="B680" s="247"/>
      <c r="C680" s="247"/>
      <c r="D680" s="247"/>
      <c r="E680" s="247"/>
      <c r="F680" s="247"/>
      <c r="G680" s="248"/>
      <c r="H680" s="249"/>
      <c r="I680" s="250"/>
      <c r="J680" s="234"/>
      <c r="K680" s="244"/>
      <c r="L680" s="244"/>
      <c r="M680" s="244"/>
      <c r="N680" s="244"/>
      <c r="O680" s="244"/>
      <c r="P680" s="244"/>
    </row>
    <row r="681" ht="18.75" customHeight="1">
      <c r="A681" s="246"/>
      <c r="B681" s="247"/>
      <c r="C681" s="247"/>
      <c r="D681" s="247"/>
      <c r="E681" s="251"/>
      <c r="F681" s="247"/>
      <c r="G681" s="252"/>
      <c r="H681" s="253"/>
      <c r="I681" s="254"/>
      <c r="J681" s="235"/>
      <c r="K681" s="244"/>
      <c r="L681" s="244"/>
      <c r="M681" s="244"/>
      <c r="N681" s="244"/>
      <c r="O681" s="244"/>
      <c r="P681" s="244"/>
    </row>
    <row r="682" ht="18.75" customHeight="1">
      <c r="A682" s="246"/>
      <c r="B682" s="247"/>
      <c r="C682" s="247"/>
      <c r="D682" s="247"/>
      <c r="E682" s="247"/>
      <c r="F682" s="247"/>
      <c r="G682" s="248"/>
      <c r="H682" s="249"/>
      <c r="I682" s="250"/>
      <c r="J682" s="234"/>
      <c r="K682" s="244"/>
      <c r="L682" s="244"/>
      <c r="M682" s="244"/>
      <c r="N682" s="244"/>
      <c r="O682" s="244"/>
      <c r="P682" s="244"/>
    </row>
    <row r="683" ht="18.75" customHeight="1">
      <c r="A683" s="246"/>
      <c r="B683" s="247"/>
      <c r="C683" s="247"/>
      <c r="D683" s="247"/>
      <c r="E683" s="251"/>
      <c r="F683" s="247"/>
      <c r="G683" s="252"/>
      <c r="H683" s="253"/>
      <c r="I683" s="254"/>
      <c r="J683" s="235"/>
      <c r="K683" s="244"/>
      <c r="L683" s="244"/>
      <c r="M683" s="244"/>
      <c r="N683" s="244"/>
      <c r="O683" s="244"/>
      <c r="P683" s="244"/>
    </row>
    <row r="684" ht="18.75" customHeight="1">
      <c r="A684" s="246"/>
      <c r="B684" s="247"/>
      <c r="C684" s="247"/>
      <c r="D684" s="247"/>
      <c r="E684" s="247"/>
      <c r="F684" s="247"/>
      <c r="G684" s="248"/>
      <c r="H684" s="249"/>
      <c r="I684" s="250"/>
      <c r="J684" s="234"/>
      <c r="K684" s="244"/>
      <c r="L684" s="244"/>
      <c r="M684" s="244"/>
      <c r="N684" s="244"/>
      <c r="O684" s="244"/>
      <c r="P684" s="244"/>
    </row>
    <row r="685" ht="18.75" customHeight="1">
      <c r="A685" s="246"/>
      <c r="B685" s="247"/>
      <c r="C685" s="247"/>
      <c r="D685" s="247"/>
      <c r="E685" s="251"/>
      <c r="F685" s="247"/>
      <c r="G685" s="252"/>
      <c r="H685" s="253"/>
      <c r="I685" s="254"/>
      <c r="J685" s="235"/>
      <c r="K685" s="244"/>
      <c r="L685" s="244"/>
      <c r="M685" s="244"/>
      <c r="N685" s="244"/>
      <c r="O685" s="244"/>
      <c r="P685" s="244"/>
    </row>
    <row r="686" ht="18.75" customHeight="1">
      <c r="A686" s="246"/>
      <c r="B686" s="247"/>
      <c r="C686" s="247"/>
      <c r="D686" s="247"/>
      <c r="E686" s="247"/>
      <c r="F686" s="247"/>
      <c r="G686" s="248"/>
      <c r="H686" s="249"/>
      <c r="I686" s="250"/>
      <c r="J686" s="234"/>
      <c r="K686" s="244"/>
      <c r="L686" s="244"/>
      <c r="M686" s="244"/>
      <c r="N686" s="244"/>
      <c r="O686" s="244"/>
      <c r="P686" s="244"/>
    </row>
    <row r="687" ht="18.75" customHeight="1">
      <c r="A687" s="246"/>
      <c r="B687" s="247"/>
      <c r="C687" s="247"/>
      <c r="D687" s="247"/>
      <c r="E687" s="251"/>
      <c r="F687" s="247"/>
      <c r="G687" s="252"/>
      <c r="H687" s="253"/>
      <c r="I687" s="254"/>
      <c r="J687" s="235"/>
      <c r="K687" s="244"/>
      <c r="L687" s="244"/>
      <c r="M687" s="244"/>
      <c r="N687" s="244"/>
      <c r="O687" s="244"/>
      <c r="P687" s="244"/>
    </row>
    <row r="688" ht="18.75" customHeight="1">
      <c r="A688" s="246"/>
      <c r="B688" s="247"/>
      <c r="C688" s="247"/>
      <c r="D688" s="247"/>
      <c r="E688" s="247"/>
      <c r="F688" s="247"/>
      <c r="G688" s="248"/>
      <c r="H688" s="249"/>
      <c r="I688" s="250"/>
      <c r="J688" s="234"/>
      <c r="K688" s="244"/>
      <c r="L688" s="244"/>
      <c r="M688" s="244"/>
      <c r="N688" s="244"/>
      <c r="O688" s="244"/>
      <c r="P688" s="244"/>
    </row>
    <row r="689" ht="18.75" customHeight="1">
      <c r="A689" s="246"/>
      <c r="B689" s="247"/>
      <c r="C689" s="247"/>
      <c r="D689" s="247"/>
      <c r="E689" s="251"/>
      <c r="F689" s="247"/>
      <c r="G689" s="252"/>
      <c r="H689" s="253"/>
      <c r="I689" s="254"/>
      <c r="J689" s="235"/>
      <c r="K689" s="244"/>
      <c r="L689" s="244"/>
      <c r="M689" s="244"/>
      <c r="N689" s="244"/>
      <c r="O689" s="244"/>
      <c r="P689" s="244"/>
    </row>
    <row r="690" ht="18.75" customHeight="1">
      <c r="A690" s="246"/>
      <c r="B690" s="247"/>
      <c r="C690" s="247"/>
      <c r="D690" s="247"/>
      <c r="E690" s="247"/>
      <c r="F690" s="247"/>
      <c r="G690" s="248"/>
      <c r="H690" s="249"/>
      <c r="I690" s="250"/>
      <c r="J690" s="234"/>
      <c r="K690" s="244"/>
      <c r="L690" s="244"/>
      <c r="M690" s="244"/>
      <c r="N690" s="244"/>
      <c r="O690" s="244"/>
      <c r="P690" s="244"/>
    </row>
    <row r="691" ht="18.75" customHeight="1">
      <c r="A691" s="246"/>
      <c r="B691" s="247"/>
      <c r="C691" s="247"/>
      <c r="D691" s="247"/>
      <c r="E691" s="251"/>
      <c r="F691" s="247"/>
      <c r="G691" s="252"/>
      <c r="H691" s="253"/>
      <c r="I691" s="254"/>
      <c r="J691" s="235"/>
      <c r="K691" s="244"/>
      <c r="L691" s="244"/>
      <c r="M691" s="244"/>
      <c r="N691" s="244"/>
      <c r="O691" s="244"/>
      <c r="P691" s="244"/>
    </row>
    <row r="692" ht="18.75" customHeight="1">
      <c r="A692" s="246"/>
      <c r="B692" s="247"/>
      <c r="C692" s="247"/>
      <c r="D692" s="247"/>
      <c r="E692" s="247"/>
      <c r="F692" s="247"/>
      <c r="G692" s="248"/>
      <c r="H692" s="249"/>
      <c r="I692" s="250"/>
      <c r="J692" s="234"/>
      <c r="K692" s="244"/>
      <c r="L692" s="244"/>
      <c r="M692" s="244"/>
      <c r="N692" s="244"/>
      <c r="O692" s="244"/>
      <c r="P692" s="244"/>
    </row>
    <row r="693" ht="18.75" customHeight="1">
      <c r="A693" s="246"/>
      <c r="B693" s="247"/>
      <c r="C693" s="247"/>
      <c r="D693" s="247"/>
      <c r="E693" s="251"/>
      <c r="F693" s="247"/>
      <c r="G693" s="252"/>
      <c r="H693" s="253"/>
      <c r="I693" s="254"/>
      <c r="J693" s="235"/>
      <c r="K693" s="244"/>
      <c r="L693" s="244"/>
      <c r="M693" s="244"/>
      <c r="N693" s="244"/>
      <c r="O693" s="244"/>
      <c r="P693" s="244"/>
    </row>
    <row r="694" ht="18.75" customHeight="1">
      <c r="A694" s="246"/>
      <c r="B694" s="247"/>
      <c r="C694" s="247"/>
      <c r="D694" s="247"/>
      <c r="E694" s="247"/>
      <c r="F694" s="247"/>
      <c r="G694" s="248"/>
      <c r="H694" s="249"/>
      <c r="I694" s="250"/>
      <c r="J694" s="234"/>
      <c r="K694" s="244"/>
      <c r="L694" s="244"/>
      <c r="M694" s="244"/>
      <c r="N694" s="244"/>
      <c r="O694" s="244"/>
      <c r="P694" s="244"/>
    </row>
    <row r="695" ht="18.75" customHeight="1">
      <c r="A695" s="246"/>
      <c r="B695" s="247"/>
      <c r="C695" s="247"/>
      <c r="D695" s="247"/>
      <c r="E695" s="251"/>
      <c r="F695" s="247"/>
      <c r="G695" s="252"/>
      <c r="H695" s="253"/>
      <c r="I695" s="254"/>
      <c r="J695" s="235"/>
      <c r="K695" s="244"/>
      <c r="L695" s="244"/>
      <c r="M695" s="244"/>
      <c r="N695" s="244"/>
      <c r="O695" s="244"/>
      <c r="P695" s="244"/>
    </row>
    <row r="696" ht="18.75" customHeight="1">
      <c r="A696" s="246"/>
      <c r="B696" s="247"/>
      <c r="C696" s="247"/>
      <c r="D696" s="247"/>
      <c r="E696" s="247"/>
      <c r="F696" s="247"/>
      <c r="G696" s="248"/>
      <c r="H696" s="249"/>
      <c r="I696" s="250"/>
      <c r="J696" s="234"/>
      <c r="K696" s="244"/>
      <c r="L696" s="244"/>
      <c r="M696" s="244"/>
      <c r="N696" s="244"/>
      <c r="O696" s="244"/>
      <c r="P696" s="244"/>
    </row>
    <row r="697" ht="18.75" customHeight="1">
      <c r="A697" s="246"/>
      <c r="B697" s="247"/>
      <c r="C697" s="247"/>
      <c r="D697" s="247"/>
      <c r="E697" s="251"/>
      <c r="F697" s="247"/>
      <c r="G697" s="252"/>
      <c r="H697" s="253"/>
      <c r="I697" s="254"/>
      <c r="J697" s="235"/>
      <c r="K697" s="244"/>
      <c r="L697" s="244"/>
      <c r="M697" s="244"/>
      <c r="N697" s="244"/>
      <c r="O697" s="244"/>
      <c r="P697" s="244"/>
    </row>
    <row r="698" ht="18.75" customHeight="1">
      <c r="A698" s="246"/>
      <c r="B698" s="247"/>
      <c r="C698" s="247"/>
      <c r="D698" s="247"/>
      <c r="E698" s="247"/>
      <c r="F698" s="247"/>
      <c r="G698" s="248"/>
      <c r="H698" s="249"/>
      <c r="I698" s="250"/>
      <c r="J698" s="234"/>
      <c r="K698" s="244"/>
      <c r="L698" s="244"/>
      <c r="M698" s="244"/>
      <c r="N698" s="244"/>
      <c r="O698" s="244"/>
      <c r="P698" s="244"/>
    </row>
    <row r="699" ht="18.75" customHeight="1">
      <c r="A699" s="246"/>
      <c r="B699" s="247"/>
      <c r="C699" s="247"/>
      <c r="D699" s="247"/>
      <c r="E699" s="251"/>
      <c r="F699" s="247"/>
      <c r="G699" s="252"/>
      <c r="H699" s="253"/>
      <c r="I699" s="254"/>
      <c r="J699" s="235"/>
      <c r="K699" s="244"/>
      <c r="L699" s="244"/>
      <c r="M699" s="244"/>
      <c r="N699" s="244"/>
      <c r="O699" s="244"/>
      <c r="P699" s="244"/>
    </row>
    <row r="700" ht="18.75" customHeight="1">
      <c r="A700" s="246"/>
      <c r="B700" s="247"/>
      <c r="C700" s="247"/>
      <c r="D700" s="247"/>
      <c r="E700" s="247"/>
      <c r="F700" s="247"/>
      <c r="G700" s="248"/>
      <c r="H700" s="249"/>
      <c r="I700" s="250"/>
      <c r="J700" s="234"/>
      <c r="K700" s="244"/>
      <c r="L700" s="244"/>
      <c r="M700" s="244"/>
      <c r="N700" s="244"/>
      <c r="O700" s="244"/>
      <c r="P700" s="244"/>
    </row>
    <row r="701" ht="18.75" customHeight="1">
      <c r="A701" s="246"/>
      <c r="B701" s="247"/>
      <c r="C701" s="247"/>
      <c r="D701" s="247"/>
      <c r="E701" s="251"/>
      <c r="F701" s="247"/>
      <c r="G701" s="252"/>
      <c r="H701" s="253"/>
      <c r="I701" s="254"/>
      <c r="J701" s="235"/>
      <c r="K701" s="244"/>
      <c r="L701" s="244"/>
      <c r="M701" s="244"/>
      <c r="N701" s="244"/>
      <c r="O701" s="244"/>
      <c r="P701" s="244"/>
    </row>
    <row r="702" ht="18.75" customHeight="1">
      <c r="A702" s="246"/>
      <c r="B702" s="247"/>
      <c r="C702" s="247"/>
      <c r="D702" s="247"/>
      <c r="E702" s="247"/>
      <c r="F702" s="247"/>
      <c r="G702" s="248"/>
      <c r="H702" s="249"/>
      <c r="I702" s="250"/>
      <c r="J702" s="234"/>
      <c r="K702" s="244"/>
      <c r="L702" s="244"/>
      <c r="M702" s="244"/>
      <c r="N702" s="244"/>
      <c r="O702" s="244"/>
      <c r="P702" s="244"/>
    </row>
    <row r="703" ht="18.75" customHeight="1">
      <c r="A703" s="246"/>
      <c r="B703" s="247"/>
      <c r="C703" s="247"/>
      <c r="D703" s="247"/>
      <c r="E703" s="251"/>
      <c r="F703" s="247"/>
      <c r="G703" s="252"/>
      <c r="H703" s="253"/>
      <c r="I703" s="254"/>
      <c r="J703" s="235"/>
      <c r="K703" s="244"/>
      <c r="L703" s="244"/>
      <c r="M703" s="244"/>
      <c r="N703" s="244"/>
      <c r="O703" s="244"/>
      <c r="P703" s="244"/>
    </row>
    <row r="704" ht="18.75" customHeight="1">
      <c r="A704" s="246"/>
      <c r="B704" s="247"/>
      <c r="C704" s="247"/>
      <c r="D704" s="247"/>
      <c r="E704" s="247"/>
      <c r="F704" s="247"/>
      <c r="G704" s="248"/>
      <c r="H704" s="249"/>
      <c r="I704" s="250"/>
      <c r="J704" s="234"/>
      <c r="K704" s="244"/>
      <c r="L704" s="244"/>
      <c r="M704" s="244"/>
      <c r="N704" s="244"/>
      <c r="O704" s="244"/>
      <c r="P704" s="244"/>
    </row>
    <row r="705" ht="18.75" customHeight="1">
      <c r="A705" s="246"/>
      <c r="B705" s="247"/>
      <c r="C705" s="247"/>
      <c r="D705" s="247"/>
      <c r="E705" s="251"/>
      <c r="F705" s="247"/>
      <c r="G705" s="252"/>
      <c r="H705" s="253"/>
      <c r="I705" s="254"/>
      <c r="J705" s="235"/>
      <c r="K705" s="244"/>
      <c r="L705" s="244"/>
      <c r="M705" s="244"/>
      <c r="N705" s="244"/>
      <c r="O705" s="244"/>
      <c r="P705" s="244"/>
    </row>
    <row r="706" ht="18.75" customHeight="1">
      <c r="A706" s="246"/>
      <c r="B706" s="247"/>
      <c r="C706" s="247"/>
      <c r="D706" s="247"/>
      <c r="E706" s="247"/>
      <c r="F706" s="247"/>
      <c r="G706" s="248"/>
      <c r="H706" s="249"/>
      <c r="I706" s="250"/>
      <c r="J706" s="234"/>
      <c r="K706" s="244"/>
      <c r="L706" s="244"/>
      <c r="M706" s="244"/>
      <c r="N706" s="244"/>
      <c r="O706" s="244"/>
      <c r="P706" s="244"/>
    </row>
    <row r="707" ht="18.75" customHeight="1">
      <c r="A707" s="246"/>
      <c r="B707" s="247"/>
      <c r="C707" s="247"/>
      <c r="D707" s="247"/>
      <c r="E707" s="251"/>
      <c r="F707" s="247"/>
      <c r="G707" s="252"/>
      <c r="H707" s="253"/>
      <c r="I707" s="254"/>
      <c r="J707" s="235"/>
      <c r="K707" s="244"/>
      <c r="L707" s="244"/>
      <c r="M707" s="244"/>
      <c r="N707" s="244"/>
      <c r="O707" s="244"/>
      <c r="P707" s="244"/>
    </row>
    <row r="708" ht="18.75" customHeight="1">
      <c r="A708" s="246"/>
      <c r="B708" s="247"/>
      <c r="C708" s="247"/>
      <c r="D708" s="247"/>
      <c r="E708" s="247"/>
      <c r="F708" s="247"/>
      <c r="G708" s="248"/>
      <c r="H708" s="249"/>
      <c r="I708" s="250"/>
      <c r="J708" s="234"/>
      <c r="K708" s="244"/>
      <c r="L708" s="244"/>
      <c r="M708" s="244"/>
      <c r="N708" s="244"/>
      <c r="O708" s="244"/>
      <c r="P708" s="244"/>
    </row>
    <row r="709" ht="18.75" customHeight="1">
      <c r="A709" s="246"/>
      <c r="B709" s="247"/>
      <c r="C709" s="247"/>
      <c r="D709" s="247"/>
      <c r="E709" s="251"/>
      <c r="F709" s="247"/>
      <c r="G709" s="252"/>
      <c r="H709" s="253"/>
      <c r="I709" s="254"/>
      <c r="J709" s="235"/>
      <c r="K709" s="244"/>
      <c r="L709" s="244"/>
      <c r="M709" s="244"/>
      <c r="N709" s="244"/>
      <c r="O709" s="244"/>
      <c r="P709" s="244"/>
    </row>
    <row r="710" ht="18.75" customHeight="1">
      <c r="A710" s="246"/>
      <c r="B710" s="247"/>
      <c r="C710" s="247"/>
      <c r="D710" s="247"/>
      <c r="E710" s="247"/>
      <c r="F710" s="247"/>
      <c r="G710" s="248"/>
      <c r="H710" s="249"/>
      <c r="I710" s="250"/>
      <c r="J710" s="234"/>
      <c r="K710" s="244"/>
      <c r="L710" s="244"/>
      <c r="M710" s="244"/>
      <c r="N710" s="244"/>
      <c r="O710" s="244"/>
      <c r="P710" s="244"/>
    </row>
    <row r="711" ht="18.75" customHeight="1">
      <c r="A711" s="246"/>
      <c r="B711" s="247"/>
      <c r="C711" s="247"/>
      <c r="D711" s="247"/>
      <c r="E711" s="251"/>
      <c r="F711" s="247"/>
      <c r="G711" s="252"/>
      <c r="H711" s="253"/>
      <c r="I711" s="254"/>
      <c r="J711" s="235"/>
      <c r="K711" s="244"/>
      <c r="L711" s="244"/>
      <c r="M711" s="244"/>
      <c r="N711" s="244"/>
      <c r="O711" s="244"/>
      <c r="P711" s="244"/>
    </row>
    <row r="712" ht="18.75" customHeight="1">
      <c r="A712" s="246"/>
      <c r="B712" s="247"/>
      <c r="C712" s="247"/>
      <c r="D712" s="247"/>
      <c r="E712" s="247"/>
      <c r="F712" s="247"/>
      <c r="G712" s="248"/>
      <c r="H712" s="249"/>
      <c r="I712" s="250"/>
      <c r="J712" s="234"/>
      <c r="K712" s="244"/>
      <c r="L712" s="244"/>
      <c r="M712" s="244"/>
      <c r="N712" s="244"/>
      <c r="O712" s="244"/>
      <c r="P712" s="244"/>
    </row>
    <row r="713" ht="18.75" customHeight="1">
      <c r="A713" s="246"/>
      <c r="B713" s="247"/>
      <c r="C713" s="247"/>
      <c r="D713" s="247"/>
      <c r="E713" s="251"/>
      <c r="F713" s="247"/>
      <c r="G713" s="252"/>
      <c r="H713" s="253"/>
      <c r="I713" s="254"/>
      <c r="J713" s="235"/>
      <c r="K713" s="244"/>
      <c r="L713" s="244"/>
      <c r="M713" s="244"/>
      <c r="N713" s="244"/>
      <c r="O713" s="244"/>
      <c r="P713" s="244"/>
    </row>
    <row r="714" ht="18.75" customHeight="1">
      <c r="A714" s="246"/>
      <c r="B714" s="247"/>
      <c r="C714" s="247"/>
      <c r="D714" s="247"/>
      <c r="E714" s="247"/>
      <c r="F714" s="247"/>
      <c r="G714" s="248"/>
      <c r="H714" s="249"/>
      <c r="I714" s="250"/>
      <c r="J714" s="234"/>
      <c r="K714" s="244"/>
      <c r="L714" s="244"/>
      <c r="M714" s="244"/>
      <c r="N714" s="244"/>
      <c r="O714" s="244"/>
      <c r="P714" s="244"/>
    </row>
    <row r="715" ht="18.75" customHeight="1">
      <c r="A715" s="246"/>
      <c r="B715" s="247"/>
      <c r="C715" s="247"/>
      <c r="D715" s="247"/>
      <c r="E715" s="251"/>
      <c r="F715" s="247"/>
      <c r="G715" s="252"/>
      <c r="H715" s="253"/>
      <c r="I715" s="254"/>
      <c r="J715" s="235"/>
      <c r="K715" s="244"/>
      <c r="L715" s="244"/>
      <c r="M715" s="244"/>
      <c r="N715" s="244"/>
      <c r="O715" s="244"/>
      <c r="P715" s="244"/>
    </row>
    <row r="716" ht="18.75" customHeight="1">
      <c r="A716" s="246"/>
      <c r="B716" s="247"/>
      <c r="C716" s="247"/>
      <c r="D716" s="247"/>
      <c r="E716" s="247"/>
      <c r="F716" s="247"/>
      <c r="G716" s="248"/>
      <c r="H716" s="249"/>
      <c r="I716" s="250"/>
      <c r="J716" s="234"/>
      <c r="K716" s="244"/>
      <c r="L716" s="244"/>
      <c r="M716" s="244"/>
      <c r="N716" s="244"/>
      <c r="O716" s="244"/>
      <c r="P716" s="244"/>
    </row>
    <row r="717" ht="18.75" customHeight="1">
      <c r="A717" s="246"/>
      <c r="B717" s="247"/>
      <c r="C717" s="247"/>
      <c r="D717" s="247"/>
      <c r="E717" s="251"/>
      <c r="F717" s="247"/>
      <c r="G717" s="252"/>
      <c r="H717" s="253"/>
      <c r="I717" s="254"/>
      <c r="J717" s="235"/>
      <c r="K717" s="244"/>
      <c r="L717" s="244"/>
      <c r="M717" s="244"/>
      <c r="N717" s="244"/>
      <c r="O717" s="244"/>
      <c r="P717" s="244"/>
    </row>
    <row r="718" ht="18.75" customHeight="1">
      <c r="A718" s="246"/>
      <c r="B718" s="247"/>
      <c r="C718" s="247"/>
      <c r="D718" s="247"/>
      <c r="E718" s="247"/>
      <c r="F718" s="247"/>
      <c r="G718" s="248"/>
      <c r="H718" s="249"/>
      <c r="I718" s="250"/>
      <c r="J718" s="234"/>
      <c r="K718" s="244"/>
      <c r="L718" s="244"/>
      <c r="M718" s="244"/>
      <c r="N718" s="244"/>
      <c r="O718" s="244"/>
      <c r="P718" s="244"/>
    </row>
    <row r="719" ht="18.75" customHeight="1">
      <c r="A719" s="246"/>
      <c r="B719" s="247"/>
      <c r="C719" s="247"/>
      <c r="D719" s="247"/>
      <c r="E719" s="251"/>
      <c r="F719" s="247"/>
      <c r="G719" s="252"/>
      <c r="H719" s="253"/>
      <c r="I719" s="254"/>
      <c r="J719" s="235"/>
      <c r="K719" s="244"/>
      <c r="L719" s="244"/>
      <c r="M719" s="244"/>
      <c r="N719" s="244"/>
      <c r="O719" s="244"/>
      <c r="P719" s="244"/>
    </row>
    <row r="720" ht="18.75" customHeight="1">
      <c r="A720" s="246"/>
      <c r="B720" s="247"/>
      <c r="C720" s="247"/>
      <c r="D720" s="247"/>
      <c r="E720" s="247"/>
      <c r="F720" s="247"/>
      <c r="G720" s="248"/>
      <c r="H720" s="249"/>
      <c r="I720" s="250"/>
      <c r="J720" s="234"/>
      <c r="K720" s="244"/>
      <c r="L720" s="244"/>
      <c r="M720" s="244"/>
      <c r="N720" s="244"/>
      <c r="O720" s="244"/>
      <c r="P720" s="244"/>
    </row>
    <row r="721" ht="18.75" customHeight="1">
      <c r="A721" s="246"/>
      <c r="B721" s="247"/>
      <c r="C721" s="247"/>
      <c r="D721" s="247"/>
      <c r="E721" s="251"/>
      <c r="F721" s="247"/>
      <c r="G721" s="252"/>
      <c r="H721" s="253"/>
      <c r="I721" s="254"/>
      <c r="J721" s="235"/>
      <c r="K721" s="244"/>
      <c r="L721" s="244"/>
      <c r="M721" s="244"/>
      <c r="N721" s="244"/>
      <c r="O721" s="244"/>
      <c r="P721" s="244"/>
    </row>
    <row r="722" ht="18.75" customHeight="1">
      <c r="A722" s="246"/>
      <c r="B722" s="247"/>
      <c r="C722" s="247"/>
      <c r="D722" s="247"/>
      <c r="E722" s="247"/>
      <c r="F722" s="247"/>
      <c r="G722" s="248"/>
      <c r="H722" s="249"/>
      <c r="I722" s="250"/>
      <c r="J722" s="234"/>
      <c r="K722" s="244"/>
      <c r="L722" s="244"/>
      <c r="M722" s="244"/>
      <c r="N722" s="244"/>
      <c r="O722" s="244"/>
      <c r="P722" s="244"/>
    </row>
    <row r="723" ht="18.75" customHeight="1">
      <c r="A723" s="246"/>
      <c r="B723" s="247"/>
      <c r="C723" s="247"/>
      <c r="D723" s="247"/>
      <c r="E723" s="251"/>
      <c r="F723" s="247"/>
      <c r="G723" s="252"/>
      <c r="H723" s="253"/>
      <c r="I723" s="254"/>
      <c r="J723" s="235"/>
      <c r="K723" s="244"/>
      <c r="L723" s="244"/>
      <c r="M723" s="244"/>
      <c r="N723" s="244"/>
      <c r="O723" s="244"/>
      <c r="P723" s="244"/>
    </row>
    <row r="724" ht="18.75" customHeight="1">
      <c r="A724" s="246"/>
      <c r="B724" s="247"/>
      <c r="C724" s="247"/>
      <c r="D724" s="247"/>
      <c r="E724" s="247"/>
      <c r="F724" s="247"/>
      <c r="G724" s="248"/>
      <c r="H724" s="249"/>
      <c r="I724" s="250"/>
      <c r="J724" s="234"/>
      <c r="K724" s="244"/>
      <c r="L724" s="244"/>
      <c r="M724" s="244"/>
      <c r="N724" s="244"/>
      <c r="O724" s="244"/>
      <c r="P724" s="244"/>
    </row>
    <row r="725" ht="18.75" customHeight="1">
      <c r="A725" s="246"/>
      <c r="B725" s="247"/>
      <c r="C725" s="247"/>
      <c r="D725" s="247"/>
      <c r="E725" s="251"/>
      <c r="F725" s="247"/>
      <c r="G725" s="252"/>
      <c r="H725" s="253"/>
      <c r="I725" s="254"/>
      <c r="J725" s="235"/>
      <c r="K725" s="244"/>
      <c r="L725" s="244"/>
      <c r="M725" s="244"/>
      <c r="N725" s="244"/>
      <c r="O725" s="244"/>
      <c r="P725" s="244"/>
    </row>
    <row r="726" ht="18.75" customHeight="1">
      <c r="A726" s="246"/>
      <c r="B726" s="247"/>
      <c r="C726" s="247"/>
      <c r="D726" s="247"/>
      <c r="E726" s="247"/>
      <c r="F726" s="247"/>
      <c r="G726" s="248"/>
      <c r="H726" s="249"/>
      <c r="I726" s="250"/>
      <c r="J726" s="234"/>
      <c r="K726" s="244"/>
      <c r="L726" s="244"/>
      <c r="M726" s="244"/>
      <c r="N726" s="244"/>
      <c r="O726" s="244"/>
      <c r="P726" s="244"/>
    </row>
    <row r="727" ht="18.75" customHeight="1">
      <c r="A727" s="246"/>
      <c r="B727" s="247"/>
      <c r="C727" s="247"/>
      <c r="D727" s="247"/>
      <c r="E727" s="251"/>
      <c r="F727" s="247"/>
      <c r="G727" s="252"/>
      <c r="H727" s="253"/>
      <c r="I727" s="254"/>
      <c r="J727" s="235"/>
      <c r="K727" s="244"/>
      <c r="L727" s="244"/>
      <c r="M727" s="244"/>
      <c r="N727" s="244"/>
      <c r="O727" s="244"/>
      <c r="P727" s="244"/>
    </row>
    <row r="728" ht="18.75" customHeight="1">
      <c r="A728" s="246"/>
      <c r="B728" s="247"/>
      <c r="C728" s="247"/>
      <c r="D728" s="247"/>
      <c r="E728" s="247"/>
      <c r="F728" s="247"/>
      <c r="G728" s="248"/>
      <c r="H728" s="249"/>
      <c r="I728" s="250"/>
      <c r="J728" s="234"/>
      <c r="K728" s="244"/>
      <c r="L728" s="244"/>
      <c r="M728" s="244"/>
      <c r="N728" s="244"/>
      <c r="O728" s="244"/>
      <c r="P728" s="244"/>
    </row>
    <row r="729" ht="18.75" customHeight="1">
      <c r="A729" s="246"/>
      <c r="B729" s="247"/>
      <c r="C729" s="247"/>
      <c r="D729" s="247"/>
      <c r="E729" s="251"/>
      <c r="F729" s="247"/>
      <c r="G729" s="252"/>
      <c r="H729" s="253"/>
      <c r="I729" s="254"/>
      <c r="J729" s="235"/>
      <c r="K729" s="244"/>
      <c r="L729" s="244"/>
      <c r="M729" s="244"/>
      <c r="N729" s="244"/>
      <c r="O729" s="244"/>
      <c r="P729" s="244"/>
    </row>
    <row r="730" ht="18.75" customHeight="1">
      <c r="A730" s="246"/>
      <c r="B730" s="247"/>
      <c r="C730" s="247"/>
      <c r="D730" s="247"/>
      <c r="E730" s="247"/>
      <c r="F730" s="247"/>
      <c r="G730" s="248"/>
      <c r="H730" s="249"/>
      <c r="I730" s="250"/>
      <c r="J730" s="234"/>
      <c r="K730" s="244"/>
      <c r="L730" s="244"/>
      <c r="M730" s="244"/>
      <c r="N730" s="244"/>
      <c r="O730" s="244"/>
      <c r="P730" s="244"/>
    </row>
    <row r="731" ht="18.75" customHeight="1">
      <c r="A731" s="246"/>
      <c r="B731" s="247"/>
      <c r="C731" s="247"/>
      <c r="D731" s="247"/>
      <c r="E731" s="251"/>
      <c r="F731" s="247"/>
      <c r="G731" s="252"/>
      <c r="H731" s="253"/>
      <c r="I731" s="254"/>
      <c r="J731" s="235"/>
      <c r="K731" s="244"/>
      <c r="L731" s="244"/>
      <c r="M731" s="244"/>
      <c r="N731" s="244"/>
      <c r="O731" s="244"/>
      <c r="P731" s="244"/>
    </row>
    <row r="732" ht="18.75" customHeight="1">
      <c r="A732" s="246"/>
      <c r="B732" s="247"/>
      <c r="C732" s="247"/>
      <c r="D732" s="247"/>
      <c r="E732" s="247"/>
      <c r="F732" s="247"/>
      <c r="G732" s="248"/>
      <c r="H732" s="249"/>
      <c r="I732" s="250"/>
      <c r="J732" s="234"/>
      <c r="K732" s="244"/>
      <c r="L732" s="244"/>
      <c r="M732" s="244"/>
      <c r="N732" s="244"/>
      <c r="O732" s="244"/>
      <c r="P732" s="244"/>
    </row>
    <row r="733" ht="18.75" customHeight="1">
      <c r="A733" s="246"/>
      <c r="B733" s="247"/>
      <c r="C733" s="247"/>
      <c r="D733" s="247"/>
      <c r="E733" s="251"/>
      <c r="F733" s="247"/>
      <c r="G733" s="252"/>
      <c r="H733" s="253"/>
      <c r="I733" s="254"/>
      <c r="J733" s="235"/>
      <c r="K733" s="244"/>
      <c r="L733" s="244"/>
      <c r="M733" s="244"/>
      <c r="N733" s="244"/>
      <c r="O733" s="244"/>
      <c r="P733" s="244"/>
    </row>
    <row r="734" ht="18.75" customHeight="1">
      <c r="A734" s="246"/>
      <c r="B734" s="247"/>
      <c r="C734" s="247"/>
      <c r="D734" s="247"/>
      <c r="E734" s="247"/>
      <c r="F734" s="247"/>
      <c r="G734" s="248"/>
      <c r="H734" s="249"/>
      <c r="I734" s="250"/>
      <c r="J734" s="234"/>
      <c r="K734" s="244"/>
      <c r="L734" s="244"/>
      <c r="M734" s="244"/>
      <c r="N734" s="244"/>
      <c r="O734" s="244"/>
      <c r="P734" s="244"/>
    </row>
    <row r="735" ht="18.75" customHeight="1">
      <c r="A735" s="246"/>
      <c r="B735" s="247"/>
      <c r="C735" s="247"/>
      <c r="D735" s="247"/>
      <c r="E735" s="251"/>
      <c r="F735" s="247"/>
      <c r="G735" s="252"/>
      <c r="H735" s="253"/>
      <c r="I735" s="254"/>
      <c r="J735" s="235"/>
      <c r="K735" s="244"/>
      <c r="L735" s="244"/>
      <c r="M735" s="244"/>
      <c r="N735" s="244"/>
      <c r="O735" s="244"/>
      <c r="P735" s="244"/>
    </row>
    <row r="736" ht="18.75" customHeight="1">
      <c r="A736" s="246"/>
      <c r="B736" s="247"/>
      <c r="C736" s="247"/>
      <c r="D736" s="247"/>
      <c r="E736" s="247"/>
      <c r="F736" s="247"/>
      <c r="G736" s="248"/>
      <c r="H736" s="249"/>
      <c r="I736" s="250"/>
      <c r="J736" s="234"/>
      <c r="K736" s="244"/>
      <c r="L736" s="244"/>
      <c r="M736" s="244"/>
      <c r="N736" s="244"/>
      <c r="O736" s="244"/>
      <c r="P736" s="244"/>
    </row>
    <row r="737" ht="18.75" customHeight="1">
      <c r="A737" s="246"/>
      <c r="B737" s="247"/>
      <c r="C737" s="247"/>
      <c r="D737" s="247"/>
      <c r="E737" s="251"/>
      <c r="F737" s="247"/>
      <c r="G737" s="252"/>
      <c r="H737" s="253"/>
      <c r="I737" s="254"/>
      <c r="J737" s="235"/>
      <c r="K737" s="244"/>
      <c r="L737" s="244"/>
      <c r="M737" s="244"/>
      <c r="N737" s="244"/>
      <c r="O737" s="244"/>
      <c r="P737" s="244"/>
    </row>
    <row r="738" ht="18.75" customHeight="1">
      <c r="A738" s="246"/>
      <c r="B738" s="247"/>
      <c r="C738" s="247"/>
      <c r="D738" s="247"/>
      <c r="E738" s="247"/>
      <c r="F738" s="247"/>
      <c r="G738" s="248"/>
      <c r="H738" s="249"/>
      <c r="I738" s="250"/>
      <c r="J738" s="234"/>
      <c r="K738" s="244"/>
      <c r="L738" s="244"/>
      <c r="M738" s="244"/>
      <c r="N738" s="244"/>
      <c r="O738" s="244"/>
      <c r="P738" s="244"/>
    </row>
    <row r="739" ht="18.75" customHeight="1">
      <c r="A739" s="246"/>
      <c r="B739" s="247"/>
      <c r="C739" s="247"/>
      <c r="D739" s="247"/>
      <c r="E739" s="251"/>
      <c r="F739" s="247"/>
      <c r="G739" s="252"/>
      <c r="H739" s="253"/>
      <c r="I739" s="254"/>
      <c r="J739" s="235"/>
      <c r="K739" s="244"/>
      <c r="L739" s="244"/>
      <c r="M739" s="244"/>
      <c r="N739" s="244"/>
      <c r="O739" s="244"/>
      <c r="P739" s="244"/>
    </row>
    <row r="740" ht="18.75" customHeight="1">
      <c r="A740" s="246"/>
      <c r="B740" s="247"/>
      <c r="C740" s="247"/>
      <c r="D740" s="247"/>
      <c r="E740" s="247"/>
      <c r="F740" s="247"/>
      <c r="G740" s="248"/>
      <c r="H740" s="249"/>
      <c r="I740" s="250"/>
      <c r="J740" s="234"/>
      <c r="K740" s="244"/>
      <c r="L740" s="244"/>
      <c r="M740" s="244"/>
      <c r="N740" s="244"/>
      <c r="O740" s="244"/>
      <c r="P740" s="244"/>
    </row>
    <row r="741" ht="18.75" customHeight="1">
      <c r="A741" s="246"/>
      <c r="B741" s="247"/>
      <c r="C741" s="247"/>
      <c r="D741" s="247"/>
      <c r="E741" s="251"/>
      <c r="F741" s="247"/>
      <c r="G741" s="252"/>
      <c r="H741" s="253"/>
      <c r="I741" s="254"/>
      <c r="J741" s="235"/>
      <c r="K741" s="244"/>
      <c r="L741" s="244"/>
      <c r="M741" s="244"/>
      <c r="N741" s="244"/>
      <c r="O741" s="244"/>
      <c r="P741" s="244"/>
    </row>
    <row r="742" ht="18.75" customHeight="1">
      <c r="A742" s="246"/>
      <c r="B742" s="247"/>
      <c r="C742" s="247"/>
      <c r="D742" s="247"/>
      <c r="E742" s="247"/>
      <c r="F742" s="247"/>
      <c r="G742" s="248"/>
      <c r="H742" s="249"/>
      <c r="I742" s="250"/>
      <c r="J742" s="234"/>
      <c r="K742" s="244"/>
      <c r="L742" s="244"/>
      <c r="M742" s="244"/>
      <c r="N742" s="244"/>
      <c r="O742" s="244"/>
      <c r="P742" s="244"/>
    </row>
    <row r="743" ht="18.75" customHeight="1">
      <c r="A743" s="246"/>
      <c r="B743" s="247"/>
      <c r="C743" s="247"/>
      <c r="D743" s="247"/>
      <c r="E743" s="251"/>
      <c r="F743" s="247"/>
      <c r="G743" s="252"/>
      <c r="H743" s="253"/>
      <c r="I743" s="254"/>
      <c r="J743" s="235"/>
      <c r="K743" s="244"/>
      <c r="L743" s="244"/>
      <c r="M743" s="244"/>
      <c r="N743" s="244"/>
      <c r="O743" s="244"/>
      <c r="P743" s="244"/>
    </row>
    <row r="744" ht="18.75" customHeight="1">
      <c r="A744" s="246"/>
      <c r="B744" s="247"/>
      <c r="C744" s="247"/>
      <c r="D744" s="247"/>
      <c r="E744" s="247"/>
      <c r="F744" s="247"/>
      <c r="G744" s="248"/>
      <c r="H744" s="249"/>
      <c r="I744" s="250"/>
      <c r="J744" s="234"/>
      <c r="K744" s="244"/>
      <c r="L744" s="244"/>
      <c r="M744" s="244"/>
      <c r="N744" s="244"/>
      <c r="O744" s="244"/>
      <c r="P744" s="244"/>
    </row>
    <row r="745" ht="18.75" customHeight="1">
      <c r="A745" s="246"/>
      <c r="B745" s="247"/>
      <c r="C745" s="247"/>
      <c r="D745" s="247"/>
      <c r="E745" s="251"/>
      <c r="F745" s="247"/>
      <c r="G745" s="252"/>
      <c r="H745" s="253"/>
      <c r="I745" s="254"/>
      <c r="J745" s="235"/>
      <c r="K745" s="244"/>
      <c r="L745" s="244"/>
      <c r="M745" s="244"/>
      <c r="N745" s="244"/>
      <c r="O745" s="244"/>
      <c r="P745" s="244"/>
    </row>
    <row r="746" ht="18.75" customHeight="1">
      <c r="A746" s="246"/>
      <c r="B746" s="247"/>
      <c r="C746" s="247"/>
      <c r="D746" s="247"/>
      <c r="E746" s="247"/>
      <c r="F746" s="247"/>
      <c r="G746" s="248"/>
      <c r="H746" s="249"/>
      <c r="I746" s="250"/>
      <c r="J746" s="234"/>
      <c r="K746" s="244"/>
      <c r="L746" s="244"/>
      <c r="M746" s="244"/>
      <c r="N746" s="244"/>
      <c r="O746" s="244"/>
      <c r="P746" s="244"/>
    </row>
    <row r="747" ht="18.75" customHeight="1">
      <c r="A747" s="246"/>
      <c r="B747" s="247"/>
      <c r="C747" s="247"/>
      <c r="D747" s="247"/>
      <c r="E747" s="251"/>
      <c r="F747" s="247"/>
      <c r="G747" s="252"/>
      <c r="H747" s="253"/>
      <c r="I747" s="254"/>
      <c r="J747" s="235"/>
      <c r="K747" s="244"/>
      <c r="L747" s="244"/>
      <c r="M747" s="244"/>
      <c r="N747" s="244"/>
      <c r="O747" s="244"/>
      <c r="P747" s="244"/>
    </row>
    <row r="748" ht="18.75" customHeight="1">
      <c r="A748" s="246"/>
      <c r="B748" s="247"/>
      <c r="C748" s="247"/>
      <c r="D748" s="247"/>
      <c r="E748" s="247"/>
      <c r="F748" s="247"/>
      <c r="G748" s="248"/>
      <c r="H748" s="249"/>
      <c r="I748" s="250"/>
      <c r="J748" s="234"/>
      <c r="K748" s="244"/>
      <c r="L748" s="244"/>
      <c r="M748" s="244"/>
      <c r="N748" s="244"/>
      <c r="O748" s="244"/>
      <c r="P748" s="244"/>
    </row>
    <row r="749" ht="18.75" customHeight="1">
      <c r="A749" s="246"/>
      <c r="B749" s="247"/>
      <c r="C749" s="247"/>
      <c r="D749" s="247"/>
      <c r="E749" s="251"/>
      <c r="F749" s="247"/>
      <c r="G749" s="252"/>
      <c r="H749" s="253"/>
      <c r="I749" s="254"/>
      <c r="J749" s="235"/>
      <c r="K749" s="244"/>
      <c r="L749" s="244"/>
      <c r="M749" s="244"/>
      <c r="N749" s="244"/>
      <c r="O749" s="244"/>
      <c r="P749" s="244"/>
    </row>
    <row r="750" ht="18.75" customHeight="1">
      <c r="A750" s="246"/>
      <c r="B750" s="247"/>
      <c r="C750" s="247"/>
      <c r="D750" s="247"/>
      <c r="E750" s="247"/>
      <c r="F750" s="247"/>
      <c r="G750" s="248"/>
      <c r="H750" s="249"/>
      <c r="I750" s="250"/>
      <c r="J750" s="234"/>
      <c r="K750" s="244"/>
      <c r="L750" s="244"/>
      <c r="M750" s="244"/>
      <c r="N750" s="244"/>
      <c r="O750" s="244"/>
      <c r="P750" s="244"/>
    </row>
    <row r="751" ht="18.75" customHeight="1">
      <c r="A751" s="246"/>
      <c r="B751" s="247"/>
      <c r="C751" s="247"/>
      <c r="D751" s="247"/>
      <c r="E751" s="251"/>
      <c r="F751" s="247"/>
      <c r="G751" s="252"/>
      <c r="H751" s="253"/>
      <c r="I751" s="254"/>
      <c r="J751" s="235"/>
      <c r="K751" s="244"/>
      <c r="L751" s="244"/>
      <c r="M751" s="244"/>
      <c r="N751" s="244"/>
      <c r="O751" s="244"/>
      <c r="P751" s="244"/>
    </row>
    <row r="752" ht="18.75" customHeight="1">
      <c r="A752" s="246"/>
      <c r="B752" s="247"/>
      <c r="C752" s="247"/>
      <c r="D752" s="247"/>
      <c r="E752" s="247"/>
      <c r="F752" s="247"/>
      <c r="G752" s="248"/>
      <c r="H752" s="249"/>
      <c r="I752" s="250"/>
      <c r="J752" s="234"/>
      <c r="K752" s="244"/>
      <c r="L752" s="244"/>
      <c r="M752" s="244"/>
      <c r="N752" s="244"/>
      <c r="O752" s="244"/>
      <c r="P752" s="244"/>
    </row>
    <row r="753" ht="18.75" customHeight="1">
      <c r="A753" s="246"/>
      <c r="B753" s="247"/>
      <c r="C753" s="247"/>
      <c r="D753" s="247"/>
      <c r="E753" s="251"/>
      <c r="F753" s="247"/>
      <c r="G753" s="252"/>
      <c r="H753" s="253"/>
      <c r="I753" s="254"/>
      <c r="J753" s="235"/>
      <c r="K753" s="244"/>
      <c r="L753" s="244"/>
      <c r="M753" s="244"/>
      <c r="N753" s="244"/>
      <c r="O753" s="244"/>
      <c r="P753" s="244"/>
    </row>
    <row r="754" ht="18.75" customHeight="1">
      <c r="A754" s="246"/>
      <c r="B754" s="247"/>
      <c r="C754" s="247"/>
      <c r="D754" s="247"/>
      <c r="E754" s="247"/>
      <c r="F754" s="247"/>
      <c r="G754" s="248"/>
      <c r="H754" s="249"/>
      <c r="I754" s="250"/>
      <c r="J754" s="234"/>
      <c r="K754" s="244"/>
      <c r="L754" s="244"/>
      <c r="M754" s="244"/>
      <c r="N754" s="244"/>
      <c r="O754" s="244"/>
      <c r="P754" s="244"/>
    </row>
    <row r="755" ht="18.75" customHeight="1">
      <c r="A755" s="246"/>
      <c r="B755" s="247"/>
      <c r="C755" s="247"/>
      <c r="D755" s="247"/>
      <c r="E755" s="251"/>
      <c r="F755" s="247"/>
      <c r="G755" s="252"/>
      <c r="H755" s="253"/>
      <c r="I755" s="254"/>
      <c r="J755" s="235"/>
      <c r="K755" s="244"/>
      <c r="L755" s="244"/>
      <c r="M755" s="244"/>
      <c r="N755" s="244"/>
      <c r="O755" s="244"/>
      <c r="P755" s="244"/>
    </row>
    <row r="756" ht="18.75" customHeight="1">
      <c r="A756" s="246"/>
      <c r="B756" s="247"/>
      <c r="C756" s="247"/>
      <c r="D756" s="247"/>
      <c r="E756" s="247"/>
      <c r="F756" s="247"/>
      <c r="G756" s="248"/>
      <c r="H756" s="249"/>
      <c r="I756" s="250"/>
      <c r="J756" s="234"/>
      <c r="K756" s="244"/>
      <c r="L756" s="244"/>
      <c r="M756" s="244"/>
      <c r="N756" s="244"/>
      <c r="O756" s="244"/>
      <c r="P756" s="244"/>
    </row>
    <row r="757" ht="18.75" customHeight="1">
      <c r="A757" s="246"/>
      <c r="B757" s="247"/>
      <c r="C757" s="247"/>
      <c r="D757" s="247"/>
      <c r="E757" s="251"/>
      <c r="F757" s="247"/>
      <c r="G757" s="252"/>
      <c r="H757" s="253"/>
      <c r="I757" s="254"/>
      <c r="J757" s="235"/>
      <c r="K757" s="244"/>
      <c r="L757" s="244"/>
      <c r="M757" s="244"/>
      <c r="N757" s="244"/>
      <c r="O757" s="244"/>
      <c r="P757" s="244"/>
    </row>
    <row r="758" ht="18.75" customHeight="1">
      <c r="A758" s="246"/>
      <c r="B758" s="247"/>
      <c r="C758" s="247"/>
      <c r="D758" s="247"/>
      <c r="E758" s="247"/>
      <c r="F758" s="247"/>
      <c r="G758" s="248"/>
      <c r="H758" s="249"/>
      <c r="I758" s="250"/>
      <c r="J758" s="234"/>
      <c r="K758" s="244"/>
      <c r="L758" s="244"/>
      <c r="M758" s="244"/>
      <c r="N758" s="244"/>
      <c r="O758" s="244"/>
      <c r="P758" s="244"/>
    </row>
    <row r="759" ht="18.75" customHeight="1">
      <c r="A759" s="246"/>
      <c r="B759" s="247"/>
      <c r="C759" s="247"/>
      <c r="D759" s="247"/>
      <c r="E759" s="251"/>
      <c r="F759" s="247"/>
      <c r="G759" s="252"/>
      <c r="H759" s="253"/>
      <c r="I759" s="254"/>
      <c r="J759" s="235"/>
      <c r="K759" s="244"/>
      <c r="L759" s="244"/>
      <c r="M759" s="244"/>
      <c r="N759" s="244"/>
      <c r="O759" s="244"/>
      <c r="P759" s="244"/>
    </row>
    <row r="760" ht="18.75" customHeight="1">
      <c r="A760" s="246"/>
      <c r="B760" s="247"/>
      <c r="C760" s="247"/>
      <c r="D760" s="247"/>
      <c r="E760" s="247"/>
      <c r="F760" s="247"/>
      <c r="G760" s="248"/>
      <c r="H760" s="249"/>
      <c r="I760" s="250"/>
      <c r="J760" s="234"/>
      <c r="K760" s="244"/>
      <c r="L760" s="244"/>
      <c r="M760" s="244"/>
      <c r="N760" s="244"/>
      <c r="O760" s="244"/>
      <c r="P760" s="244"/>
    </row>
    <row r="761" ht="18.75" customHeight="1">
      <c r="A761" s="246"/>
      <c r="B761" s="247"/>
      <c r="C761" s="247"/>
      <c r="D761" s="247"/>
      <c r="E761" s="251"/>
      <c r="F761" s="247"/>
      <c r="G761" s="252"/>
      <c r="H761" s="253"/>
      <c r="I761" s="254"/>
      <c r="J761" s="235"/>
      <c r="K761" s="244"/>
      <c r="L761" s="244"/>
      <c r="M761" s="244"/>
      <c r="N761" s="244"/>
      <c r="O761" s="244"/>
      <c r="P761" s="244"/>
    </row>
    <row r="762" ht="18.75" customHeight="1">
      <c r="A762" s="246"/>
      <c r="B762" s="247"/>
      <c r="C762" s="247"/>
      <c r="D762" s="247"/>
      <c r="E762" s="247"/>
      <c r="F762" s="247"/>
      <c r="G762" s="248"/>
      <c r="H762" s="249"/>
      <c r="I762" s="250"/>
      <c r="J762" s="234"/>
      <c r="K762" s="244"/>
      <c r="L762" s="244"/>
      <c r="M762" s="244"/>
      <c r="N762" s="244"/>
      <c r="O762" s="244"/>
      <c r="P762" s="244"/>
    </row>
    <row r="763" ht="18.75" customHeight="1">
      <c r="A763" s="246"/>
      <c r="B763" s="247"/>
      <c r="C763" s="247"/>
      <c r="D763" s="247"/>
      <c r="E763" s="251"/>
      <c r="F763" s="247"/>
      <c r="G763" s="252"/>
      <c r="H763" s="253"/>
      <c r="I763" s="254"/>
      <c r="J763" s="235"/>
      <c r="K763" s="244"/>
      <c r="L763" s="244"/>
      <c r="M763" s="244"/>
      <c r="N763" s="244"/>
      <c r="O763" s="244"/>
      <c r="P763" s="244"/>
    </row>
    <row r="764" ht="18.75" customHeight="1">
      <c r="A764" s="246"/>
      <c r="B764" s="247"/>
      <c r="C764" s="247"/>
      <c r="D764" s="247"/>
      <c r="E764" s="247"/>
      <c r="F764" s="247"/>
      <c r="G764" s="248"/>
      <c r="H764" s="249"/>
      <c r="I764" s="250"/>
      <c r="J764" s="234"/>
      <c r="K764" s="244"/>
      <c r="L764" s="244"/>
      <c r="M764" s="244"/>
      <c r="N764" s="244"/>
      <c r="O764" s="244"/>
      <c r="P764" s="244"/>
    </row>
    <row r="765" ht="18.75" customHeight="1">
      <c r="A765" s="246"/>
      <c r="B765" s="247"/>
      <c r="C765" s="247"/>
      <c r="D765" s="247"/>
      <c r="E765" s="251"/>
      <c r="F765" s="247"/>
      <c r="G765" s="252"/>
      <c r="H765" s="253"/>
      <c r="I765" s="254"/>
      <c r="J765" s="235"/>
      <c r="K765" s="244"/>
      <c r="L765" s="244"/>
      <c r="M765" s="244"/>
      <c r="N765" s="244"/>
      <c r="O765" s="244"/>
      <c r="P765" s="244"/>
    </row>
    <row r="766" ht="18.75" customHeight="1">
      <c r="A766" s="246"/>
      <c r="B766" s="247"/>
      <c r="C766" s="247"/>
      <c r="D766" s="247"/>
      <c r="E766" s="247"/>
      <c r="F766" s="247"/>
      <c r="G766" s="248"/>
      <c r="H766" s="249"/>
      <c r="I766" s="250"/>
      <c r="J766" s="234"/>
      <c r="K766" s="244"/>
      <c r="L766" s="244"/>
      <c r="M766" s="244"/>
      <c r="N766" s="244"/>
      <c r="O766" s="244"/>
      <c r="P766" s="244"/>
    </row>
    <row r="767" ht="18.75" customHeight="1">
      <c r="A767" s="246"/>
      <c r="B767" s="247"/>
      <c r="C767" s="247"/>
      <c r="D767" s="247"/>
      <c r="E767" s="251"/>
      <c r="F767" s="247"/>
      <c r="G767" s="252"/>
      <c r="H767" s="253"/>
      <c r="I767" s="254"/>
      <c r="J767" s="235"/>
      <c r="K767" s="244"/>
      <c r="L767" s="244"/>
      <c r="M767" s="244"/>
      <c r="N767" s="244"/>
      <c r="O767" s="244"/>
      <c r="P767" s="244"/>
    </row>
    <row r="768" ht="18.75" customHeight="1">
      <c r="A768" s="246"/>
      <c r="B768" s="247"/>
      <c r="C768" s="247"/>
      <c r="D768" s="247"/>
      <c r="E768" s="247"/>
      <c r="F768" s="247"/>
      <c r="G768" s="248"/>
      <c r="H768" s="249"/>
      <c r="I768" s="250"/>
      <c r="J768" s="234"/>
      <c r="K768" s="244"/>
      <c r="L768" s="244"/>
      <c r="M768" s="244"/>
      <c r="N768" s="244"/>
      <c r="O768" s="244"/>
      <c r="P768" s="244"/>
    </row>
    <row r="769" ht="18.75" customHeight="1">
      <c r="A769" s="246"/>
      <c r="B769" s="247"/>
      <c r="C769" s="247"/>
      <c r="D769" s="247"/>
      <c r="E769" s="251"/>
      <c r="F769" s="247"/>
      <c r="G769" s="252"/>
      <c r="H769" s="253"/>
      <c r="I769" s="254"/>
      <c r="J769" s="235"/>
      <c r="K769" s="244"/>
      <c r="L769" s="244"/>
      <c r="M769" s="244"/>
      <c r="N769" s="244"/>
      <c r="O769" s="244"/>
      <c r="P769" s="244"/>
    </row>
    <row r="770" ht="18.75" customHeight="1">
      <c r="A770" s="246"/>
      <c r="B770" s="247"/>
      <c r="C770" s="247"/>
      <c r="D770" s="247"/>
      <c r="E770" s="247"/>
      <c r="F770" s="247"/>
      <c r="G770" s="248"/>
      <c r="H770" s="249"/>
      <c r="I770" s="250"/>
      <c r="J770" s="234"/>
      <c r="K770" s="244"/>
      <c r="L770" s="244"/>
      <c r="M770" s="244"/>
      <c r="N770" s="244"/>
      <c r="O770" s="244"/>
      <c r="P770" s="244"/>
    </row>
    <row r="771" ht="18.75" customHeight="1">
      <c r="A771" s="246"/>
      <c r="B771" s="247"/>
      <c r="C771" s="247"/>
      <c r="D771" s="247"/>
      <c r="E771" s="251"/>
      <c r="F771" s="247"/>
      <c r="G771" s="252"/>
      <c r="H771" s="253"/>
      <c r="I771" s="254"/>
      <c r="J771" s="235"/>
      <c r="K771" s="244"/>
      <c r="L771" s="244"/>
      <c r="M771" s="244"/>
      <c r="N771" s="244"/>
      <c r="O771" s="244"/>
      <c r="P771" s="244"/>
    </row>
    <row r="772" ht="18.75" customHeight="1">
      <c r="A772" s="246"/>
      <c r="B772" s="247"/>
      <c r="C772" s="247"/>
      <c r="D772" s="247"/>
      <c r="E772" s="247"/>
      <c r="F772" s="247"/>
      <c r="G772" s="248"/>
      <c r="H772" s="249"/>
      <c r="I772" s="250"/>
      <c r="J772" s="234"/>
      <c r="K772" s="244"/>
      <c r="L772" s="244"/>
      <c r="M772" s="244"/>
      <c r="N772" s="244"/>
      <c r="O772" s="244"/>
      <c r="P772" s="244"/>
    </row>
    <row r="773" ht="18.75" customHeight="1">
      <c r="A773" s="246"/>
      <c r="B773" s="247"/>
      <c r="C773" s="247"/>
      <c r="D773" s="247"/>
      <c r="E773" s="251"/>
      <c r="F773" s="247"/>
      <c r="G773" s="252"/>
      <c r="H773" s="253"/>
      <c r="I773" s="254"/>
      <c r="J773" s="235"/>
      <c r="K773" s="244"/>
      <c r="L773" s="244"/>
      <c r="M773" s="244"/>
      <c r="N773" s="244"/>
      <c r="O773" s="244"/>
      <c r="P773" s="244"/>
    </row>
    <row r="774" ht="18.75" customHeight="1">
      <c r="A774" s="246"/>
      <c r="B774" s="247"/>
      <c r="C774" s="247"/>
      <c r="D774" s="247"/>
      <c r="E774" s="247"/>
      <c r="F774" s="247"/>
      <c r="G774" s="248"/>
      <c r="H774" s="249"/>
      <c r="I774" s="250"/>
      <c r="J774" s="234"/>
      <c r="K774" s="244"/>
      <c r="L774" s="244"/>
      <c r="M774" s="244"/>
      <c r="N774" s="244"/>
      <c r="O774" s="244"/>
      <c r="P774" s="244"/>
    </row>
    <row r="775" ht="18.75" customHeight="1">
      <c r="A775" s="246"/>
      <c r="B775" s="247"/>
      <c r="C775" s="247"/>
      <c r="D775" s="247"/>
      <c r="E775" s="251"/>
      <c r="F775" s="247"/>
      <c r="G775" s="252"/>
      <c r="H775" s="253"/>
      <c r="I775" s="254"/>
      <c r="J775" s="235"/>
      <c r="K775" s="244"/>
      <c r="L775" s="244"/>
      <c r="M775" s="244"/>
      <c r="N775" s="244"/>
      <c r="O775" s="244"/>
      <c r="P775" s="244"/>
    </row>
    <row r="776" ht="18.75" customHeight="1">
      <c r="A776" s="246"/>
      <c r="B776" s="247"/>
      <c r="C776" s="247"/>
      <c r="D776" s="247"/>
      <c r="E776" s="247"/>
      <c r="F776" s="247"/>
      <c r="G776" s="248"/>
      <c r="H776" s="249"/>
      <c r="I776" s="250"/>
      <c r="J776" s="234"/>
      <c r="K776" s="244"/>
      <c r="L776" s="244"/>
      <c r="M776" s="244"/>
      <c r="N776" s="244"/>
      <c r="O776" s="244"/>
      <c r="P776" s="244"/>
    </row>
    <row r="777" ht="18.75" customHeight="1">
      <c r="A777" s="246"/>
      <c r="B777" s="247"/>
      <c r="C777" s="247"/>
      <c r="D777" s="247"/>
      <c r="E777" s="251"/>
      <c r="F777" s="247"/>
      <c r="G777" s="252"/>
      <c r="H777" s="253"/>
      <c r="I777" s="254"/>
      <c r="J777" s="235"/>
      <c r="K777" s="244"/>
      <c r="L777" s="244"/>
      <c r="M777" s="244"/>
      <c r="N777" s="244"/>
      <c r="O777" s="244"/>
      <c r="P777" s="244"/>
    </row>
    <row r="778" ht="18.75" customHeight="1">
      <c r="A778" s="246"/>
      <c r="B778" s="247"/>
      <c r="C778" s="247"/>
      <c r="D778" s="247"/>
      <c r="E778" s="247"/>
      <c r="F778" s="247"/>
      <c r="G778" s="248"/>
      <c r="H778" s="249"/>
      <c r="I778" s="250"/>
      <c r="J778" s="234"/>
      <c r="K778" s="244"/>
      <c r="L778" s="244"/>
      <c r="M778" s="244"/>
      <c r="N778" s="244"/>
      <c r="O778" s="244"/>
      <c r="P778" s="244"/>
    </row>
    <row r="779" ht="18.75" customHeight="1">
      <c r="A779" s="246"/>
      <c r="B779" s="247"/>
      <c r="C779" s="247"/>
      <c r="D779" s="247"/>
      <c r="E779" s="251"/>
      <c r="F779" s="247"/>
      <c r="G779" s="252"/>
      <c r="H779" s="253"/>
      <c r="I779" s="254"/>
      <c r="J779" s="235"/>
      <c r="K779" s="244"/>
      <c r="L779" s="244"/>
      <c r="M779" s="244"/>
      <c r="N779" s="244"/>
      <c r="O779" s="244"/>
      <c r="P779" s="244"/>
    </row>
    <row r="780" ht="18.75" customHeight="1">
      <c r="A780" s="246"/>
      <c r="B780" s="247"/>
      <c r="C780" s="247"/>
      <c r="D780" s="247"/>
      <c r="E780" s="247"/>
      <c r="F780" s="247"/>
      <c r="G780" s="248"/>
      <c r="H780" s="249"/>
      <c r="I780" s="250"/>
      <c r="J780" s="234"/>
      <c r="K780" s="244"/>
      <c r="L780" s="244"/>
      <c r="M780" s="244"/>
      <c r="N780" s="244"/>
      <c r="O780" s="244"/>
      <c r="P780" s="244"/>
    </row>
    <row r="781" ht="18.75" customHeight="1">
      <c r="A781" s="246"/>
      <c r="B781" s="247"/>
      <c r="C781" s="247"/>
      <c r="D781" s="247"/>
      <c r="E781" s="251"/>
      <c r="F781" s="247"/>
      <c r="G781" s="252"/>
      <c r="H781" s="253"/>
      <c r="I781" s="254"/>
      <c r="J781" s="235"/>
      <c r="K781" s="244"/>
      <c r="L781" s="244"/>
      <c r="M781" s="244"/>
      <c r="N781" s="244"/>
      <c r="O781" s="244"/>
      <c r="P781" s="244"/>
    </row>
    <row r="782" ht="18.75" customHeight="1">
      <c r="A782" s="246"/>
      <c r="B782" s="247"/>
      <c r="C782" s="247"/>
      <c r="D782" s="247"/>
      <c r="E782" s="247"/>
      <c r="F782" s="247"/>
      <c r="G782" s="248"/>
      <c r="H782" s="249"/>
      <c r="I782" s="250"/>
      <c r="J782" s="234"/>
      <c r="K782" s="244"/>
      <c r="L782" s="244"/>
      <c r="M782" s="244"/>
      <c r="N782" s="244"/>
      <c r="O782" s="244"/>
      <c r="P782" s="244"/>
    </row>
    <row r="783" ht="18.75" customHeight="1">
      <c r="A783" s="246"/>
      <c r="B783" s="247"/>
      <c r="C783" s="247"/>
      <c r="D783" s="247"/>
      <c r="E783" s="251"/>
      <c r="F783" s="247"/>
      <c r="G783" s="252"/>
      <c r="H783" s="253"/>
      <c r="I783" s="254"/>
      <c r="J783" s="235"/>
      <c r="K783" s="244"/>
      <c r="L783" s="244"/>
      <c r="M783" s="244"/>
      <c r="N783" s="244"/>
      <c r="O783" s="244"/>
      <c r="P783" s="244"/>
    </row>
    <row r="784" ht="18.75" customHeight="1">
      <c r="A784" s="246"/>
      <c r="B784" s="247"/>
      <c r="C784" s="247"/>
      <c r="D784" s="247"/>
      <c r="E784" s="247"/>
      <c r="F784" s="247"/>
      <c r="G784" s="248"/>
      <c r="H784" s="249"/>
      <c r="I784" s="250"/>
      <c r="J784" s="234"/>
      <c r="K784" s="244"/>
      <c r="L784" s="244"/>
      <c r="M784" s="244"/>
      <c r="N784" s="244"/>
      <c r="O784" s="244"/>
      <c r="P784" s="244"/>
    </row>
    <row r="785" ht="18.75" customHeight="1">
      <c r="A785" s="246"/>
      <c r="B785" s="247"/>
      <c r="C785" s="247"/>
      <c r="D785" s="247"/>
      <c r="E785" s="251"/>
      <c r="F785" s="247"/>
      <c r="G785" s="252"/>
      <c r="H785" s="253"/>
      <c r="I785" s="254"/>
      <c r="J785" s="235"/>
      <c r="K785" s="244"/>
      <c r="L785" s="244"/>
      <c r="M785" s="244"/>
      <c r="N785" s="244"/>
      <c r="O785" s="244"/>
      <c r="P785" s="244"/>
    </row>
    <row r="786" ht="18.75" customHeight="1">
      <c r="A786" s="246"/>
      <c r="B786" s="247"/>
      <c r="C786" s="247"/>
      <c r="D786" s="247"/>
      <c r="E786" s="247"/>
      <c r="F786" s="247"/>
      <c r="G786" s="248"/>
      <c r="H786" s="249"/>
      <c r="I786" s="250"/>
      <c r="J786" s="234"/>
      <c r="K786" s="244"/>
      <c r="L786" s="244"/>
      <c r="M786" s="244"/>
      <c r="N786" s="244"/>
      <c r="O786" s="244"/>
      <c r="P786" s="244"/>
    </row>
    <row r="787" ht="18.75" customHeight="1">
      <c r="A787" s="246"/>
      <c r="B787" s="247"/>
      <c r="C787" s="247"/>
      <c r="D787" s="247"/>
      <c r="E787" s="251"/>
      <c r="F787" s="247"/>
      <c r="G787" s="252"/>
      <c r="H787" s="253"/>
      <c r="I787" s="254"/>
      <c r="J787" s="235"/>
      <c r="K787" s="244"/>
      <c r="L787" s="244"/>
      <c r="M787" s="244"/>
      <c r="N787" s="244"/>
      <c r="O787" s="244"/>
      <c r="P787" s="244"/>
    </row>
    <row r="788" ht="18.75" customHeight="1">
      <c r="A788" s="246"/>
      <c r="B788" s="247"/>
      <c r="C788" s="247"/>
      <c r="D788" s="247"/>
      <c r="E788" s="247"/>
      <c r="F788" s="247"/>
      <c r="G788" s="248"/>
      <c r="H788" s="249"/>
      <c r="I788" s="250"/>
      <c r="J788" s="234"/>
      <c r="K788" s="244"/>
      <c r="L788" s="244"/>
      <c r="M788" s="244"/>
      <c r="N788" s="244"/>
      <c r="O788" s="244"/>
      <c r="P788" s="244"/>
    </row>
    <row r="789" ht="18.75" customHeight="1">
      <c r="A789" s="246"/>
      <c r="B789" s="247"/>
      <c r="C789" s="247"/>
      <c r="D789" s="247"/>
      <c r="E789" s="251"/>
      <c r="F789" s="247"/>
      <c r="G789" s="252"/>
      <c r="H789" s="253"/>
      <c r="I789" s="254"/>
      <c r="J789" s="235"/>
      <c r="K789" s="244"/>
      <c r="L789" s="244"/>
      <c r="M789" s="244"/>
      <c r="N789" s="244"/>
      <c r="O789" s="244"/>
      <c r="P789" s="244"/>
    </row>
    <row r="790" ht="18.75" customHeight="1">
      <c r="A790" s="246"/>
      <c r="B790" s="247"/>
      <c r="C790" s="247"/>
      <c r="D790" s="247"/>
      <c r="E790" s="247"/>
      <c r="F790" s="247"/>
      <c r="G790" s="248"/>
      <c r="H790" s="249"/>
      <c r="I790" s="250"/>
      <c r="J790" s="234"/>
      <c r="K790" s="244"/>
      <c r="L790" s="244"/>
      <c r="M790" s="244"/>
      <c r="N790" s="244"/>
      <c r="O790" s="244"/>
      <c r="P790" s="244"/>
    </row>
    <row r="791" ht="18.75" customHeight="1">
      <c r="A791" s="246"/>
      <c r="B791" s="247"/>
      <c r="C791" s="247"/>
      <c r="D791" s="247"/>
      <c r="E791" s="251"/>
      <c r="F791" s="247"/>
      <c r="G791" s="252"/>
      <c r="H791" s="253"/>
      <c r="I791" s="254"/>
      <c r="J791" s="235"/>
      <c r="K791" s="244"/>
      <c r="L791" s="244"/>
      <c r="M791" s="244"/>
      <c r="N791" s="244"/>
      <c r="O791" s="244"/>
      <c r="P791" s="244"/>
    </row>
    <row r="792" ht="18.75" customHeight="1">
      <c r="A792" s="246"/>
      <c r="B792" s="247"/>
      <c r="C792" s="247"/>
      <c r="D792" s="247"/>
      <c r="E792" s="247"/>
      <c r="F792" s="247"/>
      <c r="G792" s="248"/>
      <c r="H792" s="249"/>
      <c r="I792" s="250"/>
      <c r="J792" s="234"/>
      <c r="K792" s="244"/>
      <c r="L792" s="244"/>
      <c r="M792" s="244"/>
      <c r="N792" s="244"/>
      <c r="O792" s="244"/>
      <c r="P792" s="244"/>
    </row>
    <row r="793" ht="18.75" customHeight="1">
      <c r="A793" s="246"/>
      <c r="B793" s="247"/>
      <c r="C793" s="247"/>
      <c r="D793" s="247"/>
      <c r="E793" s="251"/>
      <c r="F793" s="247"/>
      <c r="G793" s="252"/>
      <c r="H793" s="253"/>
      <c r="I793" s="254"/>
      <c r="J793" s="235"/>
      <c r="K793" s="244"/>
      <c r="L793" s="244"/>
      <c r="M793" s="244"/>
      <c r="N793" s="244"/>
      <c r="O793" s="244"/>
      <c r="P793" s="244"/>
    </row>
    <row r="794" ht="18.75" customHeight="1">
      <c r="A794" s="246"/>
      <c r="B794" s="247"/>
      <c r="C794" s="247"/>
      <c r="D794" s="247"/>
      <c r="E794" s="247"/>
      <c r="F794" s="247"/>
      <c r="G794" s="248"/>
      <c r="H794" s="249"/>
      <c r="I794" s="250"/>
      <c r="J794" s="234"/>
      <c r="K794" s="244"/>
      <c r="L794" s="244"/>
      <c r="M794" s="244"/>
      <c r="N794" s="244"/>
      <c r="O794" s="244"/>
      <c r="P794" s="244"/>
    </row>
    <row r="795" ht="18.75" customHeight="1">
      <c r="A795" s="246"/>
      <c r="B795" s="247"/>
      <c r="C795" s="247"/>
      <c r="D795" s="247"/>
      <c r="E795" s="251"/>
      <c r="F795" s="247"/>
      <c r="G795" s="252"/>
      <c r="H795" s="253"/>
      <c r="I795" s="254"/>
      <c r="J795" s="235"/>
      <c r="K795" s="244"/>
      <c r="L795" s="244"/>
      <c r="M795" s="244"/>
      <c r="N795" s="244"/>
      <c r="O795" s="244"/>
      <c r="P795" s="244"/>
    </row>
    <row r="796" ht="18.75" customHeight="1">
      <c r="A796" s="246"/>
      <c r="B796" s="247"/>
      <c r="C796" s="247"/>
      <c r="D796" s="247"/>
      <c r="E796" s="247"/>
      <c r="F796" s="247"/>
      <c r="G796" s="248"/>
      <c r="H796" s="249"/>
      <c r="I796" s="250"/>
      <c r="J796" s="234"/>
      <c r="K796" s="244"/>
      <c r="L796" s="244"/>
      <c r="M796" s="244"/>
      <c r="N796" s="244"/>
      <c r="O796" s="244"/>
      <c r="P796" s="244"/>
    </row>
    <row r="797" ht="18.75" customHeight="1">
      <c r="A797" s="246"/>
      <c r="B797" s="247"/>
      <c r="C797" s="247"/>
      <c r="D797" s="247"/>
      <c r="E797" s="251"/>
      <c r="F797" s="247"/>
      <c r="G797" s="252"/>
      <c r="H797" s="253"/>
      <c r="I797" s="254"/>
      <c r="J797" s="235"/>
      <c r="K797" s="244"/>
      <c r="L797" s="244"/>
      <c r="M797" s="244"/>
      <c r="N797" s="244"/>
      <c r="O797" s="244"/>
      <c r="P797" s="244"/>
    </row>
    <row r="798" ht="18.75" customHeight="1">
      <c r="A798" s="246"/>
      <c r="B798" s="247"/>
      <c r="C798" s="247"/>
      <c r="D798" s="247"/>
      <c r="E798" s="247"/>
      <c r="F798" s="247"/>
      <c r="G798" s="248"/>
      <c r="H798" s="249"/>
      <c r="I798" s="250"/>
      <c r="J798" s="234"/>
      <c r="K798" s="244"/>
      <c r="L798" s="244"/>
      <c r="M798" s="244"/>
      <c r="N798" s="244"/>
      <c r="O798" s="244"/>
      <c r="P798" s="244"/>
    </row>
    <row r="799" ht="18.75" customHeight="1">
      <c r="A799" s="246"/>
      <c r="B799" s="247"/>
      <c r="C799" s="247"/>
      <c r="D799" s="247"/>
      <c r="E799" s="251"/>
      <c r="F799" s="247"/>
      <c r="G799" s="252"/>
      <c r="H799" s="253"/>
      <c r="I799" s="254"/>
      <c r="J799" s="235"/>
      <c r="K799" s="244"/>
      <c r="L799" s="244"/>
      <c r="M799" s="244"/>
      <c r="N799" s="244"/>
      <c r="O799" s="244"/>
      <c r="P799" s="244"/>
    </row>
    <row r="800" ht="18.75" customHeight="1">
      <c r="A800" s="246"/>
      <c r="B800" s="247"/>
      <c r="C800" s="247"/>
      <c r="D800" s="247"/>
      <c r="E800" s="247"/>
      <c r="F800" s="247"/>
      <c r="G800" s="248"/>
      <c r="H800" s="249"/>
      <c r="I800" s="250"/>
      <c r="J800" s="234"/>
      <c r="K800" s="244"/>
      <c r="L800" s="244"/>
      <c r="M800" s="244"/>
      <c r="N800" s="244"/>
      <c r="O800" s="244"/>
      <c r="P800" s="244"/>
    </row>
    <row r="801" ht="18.75" customHeight="1">
      <c r="A801" s="246"/>
      <c r="B801" s="247"/>
      <c r="C801" s="247"/>
      <c r="D801" s="247"/>
      <c r="E801" s="251"/>
      <c r="F801" s="247"/>
      <c r="G801" s="252"/>
      <c r="H801" s="253"/>
      <c r="I801" s="254"/>
      <c r="J801" s="235"/>
      <c r="K801" s="244"/>
      <c r="L801" s="244"/>
      <c r="M801" s="244"/>
      <c r="N801" s="244"/>
      <c r="O801" s="244"/>
      <c r="P801" s="244"/>
    </row>
    <row r="802" ht="18.75" customHeight="1">
      <c r="A802" s="246"/>
      <c r="B802" s="247"/>
      <c r="C802" s="247"/>
      <c r="D802" s="247"/>
      <c r="E802" s="247"/>
      <c r="F802" s="247"/>
      <c r="G802" s="248"/>
      <c r="H802" s="249"/>
      <c r="I802" s="250"/>
      <c r="J802" s="234"/>
      <c r="K802" s="244"/>
      <c r="L802" s="244"/>
      <c r="M802" s="244"/>
      <c r="N802" s="244"/>
      <c r="O802" s="244"/>
      <c r="P802" s="244"/>
    </row>
    <row r="803" ht="18.75" customHeight="1">
      <c r="A803" s="246"/>
      <c r="B803" s="247"/>
      <c r="C803" s="247"/>
      <c r="D803" s="247"/>
      <c r="E803" s="251"/>
      <c r="F803" s="247"/>
      <c r="G803" s="252"/>
      <c r="H803" s="253"/>
      <c r="I803" s="254"/>
      <c r="J803" s="235"/>
      <c r="K803" s="244"/>
      <c r="L803" s="244"/>
      <c r="M803" s="244"/>
      <c r="N803" s="244"/>
      <c r="O803" s="244"/>
      <c r="P803" s="244"/>
    </row>
    <row r="804" ht="18.75" customHeight="1">
      <c r="A804" s="246"/>
      <c r="B804" s="247"/>
      <c r="C804" s="247"/>
      <c r="D804" s="247"/>
      <c r="E804" s="247"/>
      <c r="F804" s="247"/>
      <c r="G804" s="248"/>
      <c r="H804" s="249"/>
      <c r="I804" s="250"/>
      <c r="J804" s="234"/>
      <c r="K804" s="244"/>
      <c r="L804" s="244"/>
      <c r="M804" s="244"/>
      <c r="N804" s="244"/>
      <c r="O804" s="244"/>
      <c r="P804" s="244"/>
    </row>
    <row r="805" ht="18.75" customHeight="1">
      <c r="A805" s="246"/>
      <c r="B805" s="247"/>
      <c r="C805" s="247"/>
      <c r="D805" s="247"/>
      <c r="E805" s="251"/>
      <c r="F805" s="247"/>
      <c r="G805" s="252"/>
      <c r="H805" s="253"/>
      <c r="I805" s="254"/>
      <c r="J805" s="235"/>
      <c r="K805" s="244"/>
      <c r="L805" s="244"/>
      <c r="M805" s="244"/>
      <c r="N805" s="244"/>
      <c r="O805" s="244"/>
      <c r="P805" s="244"/>
    </row>
    <row r="806" ht="18.75" customHeight="1">
      <c r="A806" s="246"/>
      <c r="B806" s="247"/>
      <c r="C806" s="247"/>
      <c r="D806" s="247"/>
      <c r="E806" s="247"/>
      <c r="F806" s="247"/>
      <c r="G806" s="248"/>
      <c r="H806" s="249"/>
      <c r="I806" s="250"/>
      <c r="J806" s="234"/>
      <c r="K806" s="244"/>
      <c r="L806" s="244"/>
      <c r="M806" s="244"/>
      <c r="N806" s="244"/>
      <c r="O806" s="244"/>
      <c r="P806" s="244"/>
    </row>
    <row r="807" ht="18.75" customHeight="1">
      <c r="A807" s="246"/>
      <c r="B807" s="247"/>
      <c r="C807" s="247"/>
      <c r="D807" s="247"/>
      <c r="E807" s="251"/>
      <c r="F807" s="247"/>
      <c r="G807" s="252"/>
      <c r="H807" s="253"/>
      <c r="I807" s="254"/>
      <c r="J807" s="235"/>
      <c r="K807" s="244"/>
      <c r="L807" s="244"/>
      <c r="M807" s="244"/>
      <c r="N807" s="244"/>
      <c r="O807" s="244"/>
      <c r="P807" s="244"/>
    </row>
    <row r="808" ht="18.75" customHeight="1">
      <c r="A808" s="246"/>
      <c r="B808" s="247"/>
      <c r="C808" s="247"/>
      <c r="D808" s="247"/>
      <c r="E808" s="247"/>
      <c r="F808" s="247"/>
      <c r="G808" s="248"/>
      <c r="H808" s="249"/>
      <c r="I808" s="250"/>
      <c r="J808" s="234"/>
      <c r="K808" s="244"/>
      <c r="L808" s="244"/>
      <c r="M808" s="244"/>
      <c r="N808" s="244"/>
      <c r="O808" s="244"/>
      <c r="P808" s="244"/>
    </row>
    <row r="809" ht="18.75" customHeight="1">
      <c r="A809" s="246"/>
      <c r="B809" s="247"/>
      <c r="C809" s="247"/>
      <c r="D809" s="247"/>
      <c r="E809" s="251"/>
      <c r="F809" s="247"/>
      <c r="G809" s="252"/>
      <c r="H809" s="253"/>
      <c r="I809" s="254"/>
      <c r="J809" s="235"/>
      <c r="K809" s="244"/>
      <c r="L809" s="244"/>
      <c r="M809" s="244"/>
      <c r="N809" s="244"/>
      <c r="O809" s="244"/>
      <c r="P809" s="244"/>
    </row>
    <row r="810" ht="18.75" customHeight="1">
      <c r="A810" s="246"/>
      <c r="B810" s="247"/>
      <c r="C810" s="247"/>
      <c r="D810" s="247"/>
      <c r="E810" s="247"/>
      <c r="F810" s="247"/>
      <c r="G810" s="248"/>
      <c r="H810" s="249"/>
      <c r="I810" s="250"/>
      <c r="J810" s="234"/>
      <c r="K810" s="244"/>
      <c r="L810" s="244"/>
      <c r="M810" s="244"/>
      <c r="N810" s="244"/>
      <c r="O810" s="244"/>
      <c r="P810" s="244"/>
    </row>
    <row r="811" ht="18.75" customHeight="1">
      <c r="A811" s="246"/>
      <c r="B811" s="247"/>
      <c r="C811" s="247"/>
      <c r="D811" s="247"/>
      <c r="E811" s="251"/>
      <c r="F811" s="247"/>
      <c r="G811" s="252"/>
      <c r="H811" s="253"/>
      <c r="I811" s="254"/>
      <c r="J811" s="235"/>
      <c r="K811" s="244"/>
      <c r="L811" s="244"/>
      <c r="M811" s="244"/>
      <c r="N811" s="244"/>
      <c r="O811" s="244"/>
      <c r="P811" s="244"/>
    </row>
    <row r="812" ht="18.75" customHeight="1">
      <c r="A812" s="246"/>
      <c r="B812" s="247"/>
      <c r="C812" s="247"/>
      <c r="D812" s="247"/>
      <c r="E812" s="247"/>
      <c r="F812" s="247"/>
      <c r="G812" s="248"/>
      <c r="H812" s="249"/>
      <c r="I812" s="250"/>
      <c r="J812" s="234"/>
      <c r="K812" s="244"/>
      <c r="L812" s="244"/>
      <c r="M812" s="244"/>
      <c r="N812" s="244"/>
      <c r="O812" s="244"/>
      <c r="P812" s="244"/>
    </row>
    <row r="813" ht="18.75" customHeight="1">
      <c r="A813" s="246"/>
      <c r="B813" s="247"/>
      <c r="C813" s="247"/>
      <c r="D813" s="247"/>
      <c r="E813" s="251"/>
      <c r="F813" s="247"/>
      <c r="G813" s="252"/>
      <c r="H813" s="253"/>
      <c r="I813" s="254"/>
      <c r="J813" s="235"/>
      <c r="K813" s="244"/>
      <c r="L813" s="244"/>
      <c r="M813" s="244"/>
      <c r="N813" s="244"/>
      <c r="O813" s="244"/>
      <c r="P813" s="244"/>
    </row>
    <row r="814" ht="18.75" customHeight="1">
      <c r="A814" s="246"/>
      <c r="B814" s="247"/>
      <c r="C814" s="247"/>
      <c r="D814" s="247"/>
      <c r="E814" s="247"/>
      <c r="F814" s="247"/>
      <c r="G814" s="248"/>
      <c r="H814" s="249"/>
      <c r="I814" s="250"/>
      <c r="J814" s="234"/>
      <c r="K814" s="244"/>
      <c r="L814" s="244"/>
      <c r="M814" s="244"/>
      <c r="N814" s="244"/>
      <c r="O814" s="244"/>
      <c r="P814" s="244"/>
    </row>
    <row r="815" ht="18.75" customHeight="1">
      <c r="A815" s="246"/>
      <c r="B815" s="247"/>
      <c r="C815" s="247"/>
      <c r="D815" s="247"/>
      <c r="E815" s="251"/>
      <c r="F815" s="247"/>
      <c r="G815" s="252"/>
      <c r="H815" s="253"/>
      <c r="I815" s="254"/>
      <c r="J815" s="235"/>
      <c r="K815" s="244"/>
      <c r="L815" s="244"/>
      <c r="M815" s="244"/>
      <c r="N815" s="244"/>
      <c r="O815" s="244"/>
      <c r="P815" s="244"/>
    </row>
    <row r="816" ht="18.75" customHeight="1">
      <c r="A816" s="246"/>
      <c r="B816" s="247"/>
      <c r="C816" s="247"/>
      <c r="D816" s="247"/>
      <c r="E816" s="247"/>
      <c r="F816" s="247"/>
      <c r="G816" s="248"/>
      <c r="H816" s="249"/>
      <c r="I816" s="250"/>
      <c r="J816" s="234"/>
      <c r="K816" s="244"/>
      <c r="L816" s="244"/>
      <c r="M816" s="244"/>
      <c r="N816" s="244"/>
      <c r="O816" s="244"/>
      <c r="P816" s="244"/>
    </row>
    <row r="817" ht="18.75" customHeight="1">
      <c r="A817" s="246"/>
      <c r="B817" s="247"/>
      <c r="C817" s="247"/>
      <c r="D817" s="247"/>
      <c r="E817" s="251"/>
      <c r="F817" s="247"/>
      <c r="G817" s="252"/>
      <c r="H817" s="253"/>
      <c r="I817" s="254"/>
      <c r="J817" s="235"/>
      <c r="K817" s="244"/>
      <c r="L817" s="244"/>
      <c r="M817" s="244"/>
      <c r="N817" s="244"/>
      <c r="O817" s="244"/>
      <c r="P817" s="244"/>
    </row>
    <row r="818" ht="18.75" customHeight="1">
      <c r="A818" s="246"/>
      <c r="B818" s="247"/>
      <c r="C818" s="247"/>
      <c r="D818" s="247"/>
      <c r="E818" s="247"/>
      <c r="F818" s="247"/>
      <c r="G818" s="248"/>
      <c r="H818" s="249"/>
      <c r="I818" s="250"/>
      <c r="J818" s="234"/>
      <c r="K818" s="244"/>
      <c r="L818" s="244"/>
      <c r="M818" s="244"/>
      <c r="N818" s="244"/>
      <c r="O818" s="244"/>
      <c r="P818" s="244"/>
    </row>
    <row r="819" ht="18.75" customHeight="1">
      <c r="A819" s="246"/>
      <c r="B819" s="247"/>
      <c r="C819" s="247"/>
      <c r="D819" s="247"/>
      <c r="E819" s="251"/>
      <c r="F819" s="247"/>
      <c r="G819" s="252"/>
      <c r="H819" s="253"/>
      <c r="I819" s="254"/>
      <c r="J819" s="235"/>
      <c r="K819" s="244"/>
      <c r="L819" s="244"/>
      <c r="M819" s="244"/>
      <c r="N819" s="244"/>
      <c r="O819" s="244"/>
      <c r="P819" s="244"/>
    </row>
    <row r="820" ht="18.75" customHeight="1">
      <c r="A820" s="246"/>
      <c r="B820" s="247"/>
      <c r="C820" s="247"/>
      <c r="D820" s="247"/>
      <c r="E820" s="247"/>
      <c r="F820" s="247"/>
      <c r="G820" s="248"/>
      <c r="H820" s="249"/>
      <c r="I820" s="250"/>
      <c r="J820" s="234"/>
      <c r="K820" s="244"/>
      <c r="L820" s="244"/>
      <c r="M820" s="244"/>
      <c r="N820" s="244"/>
      <c r="O820" s="244"/>
      <c r="P820" s="244"/>
    </row>
    <row r="821" ht="18.75" customHeight="1">
      <c r="A821" s="246"/>
      <c r="B821" s="247"/>
      <c r="C821" s="247"/>
      <c r="D821" s="247"/>
      <c r="E821" s="251"/>
      <c r="F821" s="247"/>
      <c r="G821" s="252"/>
      <c r="H821" s="253"/>
      <c r="I821" s="254"/>
      <c r="J821" s="235"/>
      <c r="K821" s="244"/>
      <c r="L821" s="244"/>
      <c r="M821" s="244"/>
      <c r="N821" s="244"/>
      <c r="O821" s="244"/>
      <c r="P821" s="244"/>
    </row>
    <row r="822" ht="18.75" customHeight="1">
      <c r="A822" s="246"/>
      <c r="B822" s="247"/>
      <c r="C822" s="247"/>
      <c r="D822" s="247"/>
      <c r="E822" s="247"/>
      <c r="F822" s="247"/>
      <c r="G822" s="248"/>
      <c r="H822" s="249"/>
      <c r="I822" s="250"/>
      <c r="J822" s="234"/>
      <c r="K822" s="244"/>
      <c r="L822" s="244"/>
      <c r="M822" s="244"/>
      <c r="N822" s="244"/>
      <c r="O822" s="244"/>
      <c r="P822" s="244"/>
    </row>
    <row r="823" ht="18.75" customHeight="1">
      <c r="A823" s="246"/>
      <c r="B823" s="247"/>
      <c r="C823" s="247"/>
      <c r="D823" s="247"/>
      <c r="E823" s="251"/>
      <c r="F823" s="247"/>
      <c r="G823" s="252"/>
      <c r="H823" s="253"/>
      <c r="I823" s="254"/>
      <c r="J823" s="235"/>
      <c r="K823" s="244"/>
      <c r="L823" s="244"/>
      <c r="M823" s="244"/>
      <c r="N823" s="244"/>
      <c r="O823" s="244"/>
      <c r="P823" s="244"/>
    </row>
    <row r="824" ht="18.75" customHeight="1">
      <c r="A824" s="246"/>
      <c r="B824" s="247"/>
      <c r="C824" s="247"/>
      <c r="D824" s="247"/>
      <c r="E824" s="247"/>
      <c r="F824" s="247"/>
      <c r="G824" s="248"/>
      <c r="H824" s="249"/>
      <c r="I824" s="250"/>
      <c r="J824" s="234"/>
      <c r="K824" s="244"/>
      <c r="L824" s="244"/>
      <c r="M824" s="244"/>
      <c r="N824" s="244"/>
      <c r="O824" s="244"/>
      <c r="P824" s="244"/>
    </row>
    <row r="825" ht="18.75" customHeight="1">
      <c r="A825" s="246"/>
      <c r="B825" s="247"/>
      <c r="C825" s="247"/>
      <c r="D825" s="247"/>
      <c r="E825" s="251"/>
      <c r="F825" s="247"/>
      <c r="G825" s="252"/>
      <c r="H825" s="253"/>
      <c r="I825" s="254"/>
      <c r="J825" s="235"/>
      <c r="K825" s="244"/>
      <c r="L825" s="244"/>
      <c r="M825" s="244"/>
      <c r="N825" s="244"/>
      <c r="O825" s="244"/>
      <c r="P825" s="244"/>
    </row>
    <row r="826" ht="18.75" customHeight="1">
      <c r="A826" s="246"/>
      <c r="B826" s="247"/>
      <c r="C826" s="247"/>
      <c r="D826" s="247"/>
      <c r="E826" s="247"/>
      <c r="F826" s="247"/>
      <c r="G826" s="248"/>
      <c r="H826" s="249"/>
      <c r="I826" s="250"/>
      <c r="J826" s="234"/>
      <c r="K826" s="244"/>
      <c r="L826" s="244"/>
      <c r="M826" s="244"/>
      <c r="N826" s="244"/>
      <c r="O826" s="244"/>
      <c r="P826" s="244"/>
    </row>
    <row r="827" ht="18.75" customHeight="1">
      <c r="A827" s="246"/>
      <c r="B827" s="247"/>
      <c r="C827" s="247"/>
      <c r="D827" s="247"/>
      <c r="E827" s="251"/>
      <c r="F827" s="247"/>
      <c r="G827" s="252"/>
      <c r="H827" s="253"/>
      <c r="I827" s="254"/>
      <c r="J827" s="235"/>
      <c r="K827" s="244"/>
      <c r="L827" s="244"/>
      <c r="M827" s="244"/>
      <c r="N827" s="244"/>
      <c r="O827" s="244"/>
      <c r="P827" s="244"/>
    </row>
    <row r="828" ht="18.75" customHeight="1">
      <c r="A828" s="246"/>
      <c r="B828" s="247"/>
      <c r="C828" s="247"/>
      <c r="D828" s="247"/>
      <c r="E828" s="247"/>
      <c r="F828" s="247"/>
      <c r="G828" s="248"/>
      <c r="H828" s="249"/>
      <c r="I828" s="250"/>
      <c r="J828" s="234"/>
      <c r="K828" s="244"/>
      <c r="L828" s="244"/>
      <c r="M828" s="244"/>
      <c r="N828" s="244"/>
      <c r="O828" s="244"/>
      <c r="P828" s="244"/>
    </row>
    <row r="829" ht="18.75" customHeight="1">
      <c r="A829" s="246"/>
      <c r="B829" s="247"/>
      <c r="C829" s="247"/>
      <c r="D829" s="247"/>
      <c r="E829" s="251"/>
      <c r="F829" s="247"/>
      <c r="G829" s="252"/>
      <c r="H829" s="253"/>
      <c r="I829" s="254"/>
      <c r="J829" s="235"/>
      <c r="K829" s="244"/>
      <c r="L829" s="244"/>
      <c r="M829" s="244"/>
      <c r="N829" s="244"/>
      <c r="O829" s="244"/>
      <c r="P829" s="244"/>
    </row>
    <row r="830" ht="18.75" customHeight="1">
      <c r="A830" s="246"/>
      <c r="B830" s="247"/>
      <c r="C830" s="247"/>
      <c r="D830" s="247"/>
      <c r="E830" s="247"/>
      <c r="F830" s="247"/>
      <c r="G830" s="248"/>
      <c r="H830" s="249"/>
      <c r="I830" s="250"/>
      <c r="J830" s="234"/>
      <c r="K830" s="244"/>
      <c r="L830" s="244"/>
      <c r="M830" s="244"/>
      <c r="N830" s="244"/>
      <c r="O830" s="244"/>
      <c r="P830" s="244"/>
    </row>
    <row r="831" ht="18.75" customHeight="1">
      <c r="A831" s="246"/>
      <c r="B831" s="247"/>
      <c r="C831" s="247"/>
      <c r="D831" s="247"/>
      <c r="E831" s="251"/>
      <c r="F831" s="247"/>
      <c r="G831" s="252"/>
      <c r="H831" s="253"/>
      <c r="I831" s="254"/>
      <c r="J831" s="235"/>
      <c r="K831" s="244"/>
      <c r="L831" s="244"/>
      <c r="M831" s="244"/>
      <c r="N831" s="244"/>
      <c r="O831" s="244"/>
      <c r="P831" s="244"/>
    </row>
    <row r="832" ht="18.75" customHeight="1">
      <c r="A832" s="246"/>
      <c r="B832" s="247"/>
      <c r="C832" s="247"/>
      <c r="D832" s="247"/>
      <c r="E832" s="247"/>
      <c r="F832" s="247"/>
      <c r="G832" s="248"/>
      <c r="H832" s="249"/>
      <c r="I832" s="250"/>
      <c r="J832" s="234"/>
      <c r="K832" s="244"/>
      <c r="L832" s="244"/>
      <c r="M832" s="244"/>
      <c r="N832" s="244"/>
      <c r="O832" s="244"/>
      <c r="P832" s="244"/>
    </row>
    <row r="833" ht="18.75" customHeight="1">
      <c r="A833" s="246"/>
      <c r="B833" s="247"/>
      <c r="C833" s="247"/>
      <c r="D833" s="247"/>
      <c r="E833" s="251"/>
      <c r="F833" s="247"/>
      <c r="G833" s="252"/>
      <c r="H833" s="253"/>
      <c r="I833" s="254"/>
      <c r="J833" s="235"/>
      <c r="K833" s="244"/>
      <c r="L833" s="244"/>
      <c r="M833" s="244"/>
      <c r="N833" s="244"/>
      <c r="O833" s="244"/>
      <c r="P833" s="244"/>
    </row>
    <row r="834" ht="18.75" customHeight="1">
      <c r="A834" s="246"/>
      <c r="B834" s="247"/>
      <c r="C834" s="247"/>
      <c r="D834" s="247"/>
      <c r="E834" s="247"/>
      <c r="F834" s="247"/>
      <c r="G834" s="248"/>
      <c r="H834" s="249"/>
      <c r="I834" s="250"/>
      <c r="J834" s="234"/>
      <c r="K834" s="244"/>
      <c r="L834" s="244"/>
      <c r="M834" s="244"/>
      <c r="N834" s="244"/>
      <c r="O834" s="244"/>
      <c r="P834" s="244"/>
    </row>
    <row r="835" ht="18.75" customHeight="1">
      <c r="A835" s="246"/>
      <c r="B835" s="247"/>
      <c r="C835" s="247"/>
      <c r="D835" s="247"/>
      <c r="E835" s="251"/>
      <c r="F835" s="247"/>
      <c r="G835" s="252"/>
      <c r="H835" s="253"/>
      <c r="I835" s="254"/>
      <c r="J835" s="235"/>
      <c r="K835" s="244"/>
      <c r="L835" s="244"/>
      <c r="M835" s="244"/>
      <c r="N835" s="244"/>
      <c r="O835" s="244"/>
      <c r="P835" s="244"/>
    </row>
    <row r="836" ht="18.75" customHeight="1">
      <c r="A836" s="246"/>
      <c r="B836" s="247"/>
      <c r="C836" s="247"/>
      <c r="D836" s="247"/>
      <c r="E836" s="247"/>
      <c r="F836" s="247"/>
      <c r="G836" s="248"/>
      <c r="H836" s="249"/>
      <c r="I836" s="250"/>
      <c r="J836" s="234"/>
      <c r="K836" s="244"/>
      <c r="L836" s="244"/>
      <c r="M836" s="244"/>
      <c r="N836" s="244"/>
      <c r="O836" s="244"/>
      <c r="P836" s="244"/>
    </row>
    <row r="837" ht="18.75" customHeight="1">
      <c r="A837" s="246"/>
      <c r="B837" s="247"/>
      <c r="C837" s="247"/>
      <c r="D837" s="247"/>
      <c r="E837" s="251"/>
      <c r="F837" s="247"/>
      <c r="G837" s="252"/>
      <c r="H837" s="253"/>
      <c r="I837" s="254"/>
      <c r="J837" s="235"/>
      <c r="K837" s="244"/>
      <c r="L837" s="244"/>
      <c r="M837" s="244"/>
      <c r="N837" s="244"/>
      <c r="O837" s="244"/>
      <c r="P837" s="244"/>
    </row>
    <row r="838" ht="18.75" customHeight="1">
      <c r="A838" s="246"/>
      <c r="B838" s="247"/>
      <c r="C838" s="247"/>
      <c r="D838" s="247"/>
      <c r="E838" s="247"/>
      <c r="F838" s="247"/>
      <c r="G838" s="248"/>
      <c r="H838" s="249"/>
      <c r="I838" s="250"/>
      <c r="J838" s="234"/>
      <c r="K838" s="244"/>
      <c r="L838" s="244"/>
      <c r="M838" s="244"/>
      <c r="N838" s="244"/>
      <c r="O838" s="244"/>
      <c r="P838" s="244"/>
    </row>
    <row r="839" ht="18.75" customHeight="1">
      <c r="A839" s="246"/>
      <c r="B839" s="247"/>
      <c r="C839" s="247"/>
      <c r="D839" s="247"/>
      <c r="E839" s="251"/>
      <c r="F839" s="247"/>
      <c r="G839" s="252"/>
      <c r="H839" s="253"/>
      <c r="I839" s="254"/>
      <c r="J839" s="235"/>
      <c r="K839" s="244"/>
      <c r="L839" s="244"/>
      <c r="M839" s="244"/>
      <c r="N839" s="244"/>
      <c r="O839" s="244"/>
      <c r="P839" s="244"/>
    </row>
    <row r="840" ht="18.75" customHeight="1">
      <c r="A840" s="246"/>
      <c r="B840" s="247"/>
      <c r="C840" s="247"/>
      <c r="D840" s="247"/>
      <c r="E840" s="247"/>
      <c r="F840" s="247"/>
      <c r="G840" s="248"/>
      <c r="H840" s="249"/>
      <c r="I840" s="250"/>
      <c r="J840" s="234"/>
      <c r="K840" s="244"/>
      <c r="L840" s="244"/>
      <c r="M840" s="244"/>
      <c r="N840" s="244"/>
      <c r="O840" s="244"/>
      <c r="P840" s="244"/>
    </row>
    <row r="841" ht="18.75" customHeight="1">
      <c r="A841" s="246"/>
      <c r="B841" s="247"/>
      <c r="C841" s="247"/>
      <c r="D841" s="247"/>
      <c r="E841" s="251"/>
      <c r="F841" s="247"/>
      <c r="G841" s="252"/>
      <c r="H841" s="253"/>
      <c r="I841" s="254"/>
      <c r="J841" s="235"/>
      <c r="K841" s="244"/>
      <c r="L841" s="244"/>
      <c r="M841" s="244"/>
      <c r="N841" s="244"/>
      <c r="O841" s="244"/>
      <c r="P841" s="244"/>
    </row>
    <row r="842" ht="18.75" customHeight="1">
      <c r="A842" s="246"/>
      <c r="B842" s="247"/>
      <c r="C842" s="247"/>
      <c r="D842" s="247"/>
      <c r="E842" s="247"/>
      <c r="F842" s="247"/>
      <c r="G842" s="248"/>
      <c r="H842" s="249"/>
      <c r="I842" s="250"/>
      <c r="J842" s="234"/>
      <c r="K842" s="244"/>
      <c r="L842" s="244"/>
      <c r="M842" s="244"/>
      <c r="N842" s="244"/>
      <c r="O842" s="244"/>
      <c r="P842" s="244"/>
    </row>
    <row r="843" ht="18.75" customHeight="1">
      <c r="A843" s="246"/>
      <c r="B843" s="247"/>
      <c r="C843" s="247"/>
      <c r="D843" s="247"/>
      <c r="E843" s="251"/>
      <c r="F843" s="247"/>
      <c r="G843" s="252"/>
      <c r="H843" s="253"/>
      <c r="I843" s="254"/>
      <c r="J843" s="235"/>
      <c r="K843" s="244"/>
      <c r="L843" s="244"/>
      <c r="M843" s="244"/>
      <c r="N843" s="244"/>
      <c r="O843" s="244"/>
      <c r="P843" s="244"/>
    </row>
    <row r="844" ht="18.75" customHeight="1">
      <c r="A844" s="246"/>
      <c r="B844" s="247"/>
      <c r="C844" s="247"/>
      <c r="D844" s="247"/>
      <c r="E844" s="247"/>
      <c r="F844" s="247"/>
      <c r="G844" s="248"/>
      <c r="H844" s="249"/>
      <c r="I844" s="250"/>
      <c r="J844" s="234"/>
      <c r="K844" s="244"/>
      <c r="L844" s="244"/>
      <c r="M844" s="244"/>
      <c r="N844" s="244"/>
      <c r="O844" s="244"/>
      <c r="P844" s="244"/>
    </row>
    <row r="845" ht="18.75" customHeight="1">
      <c r="A845" s="246"/>
      <c r="B845" s="247"/>
      <c r="C845" s="247"/>
      <c r="D845" s="247"/>
      <c r="E845" s="251"/>
      <c r="F845" s="247"/>
      <c r="G845" s="252"/>
      <c r="H845" s="253"/>
      <c r="I845" s="254"/>
      <c r="J845" s="235"/>
      <c r="K845" s="244"/>
      <c r="L845" s="244"/>
      <c r="M845" s="244"/>
      <c r="N845" s="244"/>
      <c r="O845" s="244"/>
      <c r="P845" s="244"/>
    </row>
    <row r="846" ht="18.75" customHeight="1">
      <c r="A846" s="246"/>
      <c r="B846" s="247"/>
      <c r="C846" s="247"/>
      <c r="D846" s="247"/>
      <c r="E846" s="247"/>
      <c r="F846" s="247"/>
      <c r="G846" s="248"/>
      <c r="H846" s="249"/>
      <c r="I846" s="250"/>
      <c r="J846" s="234"/>
      <c r="K846" s="244"/>
      <c r="L846" s="244"/>
      <c r="M846" s="244"/>
      <c r="N846" s="244"/>
      <c r="O846" s="244"/>
      <c r="P846" s="244"/>
    </row>
    <row r="847" ht="18.75" customHeight="1">
      <c r="A847" s="246"/>
      <c r="B847" s="247"/>
      <c r="C847" s="247"/>
      <c r="D847" s="247"/>
      <c r="E847" s="251"/>
      <c r="F847" s="247"/>
      <c r="G847" s="252"/>
      <c r="H847" s="253"/>
      <c r="I847" s="254"/>
      <c r="J847" s="235"/>
      <c r="K847" s="244"/>
      <c r="L847" s="244"/>
      <c r="M847" s="244"/>
      <c r="N847" s="244"/>
      <c r="O847" s="244"/>
      <c r="P847" s="244"/>
    </row>
    <row r="848" ht="18.75" customHeight="1">
      <c r="A848" s="246"/>
      <c r="B848" s="247"/>
      <c r="C848" s="247"/>
      <c r="D848" s="247"/>
      <c r="E848" s="247"/>
      <c r="F848" s="247"/>
      <c r="G848" s="248"/>
      <c r="H848" s="249"/>
      <c r="I848" s="250"/>
      <c r="J848" s="234"/>
      <c r="K848" s="244"/>
      <c r="L848" s="244"/>
      <c r="M848" s="244"/>
      <c r="N848" s="244"/>
      <c r="O848" s="244"/>
      <c r="P848" s="244"/>
    </row>
    <row r="849" ht="18.75" customHeight="1">
      <c r="A849" s="246"/>
      <c r="B849" s="247"/>
      <c r="C849" s="247"/>
      <c r="D849" s="247"/>
      <c r="E849" s="251"/>
      <c r="F849" s="247"/>
      <c r="G849" s="252"/>
      <c r="H849" s="253"/>
      <c r="I849" s="254"/>
      <c r="J849" s="235"/>
      <c r="K849" s="244"/>
      <c r="L849" s="244"/>
      <c r="M849" s="244"/>
      <c r="N849" s="244"/>
      <c r="O849" s="244"/>
      <c r="P849" s="244"/>
    </row>
    <row r="850" ht="18.75" customHeight="1">
      <c r="A850" s="246"/>
      <c r="B850" s="247"/>
      <c r="C850" s="247"/>
      <c r="D850" s="247"/>
      <c r="E850" s="247"/>
      <c r="F850" s="247"/>
      <c r="G850" s="248"/>
      <c r="H850" s="249"/>
      <c r="I850" s="250"/>
      <c r="J850" s="234"/>
      <c r="K850" s="244"/>
      <c r="L850" s="244"/>
      <c r="M850" s="244"/>
      <c r="N850" s="244"/>
      <c r="O850" s="244"/>
      <c r="P850" s="244"/>
    </row>
    <row r="851" ht="18.75" customHeight="1">
      <c r="A851" s="246"/>
      <c r="B851" s="247"/>
      <c r="C851" s="247"/>
      <c r="D851" s="247"/>
      <c r="E851" s="251"/>
      <c r="F851" s="247"/>
      <c r="G851" s="252"/>
      <c r="H851" s="253"/>
      <c r="I851" s="254"/>
      <c r="J851" s="235"/>
      <c r="K851" s="244"/>
      <c r="L851" s="244"/>
      <c r="M851" s="244"/>
      <c r="N851" s="244"/>
      <c r="O851" s="244"/>
      <c r="P851" s="244"/>
    </row>
    <row r="852" ht="18.75" customHeight="1">
      <c r="A852" s="246"/>
      <c r="B852" s="247"/>
      <c r="C852" s="247"/>
      <c r="D852" s="247"/>
      <c r="E852" s="247"/>
      <c r="F852" s="247"/>
      <c r="G852" s="248"/>
      <c r="H852" s="249"/>
      <c r="I852" s="250"/>
      <c r="J852" s="234"/>
      <c r="K852" s="244"/>
      <c r="L852" s="244"/>
      <c r="M852" s="244"/>
      <c r="N852" s="244"/>
      <c r="O852" s="244"/>
      <c r="P852" s="244"/>
    </row>
    <row r="853" ht="18.75" customHeight="1">
      <c r="A853" s="246"/>
      <c r="B853" s="247"/>
      <c r="C853" s="247"/>
      <c r="D853" s="247"/>
      <c r="E853" s="251"/>
      <c r="F853" s="247"/>
      <c r="G853" s="252"/>
      <c r="H853" s="253"/>
      <c r="I853" s="254"/>
      <c r="J853" s="235"/>
      <c r="K853" s="244"/>
      <c r="L853" s="244"/>
      <c r="M853" s="244"/>
      <c r="N853" s="244"/>
      <c r="O853" s="244"/>
      <c r="P853" s="244"/>
    </row>
    <row r="854" ht="18.75" customHeight="1">
      <c r="A854" s="246"/>
      <c r="B854" s="247"/>
      <c r="C854" s="247"/>
      <c r="D854" s="247"/>
      <c r="E854" s="247"/>
      <c r="F854" s="247"/>
      <c r="G854" s="248"/>
      <c r="H854" s="249"/>
      <c r="I854" s="250"/>
      <c r="J854" s="234"/>
      <c r="K854" s="244"/>
      <c r="L854" s="244"/>
      <c r="M854" s="244"/>
      <c r="N854" s="244"/>
      <c r="O854" s="244"/>
      <c r="P854" s="244"/>
    </row>
    <row r="855" ht="18.75" customHeight="1">
      <c r="A855" s="246"/>
      <c r="B855" s="247"/>
      <c r="C855" s="247"/>
      <c r="D855" s="247"/>
      <c r="E855" s="251"/>
      <c r="F855" s="247"/>
      <c r="G855" s="252"/>
      <c r="H855" s="253"/>
      <c r="I855" s="254"/>
      <c r="J855" s="235"/>
      <c r="K855" s="244"/>
      <c r="L855" s="244"/>
      <c r="M855" s="244"/>
      <c r="N855" s="244"/>
      <c r="O855" s="244"/>
      <c r="P855" s="244"/>
    </row>
    <row r="856" ht="18.75" customHeight="1">
      <c r="A856" s="246"/>
      <c r="B856" s="247"/>
      <c r="C856" s="247"/>
      <c r="D856" s="247"/>
      <c r="E856" s="247"/>
      <c r="F856" s="247"/>
      <c r="G856" s="248"/>
      <c r="H856" s="249"/>
      <c r="I856" s="250"/>
      <c r="J856" s="234"/>
      <c r="K856" s="244"/>
      <c r="L856" s="244"/>
      <c r="M856" s="244"/>
      <c r="N856" s="244"/>
      <c r="O856" s="244"/>
      <c r="P856" s="244"/>
    </row>
    <row r="857" ht="18.75" customHeight="1">
      <c r="A857" s="246"/>
      <c r="B857" s="247"/>
      <c r="C857" s="247"/>
      <c r="D857" s="247"/>
      <c r="E857" s="251"/>
      <c r="F857" s="247"/>
      <c r="G857" s="252"/>
      <c r="H857" s="253"/>
      <c r="I857" s="254"/>
      <c r="J857" s="235"/>
      <c r="K857" s="244"/>
      <c r="L857" s="244"/>
      <c r="M857" s="244"/>
      <c r="N857" s="244"/>
      <c r="O857" s="244"/>
      <c r="P857" s="244"/>
    </row>
    <row r="858" ht="18.75" customHeight="1">
      <c r="A858" s="246"/>
      <c r="B858" s="247"/>
      <c r="C858" s="247"/>
      <c r="D858" s="247"/>
      <c r="E858" s="247"/>
      <c r="F858" s="247"/>
      <c r="G858" s="248"/>
      <c r="H858" s="249"/>
      <c r="I858" s="250"/>
      <c r="J858" s="234"/>
      <c r="K858" s="244"/>
      <c r="L858" s="244"/>
      <c r="M858" s="244"/>
      <c r="N858" s="244"/>
      <c r="O858" s="244"/>
      <c r="P858" s="244"/>
    </row>
    <row r="859" ht="18.75" customHeight="1">
      <c r="A859" s="246"/>
      <c r="B859" s="247"/>
      <c r="C859" s="247"/>
      <c r="D859" s="247"/>
      <c r="E859" s="251"/>
      <c r="F859" s="247"/>
      <c r="G859" s="252"/>
      <c r="H859" s="253"/>
      <c r="I859" s="254"/>
      <c r="J859" s="235"/>
      <c r="K859" s="244"/>
      <c r="L859" s="244"/>
      <c r="M859" s="244"/>
      <c r="N859" s="244"/>
      <c r="O859" s="244"/>
      <c r="P859" s="244"/>
    </row>
    <row r="860" ht="18.75" customHeight="1">
      <c r="A860" s="246"/>
      <c r="B860" s="247"/>
      <c r="C860" s="247"/>
      <c r="D860" s="247"/>
      <c r="E860" s="247"/>
      <c r="F860" s="247"/>
      <c r="G860" s="248"/>
      <c r="H860" s="249"/>
      <c r="I860" s="250"/>
      <c r="J860" s="234"/>
      <c r="K860" s="244"/>
      <c r="L860" s="244"/>
      <c r="M860" s="244"/>
      <c r="N860" s="244"/>
      <c r="O860" s="244"/>
      <c r="P860" s="244"/>
    </row>
    <row r="861" ht="18.75" customHeight="1">
      <c r="A861" s="246"/>
      <c r="B861" s="247"/>
      <c r="C861" s="247"/>
      <c r="D861" s="247"/>
      <c r="E861" s="251"/>
      <c r="F861" s="247"/>
      <c r="G861" s="252"/>
      <c r="H861" s="253"/>
      <c r="I861" s="254"/>
      <c r="J861" s="235"/>
      <c r="K861" s="244"/>
      <c r="L861" s="244"/>
      <c r="M861" s="244"/>
      <c r="N861" s="244"/>
      <c r="O861" s="244"/>
      <c r="P861" s="244"/>
    </row>
    <row r="862" ht="18.75" customHeight="1">
      <c r="A862" s="246"/>
      <c r="B862" s="247"/>
      <c r="C862" s="247"/>
      <c r="D862" s="247"/>
      <c r="E862" s="247"/>
      <c r="F862" s="247"/>
      <c r="G862" s="248"/>
      <c r="H862" s="249"/>
      <c r="I862" s="250"/>
      <c r="J862" s="234"/>
      <c r="K862" s="244"/>
      <c r="L862" s="244"/>
      <c r="M862" s="244"/>
      <c r="N862" s="244"/>
      <c r="O862" s="244"/>
      <c r="P862" s="244"/>
    </row>
    <row r="863" ht="18.75" customHeight="1">
      <c r="A863" s="246"/>
      <c r="B863" s="247"/>
      <c r="C863" s="247"/>
      <c r="D863" s="247"/>
      <c r="E863" s="251"/>
      <c r="F863" s="247"/>
      <c r="G863" s="252"/>
      <c r="H863" s="253"/>
      <c r="I863" s="254"/>
      <c r="J863" s="235"/>
      <c r="K863" s="244"/>
      <c r="L863" s="244"/>
      <c r="M863" s="244"/>
      <c r="N863" s="244"/>
      <c r="O863" s="244"/>
      <c r="P863" s="244"/>
    </row>
    <row r="864" ht="18.75" customHeight="1">
      <c r="A864" s="246"/>
      <c r="B864" s="247"/>
      <c r="C864" s="247"/>
      <c r="D864" s="247"/>
      <c r="E864" s="247"/>
      <c r="F864" s="247"/>
      <c r="G864" s="248"/>
      <c r="H864" s="249"/>
      <c r="I864" s="250"/>
      <c r="J864" s="234"/>
      <c r="K864" s="244"/>
      <c r="L864" s="244"/>
      <c r="M864" s="244"/>
      <c r="N864" s="244"/>
      <c r="O864" s="244"/>
      <c r="P864" s="244"/>
    </row>
    <row r="865" ht="18.75" customHeight="1">
      <c r="A865" s="246"/>
      <c r="B865" s="247"/>
      <c r="C865" s="247"/>
      <c r="D865" s="247"/>
      <c r="E865" s="251"/>
      <c r="F865" s="247"/>
      <c r="G865" s="252"/>
      <c r="H865" s="253"/>
      <c r="I865" s="254"/>
      <c r="J865" s="235"/>
      <c r="K865" s="244"/>
      <c r="L865" s="244"/>
      <c r="M865" s="244"/>
      <c r="N865" s="244"/>
      <c r="O865" s="244"/>
      <c r="P865" s="244"/>
    </row>
    <row r="866" ht="18.75" customHeight="1">
      <c r="A866" s="246"/>
      <c r="B866" s="247"/>
      <c r="C866" s="247"/>
      <c r="D866" s="247"/>
      <c r="E866" s="247"/>
      <c r="F866" s="247"/>
      <c r="G866" s="248"/>
      <c r="H866" s="249"/>
      <c r="I866" s="250"/>
      <c r="J866" s="234"/>
      <c r="K866" s="244"/>
      <c r="L866" s="244"/>
      <c r="M866" s="244"/>
      <c r="N866" s="244"/>
      <c r="O866" s="244"/>
      <c r="P866" s="244"/>
    </row>
    <row r="867" ht="18.75" customHeight="1">
      <c r="A867" s="246"/>
      <c r="B867" s="247"/>
      <c r="C867" s="247"/>
      <c r="D867" s="247"/>
      <c r="E867" s="251"/>
      <c r="F867" s="247"/>
      <c r="G867" s="252"/>
      <c r="H867" s="253"/>
      <c r="I867" s="254"/>
      <c r="J867" s="235"/>
      <c r="K867" s="244"/>
      <c r="L867" s="244"/>
      <c r="M867" s="244"/>
      <c r="N867" s="244"/>
      <c r="O867" s="244"/>
      <c r="P867" s="244"/>
    </row>
    <row r="868" ht="18.75" customHeight="1">
      <c r="A868" s="246"/>
      <c r="B868" s="247"/>
      <c r="C868" s="247"/>
      <c r="D868" s="247"/>
      <c r="E868" s="247"/>
      <c r="F868" s="247"/>
      <c r="G868" s="248"/>
      <c r="H868" s="249"/>
      <c r="I868" s="250"/>
      <c r="J868" s="234"/>
      <c r="K868" s="244"/>
      <c r="L868" s="244"/>
      <c r="M868" s="244"/>
      <c r="N868" s="244"/>
      <c r="O868" s="244"/>
      <c r="P868" s="244"/>
    </row>
    <row r="869" ht="18.75" customHeight="1">
      <c r="A869" s="246"/>
      <c r="B869" s="247"/>
      <c r="C869" s="247"/>
      <c r="D869" s="247"/>
      <c r="E869" s="251"/>
      <c r="F869" s="247"/>
      <c r="G869" s="252"/>
      <c r="H869" s="253"/>
      <c r="I869" s="254"/>
      <c r="J869" s="235"/>
      <c r="K869" s="244"/>
      <c r="L869" s="244"/>
      <c r="M869" s="244"/>
      <c r="N869" s="244"/>
      <c r="O869" s="244"/>
      <c r="P869" s="244"/>
    </row>
    <row r="870" ht="18.75" customHeight="1">
      <c r="A870" s="246"/>
      <c r="B870" s="247"/>
      <c r="C870" s="247"/>
      <c r="D870" s="247"/>
      <c r="E870" s="247"/>
      <c r="F870" s="247"/>
      <c r="G870" s="248"/>
      <c r="H870" s="249"/>
      <c r="I870" s="250"/>
      <c r="J870" s="234"/>
      <c r="K870" s="244"/>
      <c r="L870" s="244"/>
      <c r="M870" s="244"/>
      <c r="N870" s="244"/>
      <c r="O870" s="244"/>
      <c r="P870" s="244"/>
    </row>
    <row r="871" ht="18.75" customHeight="1">
      <c r="A871" s="246"/>
      <c r="B871" s="247"/>
      <c r="C871" s="247"/>
      <c r="D871" s="247"/>
      <c r="E871" s="251"/>
      <c r="F871" s="247"/>
      <c r="G871" s="252"/>
      <c r="H871" s="253"/>
      <c r="I871" s="254"/>
      <c r="J871" s="235"/>
      <c r="K871" s="244"/>
      <c r="L871" s="244"/>
      <c r="M871" s="244"/>
      <c r="N871" s="244"/>
      <c r="O871" s="244"/>
      <c r="P871" s="244"/>
    </row>
    <row r="872" ht="18.75" customHeight="1">
      <c r="A872" s="246"/>
      <c r="B872" s="247"/>
      <c r="C872" s="247"/>
      <c r="D872" s="247"/>
      <c r="E872" s="247"/>
      <c r="F872" s="247"/>
      <c r="G872" s="248"/>
      <c r="H872" s="249"/>
      <c r="I872" s="250"/>
      <c r="J872" s="234"/>
      <c r="K872" s="244"/>
      <c r="L872" s="244"/>
      <c r="M872" s="244"/>
      <c r="N872" s="244"/>
      <c r="O872" s="244"/>
      <c r="P872" s="244"/>
    </row>
    <row r="873" ht="18.75" customHeight="1">
      <c r="A873" s="246"/>
      <c r="B873" s="247"/>
      <c r="C873" s="247"/>
      <c r="D873" s="247"/>
      <c r="E873" s="251"/>
      <c r="F873" s="247"/>
      <c r="G873" s="252"/>
      <c r="H873" s="253"/>
      <c r="I873" s="254"/>
      <c r="J873" s="235"/>
      <c r="K873" s="244"/>
      <c r="L873" s="244"/>
      <c r="M873" s="244"/>
      <c r="N873" s="244"/>
      <c r="O873" s="244"/>
      <c r="P873" s="244"/>
    </row>
    <row r="874" ht="18.75" customHeight="1">
      <c r="A874" s="246"/>
      <c r="B874" s="247"/>
      <c r="C874" s="247"/>
      <c r="D874" s="247"/>
      <c r="E874" s="247"/>
      <c r="F874" s="247"/>
      <c r="G874" s="248"/>
      <c r="H874" s="249"/>
      <c r="I874" s="250"/>
      <c r="J874" s="234"/>
      <c r="K874" s="244"/>
      <c r="L874" s="244"/>
      <c r="M874" s="244"/>
      <c r="N874" s="244"/>
      <c r="O874" s="244"/>
      <c r="P874" s="244"/>
    </row>
    <row r="875" ht="18.75" customHeight="1">
      <c r="A875" s="246"/>
      <c r="B875" s="247"/>
      <c r="C875" s="247"/>
      <c r="D875" s="247"/>
      <c r="E875" s="251"/>
      <c r="F875" s="247"/>
      <c r="G875" s="252"/>
      <c r="H875" s="253"/>
      <c r="I875" s="254"/>
      <c r="J875" s="235"/>
      <c r="K875" s="244"/>
      <c r="L875" s="244"/>
      <c r="M875" s="244"/>
      <c r="N875" s="244"/>
      <c r="O875" s="244"/>
      <c r="P875" s="244"/>
    </row>
    <row r="876" ht="18.75" customHeight="1">
      <c r="A876" s="246"/>
      <c r="B876" s="247"/>
      <c r="C876" s="247"/>
      <c r="D876" s="247"/>
      <c r="E876" s="247"/>
      <c r="F876" s="247"/>
      <c r="G876" s="248"/>
      <c r="H876" s="249"/>
      <c r="I876" s="250"/>
      <c r="J876" s="234"/>
      <c r="K876" s="244"/>
      <c r="L876" s="244"/>
      <c r="M876" s="244"/>
      <c r="N876" s="244"/>
      <c r="O876" s="244"/>
      <c r="P876" s="244"/>
    </row>
    <row r="877" ht="18.75" customHeight="1">
      <c r="A877" s="246"/>
      <c r="B877" s="247"/>
      <c r="C877" s="247"/>
      <c r="D877" s="247"/>
      <c r="E877" s="251"/>
      <c r="F877" s="247"/>
      <c r="G877" s="252"/>
      <c r="H877" s="253"/>
      <c r="I877" s="254"/>
      <c r="J877" s="235"/>
      <c r="K877" s="244"/>
      <c r="L877" s="244"/>
      <c r="M877" s="244"/>
      <c r="N877" s="244"/>
      <c r="O877" s="244"/>
      <c r="P877" s="244"/>
    </row>
    <row r="878" ht="18.75" customHeight="1">
      <c r="A878" s="246"/>
      <c r="B878" s="247"/>
      <c r="C878" s="247"/>
      <c r="D878" s="247"/>
      <c r="E878" s="247"/>
      <c r="F878" s="247"/>
      <c r="G878" s="248"/>
      <c r="H878" s="249"/>
      <c r="I878" s="250"/>
      <c r="J878" s="234"/>
      <c r="K878" s="244"/>
      <c r="L878" s="244"/>
      <c r="M878" s="244"/>
      <c r="N878" s="244"/>
      <c r="O878" s="244"/>
      <c r="P878" s="244"/>
    </row>
    <row r="879" ht="18.75" customHeight="1">
      <c r="A879" s="246"/>
      <c r="B879" s="247"/>
      <c r="C879" s="247"/>
      <c r="D879" s="247"/>
      <c r="E879" s="251"/>
      <c r="F879" s="247"/>
      <c r="G879" s="252"/>
      <c r="H879" s="253"/>
      <c r="I879" s="254"/>
      <c r="J879" s="235"/>
      <c r="K879" s="244"/>
      <c r="L879" s="244"/>
      <c r="M879" s="244"/>
      <c r="N879" s="244"/>
      <c r="O879" s="244"/>
      <c r="P879" s="244"/>
    </row>
    <row r="880" ht="18.75" customHeight="1">
      <c r="A880" s="246"/>
      <c r="B880" s="247"/>
      <c r="C880" s="247"/>
      <c r="D880" s="247"/>
      <c r="E880" s="247"/>
      <c r="F880" s="247"/>
      <c r="G880" s="248"/>
      <c r="H880" s="249"/>
      <c r="I880" s="250"/>
      <c r="J880" s="234"/>
      <c r="K880" s="244"/>
      <c r="L880" s="244"/>
      <c r="M880" s="244"/>
      <c r="N880" s="244"/>
      <c r="O880" s="244"/>
      <c r="P880" s="244"/>
    </row>
    <row r="881" ht="18.75" customHeight="1">
      <c r="A881" s="246"/>
      <c r="B881" s="247"/>
      <c r="C881" s="247"/>
      <c r="D881" s="247"/>
      <c r="E881" s="251"/>
      <c r="F881" s="247"/>
      <c r="G881" s="252"/>
      <c r="H881" s="253"/>
      <c r="I881" s="254"/>
      <c r="J881" s="235"/>
      <c r="K881" s="244"/>
      <c r="L881" s="244"/>
      <c r="M881" s="244"/>
      <c r="N881" s="244"/>
      <c r="O881" s="244"/>
      <c r="P881" s="244"/>
    </row>
    <row r="882" ht="18.75" customHeight="1">
      <c r="A882" s="246"/>
      <c r="B882" s="247"/>
      <c r="C882" s="247"/>
      <c r="D882" s="247"/>
      <c r="E882" s="247"/>
      <c r="F882" s="247"/>
      <c r="G882" s="248"/>
      <c r="H882" s="249"/>
      <c r="I882" s="250"/>
      <c r="J882" s="234"/>
      <c r="K882" s="244"/>
      <c r="L882" s="244"/>
      <c r="M882" s="244"/>
      <c r="N882" s="244"/>
      <c r="O882" s="244"/>
      <c r="P882" s="244"/>
    </row>
    <row r="883" ht="18.75" customHeight="1">
      <c r="A883" s="246"/>
      <c r="B883" s="247"/>
      <c r="C883" s="247"/>
      <c r="D883" s="247"/>
      <c r="E883" s="251"/>
      <c r="F883" s="247"/>
      <c r="G883" s="252"/>
      <c r="H883" s="253"/>
      <c r="I883" s="254"/>
      <c r="J883" s="235"/>
      <c r="K883" s="244"/>
      <c r="L883" s="244"/>
      <c r="M883" s="244"/>
      <c r="N883" s="244"/>
      <c r="O883" s="244"/>
      <c r="P883" s="244"/>
    </row>
    <row r="884" ht="18.75" customHeight="1">
      <c r="A884" s="246"/>
      <c r="B884" s="247"/>
      <c r="C884" s="247"/>
      <c r="D884" s="247"/>
      <c r="E884" s="247"/>
      <c r="F884" s="247"/>
      <c r="G884" s="248"/>
      <c r="H884" s="249"/>
      <c r="I884" s="250"/>
      <c r="J884" s="234"/>
      <c r="K884" s="244"/>
      <c r="L884" s="244"/>
      <c r="M884" s="244"/>
      <c r="N884" s="244"/>
      <c r="O884" s="244"/>
      <c r="P884" s="244"/>
    </row>
    <row r="885" ht="18.75" customHeight="1">
      <c r="A885" s="246"/>
      <c r="B885" s="247"/>
      <c r="C885" s="247"/>
      <c r="D885" s="247"/>
      <c r="E885" s="251"/>
      <c r="F885" s="247"/>
      <c r="G885" s="252"/>
      <c r="H885" s="253"/>
      <c r="I885" s="254"/>
      <c r="J885" s="235"/>
      <c r="K885" s="244"/>
      <c r="L885" s="244"/>
      <c r="M885" s="244"/>
      <c r="N885" s="244"/>
      <c r="O885" s="244"/>
      <c r="P885" s="244"/>
    </row>
    <row r="886" ht="18.75" customHeight="1">
      <c r="A886" s="246"/>
      <c r="B886" s="247"/>
      <c r="C886" s="247"/>
      <c r="D886" s="247"/>
      <c r="E886" s="247"/>
      <c r="F886" s="247"/>
      <c r="G886" s="248"/>
      <c r="H886" s="249"/>
      <c r="I886" s="250"/>
      <c r="J886" s="234"/>
      <c r="K886" s="244"/>
      <c r="L886" s="244"/>
      <c r="M886" s="244"/>
      <c r="N886" s="244"/>
      <c r="O886" s="244"/>
      <c r="P886" s="244"/>
    </row>
    <row r="887" ht="18.75" customHeight="1">
      <c r="A887" s="246"/>
      <c r="B887" s="247"/>
      <c r="C887" s="247"/>
      <c r="D887" s="247"/>
      <c r="E887" s="251"/>
      <c r="F887" s="247"/>
      <c r="G887" s="252"/>
      <c r="H887" s="253"/>
      <c r="I887" s="254"/>
      <c r="J887" s="235"/>
      <c r="K887" s="244"/>
      <c r="L887" s="244"/>
      <c r="M887" s="244"/>
      <c r="N887" s="244"/>
      <c r="O887" s="244"/>
      <c r="P887" s="244"/>
    </row>
    <row r="888" ht="18.75" customHeight="1">
      <c r="A888" s="246"/>
      <c r="B888" s="247"/>
      <c r="C888" s="247"/>
      <c r="D888" s="247"/>
      <c r="E888" s="247"/>
      <c r="F888" s="247"/>
      <c r="G888" s="248"/>
      <c r="H888" s="249"/>
      <c r="I888" s="250"/>
      <c r="J888" s="234"/>
      <c r="K888" s="244"/>
      <c r="L888" s="244"/>
      <c r="M888" s="244"/>
      <c r="N888" s="244"/>
      <c r="O888" s="244"/>
      <c r="P888" s="244"/>
    </row>
    <row r="889" ht="18.75" customHeight="1">
      <c r="A889" s="246"/>
      <c r="B889" s="247"/>
      <c r="C889" s="247"/>
      <c r="D889" s="247"/>
      <c r="E889" s="251"/>
      <c r="F889" s="247"/>
      <c r="G889" s="252"/>
      <c r="H889" s="253"/>
      <c r="I889" s="254"/>
      <c r="J889" s="235"/>
      <c r="K889" s="244"/>
      <c r="L889" s="244"/>
      <c r="M889" s="244"/>
      <c r="N889" s="244"/>
      <c r="O889" s="244"/>
      <c r="P889" s="244"/>
    </row>
    <row r="890" ht="18.75" customHeight="1">
      <c r="A890" s="246"/>
      <c r="B890" s="247"/>
      <c r="C890" s="247"/>
      <c r="D890" s="247"/>
      <c r="E890" s="247"/>
      <c r="F890" s="247"/>
      <c r="G890" s="248"/>
      <c r="H890" s="249"/>
      <c r="I890" s="250"/>
      <c r="J890" s="234"/>
      <c r="K890" s="244"/>
      <c r="L890" s="244"/>
      <c r="M890" s="244"/>
      <c r="N890" s="244"/>
      <c r="O890" s="244"/>
      <c r="P890" s="244"/>
    </row>
    <row r="891" ht="18.75" customHeight="1">
      <c r="A891" s="246"/>
      <c r="B891" s="247"/>
      <c r="C891" s="247"/>
      <c r="D891" s="247"/>
      <c r="E891" s="251"/>
      <c r="F891" s="247"/>
      <c r="G891" s="252"/>
      <c r="H891" s="253"/>
      <c r="I891" s="254"/>
      <c r="J891" s="235"/>
      <c r="K891" s="244"/>
      <c r="L891" s="244"/>
      <c r="M891" s="244"/>
      <c r="N891" s="244"/>
      <c r="O891" s="244"/>
      <c r="P891" s="244"/>
    </row>
    <row r="892" ht="18.75" customHeight="1">
      <c r="A892" s="246"/>
      <c r="B892" s="247"/>
      <c r="C892" s="247"/>
      <c r="D892" s="247"/>
      <c r="E892" s="247"/>
      <c r="F892" s="247"/>
      <c r="G892" s="248"/>
      <c r="H892" s="249"/>
      <c r="I892" s="250"/>
      <c r="J892" s="234"/>
      <c r="K892" s="244"/>
      <c r="L892" s="244"/>
      <c r="M892" s="244"/>
      <c r="N892" s="244"/>
      <c r="O892" s="244"/>
      <c r="P892" s="244"/>
    </row>
    <row r="893" ht="18.75" customHeight="1">
      <c r="A893" s="246"/>
      <c r="B893" s="247"/>
      <c r="C893" s="247"/>
      <c r="D893" s="247"/>
      <c r="E893" s="251"/>
      <c r="F893" s="247"/>
      <c r="G893" s="252"/>
      <c r="H893" s="253"/>
      <c r="I893" s="254"/>
      <c r="J893" s="235"/>
      <c r="K893" s="244"/>
      <c r="L893" s="244"/>
      <c r="M893" s="244"/>
      <c r="N893" s="244"/>
      <c r="O893" s="244"/>
      <c r="P893" s="244"/>
    </row>
    <row r="894" ht="18.75" customHeight="1">
      <c r="A894" s="246"/>
      <c r="B894" s="247"/>
      <c r="C894" s="247"/>
      <c r="D894" s="247"/>
      <c r="E894" s="247"/>
      <c r="F894" s="247"/>
      <c r="G894" s="248"/>
      <c r="H894" s="249"/>
      <c r="I894" s="250"/>
      <c r="J894" s="234"/>
      <c r="K894" s="244"/>
      <c r="L894" s="244"/>
      <c r="M894" s="244"/>
      <c r="N894" s="244"/>
      <c r="O894" s="244"/>
      <c r="P894" s="244"/>
    </row>
    <row r="895" ht="18.75" customHeight="1">
      <c r="A895" s="246"/>
      <c r="B895" s="247"/>
      <c r="C895" s="247"/>
      <c r="D895" s="247"/>
      <c r="E895" s="251"/>
      <c r="F895" s="247"/>
      <c r="G895" s="252"/>
      <c r="H895" s="253"/>
      <c r="I895" s="254"/>
      <c r="J895" s="235"/>
      <c r="K895" s="244"/>
      <c r="L895" s="244"/>
      <c r="M895" s="244"/>
      <c r="N895" s="244"/>
      <c r="O895" s="244"/>
      <c r="P895" s="244"/>
    </row>
    <row r="896" ht="18.75" customHeight="1">
      <c r="A896" s="246"/>
      <c r="B896" s="247"/>
      <c r="C896" s="247"/>
      <c r="D896" s="247"/>
      <c r="E896" s="247"/>
      <c r="F896" s="247"/>
      <c r="G896" s="248"/>
      <c r="H896" s="249"/>
      <c r="I896" s="250"/>
      <c r="J896" s="234"/>
      <c r="K896" s="244"/>
      <c r="L896" s="244"/>
      <c r="M896" s="244"/>
      <c r="N896" s="244"/>
      <c r="O896" s="244"/>
      <c r="P896" s="244"/>
    </row>
    <row r="897" ht="18.75" customHeight="1">
      <c r="A897" s="246"/>
      <c r="B897" s="247"/>
      <c r="C897" s="247"/>
      <c r="D897" s="247"/>
      <c r="E897" s="251"/>
      <c r="F897" s="247"/>
      <c r="G897" s="252"/>
      <c r="H897" s="253"/>
      <c r="I897" s="254"/>
      <c r="J897" s="235"/>
      <c r="K897" s="244"/>
      <c r="L897" s="244"/>
      <c r="M897" s="244"/>
      <c r="N897" s="244"/>
      <c r="O897" s="244"/>
      <c r="P897" s="244"/>
    </row>
    <row r="898" ht="18.75" customHeight="1">
      <c r="A898" s="246"/>
      <c r="B898" s="247"/>
      <c r="C898" s="247"/>
      <c r="D898" s="247"/>
      <c r="E898" s="247"/>
      <c r="F898" s="247"/>
      <c r="G898" s="248"/>
      <c r="H898" s="249"/>
      <c r="I898" s="250"/>
      <c r="J898" s="234"/>
      <c r="K898" s="244"/>
      <c r="L898" s="244"/>
      <c r="M898" s="244"/>
      <c r="N898" s="244"/>
      <c r="O898" s="244"/>
      <c r="P898" s="244"/>
    </row>
    <row r="899" ht="18.75" customHeight="1">
      <c r="A899" s="246"/>
      <c r="B899" s="247"/>
      <c r="C899" s="247"/>
      <c r="D899" s="247"/>
      <c r="E899" s="251"/>
      <c r="F899" s="247"/>
      <c r="G899" s="252"/>
      <c r="H899" s="253"/>
      <c r="I899" s="254"/>
      <c r="J899" s="235"/>
      <c r="K899" s="244"/>
      <c r="L899" s="244"/>
      <c r="M899" s="244"/>
      <c r="N899" s="244"/>
      <c r="O899" s="244"/>
      <c r="P899" s="244"/>
    </row>
    <row r="900" ht="18.75" customHeight="1">
      <c r="A900" s="246"/>
      <c r="B900" s="247"/>
      <c r="C900" s="247"/>
      <c r="D900" s="247"/>
      <c r="E900" s="247"/>
      <c r="F900" s="247"/>
      <c r="G900" s="248"/>
      <c r="H900" s="249"/>
      <c r="I900" s="250"/>
      <c r="J900" s="234"/>
      <c r="K900" s="244"/>
      <c r="L900" s="244"/>
      <c r="M900" s="244"/>
      <c r="N900" s="244"/>
      <c r="O900" s="244"/>
      <c r="P900" s="244"/>
    </row>
    <row r="901" ht="18.75" customHeight="1">
      <c r="A901" s="246"/>
      <c r="B901" s="247"/>
      <c r="C901" s="247"/>
      <c r="D901" s="247"/>
      <c r="E901" s="251"/>
      <c r="F901" s="247"/>
      <c r="G901" s="252"/>
      <c r="H901" s="253"/>
      <c r="I901" s="254"/>
      <c r="J901" s="235"/>
      <c r="K901" s="244"/>
      <c r="L901" s="244"/>
      <c r="M901" s="244"/>
      <c r="N901" s="244"/>
      <c r="O901" s="244"/>
      <c r="P901" s="244"/>
    </row>
    <row r="902" ht="18.75" customHeight="1">
      <c r="A902" s="246"/>
      <c r="B902" s="247"/>
      <c r="C902" s="247"/>
      <c r="D902" s="247"/>
      <c r="E902" s="247"/>
      <c r="F902" s="247"/>
      <c r="G902" s="248"/>
      <c r="H902" s="249"/>
      <c r="I902" s="250"/>
      <c r="J902" s="234"/>
      <c r="K902" s="244"/>
      <c r="L902" s="244"/>
      <c r="M902" s="244"/>
      <c r="N902" s="244"/>
      <c r="O902" s="244"/>
      <c r="P902" s="244"/>
    </row>
    <row r="903" ht="18.75" customHeight="1">
      <c r="A903" s="246"/>
      <c r="B903" s="247"/>
      <c r="C903" s="247"/>
      <c r="D903" s="247"/>
      <c r="E903" s="251"/>
      <c r="F903" s="247"/>
      <c r="G903" s="252"/>
      <c r="H903" s="253"/>
      <c r="I903" s="254"/>
      <c r="J903" s="235"/>
      <c r="K903" s="244"/>
      <c r="L903" s="244"/>
      <c r="M903" s="244"/>
      <c r="N903" s="244"/>
      <c r="O903" s="244"/>
      <c r="P903" s="244"/>
    </row>
    <row r="904" ht="18.75" customHeight="1">
      <c r="A904" s="246"/>
      <c r="B904" s="247"/>
      <c r="C904" s="247"/>
      <c r="D904" s="247"/>
      <c r="E904" s="247"/>
      <c r="F904" s="247"/>
      <c r="G904" s="248"/>
      <c r="H904" s="249"/>
      <c r="I904" s="250"/>
      <c r="J904" s="234"/>
      <c r="K904" s="244"/>
      <c r="L904" s="244"/>
      <c r="M904" s="244"/>
      <c r="N904" s="244"/>
      <c r="O904" s="244"/>
      <c r="P904" s="244"/>
    </row>
    <row r="905" ht="18.75" customHeight="1">
      <c r="A905" s="246"/>
      <c r="B905" s="247"/>
      <c r="C905" s="247"/>
      <c r="D905" s="247"/>
      <c r="E905" s="251"/>
      <c r="F905" s="247"/>
      <c r="G905" s="252"/>
      <c r="H905" s="253"/>
      <c r="I905" s="254"/>
      <c r="J905" s="235"/>
      <c r="K905" s="244"/>
      <c r="L905" s="244"/>
      <c r="M905" s="244"/>
      <c r="N905" s="244"/>
      <c r="O905" s="244"/>
      <c r="P905" s="244"/>
    </row>
    <row r="906" ht="18.75" customHeight="1">
      <c r="A906" s="246"/>
      <c r="B906" s="247"/>
      <c r="C906" s="247"/>
      <c r="D906" s="247"/>
      <c r="E906" s="247"/>
      <c r="F906" s="247"/>
      <c r="G906" s="248"/>
      <c r="H906" s="249"/>
      <c r="I906" s="250"/>
      <c r="J906" s="234"/>
      <c r="K906" s="244"/>
      <c r="L906" s="244"/>
      <c r="M906" s="244"/>
      <c r="N906" s="244"/>
      <c r="O906" s="244"/>
      <c r="P906" s="244"/>
    </row>
    <row r="907" ht="18.75" customHeight="1">
      <c r="A907" s="246"/>
      <c r="B907" s="247"/>
      <c r="C907" s="247"/>
      <c r="D907" s="247"/>
      <c r="E907" s="251"/>
      <c r="F907" s="247"/>
      <c r="G907" s="252"/>
      <c r="H907" s="253"/>
      <c r="I907" s="254"/>
      <c r="J907" s="235"/>
      <c r="K907" s="244"/>
      <c r="L907" s="244"/>
      <c r="M907" s="244"/>
      <c r="N907" s="244"/>
      <c r="O907" s="244"/>
      <c r="P907" s="244"/>
    </row>
    <row r="908" ht="18.75" customHeight="1">
      <c r="A908" s="246"/>
      <c r="B908" s="247"/>
      <c r="C908" s="247"/>
      <c r="D908" s="247"/>
      <c r="E908" s="247"/>
      <c r="F908" s="247"/>
      <c r="G908" s="248"/>
      <c r="H908" s="249"/>
      <c r="I908" s="250"/>
      <c r="J908" s="234"/>
      <c r="K908" s="244"/>
      <c r="L908" s="244"/>
      <c r="M908" s="244"/>
      <c r="N908" s="244"/>
      <c r="O908" s="244"/>
      <c r="P908" s="244"/>
    </row>
    <row r="909" ht="18.75" customHeight="1">
      <c r="A909" s="246"/>
      <c r="B909" s="247"/>
      <c r="C909" s="247"/>
      <c r="D909" s="247"/>
      <c r="E909" s="251"/>
      <c r="F909" s="247"/>
      <c r="G909" s="252"/>
      <c r="H909" s="253"/>
      <c r="I909" s="254"/>
      <c r="J909" s="235"/>
      <c r="K909" s="244"/>
      <c r="L909" s="244"/>
      <c r="M909" s="244"/>
      <c r="N909" s="244"/>
      <c r="O909" s="244"/>
      <c r="P909" s="244"/>
    </row>
    <row r="910" ht="18.75" customHeight="1">
      <c r="A910" s="246"/>
      <c r="B910" s="247"/>
      <c r="C910" s="247"/>
      <c r="D910" s="247"/>
      <c r="E910" s="247"/>
      <c r="F910" s="247"/>
      <c r="G910" s="248"/>
      <c r="H910" s="249"/>
      <c r="I910" s="250"/>
      <c r="J910" s="234"/>
      <c r="K910" s="244"/>
      <c r="L910" s="244"/>
      <c r="M910" s="244"/>
      <c r="N910" s="244"/>
      <c r="O910" s="244"/>
      <c r="P910" s="244"/>
    </row>
    <row r="911" ht="18.75" customHeight="1">
      <c r="A911" s="246"/>
      <c r="B911" s="247"/>
      <c r="C911" s="247"/>
      <c r="D911" s="247"/>
      <c r="E911" s="251"/>
      <c r="F911" s="247"/>
      <c r="G911" s="252"/>
      <c r="H911" s="253"/>
      <c r="I911" s="254"/>
      <c r="J911" s="235"/>
      <c r="K911" s="244"/>
      <c r="L911" s="244"/>
      <c r="M911" s="244"/>
      <c r="N911" s="244"/>
      <c r="O911" s="244"/>
      <c r="P911" s="244"/>
    </row>
    <row r="912" ht="18.75" customHeight="1">
      <c r="A912" s="246"/>
      <c r="B912" s="247"/>
      <c r="C912" s="247"/>
      <c r="D912" s="247"/>
      <c r="E912" s="247"/>
      <c r="F912" s="247"/>
      <c r="G912" s="248"/>
      <c r="H912" s="249"/>
      <c r="I912" s="250"/>
      <c r="J912" s="234"/>
      <c r="K912" s="244"/>
      <c r="L912" s="244"/>
      <c r="M912" s="244"/>
      <c r="N912" s="244"/>
      <c r="O912" s="244"/>
      <c r="P912" s="244"/>
    </row>
    <row r="913" ht="18.75" customHeight="1">
      <c r="A913" s="246"/>
      <c r="B913" s="247"/>
      <c r="C913" s="247"/>
      <c r="D913" s="247"/>
      <c r="E913" s="251"/>
      <c r="F913" s="247"/>
      <c r="G913" s="252"/>
      <c r="H913" s="253"/>
      <c r="I913" s="254"/>
      <c r="J913" s="235"/>
      <c r="K913" s="244"/>
      <c r="L913" s="244"/>
      <c r="M913" s="244"/>
      <c r="N913" s="244"/>
      <c r="O913" s="244"/>
      <c r="P913" s="244"/>
    </row>
    <row r="914" ht="18.75" customHeight="1">
      <c r="A914" s="246"/>
      <c r="B914" s="247"/>
      <c r="C914" s="247"/>
      <c r="D914" s="247"/>
      <c r="E914" s="247"/>
      <c r="F914" s="247"/>
      <c r="G914" s="248"/>
      <c r="H914" s="249"/>
      <c r="I914" s="250"/>
      <c r="J914" s="234"/>
      <c r="K914" s="244"/>
      <c r="L914" s="244"/>
      <c r="M914" s="244"/>
      <c r="N914" s="244"/>
      <c r="O914" s="244"/>
      <c r="P914" s="244"/>
    </row>
    <row r="915" ht="18.75" customHeight="1">
      <c r="A915" s="246"/>
      <c r="B915" s="247"/>
      <c r="C915" s="247"/>
      <c r="D915" s="247"/>
      <c r="E915" s="251"/>
      <c r="F915" s="247"/>
      <c r="G915" s="252"/>
      <c r="H915" s="253"/>
      <c r="I915" s="254"/>
      <c r="J915" s="235"/>
      <c r="K915" s="244"/>
      <c r="L915" s="244"/>
      <c r="M915" s="244"/>
      <c r="N915" s="244"/>
      <c r="O915" s="244"/>
      <c r="P915" s="244"/>
    </row>
    <row r="916" ht="18.75" customHeight="1">
      <c r="A916" s="246"/>
      <c r="B916" s="247"/>
      <c r="C916" s="247"/>
      <c r="D916" s="247"/>
      <c r="E916" s="247"/>
      <c r="F916" s="247"/>
      <c r="G916" s="248"/>
      <c r="H916" s="249"/>
      <c r="I916" s="250"/>
      <c r="J916" s="234"/>
      <c r="K916" s="244"/>
      <c r="L916" s="244"/>
      <c r="M916" s="244"/>
      <c r="N916" s="244"/>
      <c r="O916" s="244"/>
      <c r="P916" s="244"/>
    </row>
    <row r="917" ht="18.75" customHeight="1">
      <c r="A917" s="246"/>
      <c r="B917" s="247"/>
      <c r="C917" s="247"/>
      <c r="D917" s="247"/>
      <c r="E917" s="251"/>
      <c r="F917" s="247"/>
      <c r="G917" s="252"/>
      <c r="H917" s="253"/>
      <c r="I917" s="254"/>
      <c r="J917" s="235"/>
      <c r="K917" s="244"/>
      <c r="L917" s="244"/>
      <c r="M917" s="244"/>
      <c r="N917" s="244"/>
      <c r="O917" s="244"/>
      <c r="P917" s="244"/>
    </row>
    <row r="918" ht="18.75" customHeight="1">
      <c r="A918" s="246"/>
      <c r="B918" s="247"/>
      <c r="C918" s="247"/>
      <c r="D918" s="247"/>
      <c r="E918" s="247"/>
      <c r="F918" s="247"/>
      <c r="G918" s="248"/>
      <c r="H918" s="249"/>
      <c r="I918" s="250"/>
      <c r="J918" s="234"/>
      <c r="K918" s="244"/>
      <c r="L918" s="244"/>
      <c r="M918" s="244"/>
      <c r="N918" s="244"/>
      <c r="O918" s="244"/>
      <c r="P918" s="244"/>
    </row>
    <row r="919" ht="18.75" customHeight="1">
      <c r="A919" s="246"/>
      <c r="B919" s="247"/>
      <c r="C919" s="247"/>
      <c r="D919" s="247"/>
      <c r="E919" s="251"/>
      <c r="F919" s="247"/>
      <c r="G919" s="252"/>
      <c r="H919" s="253"/>
      <c r="I919" s="254"/>
      <c r="J919" s="235"/>
      <c r="K919" s="244"/>
      <c r="L919" s="244"/>
      <c r="M919" s="244"/>
      <c r="N919" s="244"/>
      <c r="O919" s="244"/>
      <c r="P919" s="244"/>
    </row>
    <row r="920" ht="18.75" customHeight="1">
      <c r="A920" s="246"/>
      <c r="B920" s="247"/>
      <c r="C920" s="247"/>
      <c r="D920" s="247"/>
      <c r="E920" s="247"/>
      <c r="F920" s="247"/>
      <c r="G920" s="248"/>
      <c r="H920" s="249"/>
      <c r="I920" s="250"/>
      <c r="J920" s="234"/>
      <c r="K920" s="244"/>
      <c r="L920" s="244"/>
      <c r="M920" s="244"/>
      <c r="N920" s="244"/>
      <c r="O920" s="244"/>
      <c r="P920" s="244"/>
    </row>
    <row r="921" ht="18.75" customHeight="1">
      <c r="A921" s="246"/>
      <c r="B921" s="247"/>
      <c r="C921" s="247"/>
      <c r="D921" s="247"/>
      <c r="E921" s="251"/>
      <c r="F921" s="247"/>
      <c r="G921" s="252"/>
      <c r="H921" s="253"/>
      <c r="I921" s="254"/>
      <c r="J921" s="235"/>
      <c r="K921" s="244"/>
      <c r="L921" s="244"/>
      <c r="M921" s="244"/>
      <c r="N921" s="244"/>
      <c r="O921" s="244"/>
      <c r="P921" s="244"/>
    </row>
    <row r="922" ht="18.75" customHeight="1">
      <c r="A922" s="246"/>
      <c r="B922" s="247"/>
      <c r="C922" s="247"/>
      <c r="D922" s="247"/>
      <c r="E922" s="247"/>
      <c r="F922" s="247"/>
      <c r="G922" s="248"/>
      <c r="H922" s="249"/>
      <c r="I922" s="250"/>
      <c r="J922" s="234"/>
      <c r="K922" s="244"/>
      <c r="L922" s="244"/>
      <c r="M922" s="244"/>
      <c r="N922" s="244"/>
      <c r="O922" s="244"/>
      <c r="P922" s="244"/>
    </row>
    <row r="923" ht="18.75" customHeight="1">
      <c r="A923" s="246"/>
      <c r="B923" s="247"/>
      <c r="C923" s="247"/>
      <c r="D923" s="247"/>
      <c r="E923" s="251"/>
      <c r="F923" s="247"/>
      <c r="G923" s="252"/>
      <c r="H923" s="253"/>
      <c r="I923" s="254"/>
      <c r="J923" s="235"/>
      <c r="K923" s="244"/>
      <c r="L923" s="244"/>
      <c r="M923" s="244"/>
      <c r="N923" s="244"/>
      <c r="O923" s="244"/>
      <c r="P923" s="244"/>
    </row>
    <row r="924" ht="18.75" customHeight="1">
      <c r="A924" s="246"/>
      <c r="B924" s="247"/>
      <c r="C924" s="247"/>
      <c r="D924" s="247"/>
      <c r="E924" s="247"/>
      <c r="F924" s="247"/>
      <c r="G924" s="248"/>
      <c r="H924" s="249"/>
      <c r="I924" s="250"/>
      <c r="J924" s="234"/>
      <c r="K924" s="244"/>
      <c r="L924" s="244"/>
      <c r="M924" s="244"/>
      <c r="N924" s="244"/>
      <c r="O924" s="244"/>
      <c r="P924" s="244"/>
    </row>
    <row r="925" ht="18.75" customHeight="1">
      <c r="A925" s="246"/>
      <c r="B925" s="247"/>
      <c r="C925" s="247"/>
      <c r="D925" s="247"/>
      <c r="E925" s="251"/>
      <c r="F925" s="247"/>
      <c r="G925" s="252"/>
      <c r="H925" s="253"/>
      <c r="I925" s="254"/>
      <c r="J925" s="235"/>
      <c r="K925" s="244"/>
      <c r="L925" s="244"/>
      <c r="M925" s="244"/>
      <c r="N925" s="244"/>
      <c r="O925" s="244"/>
      <c r="P925" s="244"/>
    </row>
    <row r="926" ht="18.75" customHeight="1">
      <c r="A926" s="246"/>
      <c r="B926" s="247"/>
      <c r="C926" s="247"/>
      <c r="D926" s="247"/>
      <c r="E926" s="247"/>
      <c r="F926" s="247"/>
      <c r="G926" s="248"/>
      <c r="H926" s="249"/>
      <c r="I926" s="250"/>
      <c r="J926" s="234"/>
      <c r="K926" s="244"/>
      <c r="L926" s="244"/>
      <c r="M926" s="244"/>
      <c r="N926" s="244"/>
      <c r="O926" s="244"/>
      <c r="P926" s="244"/>
    </row>
    <row r="927" ht="18.75" customHeight="1">
      <c r="A927" s="246"/>
      <c r="B927" s="247"/>
      <c r="C927" s="247"/>
      <c r="D927" s="247"/>
      <c r="E927" s="251"/>
      <c r="F927" s="247"/>
      <c r="G927" s="252"/>
      <c r="H927" s="253"/>
      <c r="I927" s="254"/>
      <c r="J927" s="235"/>
      <c r="K927" s="244"/>
      <c r="L927" s="244"/>
      <c r="M927" s="244"/>
      <c r="N927" s="244"/>
      <c r="O927" s="244"/>
      <c r="P927" s="244"/>
    </row>
    <row r="928" ht="18.75" customHeight="1">
      <c r="A928" s="246"/>
      <c r="B928" s="247"/>
      <c r="C928" s="247"/>
      <c r="D928" s="247"/>
      <c r="E928" s="247"/>
      <c r="F928" s="247"/>
      <c r="G928" s="248"/>
      <c r="H928" s="249"/>
      <c r="I928" s="250"/>
      <c r="J928" s="234"/>
      <c r="K928" s="244"/>
      <c r="L928" s="244"/>
      <c r="M928" s="244"/>
      <c r="N928" s="244"/>
      <c r="O928" s="244"/>
      <c r="P928" s="244"/>
    </row>
    <row r="929" ht="18.75" customHeight="1">
      <c r="A929" s="246"/>
      <c r="B929" s="247"/>
      <c r="C929" s="247"/>
      <c r="D929" s="247"/>
      <c r="E929" s="251"/>
      <c r="F929" s="247"/>
      <c r="G929" s="252"/>
      <c r="H929" s="253"/>
      <c r="I929" s="254"/>
      <c r="J929" s="235"/>
      <c r="K929" s="244"/>
      <c r="L929" s="244"/>
      <c r="M929" s="244"/>
      <c r="N929" s="244"/>
      <c r="O929" s="244"/>
      <c r="P929" s="244"/>
    </row>
    <row r="930" ht="18.75" customHeight="1">
      <c r="A930" s="246"/>
      <c r="B930" s="247"/>
      <c r="C930" s="247"/>
      <c r="D930" s="247"/>
      <c r="E930" s="247"/>
      <c r="F930" s="247"/>
      <c r="G930" s="248"/>
      <c r="H930" s="249"/>
      <c r="I930" s="250"/>
      <c r="J930" s="234"/>
      <c r="K930" s="244"/>
      <c r="L930" s="244"/>
      <c r="M930" s="244"/>
      <c r="N930" s="244"/>
      <c r="O930" s="244"/>
      <c r="P930" s="244"/>
    </row>
    <row r="931" ht="18.75" customHeight="1">
      <c r="A931" s="246"/>
      <c r="B931" s="247"/>
      <c r="C931" s="247"/>
      <c r="D931" s="247"/>
      <c r="E931" s="251"/>
      <c r="F931" s="247"/>
      <c r="G931" s="252"/>
      <c r="H931" s="253"/>
      <c r="I931" s="254"/>
      <c r="J931" s="235"/>
      <c r="K931" s="244"/>
      <c r="L931" s="244"/>
      <c r="M931" s="244"/>
      <c r="N931" s="244"/>
      <c r="O931" s="244"/>
      <c r="P931" s="244"/>
    </row>
    <row r="932" ht="18.75" customHeight="1">
      <c r="A932" s="246"/>
      <c r="B932" s="247"/>
      <c r="C932" s="247"/>
      <c r="D932" s="247"/>
      <c r="E932" s="247"/>
      <c r="F932" s="247"/>
      <c r="G932" s="248"/>
      <c r="H932" s="249"/>
      <c r="I932" s="250"/>
      <c r="J932" s="234"/>
      <c r="K932" s="244"/>
      <c r="L932" s="244"/>
      <c r="M932" s="244"/>
      <c r="N932" s="244"/>
      <c r="O932" s="244"/>
      <c r="P932" s="244"/>
    </row>
    <row r="933" ht="18.75" customHeight="1">
      <c r="A933" s="246"/>
      <c r="B933" s="247"/>
      <c r="C933" s="247"/>
      <c r="D933" s="247"/>
      <c r="E933" s="251"/>
      <c r="F933" s="247"/>
      <c r="G933" s="252"/>
      <c r="H933" s="253"/>
      <c r="I933" s="254"/>
      <c r="J933" s="235"/>
      <c r="K933" s="244"/>
      <c r="L933" s="244"/>
      <c r="M933" s="244"/>
      <c r="N933" s="244"/>
      <c r="O933" s="244"/>
      <c r="P933" s="244"/>
    </row>
    <row r="934" ht="18.75" customHeight="1">
      <c r="A934" s="246"/>
      <c r="B934" s="247"/>
      <c r="C934" s="247"/>
      <c r="D934" s="247"/>
      <c r="E934" s="247"/>
      <c r="F934" s="247"/>
      <c r="G934" s="248"/>
      <c r="H934" s="249"/>
      <c r="I934" s="250"/>
      <c r="J934" s="234"/>
      <c r="K934" s="244"/>
      <c r="L934" s="244"/>
      <c r="M934" s="244"/>
      <c r="N934" s="244"/>
      <c r="O934" s="244"/>
      <c r="P934" s="244"/>
    </row>
    <row r="935" ht="18.75" customHeight="1">
      <c r="A935" s="246"/>
      <c r="B935" s="247"/>
      <c r="C935" s="247"/>
      <c r="D935" s="247"/>
      <c r="E935" s="251"/>
      <c r="F935" s="247"/>
      <c r="G935" s="252"/>
      <c r="H935" s="253"/>
      <c r="I935" s="254"/>
      <c r="J935" s="235"/>
      <c r="K935" s="244"/>
      <c r="L935" s="244"/>
      <c r="M935" s="244"/>
      <c r="N935" s="244"/>
      <c r="O935" s="244"/>
      <c r="P935" s="244"/>
    </row>
    <row r="936" ht="18.75" customHeight="1">
      <c r="A936" s="246"/>
      <c r="B936" s="247"/>
      <c r="C936" s="247"/>
      <c r="D936" s="247"/>
      <c r="E936" s="247"/>
      <c r="F936" s="247"/>
      <c r="G936" s="248"/>
      <c r="H936" s="249"/>
      <c r="I936" s="250"/>
      <c r="J936" s="234"/>
      <c r="K936" s="244"/>
      <c r="L936" s="244"/>
      <c r="M936" s="244"/>
      <c r="N936" s="244"/>
      <c r="O936" s="244"/>
      <c r="P936" s="244"/>
    </row>
    <row r="937" ht="18.75" customHeight="1">
      <c r="A937" s="246"/>
      <c r="B937" s="247"/>
      <c r="C937" s="247"/>
      <c r="D937" s="247"/>
      <c r="E937" s="251"/>
      <c r="F937" s="247"/>
      <c r="G937" s="252"/>
      <c r="H937" s="253"/>
      <c r="I937" s="254"/>
      <c r="J937" s="235"/>
      <c r="K937" s="244"/>
      <c r="L937" s="244"/>
      <c r="M937" s="244"/>
      <c r="N937" s="244"/>
      <c r="O937" s="244"/>
      <c r="P937" s="244"/>
    </row>
    <row r="938" ht="18.75" customHeight="1">
      <c r="A938" s="246"/>
      <c r="B938" s="247"/>
      <c r="C938" s="247"/>
      <c r="D938" s="247"/>
      <c r="E938" s="247"/>
      <c r="F938" s="247"/>
      <c r="G938" s="248"/>
      <c r="H938" s="249"/>
      <c r="I938" s="250"/>
      <c r="J938" s="234"/>
      <c r="K938" s="244"/>
      <c r="L938" s="244"/>
      <c r="M938" s="244"/>
      <c r="N938" s="244"/>
      <c r="O938" s="244"/>
      <c r="P938" s="244"/>
    </row>
    <row r="939" ht="18.75" customHeight="1">
      <c r="A939" s="246"/>
      <c r="B939" s="247"/>
      <c r="C939" s="247"/>
      <c r="D939" s="247"/>
      <c r="E939" s="251"/>
      <c r="F939" s="247"/>
      <c r="G939" s="252"/>
      <c r="H939" s="253"/>
      <c r="I939" s="254"/>
      <c r="J939" s="235"/>
      <c r="K939" s="244"/>
      <c r="L939" s="244"/>
      <c r="M939" s="244"/>
      <c r="N939" s="244"/>
      <c r="O939" s="244"/>
      <c r="P939" s="244"/>
    </row>
    <row r="940" ht="18.75" customHeight="1">
      <c r="A940" s="246"/>
      <c r="B940" s="247"/>
      <c r="C940" s="247"/>
      <c r="D940" s="247"/>
      <c r="E940" s="247"/>
      <c r="F940" s="247"/>
      <c r="G940" s="248"/>
      <c r="H940" s="249"/>
      <c r="I940" s="250"/>
      <c r="J940" s="234"/>
      <c r="K940" s="244"/>
      <c r="L940" s="244"/>
      <c r="M940" s="244"/>
      <c r="N940" s="244"/>
      <c r="O940" s="244"/>
      <c r="P940" s="244"/>
    </row>
    <row r="941" ht="18.75" customHeight="1">
      <c r="A941" s="246"/>
      <c r="B941" s="247"/>
      <c r="C941" s="247"/>
      <c r="D941" s="247"/>
      <c r="E941" s="251"/>
      <c r="F941" s="247"/>
      <c r="G941" s="252"/>
      <c r="H941" s="253"/>
      <c r="I941" s="254"/>
      <c r="J941" s="235"/>
      <c r="K941" s="244"/>
      <c r="L941" s="244"/>
      <c r="M941" s="244"/>
      <c r="N941" s="244"/>
      <c r="O941" s="244"/>
      <c r="P941" s="244"/>
    </row>
    <row r="942" ht="18.75" customHeight="1">
      <c r="A942" s="246"/>
      <c r="B942" s="247"/>
      <c r="C942" s="247"/>
      <c r="D942" s="247"/>
      <c r="E942" s="247"/>
      <c r="F942" s="247"/>
      <c r="G942" s="248"/>
      <c r="H942" s="249"/>
      <c r="I942" s="250"/>
      <c r="J942" s="234"/>
      <c r="K942" s="244"/>
      <c r="L942" s="244"/>
      <c r="M942" s="244"/>
      <c r="N942" s="244"/>
      <c r="O942" s="244"/>
      <c r="P942" s="244"/>
    </row>
    <row r="943" ht="18.75" customHeight="1">
      <c r="A943" s="246"/>
      <c r="B943" s="247"/>
      <c r="C943" s="247"/>
      <c r="D943" s="247"/>
      <c r="E943" s="251"/>
      <c r="F943" s="247"/>
      <c r="G943" s="252"/>
      <c r="H943" s="253"/>
      <c r="I943" s="254"/>
      <c r="J943" s="235"/>
      <c r="K943" s="244"/>
      <c r="L943" s="244"/>
      <c r="M943" s="244"/>
      <c r="N943" s="244"/>
      <c r="O943" s="244"/>
      <c r="P943" s="244"/>
    </row>
    <row r="944" ht="18.75" customHeight="1">
      <c r="A944" s="246"/>
      <c r="B944" s="247"/>
      <c r="C944" s="247"/>
      <c r="D944" s="247"/>
      <c r="E944" s="247"/>
      <c r="F944" s="247"/>
      <c r="G944" s="248"/>
      <c r="H944" s="249"/>
      <c r="I944" s="250"/>
      <c r="J944" s="234"/>
      <c r="K944" s="244"/>
      <c r="L944" s="244"/>
      <c r="M944" s="244"/>
      <c r="N944" s="244"/>
      <c r="O944" s="244"/>
      <c r="P944" s="244"/>
    </row>
    <row r="945" ht="18.75" customHeight="1">
      <c r="A945" s="246"/>
      <c r="B945" s="247"/>
      <c r="C945" s="247"/>
      <c r="D945" s="247"/>
      <c r="E945" s="251"/>
      <c r="F945" s="247"/>
      <c r="G945" s="252"/>
      <c r="H945" s="253"/>
      <c r="I945" s="254"/>
      <c r="J945" s="235"/>
      <c r="K945" s="244"/>
      <c r="L945" s="244"/>
      <c r="M945" s="244"/>
      <c r="N945" s="244"/>
      <c r="O945" s="244"/>
      <c r="P945" s="244"/>
    </row>
    <row r="946" ht="18.75" customHeight="1">
      <c r="A946" s="246"/>
      <c r="B946" s="247"/>
      <c r="C946" s="247"/>
      <c r="D946" s="247"/>
      <c r="E946" s="247"/>
      <c r="F946" s="247"/>
      <c r="G946" s="248"/>
      <c r="H946" s="249"/>
      <c r="I946" s="250"/>
      <c r="J946" s="234"/>
      <c r="K946" s="244"/>
      <c r="L946" s="244"/>
      <c r="M946" s="244"/>
      <c r="N946" s="244"/>
      <c r="O946" s="244"/>
      <c r="P946" s="244"/>
    </row>
    <row r="947" ht="18.75" customHeight="1">
      <c r="A947" s="246"/>
      <c r="B947" s="247"/>
      <c r="C947" s="247"/>
      <c r="D947" s="247"/>
      <c r="E947" s="251"/>
      <c r="F947" s="247"/>
      <c r="G947" s="252"/>
      <c r="H947" s="253"/>
      <c r="I947" s="254"/>
      <c r="J947" s="235"/>
      <c r="K947" s="244"/>
      <c r="L947" s="244"/>
      <c r="M947" s="244"/>
      <c r="N947" s="244"/>
      <c r="O947" s="244"/>
      <c r="P947" s="244"/>
    </row>
    <row r="948" ht="18.75" customHeight="1">
      <c r="A948" s="246"/>
      <c r="B948" s="247"/>
      <c r="C948" s="247"/>
      <c r="D948" s="247"/>
      <c r="E948" s="247"/>
      <c r="F948" s="247"/>
      <c r="G948" s="248"/>
      <c r="H948" s="249"/>
      <c r="I948" s="250"/>
      <c r="J948" s="234"/>
      <c r="K948" s="244"/>
      <c r="L948" s="244"/>
      <c r="M948" s="244"/>
      <c r="N948" s="244"/>
      <c r="O948" s="244"/>
      <c r="P948" s="244"/>
    </row>
    <row r="949" ht="18.75" customHeight="1">
      <c r="A949" s="246"/>
      <c r="B949" s="247"/>
      <c r="C949" s="247"/>
      <c r="D949" s="247"/>
      <c r="E949" s="251"/>
      <c r="F949" s="247"/>
      <c r="G949" s="252"/>
      <c r="H949" s="253"/>
      <c r="I949" s="254"/>
      <c r="J949" s="235"/>
      <c r="K949" s="244"/>
      <c r="L949" s="244"/>
      <c r="M949" s="244"/>
      <c r="N949" s="244"/>
      <c r="O949" s="244"/>
      <c r="P949" s="244"/>
    </row>
    <row r="950" ht="18.75" customHeight="1">
      <c r="A950" s="246"/>
      <c r="B950" s="247"/>
      <c r="C950" s="247"/>
      <c r="D950" s="247"/>
      <c r="E950" s="247"/>
      <c r="F950" s="247"/>
      <c r="G950" s="248"/>
      <c r="H950" s="249"/>
      <c r="I950" s="250"/>
      <c r="J950" s="234"/>
      <c r="K950" s="244"/>
      <c r="L950" s="244"/>
      <c r="M950" s="244"/>
      <c r="N950" s="244"/>
      <c r="O950" s="244"/>
      <c r="P950" s="244"/>
    </row>
    <row r="951" ht="18.75" customHeight="1">
      <c r="A951" s="246"/>
      <c r="B951" s="247"/>
      <c r="C951" s="247"/>
      <c r="D951" s="247"/>
      <c r="E951" s="251"/>
      <c r="F951" s="247"/>
      <c r="G951" s="252"/>
      <c r="H951" s="253"/>
      <c r="I951" s="254"/>
      <c r="J951" s="235"/>
      <c r="K951" s="244"/>
      <c r="L951" s="244"/>
      <c r="M951" s="244"/>
      <c r="N951" s="244"/>
      <c r="O951" s="244"/>
      <c r="P951" s="244"/>
    </row>
    <row r="952" ht="18.75" customHeight="1">
      <c r="A952" s="246"/>
      <c r="B952" s="247"/>
      <c r="C952" s="247"/>
      <c r="D952" s="247"/>
      <c r="E952" s="247"/>
      <c r="F952" s="247"/>
      <c r="G952" s="248"/>
      <c r="H952" s="249"/>
      <c r="I952" s="250"/>
      <c r="J952" s="234"/>
      <c r="K952" s="244"/>
      <c r="L952" s="244"/>
      <c r="M952" s="244"/>
      <c r="N952" s="244"/>
      <c r="O952" s="244"/>
      <c r="P952" s="244"/>
    </row>
    <row r="953" ht="18.75" customHeight="1">
      <c r="A953" s="246"/>
      <c r="B953" s="247"/>
      <c r="C953" s="247"/>
      <c r="D953" s="247"/>
      <c r="E953" s="251"/>
      <c r="F953" s="247"/>
      <c r="G953" s="252"/>
      <c r="H953" s="253"/>
      <c r="I953" s="254"/>
      <c r="J953" s="235"/>
      <c r="K953" s="244"/>
      <c r="L953" s="244"/>
      <c r="M953" s="244"/>
      <c r="N953" s="244"/>
      <c r="O953" s="244"/>
      <c r="P953" s="244"/>
    </row>
    <row r="954" ht="18.75" customHeight="1">
      <c r="A954" s="246"/>
      <c r="B954" s="247"/>
      <c r="C954" s="247"/>
      <c r="D954" s="247"/>
      <c r="E954" s="247"/>
      <c r="F954" s="247"/>
      <c r="G954" s="248"/>
      <c r="H954" s="249"/>
      <c r="I954" s="250"/>
      <c r="J954" s="234"/>
      <c r="K954" s="244"/>
      <c r="L954" s="244"/>
      <c r="M954" s="244"/>
      <c r="N954" s="244"/>
      <c r="O954" s="244"/>
      <c r="P954" s="244"/>
    </row>
    <row r="955" ht="18.75" customHeight="1">
      <c r="A955" s="246"/>
      <c r="B955" s="247"/>
      <c r="C955" s="247"/>
      <c r="D955" s="247"/>
      <c r="E955" s="251"/>
      <c r="F955" s="247"/>
      <c r="G955" s="252"/>
      <c r="H955" s="253"/>
      <c r="I955" s="254"/>
      <c r="J955" s="235"/>
      <c r="K955" s="244"/>
      <c r="L955" s="244"/>
      <c r="M955" s="244"/>
      <c r="N955" s="244"/>
      <c r="O955" s="244"/>
      <c r="P955" s="244"/>
    </row>
    <row r="956" ht="18.75" customHeight="1">
      <c r="A956" s="246"/>
      <c r="B956" s="247"/>
      <c r="C956" s="247"/>
      <c r="D956" s="247"/>
      <c r="E956" s="247"/>
      <c r="F956" s="247"/>
      <c r="G956" s="248"/>
      <c r="H956" s="249"/>
      <c r="I956" s="250"/>
      <c r="J956" s="234"/>
      <c r="K956" s="244"/>
      <c r="L956" s="244"/>
      <c r="M956" s="244"/>
      <c r="N956" s="244"/>
      <c r="O956" s="244"/>
      <c r="P956" s="244"/>
    </row>
    <row r="957" ht="18.75" customHeight="1">
      <c r="A957" s="246"/>
      <c r="B957" s="247"/>
      <c r="C957" s="247"/>
      <c r="D957" s="247"/>
      <c r="E957" s="251"/>
      <c r="F957" s="247"/>
      <c r="G957" s="252"/>
      <c r="H957" s="253"/>
      <c r="I957" s="254"/>
      <c r="J957" s="235"/>
      <c r="K957" s="244"/>
      <c r="L957" s="244"/>
      <c r="M957" s="244"/>
      <c r="N957" s="244"/>
      <c r="O957" s="244"/>
      <c r="P957" s="244"/>
    </row>
    <row r="958" ht="18.75" customHeight="1">
      <c r="A958" s="246"/>
      <c r="B958" s="247"/>
      <c r="C958" s="247"/>
      <c r="D958" s="247"/>
      <c r="E958" s="247"/>
      <c r="F958" s="247"/>
      <c r="G958" s="248"/>
      <c r="H958" s="249"/>
      <c r="I958" s="250"/>
      <c r="J958" s="234"/>
      <c r="K958" s="244"/>
      <c r="L958" s="244"/>
      <c r="M958" s="244"/>
      <c r="N958" s="244"/>
      <c r="O958" s="244"/>
      <c r="P958" s="244"/>
    </row>
    <row r="959" ht="18.75" customHeight="1">
      <c r="A959" s="246"/>
      <c r="B959" s="247"/>
      <c r="C959" s="247"/>
      <c r="D959" s="247"/>
      <c r="E959" s="251"/>
      <c r="F959" s="247"/>
      <c r="G959" s="252"/>
      <c r="H959" s="253"/>
      <c r="I959" s="254"/>
      <c r="J959" s="235"/>
      <c r="K959" s="244"/>
      <c r="L959" s="244"/>
      <c r="M959" s="244"/>
      <c r="N959" s="244"/>
      <c r="O959" s="244"/>
      <c r="P959" s="244"/>
    </row>
    <row r="960" ht="18.75" customHeight="1">
      <c r="A960" s="246"/>
      <c r="B960" s="247"/>
      <c r="C960" s="247"/>
      <c r="D960" s="247"/>
      <c r="E960" s="247"/>
      <c r="F960" s="247"/>
      <c r="G960" s="248"/>
      <c r="H960" s="249"/>
      <c r="I960" s="250"/>
      <c r="J960" s="234"/>
      <c r="K960" s="244"/>
      <c r="L960" s="244"/>
      <c r="M960" s="244"/>
      <c r="N960" s="244"/>
      <c r="O960" s="244"/>
      <c r="P960" s="244"/>
    </row>
    <row r="961" ht="18.75" customHeight="1">
      <c r="A961" s="246"/>
      <c r="B961" s="247"/>
      <c r="C961" s="247"/>
      <c r="D961" s="247"/>
      <c r="E961" s="251"/>
      <c r="F961" s="247"/>
      <c r="G961" s="252"/>
      <c r="H961" s="253"/>
      <c r="I961" s="254"/>
      <c r="J961" s="235"/>
      <c r="K961" s="244"/>
      <c r="L961" s="244"/>
      <c r="M961" s="244"/>
      <c r="N961" s="244"/>
      <c r="O961" s="244"/>
      <c r="P961" s="244"/>
    </row>
    <row r="962" ht="18.75" customHeight="1">
      <c r="A962" s="246"/>
      <c r="B962" s="247"/>
      <c r="C962" s="247"/>
      <c r="D962" s="247"/>
      <c r="E962" s="247"/>
      <c r="F962" s="247"/>
      <c r="G962" s="248"/>
      <c r="H962" s="249"/>
      <c r="I962" s="250"/>
      <c r="J962" s="234"/>
      <c r="K962" s="244"/>
      <c r="L962" s="244"/>
      <c r="M962" s="244"/>
      <c r="N962" s="244"/>
      <c r="O962" s="244"/>
      <c r="P962" s="244"/>
    </row>
    <row r="963" ht="18.75" customHeight="1">
      <c r="A963" s="246"/>
      <c r="B963" s="247"/>
      <c r="C963" s="247"/>
      <c r="D963" s="247"/>
      <c r="E963" s="251"/>
      <c r="F963" s="247"/>
      <c r="G963" s="252"/>
      <c r="H963" s="253"/>
      <c r="I963" s="254"/>
      <c r="J963" s="235"/>
      <c r="K963" s="244"/>
      <c r="L963" s="244"/>
      <c r="M963" s="244"/>
      <c r="N963" s="244"/>
      <c r="O963" s="244"/>
      <c r="P963" s="244"/>
    </row>
    <row r="964" ht="18.75" customHeight="1">
      <c r="A964" s="246"/>
      <c r="B964" s="247"/>
      <c r="C964" s="247"/>
      <c r="D964" s="247"/>
      <c r="E964" s="247"/>
      <c r="F964" s="247"/>
      <c r="G964" s="248"/>
      <c r="H964" s="249"/>
      <c r="I964" s="250"/>
      <c r="J964" s="234"/>
      <c r="K964" s="244"/>
      <c r="L964" s="244"/>
      <c r="M964" s="244"/>
      <c r="N964" s="244"/>
      <c r="O964" s="244"/>
      <c r="P964" s="244"/>
    </row>
    <row r="965" ht="18.75" customHeight="1">
      <c r="A965" s="246"/>
      <c r="B965" s="247"/>
      <c r="C965" s="247"/>
      <c r="D965" s="247"/>
      <c r="E965" s="251"/>
      <c r="F965" s="247"/>
      <c r="G965" s="252"/>
      <c r="H965" s="253"/>
      <c r="I965" s="254"/>
      <c r="J965" s="235"/>
      <c r="K965" s="244"/>
      <c r="L965" s="244"/>
      <c r="M965" s="244"/>
      <c r="N965" s="244"/>
      <c r="O965" s="244"/>
      <c r="P965" s="244"/>
    </row>
    <row r="966" ht="18.75" customHeight="1">
      <c r="A966" s="246"/>
      <c r="B966" s="247"/>
      <c r="C966" s="247"/>
      <c r="D966" s="247"/>
      <c r="E966" s="247"/>
      <c r="F966" s="247"/>
      <c r="G966" s="248"/>
      <c r="H966" s="249"/>
      <c r="I966" s="250"/>
      <c r="J966" s="234"/>
      <c r="K966" s="244"/>
      <c r="L966" s="244"/>
      <c r="M966" s="244"/>
      <c r="N966" s="244"/>
      <c r="O966" s="244"/>
      <c r="P966" s="244"/>
    </row>
    <row r="967" ht="18.75" customHeight="1">
      <c r="A967" s="246"/>
      <c r="B967" s="247"/>
      <c r="C967" s="247"/>
      <c r="D967" s="247"/>
      <c r="E967" s="251"/>
      <c r="F967" s="247"/>
      <c r="G967" s="252"/>
      <c r="H967" s="253"/>
      <c r="I967" s="254"/>
      <c r="J967" s="235"/>
      <c r="K967" s="244"/>
      <c r="L967" s="244"/>
      <c r="M967" s="244"/>
      <c r="N967" s="244"/>
      <c r="O967" s="244"/>
      <c r="P967" s="244"/>
    </row>
    <row r="968" ht="18.75" customHeight="1">
      <c r="A968" s="246"/>
      <c r="B968" s="247"/>
      <c r="C968" s="247"/>
      <c r="D968" s="247"/>
      <c r="E968" s="247"/>
      <c r="F968" s="247"/>
      <c r="G968" s="248"/>
      <c r="H968" s="249"/>
      <c r="I968" s="250"/>
      <c r="J968" s="234"/>
      <c r="K968" s="244"/>
      <c r="L968" s="244"/>
      <c r="M968" s="244"/>
      <c r="N968" s="244"/>
      <c r="O968" s="244"/>
      <c r="P968" s="244"/>
    </row>
    <row r="969" ht="18.75" customHeight="1">
      <c r="A969" s="246"/>
      <c r="B969" s="247"/>
      <c r="C969" s="247"/>
      <c r="D969" s="247"/>
      <c r="E969" s="251"/>
      <c r="F969" s="247"/>
      <c r="G969" s="252"/>
      <c r="H969" s="253"/>
      <c r="I969" s="254"/>
      <c r="J969" s="235"/>
      <c r="K969" s="244"/>
      <c r="L969" s="244"/>
      <c r="M969" s="244"/>
      <c r="N969" s="244"/>
      <c r="O969" s="244"/>
      <c r="P969" s="244"/>
    </row>
    <row r="970" ht="18.75" customHeight="1">
      <c r="A970" s="246"/>
      <c r="B970" s="247"/>
      <c r="C970" s="247"/>
      <c r="D970" s="247"/>
      <c r="E970" s="247"/>
      <c r="F970" s="247"/>
      <c r="G970" s="248"/>
      <c r="H970" s="249"/>
      <c r="I970" s="250"/>
      <c r="J970" s="234"/>
      <c r="K970" s="244"/>
      <c r="L970" s="244"/>
      <c r="M970" s="244"/>
      <c r="N970" s="244"/>
      <c r="O970" s="244"/>
      <c r="P970" s="244"/>
    </row>
    <row r="971" ht="18.75" customHeight="1">
      <c r="A971" s="246"/>
      <c r="B971" s="247"/>
      <c r="C971" s="247"/>
      <c r="D971" s="247"/>
      <c r="E971" s="251"/>
      <c r="F971" s="247"/>
      <c r="G971" s="252"/>
      <c r="H971" s="253"/>
      <c r="I971" s="254"/>
      <c r="J971" s="235"/>
      <c r="K971" s="244"/>
      <c r="L971" s="244"/>
      <c r="M971" s="244"/>
      <c r="N971" s="244"/>
      <c r="O971" s="244"/>
      <c r="P971" s="244"/>
    </row>
    <row r="972" ht="18.75" customHeight="1">
      <c r="A972" s="246"/>
      <c r="B972" s="247"/>
      <c r="C972" s="247"/>
      <c r="D972" s="247"/>
      <c r="E972" s="247"/>
      <c r="F972" s="247"/>
      <c r="G972" s="248"/>
      <c r="H972" s="249"/>
      <c r="I972" s="250"/>
      <c r="J972" s="234"/>
      <c r="K972" s="244"/>
      <c r="L972" s="244"/>
      <c r="M972" s="244"/>
      <c r="N972" s="244"/>
      <c r="O972" s="244"/>
      <c r="P972" s="244"/>
    </row>
    <row r="973" ht="18.75" customHeight="1">
      <c r="A973" s="246"/>
      <c r="B973" s="247"/>
      <c r="C973" s="247"/>
      <c r="D973" s="247"/>
      <c r="E973" s="251"/>
      <c r="F973" s="247"/>
      <c r="G973" s="252"/>
      <c r="H973" s="253"/>
      <c r="I973" s="254"/>
      <c r="J973" s="235"/>
      <c r="K973" s="244"/>
      <c r="L973" s="244"/>
      <c r="M973" s="244"/>
      <c r="N973" s="244"/>
      <c r="O973" s="244"/>
      <c r="P973" s="244"/>
    </row>
    <row r="974" ht="18.75" customHeight="1">
      <c r="A974" s="246"/>
      <c r="B974" s="247"/>
      <c r="C974" s="247"/>
      <c r="D974" s="247"/>
      <c r="E974" s="247"/>
      <c r="F974" s="247"/>
      <c r="G974" s="248"/>
      <c r="H974" s="249"/>
      <c r="I974" s="250"/>
      <c r="J974" s="234"/>
      <c r="K974" s="244"/>
      <c r="L974" s="244"/>
      <c r="M974" s="244"/>
      <c r="N974" s="244"/>
      <c r="O974" s="244"/>
      <c r="P974" s="244"/>
    </row>
    <row r="975" ht="18.75" customHeight="1">
      <c r="A975" s="246"/>
      <c r="B975" s="247"/>
      <c r="C975" s="247"/>
      <c r="D975" s="247"/>
      <c r="E975" s="251"/>
      <c r="F975" s="247"/>
      <c r="G975" s="252"/>
      <c r="H975" s="253"/>
      <c r="I975" s="254"/>
      <c r="J975" s="235"/>
      <c r="K975" s="244"/>
      <c r="L975" s="244"/>
      <c r="M975" s="244"/>
      <c r="N975" s="244"/>
      <c r="O975" s="244"/>
      <c r="P975" s="244"/>
    </row>
    <row r="976" ht="18.75" customHeight="1">
      <c r="A976" s="246"/>
      <c r="B976" s="247"/>
      <c r="C976" s="247"/>
      <c r="D976" s="247"/>
      <c r="E976" s="247"/>
      <c r="F976" s="247"/>
      <c r="G976" s="248"/>
      <c r="H976" s="249"/>
      <c r="I976" s="250"/>
      <c r="J976" s="234"/>
      <c r="K976" s="244"/>
      <c r="L976" s="244"/>
      <c r="M976" s="244"/>
      <c r="N976" s="244"/>
      <c r="O976" s="244"/>
      <c r="P976" s="244"/>
    </row>
    <row r="977" ht="18.75" customHeight="1">
      <c r="A977" s="246"/>
      <c r="B977" s="247"/>
      <c r="C977" s="247"/>
      <c r="D977" s="247"/>
      <c r="E977" s="251"/>
      <c r="F977" s="247"/>
      <c r="G977" s="252"/>
      <c r="H977" s="253"/>
      <c r="I977" s="254"/>
      <c r="J977" s="235"/>
      <c r="K977" s="244"/>
      <c r="L977" s="244"/>
      <c r="M977" s="244"/>
      <c r="N977" s="244"/>
      <c r="O977" s="244"/>
      <c r="P977" s="244"/>
    </row>
    <row r="978" ht="18.75" customHeight="1">
      <c r="A978" s="246"/>
      <c r="B978" s="247"/>
      <c r="C978" s="247"/>
      <c r="D978" s="247"/>
      <c r="E978" s="247"/>
      <c r="F978" s="247"/>
      <c r="G978" s="248"/>
      <c r="H978" s="249"/>
      <c r="I978" s="250"/>
      <c r="J978" s="234"/>
      <c r="K978" s="244"/>
      <c r="L978" s="244"/>
      <c r="M978" s="244"/>
      <c r="N978" s="244"/>
      <c r="O978" s="244"/>
      <c r="P978" s="244"/>
    </row>
    <row r="979" ht="18.75" customHeight="1">
      <c r="A979" s="246"/>
      <c r="B979" s="247"/>
      <c r="C979" s="247"/>
      <c r="D979" s="247"/>
      <c r="E979" s="251"/>
      <c r="F979" s="247"/>
      <c r="G979" s="252"/>
      <c r="H979" s="253"/>
      <c r="I979" s="254"/>
      <c r="J979" s="235"/>
      <c r="K979" s="244"/>
      <c r="L979" s="244"/>
      <c r="M979" s="244"/>
      <c r="N979" s="244"/>
      <c r="O979" s="244"/>
      <c r="P979" s="244"/>
    </row>
    <row r="980" ht="18.75" customHeight="1">
      <c r="A980" s="246"/>
      <c r="B980" s="247"/>
      <c r="C980" s="247"/>
      <c r="D980" s="247"/>
      <c r="E980" s="247"/>
      <c r="F980" s="247"/>
      <c r="G980" s="248"/>
      <c r="H980" s="249"/>
      <c r="I980" s="250"/>
      <c r="J980" s="234"/>
      <c r="K980" s="244"/>
      <c r="L980" s="244"/>
      <c r="M980" s="244"/>
      <c r="N980" s="244"/>
      <c r="O980" s="244"/>
      <c r="P980" s="244"/>
    </row>
    <row r="981" ht="18.75" customHeight="1">
      <c r="A981" s="246"/>
      <c r="B981" s="247"/>
      <c r="C981" s="247"/>
      <c r="D981" s="247"/>
      <c r="E981" s="251"/>
      <c r="F981" s="247"/>
      <c r="G981" s="252"/>
      <c r="H981" s="253"/>
      <c r="I981" s="254"/>
      <c r="J981" s="235"/>
      <c r="K981" s="244"/>
      <c r="L981" s="244"/>
      <c r="M981" s="244"/>
      <c r="N981" s="244"/>
      <c r="O981" s="244"/>
      <c r="P981" s="244"/>
    </row>
    <row r="982" ht="18.75" customHeight="1">
      <c r="A982" s="246"/>
      <c r="B982" s="247"/>
      <c r="C982" s="247"/>
      <c r="D982" s="247"/>
      <c r="E982" s="247"/>
      <c r="F982" s="247"/>
      <c r="G982" s="248"/>
      <c r="H982" s="249"/>
      <c r="I982" s="250"/>
      <c r="J982" s="234"/>
      <c r="K982" s="244"/>
      <c r="L982" s="244"/>
      <c r="M982" s="244"/>
      <c r="N982" s="244"/>
      <c r="O982" s="244"/>
      <c r="P982" s="244"/>
    </row>
    <row r="983" ht="18.75" customHeight="1">
      <c r="A983" s="246"/>
      <c r="B983" s="247"/>
      <c r="C983" s="247"/>
      <c r="D983" s="247"/>
      <c r="E983" s="251"/>
      <c r="F983" s="247"/>
      <c r="G983" s="252"/>
      <c r="H983" s="253"/>
      <c r="I983" s="254"/>
      <c r="J983" s="235"/>
      <c r="K983" s="244"/>
      <c r="L983" s="244"/>
      <c r="M983" s="244"/>
      <c r="N983" s="244"/>
      <c r="O983" s="244"/>
      <c r="P983" s="244"/>
    </row>
    <row r="984" ht="18.75" customHeight="1">
      <c r="A984" s="246"/>
      <c r="B984" s="247"/>
      <c r="C984" s="247"/>
      <c r="D984" s="247"/>
      <c r="E984" s="247"/>
      <c r="F984" s="247"/>
      <c r="G984" s="248"/>
      <c r="H984" s="249"/>
      <c r="I984" s="250"/>
      <c r="J984" s="234"/>
      <c r="K984" s="244"/>
      <c r="L984" s="244"/>
      <c r="M984" s="244"/>
      <c r="N984" s="244"/>
      <c r="O984" s="244"/>
      <c r="P984" s="244"/>
    </row>
    <row r="985" ht="18.75" customHeight="1">
      <c r="A985" s="246"/>
      <c r="B985" s="247"/>
      <c r="C985" s="247"/>
      <c r="D985" s="247"/>
      <c r="E985" s="251"/>
      <c r="F985" s="247"/>
      <c r="G985" s="252"/>
      <c r="H985" s="253"/>
      <c r="I985" s="254"/>
      <c r="J985" s="235"/>
      <c r="K985" s="244"/>
      <c r="L985" s="244"/>
      <c r="M985" s="244"/>
      <c r="N985" s="244"/>
      <c r="O985" s="244"/>
      <c r="P985" s="244"/>
    </row>
    <row r="986" ht="18.75" customHeight="1">
      <c r="A986" s="246"/>
      <c r="B986" s="247"/>
      <c r="C986" s="247"/>
      <c r="D986" s="247"/>
      <c r="E986" s="247"/>
      <c r="F986" s="247"/>
      <c r="G986" s="248"/>
      <c r="H986" s="249"/>
      <c r="I986" s="250"/>
      <c r="J986" s="234"/>
      <c r="K986" s="244"/>
      <c r="L986" s="244"/>
      <c r="M986" s="244"/>
      <c r="N986" s="244"/>
      <c r="O986" s="244"/>
      <c r="P986" s="244"/>
    </row>
    <row r="987" ht="18.75" customHeight="1">
      <c r="A987" s="246"/>
      <c r="B987" s="247"/>
      <c r="C987" s="247"/>
      <c r="D987" s="247"/>
      <c r="E987" s="251"/>
      <c r="F987" s="247"/>
      <c r="G987" s="252"/>
      <c r="H987" s="253"/>
      <c r="I987" s="254"/>
      <c r="J987" s="235"/>
      <c r="K987" s="244"/>
      <c r="L987" s="244"/>
      <c r="M987" s="244"/>
      <c r="N987" s="244"/>
      <c r="O987" s="244"/>
      <c r="P987" s="244"/>
    </row>
    <row r="988" ht="18.75" customHeight="1">
      <c r="A988" s="246"/>
      <c r="B988" s="247"/>
      <c r="C988" s="247"/>
      <c r="D988" s="247"/>
      <c r="E988" s="247"/>
      <c r="F988" s="247"/>
      <c r="G988" s="248"/>
      <c r="H988" s="249"/>
      <c r="I988" s="250"/>
      <c r="J988" s="234"/>
      <c r="K988" s="244"/>
      <c r="L988" s="244"/>
      <c r="M988" s="244"/>
      <c r="N988" s="244"/>
      <c r="O988" s="244"/>
      <c r="P988" s="244"/>
    </row>
    <row r="989" ht="18.75" customHeight="1">
      <c r="A989" s="246"/>
      <c r="B989" s="247"/>
      <c r="C989" s="247"/>
      <c r="D989" s="247"/>
      <c r="E989" s="251"/>
      <c r="F989" s="247"/>
      <c r="G989" s="252"/>
      <c r="H989" s="253"/>
      <c r="I989" s="254"/>
      <c r="J989" s="235"/>
      <c r="K989" s="244"/>
      <c r="L989" s="244"/>
      <c r="M989" s="244"/>
      <c r="N989" s="244"/>
      <c r="O989" s="244"/>
      <c r="P989" s="244"/>
    </row>
    <row r="990" ht="18.75" customHeight="1">
      <c r="A990" s="246"/>
      <c r="B990" s="247"/>
      <c r="C990" s="247"/>
      <c r="D990" s="247"/>
      <c r="E990" s="247"/>
      <c r="F990" s="247"/>
      <c r="G990" s="248"/>
      <c r="H990" s="249"/>
      <c r="I990" s="250"/>
      <c r="J990" s="234"/>
      <c r="K990" s="244"/>
      <c r="L990" s="244"/>
      <c r="M990" s="244"/>
      <c r="N990" s="244"/>
      <c r="O990" s="244"/>
      <c r="P990" s="244"/>
    </row>
    <row r="991" ht="18.75" customHeight="1">
      <c r="A991" s="246"/>
      <c r="B991" s="247"/>
      <c r="C991" s="247"/>
      <c r="D991" s="247"/>
      <c r="E991" s="251"/>
      <c r="F991" s="247"/>
      <c r="G991" s="252"/>
      <c r="H991" s="253"/>
      <c r="I991" s="254"/>
      <c r="J991" s="235"/>
      <c r="K991" s="244"/>
      <c r="L991" s="244"/>
      <c r="M991" s="244"/>
      <c r="N991" s="244"/>
      <c r="O991" s="244"/>
      <c r="P991" s="244"/>
    </row>
    <row r="992" ht="18.75" customHeight="1">
      <c r="A992" s="246"/>
      <c r="B992" s="247"/>
      <c r="C992" s="247"/>
      <c r="D992" s="247"/>
      <c r="E992" s="247"/>
      <c r="F992" s="247"/>
      <c r="G992" s="248"/>
      <c r="H992" s="249"/>
      <c r="I992" s="250"/>
      <c r="J992" s="234"/>
      <c r="K992" s="244"/>
      <c r="L992" s="244"/>
      <c r="M992" s="244"/>
      <c r="N992" s="244"/>
      <c r="O992" s="244"/>
      <c r="P992" s="244"/>
    </row>
    <row r="993" ht="18.75" customHeight="1">
      <c r="A993" s="246"/>
      <c r="B993" s="247"/>
      <c r="C993" s="247"/>
      <c r="D993" s="247"/>
      <c r="E993" s="251"/>
      <c r="F993" s="247"/>
      <c r="G993" s="252"/>
      <c r="H993" s="253"/>
      <c r="I993" s="254"/>
      <c r="J993" s="235"/>
      <c r="K993" s="244"/>
      <c r="L993" s="244"/>
      <c r="M993" s="244"/>
      <c r="N993" s="244"/>
      <c r="O993" s="244"/>
      <c r="P993" s="244"/>
    </row>
    <row r="994" ht="18.75" customHeight="1">
      <c r="A994" s="246"/>
      <c r="B994" s="247"/>
      <c r="C994" s="247"/>
      <c r="D994" s="247"/>
      <c r="E994" s="247"/>
      <c r="F994" s="247"/>
      <c r="G994" s="248"/>
      <c r="H994" s="249"/>
      <c r="I994" s="250"/>
      <c r="J994" s="234"/>
      <c r="K994" s="244"/>
      <c r="L994" s="244"/>
      <c r="M994" s="244"/>
      <c r="N994" s="244"/>
      <c r="O994" s="244"/>
      <c r="P994" s="244"/>
    </row>
    <row r="995" ht="18.75" customHeight="1">
      <c r="A995" s="246"/>
      <c r="B995" s="247"/>
      <c r="C995" s="247"/>
      <c r="D995" s="247"/>
      <c r="E995" s="251"/>
      <c r="F995" s="247"/>
      <c r="G995" s="252"/>
      <c r="H995" s="253"/>
      <c r="I995" s="254"/>
      <c r="J995" s="235"/>
      <c r="K995" s="244"/>
      <c r="L995" s="244"/>
      <c r="M995" s="244"/>
      <c r="N995" s="244"/>
      <c r="O995" s="244"/>
      <c r="P995" s="244"/>
    </row>
    <row r="996" ht="18.75" customHeight="1">
      <c r="A996" s="246"/>
      <c r="B996" s="247"/>
      <c r="C996" s="247"/>
      <c r="D996" s="247"/>
      <c r="E996" s="247"/>
      <c r="F996" s="247"/>
      <c r="G996" s="248"/>
      <c r="H996" s="249"/>
      <c r="I996" s="250"/>
      <c r="J996" s="234"/>
      <c r="K996" s="244"/>
      <c r="L996" s="244"/>
      <c r="M996" s="244"/>
      <c r="N996" s="244"/>
      <c r="O996" s="244"/>
      <c r="P996" s="244"/>
    </row>
    <row r="997" ht="18.75" customHeight="1">
      <c r="A997" s="246"/>
      <c r="B997" s="247"/>
      <c r="C997" s="247"/>
      <c r="D997" s="247"/>
      <c r="E997" s="251"/>
      <c r="F997" s="247"/>
      <c r="G997" s="252"/>
      <c r="H997" s="253"/>
      <c r="I997" s="254"/>
      <c r="J997" s="235"/>
      <c r="K997" s="244"/>
      <c r="L997" s="244"/>
      <c r="M997" s="244"/>
      <c r="N997" s="244"/>
      <c r="O997" s="244"/>
      <c r="P997" s="244"/>
    </row>
    <row r="998" ht="18.75" customHeight="1">
      <c r="A998" s="246"/>
      <c r="B998" s="247"/>
      <c r="C998" s="247"/>
      <c r="D998" s="247"/>
      <c r="E998" s="247"/>
      <c r="F998" s="247"/>
      <c r="G998" s="248"/>
      <c r="H998" s="249"/>
      <c r="I998" s="250"/>
      <c r="J998" s="234"/>
      <c r="K998" s="244"/>
      <c r="L998" s="244"/>
      <c r="M998" s="244"/>
      <c r="N998" s="244"/>
      <c r="O998" s="244"/>
      <c r="P998" s="244"/>
    </row>
    <row r="999" ht="18.75" customHeight="1">
      <c r="A999" s="246"/>
      <c r="B999" s="247"/>
      <c r="C999" s="247"/>
      <c r="D999" s="247"/>
      <c r="E999" s="251"/>
      <c r="F999" s="247"/>
      <c r="G999" s="252"/>
      <c r="H999" s="253"/>
      <c r="I999" s="254"/>
      <c r="J999" s="235"/>
      <c r="K999" s="244"/>
      <c r="L999" s="244"/>
      <c r="M999" s="244"/>
      <c r="N999" s="244"/>
      <c r="O999" s="244"/>
      <c r="P999" s="244"/>
    </row>
    <row r="1000" ht="18.75" customHeight="1">
      <c r="A1000" s="246"/>
      <c r="B1000" s="247"/>
      <c r="C1000" s="247"/>
      <c r="D1000" s="247"/>
      <c r="E1000" s="247"/>
      <c r="F1000" s="247"/>
      <c r="G1000" s="248"/>
      <c r="H1000" s="249"/>
      <c r="I1000" s="250"/>
      <c r="J1000" s="234"/>
      <c r="K1000" s="244"/>
      <c r="L1000" s="244"/>
      <c r="M1000" s="244"/>
      <c r="N1000" s="244"/>
      <c r="O1000" s="244"/>
      <c r="P1000" s="244"/>
    </row>
    <row r="1001" ht="18.75" customHeight="1">
      <c r="A1001" s="246"/>
      <c r="B1001" s="247"/>
      <c r="C1001" s="247"/>
      <c r="D1001" s="247"/>
      <c r="E1001" s="251"/>
      <c r="F1001" s="247"/>
      <c r="G1001" s="252"/>
      <c r="H1001" s="253"/>
      <c r="I1001" s="254"/>
      <c r="J1001" s="235"/>
      <c r="K1001" s="244"/>
      <c r="L1001" s="244"/>
      <c r="M1001" s="244"/>
      <c r="N1001" s="244"/>
      <c r="O1001" s="244"/>
      <c r="P1001" s="244"/>
    </row>
    <row r="1002" ht="18.75" customHeight="1">
      <c r="A1002" s="246"/>
      <c r="B1002" s="247"/>
      <c r="C1002" s="247"/>
      <c r="D1002" s="247"/>
      <c r="E1002" s="247"/>
      <c r="F1002" s="247"/>
      <c r="G1002" s="248"/>
      <c r="H1002" s="249"/>
      <c r="I1002" s="250"/>
      <c r="J1002" s="234"/>
      <c r="K1002" s="244"/>
      <c r="L1002" s="244"/>
      <c r="M1002" s="244"/>
      <c r="N1002" s="244"/>
      <c r="O1002" s="244"/>
      <c r="P1002" s="244"/>
    </row>
    <row r="1003" ht="18.75" customHeight="1">
      <c r="A1003" s="246"/>
      <c r="B1003" s="247"/>
      <c r="C1003" s="247"/>
      <c r="D1003" s="247"/>
      <c r="E1003" s="251"/>
      <c r="F1003" s="247"/>
      <c r="G1003" s="252"/>
      <c r="H1003" s="253"/>
      <c r="I1003" s="254"/>
      <c r="J1003" s="235"/>
      <c r="K1003" s="244"/>
      <c r="L1003" s="244"/>
      <c r="M1003" s="244"/>
      <c r="N1003" s="244"/>
      <c r="O1003" s="244"/>
      <c r="P1003" s="244"/>
    </row>
    <row r="1004" ht="18.75" customHeight="1">
      <c r="A1004" s="246"/>
      <c r="B1004" s="247"/>
      <c r="C1004" s="247"/>
      <c r="D1004" s="247"/>
      <c r="E1004" s="247"/>
      <c r="F1004" s="247"/>
      <c r="G1004" s="248"/>
      <c r="H1004" s="249"/>
      <c r="I1004" s="250"/>
      <c r="J1004" s="234"/>
      <c r="K1004" s="244"/>
      <c r="L1004" s="244"/>
      <c r="M1004" s="244"/>
      <c r="N1004" s="244"/>
      <c r="O1004" s="244"/>
      <c r="P1004" s="244"/>
    </row>
    <row r="1005" ht="18.75" customHeight="1">
      <c r="A1005" s="246"/>
      <c r="B1005" s="247"/>
      <c r="C1005" s="247"/>
      <c r="D1005" s="247"/>
      <c r="E1005" s="251"/>
      <c r="F1005" s="247"/>
      <c r="G1005" s="252"/>
      <c r="H1005" s="253"/>
      <c r="I1005" s="254"/>
      <c r="J1005" s="235"/>
      <c r="K1005" s="244"/>
      <c r="L1005" s="244"/>
      <c r="M1005" s="244"/>
      <c r="N1005" s="244"/>
      <c r="O1005" s="244"/>
      <c r="P1005" s="244"/>
    </row>
    <row r="1006" ht="18.75" customHeight="1">
      <c r="A1006" s="246"/>
      <c r="B1006" s="247"/>
      <c r="C1006" s="247"/>
      <c r="D1006" s="247"/>
      <c r="E1006" s="247"/>
      <c r="F1006" s="247"/>
      <c r="G1006" s="248"/>
      <c r="H1006" s="249"/>
      <c r="I1006" s="250"/>
      <c r="J1006" s="234"/>
      <c r="K1006" s="244"/>
      <c r="L1006" s="244"/>
      <c r="M1006" s="244"/>
      <c r="N1006" s="244"/>
      <c r="O1006" s="244"/>
      <c r="P1006" s="244"/>
    </row>
    <row r="1007" ht="18.75" customHeight="1">
      <c r="A1007" s="246"/>
      <c r="B1007" s="247"/>
      <c r="C1007" s="247"/>
      <c r="D1007" s="247"/>
      <c r="E1007" s="251"/>
      <c r="F1007" s="247"/>
      <c r="G1007" s="252"/>
      <c r="H1007" s="253"/>
      <c r="I1007" s="254"/>
      <c r="J1007" s="235"/>
      <c r="K1007" s="244"/>
      <c r="L1007" s="244"/>
      <c r="M1007" s="244"/>
      <c r="N1007" s="244"/>
      <c r="O1007" s="244"/>
      <c r="P1007" s="244"/>
    </row>
    <row r="1008" ht="18.75" customHeight="1">
      <c r="A1008" s="246"/>
      <c r="B1008" s="247"/>
      <c r="C1008" s="247"/>
      <c r="D1008" s="247"/>
      <c r="E1008" s="247"/>
      <c r="F1008" s="247"/>
      <c r="G1008" s="248"/>
      <c r="H1008" s="249"/>
      <c r="I1008" s="250"/>
      <c r="J1008" s="234"/>
      <c r="K1008" s="244"/>
      <c r="L1008" s="244"/>
      <c r="M1008" s="244"/>
      <c r="N1008" s="244"/>
      <c r="O1008" s="244"/>
      <c r="P1008" s="244"/>
    </row>
    <row r="1009" ht="18.75" customHeight="1">
      <c r="A1009" s="246"/>
      <c r="B1009" s="247"/>
      <c r="C1009" s="247"/>
      <c r="D1009" s="247"/>
      <c r="E1009" s="251"/>
      <c r="F1009" s="247"/>
      <c r="G1009" s="252"/>
      <c r="H1009" s="253"/>
      <c r="I1009" s="254"/>
      <c r="J1009" s="235"/>
      <c r="K1009" s="244"/>
      <c r="L1009" s="244"/>
      <c r="M1009" s="244"/>
      <c r="N1009" s="244"/>
      <c r="O1009" s="244"/>
      <c r="P1009" s="244"/>
    </row>
    <row r="1010" ht="18.75" customHeight="1">
      <c r="A1010" s="246"/>
      <c r="B1010" s="247"/>
      <c r="C1010" s="247"/>
      <c r="D1010" s="247"/>
      <c r="E1010" s="247"/>
      <c r="F1010" s="247"/>
      <c r="G1010" s="248"/>
      <c r="H1010" s="249"/>
      <c r="I1010" s="250"/>
      <c r="J1010" s="234"/>
      <c r="K1010" s="244"/>
      <c r="L1010" s="244"/>
      <c r="M1010" s="244"/>
      <c r="N1010" s="244"/>
      <c r="O1010" s="244"/>
      <c r="P1010" s="244"/>
    </row>
    <row r="1011" ht="18.75" customHeight="1">
      <c r="A1011" s="246"/>
      <c r="B1011" s="247"/>
      <c r="C1011" s="247"/>
      <c r="D1011" s="247"/>
      <c r="E1011" s="251"/>
      <c r="F1011" s="247"/>
      <c r="G1011" s="252"/>
      <c r="H1011" s="253"/>
      <c r="I1011" s="254"/>
      <c r="J1011" s="235"/>
      <c r="K1011" s="244"/>
      <c r="L1011" s="244"/>
      <c r="M1011" s="244"/>
      <c r="N1011" s="244"/>
      <c r="O1011" s="244"/>
      <c r="P1011" s="244"/>
    </row>
    <row r="1012" ht="18.75" customHeight="1">
      <c r="A1012" s="246"/>
      <c r="B1012" s="247"/>
      <c r="C1012" s="247"/>
      <c r="D1012" s="247"/>
      <c r="E1012" s="247"/>
      <c r="F1012" s="247"/>
      <c r="G1012" s="248"/>
      <c r="H1012" s="249"/>
      <c r="I1012" s="250"/>
      <c r="J1012" s="234"/>
      <c r="K1012" s="244"/>
      <c r="L1012" s="244"/>
      <c r="M1012" s="244"/>
      <c r="N1012" s="244"/>
      <c r="O1012" s="244"/>
      <c r="P1012" s="244"/>
    </row>
    <row r="1013" ht="18.75" customHeight="1">
      <c r="A1013" s="246"/>
      <c r="B1013" s="247"/>
      <c r="C1013" s="247"/>
      <c r="D1013" s="247"/>
      <c r="E1013" s="251"/>
      <c r="F1013" s="247"/>
      <c r="G1013" s="252"/>
      <c r="H1013" s="253"/>
      <c r="I1013" s="254"/>
      <c r="J1013" s="235"/>
      <c r="K1013" s="244"/>
      <c r="L1013" s="244"/>
      <c r="M1013" s="244"/>
      <c r="N1013" s="244"/>
      <c r="O1013" s="244"/>
      <c r="P1013" s="244"/>
    </row>
    <row r="1014" ht="18.75" customHeight="1">
      <c r="A1014" s="246"/>
      <c r="B1014" s="247"/>
      <c r="C1014" s="247"/>
      <c r="D1014" s="247"/>
      <c r="E1014" s="247"/>
      <c r="F1014" s="247"/>
      <c r="G1014" s="248"/>
      <c r="H1014" s="249"/>
      <c r="I1014" s="250"/>
      <c r="J1014" s="234"/>
      <c r="K1014" s="244"/>
      <c r="L1014" s="244"/>
      <c r="M1014" s="244"/>
      <c r="N1014" s="244"/>
      <c r="O1014" s="244"/>
      <c r="P1014" s="244"/>
    </row>
    <row r="1015" ht="18.75" customHeight="1">
      <c r="A1015" s="246"/>
      <c r="B1015" s="247"/>
      <c r="C1015" s="247"/>
      <c r="D1015" s="247"/>
      <c r="E1015" s="251"/>
      <c r="F1015" s="247"/>
      <c r="G1015" s="252"/>
      <c r="H1015" s="253"/>
      <c r="I1015" s="254"/>
      <c r="J1015" s="235"/>
      <c r="K1015" s="244"/>
      <c r="L1015" s="244"/>
      <c r="M1015" s="244"/>
      <c r="N1015" s="244"/>
      <c r="O1015" s="244"/>
      <c r="P1015" s="244"/>
    </row>
    <row r="1016" ht="18.75" customHeight="1">
      <c r="A1016" s="246"/>
      <c r="B1016" s="247"/>
      <c r="C1016" s="247"/>
      <c r="D1016" s="247"/>
      <c r="E1016" s="247"/>
      <c r="F1016" s="247"/>
      <c r="G1016" s="248"/>
      <c r="H1016" s="249"/>
      <c r="I1016" s="250"/>
      <c r="J1016" s="234"/>
      <c r="K1016" s="244"/>
      <c r="L1016" s="244"/>
      <c r="M1016" s="244"/>
      <c r="N1016" s="244"/>
      <c r="O1016" s="244"/>
      <c r="P1016" s="244"/>
    </row>
    <row r="1017" ht="18.75" customHeight="1">
      <c r="A1017" s="246"/>
      <c r="B1017" s="247"/>
      <c r="C1017" s="247"/>
      <c r="D1017" s="247"/>
      <c r="E1017" s="251"/>
      <c r="F1017" s="247"/>
      <c r="G1017" s="252"/>
      <c r="H1017" s="253"/>
      <c r="I1017" s="254"/>
      <c r="J1017" s="235"/>
      <c r="K1017" s="244"/>
      <c r="L1017" s="244"/>
      <c r="M1017" s="244"/>
      <c r="N1017" s="244"/>
      <c r="O1017" s="244"/>
      <c r="P1017" s="244"/>
    </row>
    <row r="1018" ht="18.75" customHeight="1">
      <c r="A1018" s="246"/>
      <c r="B1018" s="247"/>
      <c r="C1018" s="247"/>
      <c r="D1018" s="247"/>
      <c r="E1018" s="247"/>
      <c r="F1018" s="247"/>
      <c r="G1018" s="248"/>
      <c r="H1018" s="249"/>
      <c r="I1018" s="250"/>
      <c r="J1018" s="234"/>
      <c r="K1018" s="244"/>
      <c r="L1018" s="244"/>
      <c r="M1018" s="244"/>
      <c r="N1018" s="244"/>
      <c r="O1018" s="244"/>
      <c r="P1018" s="244"/>
    </row>
    <row r="1019" ht="18.75" customHeight="1">
      <c r="A1019" s="246"/>
      <c r="B1019" s="247"/>
      <c r="C1019" s="247"/>
      <c r="D1019" s="247"/>
      <c r="E1019" s="251"/>
      <c r="F1019" s="247"/>
      <c r="G1019" s="252"/>
      <c r="H1019" s="253"/>
      <c r="I1019" s="254"/>
      <c r="J1019" s="235"/>
      <c r="K1019" s="244"/>
      <c r="L1019" s="244"/>
      <c r="M1019" s="244"/>
      <c r="N1019" s="244"/>
      <c r="O1019" s="244"/>
      <c r="P1019" s="244"/>
    </row>
    <row r="1020" ht="18.75" customHeight="1">
      <c r="A1020" s="246"/>
      <c r="B1020" s="247"/>
      <c r="C1020" s="247"/>
      <c r="D1020" s="247"/>
      <c r="E1020" s="247"/>
      <c r="F1020" s="247"/>
      <c r="G1020" s="248"/>
      <c r="H1020" s="249"/>
      <c r="I1020" s="250"/>
      <c r="J1020" s="234"/>
      <c r="K1020" s="244"/>
      <c r="L1020" s="244"/>
      <c r="M1020" s="244"/>
      <c r="N1020" s="244"/>
      <c r="O1020" s="244"/>
      <c r="P1020" s="244"/>
    </row>
    <row r="1021" ht="18.75" customHeight="1">
      <c r="A1021" s="246"/>
      <c r="B1021" s="247"/>
      <c r="C1021" s="247"/>
      <c r="D1021" s="247"/>
      <c r="E1021" s="251"/>
      <c r="F1021" s="247"/>
      <c r="G1021" s="252"/>
      <c r="H1021" s="253"/>
      <c r="I1021" s="254"/>
      <c r="J1021" s="235"/>
      <c r="K1021" s="244"/>
      <c r="L1021" s="244"/>
      <c r="M1021" s="244"/>
      <c r="N1021" s="244"/>
      <c r="O1021" s="244"/>
      <c r="P1021" s="244"/>
    </row>
    <row r="1022" ht="18.75" customHeight="1">
      <c r="A1022" s="246"/>
      <c r="B1022" s="247"/>
      <c r="C1022" s="247"/>
      <c r="D1022" s="247"/>
      <c r="E1022" s="247"/>
      <c r="F1022" s="247"/>
      <c r="G1022" s="248"/>
      <c r="H1022" s="249"/>
      <c r="I1022" s="250"/>
      <c r="J1022" s="234"/>
      <c r="K1022" s="244"/>
      <c r="L1022" s="244"/>
      <c r="M1022" s="244"/>
      <c r="N1022" s="244"/>
      <c r="O1022" s="244"/>
      <c r="P1022" s="244"/>
    </row>
    <row r="1023" ht="18.75" customHeight="1">
      <c r="A1023" s="246"/>
      <c r="B1023" s="247"/>
      <c r="C1023" s="247"/>
      <c r="D1023" s="247"/>
      <c r="E1023" s="251"/>
      <c r="F1023" s="247"/>
      <c r="G1023" s="252"/>
      <c r="H1023" s="253"/>
      <c r="I1023" s="254"/>
      <c r="J1023" s="235"/>
      <c r="K1023" s="244"/>
      <c r="L1023" s="244"/>
      <c r="M1023" s="244"/>
      <c r="N1023" s="244"/>
      <c r="O1023" s="244"/>
      <c r="P1023" s="244"/>
    </row>
    <row r="1024" ht="18.75" customHeight="1">
      <c r="A1024" s="246"/>
      <c r="B1024" s="247"/>
      <c r="C1024" s="247"/>
      <c r="D1024" s="247"/>
      <c r="E1024" s="247"/>
      <c r="F1024" s="247"/>
      <c r="G1024" s="248"/>
      <c r="H1024" s="249"/>
      <c r="I1024" s="250"/>
      <c r="J1024" s="234"/>
      <c r="K1024" s="244"/>
      <c r="L1024" s="244"/>
      <c r="M1024" s="244"/>
      <c r="N1024" s="244"/>
      <c r="O1024" s="244"/>
      <c r="P1024" s="244"/>
    </row>
    <row r="1025" ht="18.75" customHeight="1">
      <c r="A1025" s="246"/>
      <c r="B1025" s="247"/>
      <c r="C1025" s="247"/>
      <c r="D1025" s="247"/>
      <c r="E1025" s="251"/>
      <c r="F1025" s="247"/>
      <c r="G1025" s="252"/>
      <c r="H1025" s="253"/>
      <c r="I1025" s="254"/>
      <c r="J1025" s="235"/>
      <c r="K1025" s="244"/>
      <c r="L1025" s="244"/>
      <c r="M1025" s="244"/>
      <c r="N1025" s="244"/>
      <c r="O1025" s="244"/>
      <c r="P1025" s="244"/>
    </row>
    <row r="1026" ht="18.75" customHeight="1">
      <c r="A1026" s="246"/>
      <c r="B1026" s="247"/>
      <c r="C1026" s="247"/>
      <c r="D1026" s="247"/>
      <c r="E1026" s="247"/>
      <c r="F1026" s="247"/>
      <c r="G1026" s="248"/>
      <c r="H1026" s="249"/>
      <c r="I1026" s="250"/>
      <c r="J1026" s="234"/>
      <c r="K1026" s="244"/>
      <c r="L1026" s="244"/>
      <c r="M1026" s="244"/>
      <c r="N1026" s="244"/>
      <c r="O1026" s="244"/>
      <c r="P1026" s="244"/>
    </row>
    <row r="1027" ht="18.75" customHeight="1">
      <c r="A1027" s="246"/>
      <c r="B1027" s="247"/>
      <c r="C1027" s="247"/>
      <c r="D1027" s="247"/>
      <c r="E1027" s="251"/>
      <c r="F1027" s="247"/>
      <c r="G1027" s="252"/>
      <c r="H1027" s="253"/>
      <c r="I1027" s="254"/>
      <c r="J1027" s="235"/>
      <c r="K1027" s="244"/>
      <c r="L1027" s="244"/>
      <c r="M1027" s="244"/>
      <c r="N1027" s="244"/>
      <c r="O1027" s="244"/>
      <c r="P1027" s="244"/>
    </row>
    <row r="1028" ht="18.75" customHeight="1">
      <c r="A1028" s="246"/>
      <c r="B1028" s="247"/>
      <c r="C1028" s="247"/>
      <c r="D1028" s="247"/>
      <c r="E1028" s="247"/>
      <c r="F1028" s="247"/>
      <c r="G1028" s="248"/>
      <c r="H1028" s="249"/>
      <c r="I1028" s="250"/>
      <c r="J1028" s="234"/>
      <c r="K1028" s="244"/>
      <c r="L1028" s="244"/>
      <c r="M1028" s="244"/>
      <c r="N1028" s="244"/>
      <c r="O1028" s="244"/>
      <c r="P1028" s="244"/>
    </row>
    <row r="1029" ht="18.75" customHeight="1">
      <c r="A1029" s="246"/>
      <c r="B1029" s="247"/>
      <c r="C1029" s="247"/>
      <c r="D1029" s="247"/>
      <c r="E1029" s="251"/>
      <c r="F1029" s="247"/>
      <c r="G1029" s="252"/>
      <c r="H1029" s="253"/>
      <c r="I1029" s="254"/>
      <c r="J1029" s="235"/>
      <c r="K1029" s="244"/>
      <c r="L1029" s="244"/>
      <c r="M1029" s="244"/>
      <c r="N1029" s="244"/>
      <c r="O1029" s="244"/>
      <c r="P1029" s="244"/>
    </row>
    <row r="1030" ht="18.75" customHeight="1">
      <c r="A1030" s="246"/>
      <c r="B1030" s="247"/>
      <c r="C1030" s="247"/>
      <c r="D1030" s="247"/>
      <c r="E1030" s="247"/>
      <c r="F1030" s="247"/>
      <c r="G1030" s="248"/>
      <c r="H1030" s="249"/>
      <c r="I1030" s="250"/>
      <c r="J1030" s="234"/>
      <c r="K1030" s="244"/>
      <c r="L1030" s="244"/>
      <c r="M1030" s="244"/>
      <c r="N1030" s="244"/>
      <c r="O1030" s="244"/>
      <c r="P1030" s="244"/>
    </row>
    <row r="1031" ht="18.75" customHeight="1">
      <c r="A1031" s="246"/>
      <c r="B1031" s="247"/>
      <c r="C1031" s="247"/>
      <c r="D1031" s="247"/>
      <c r="E1031" s="251"/>
      <c r="F1031" s="247"/>
      <c r="G1031" s="252"/>
      <c r="H1031" s="253"/>
      <c r="I1031" s="254"/>
      <c r="J1031" s="235"/>
      <c r="K1031" s="244"/>
      <c r="L1031" s="244"/>
      <c r="M1031" s="244"/>
      <c r="N1031" s="244"/>
      <c r="O1031" s="244"/>
      <c r="P1031" s="244"/>
    </row>
    <row r="1032" ht="18.75" customHeight="1">
      <c r="A1032" s="246"/>
      <c r="B1032" s="247"/>
      <c r="C1032" s="247"/>
      <c r="D1032" s="247"/>
      <c r="E1032" s="247"/>
      <c r="F1032" s="247"/>
      <c r="G1032" s="248"/>
      <c r="H1032" s="249"/>
      <c r="I1032" s="250"/>
      <c r="J1032" s="234"/>
      <c r="K1032" s="244"/>
      <c r="L1032" s="244"/>
      <c r="M1032" s="244"/>
      <c r="N1032" s="244"/>
      <c r="O1032" s="244"/>
      <c r="P1032" s="244"/>
    </row>
    <row r="1033" ht="18.75" customHeight="1">
      <c r="A1033" s="246"/>
      <c r="B1033" s="247"/>
      <c r="C1033" s="247"/>
      <c r="D1033" s="247"/>
      <c r="E1033" s="251"/>
      <c r="F1033" s="247"/>
      <c r="G1033" s="252"/>
      <c r="H1033" s="253"/>
      <c r="I1033" s="254"/>
      <c r="J1033" s="235"/>
      <c r="K1033" s="244"/>
      <c r="L1033" s="244"/>
      <c r="M1033" s="244"/>
      <c r="N1033" s="244"/>
      <c r="O1033" s="244"/>
      <c r="P1033" s="244"/>
    </row>
    <row r="1034" ht="18.75" customHeight="1">
      <c r="A1034" s="246"/>
      <c r="B1034" s="247"/>
      <c r="C1034" s="247"/>
      <c r="D1034" s="247"/>
      <c r="E1034" s="247"/>
      <c r="F1034" s="247"/>
      <c r="G1034" s="248"/>
      <c r="H1034" s="249"/>
      <c r="I1034" s="250"/>
      <c r="J1034" s="234"/>
      <c r="K1034" s="244"/>
      <c r="L1034" s="244"/>
      <c r="M1034" s="244"/>
      <c r="N1034" s="244"/>
      <c r="O1034" s="244"/>
      <c r="P1034" s="244"/>
    </row>
    <row r="1035" ht="18.75" customHeight="1">
      <c r="A1035" s="246"/>
      <c r="B1035" s="247"/>
      <c r="C1035" s="247"/>
      <c r="D1035" s="247"/>
      <c r="E1035" s="251"/>
      <c r="F1035" s="247"/>
      <c r="G1035" s="252"/>
      <c r="H1035" s="253"/>
      <c r="I1035" s="254"/>
      <c r="J1035" s="235"/>
      <c r="K1035" s="244"/>
      <c r="L1035" s="244"/>
      <c r="M1035" s="244"/>
      <c r="N1035" s="244"/>
      <c r="O1035" s="244"/>
      <c r="P1035" s="244"/>
    </row>
    <row r="1036" ht="18.75" customHeight="1">
      <c r="A1036" s="246"/>
      <c r="B1036" s="247"/>
      <c r="C1036" s="247"/>
      <c r="D1036" s="247"/>
      <c r="E1036" s="247"/>
      <c r="F1036" s="247"/>
      <c r="G1036" s="248"/>
      <c r="H1036" s="249"/>
      <c r="I1036" s="250"/>
      <c r="J1036" s="234"/>
      <c r="K1036" s="244"/>
      <c r="L1036" s="244"/>
      <c r="M1036" s="244"/>
      <c r="N1036" s="244"/>
      <c r="O1036" s="244"/>
      <c r="P1036" s="244"/>
    </row>
    <row r="1037" ht="18.75" customHeight="1">
      <c r="A1037" s="246"/>
      <c r="B1037" s="247"/>
      <c r="C1037" s="247"/>
      <c r="D1037" s="247"/>
      <c r="E1037" s="251"/>
      <c r="F1037" s="247"/>
      <c r="G1037" s="252"/>
      <c r="H1037" s="253"/>
      <c r="I1037" s="254"/>
      <c r="J1037" s="235"/>
      <c r="K1037" s="244"/>
      <c r="L1037" s="244"/>
      <c r="M1037" s="244"/>
      <c r="N1037" s="244"/>
      <c r="O1037" s="244"/>
      <c r="P1037" s="244"/>
    </row>
    <row r="1038" ht="18.75" customHeight="1">
      <c r="A1038" s="246"/>
      <c r="B1038" s="247"/>
      <c r="C1038" s="247"/>
      <c r="D1038" s="247"/>
      <c r="E1038" s="247"/>
      <c r="F1038" s="247"/>
      <c r="G1038" s="248"/>
      <c r="H1038" s="249"/>
      <c r="I1038" s="250"/>
      <c r="J1038" s="234"/>
      <c r="K1038" s="244"/>
      <c r="L1038" s="244"/>
      <c r="M1038" s="244"/>
      <c r="N1038" s="244"/>
      <c r="O1038" s="244"/>
      <c r="P1038" s="244"/>
    </row>
    <row r="1039" ht="18.75" customHeight="1">
      <c r="A1039" s="246"/>
      <c r="B1039" s="247"/>
      <c r="C1039" s="247"/>
      <c r="D1039" s="247"/>
      <c r="E1039" s="251"/>
      <c r="F1039" s="247"/>
      <c r="G1039" s="252"/>
      <c r="H1039" s="253"/>
      <c r="I1039" s="254"/>
      <c r="J1039" s="235"/>
      <c r="K1039" s="244"/>
      <c r="L1039" s="244"/>
      <c r="M1039" s="244"/>
      <c r="N1039" s="244"/>
      <c r="O1039" s="244"/>
      <c r="P1039" s="244"/>
    </row>
    <row r="1040" ht="18.75" customHeight="1">
      <c r="A1040" s="246"/>
      <c r="B1040" s="247"/>
      <c r="C1040" s="247"/>
      <c r="D1040" s="247"/>
      <c r="E1040" s="247"/>
      <c r="F1040" s="247"/>
      <c r="G1040" s="248"/>
      <c r="H1040" s="249"/>
      <c r="I1040" s="250"/>
      <c r="J1040" s="234"/>
      <c r="K1040" s="244"/>
      <c r="L1040" s="244"/>
      <c r="M1040" s="244"/>
      <c r="N1040" s="244"/>
      <c r="O1040" s="244"/>
      <c r="P1040" s="244"/>
    </row>
    <row r="1041" ht="18.75" customHeight="1">
      <c r="A1041" s="246"/>
      <c r="B1041" s="247"/>
      <c r="C1041" s="247"/>
      <c r="D1041" s="247"/>
      <c r="E1041" s="251"/>
      <c r="F1041" s="247"/>
      <c r="G1041" s="252"/>
      <c r="H1041" s="253"/>
      <c r="I1041" s="254"/>
      <c r="J1041" s="235"/>
      <c r="K1041" s="244"/>
      <c r="L1041" s="244"/>
      <c r="M1041" s="244"/>
      <c r="N1041" s="244"/>
      <c r="O1041" s="244"/>
      <c r="P1041" s="244"/>
    </row>
    <row r="1042" ht="18.75" customHeight="1">
      <c r="A1042" s="246"/>
      <c r="B1042" s="247"/>
      <c r="C1042" s="247"/>
      <c r="D1042" s="247"/>
      <c r="E1042" s="247"/>
      <c r="F1042" s="247"/>
      <c r="G1042" s="248"/>
      <c r="H1042" s="249"/>
      <c r="I1042" s="250"/>
      <c r="J1042" s="234"/>
      <c r="K1042" s="244"/>
      <c r="L1042" s="244"/>
      <c r="M1042" s="244"/>
      <c r="N1042" s="244"/>
      <c r="O1042" s="244"/>
      <c r="P1042" s="244"/>
    </row>
    <row r="1043" ht="18.75" customHeight="1">
      <c r="A1043" s="246"/>
      <c r="B1043" s="247"/>
      <c r="C1043" s="247"/>
      <c r="D1043" s="247"/>
      <c r="E1043" s="251"/>
      <c r="F1043" s="247"/>
      <c r="G1043" s="252"/>
      <c r="H1043" s="253"/>
      <c r="I1043" s="254"/>
      <c r="J1043" s="235"/>
      <c r="K1043" s="244"/>
      <c r="L1043" s="244"/>
      <c r="M1043" s="244"/>
      <c r="N1043" s="244"/>
      <c r="O1043" s="244"/>
      <c r="P1043" s="244"/>
    </row>
    <row r="1044" ht="18.75" customHeight="1">
      <c r="A1044" s="246"/>
      <c r="B1044" s="247"/>
      <c r="C1044" s="247"/>
      <c r="D1044" s="247"/>
      <c r="E1044" s="247"/>
      <c r="F1044" s="247"/>
      <c r="G1044" s="248"/>
      <c r="H1044" s="249"/>
      <c r="I1044" s="250"/>
      <c r="J1044" s="234"/>
      <c r="K1044" s="244"/>
      <c r="L1044" s="244"/>
      <c r="M1044" s="244"/>
      <c r="N1044" s="244"/>
      <c r="O1044" s="244"/>
      <c r="P1044" s="244"/>
    </row>
    <row r="1045" ht="18.75" customHeight="1">
      <c r="A1045" s="246"/>
      <c r="B1045" s="247"/>
      <c r="C1045" s="247"/>
      <c r="D1045" s="247"/>
      <c r="E1045" s="251"/>
      <c r="F1045" s="247"/>
      <c r="G1045" s="252"/>
      <c r="H1045" s="253"/>
      <c r="I1045" s="254"/>
      <c r="J1045" s="235"/>
      <c r="K1045" s="244"/>
      <c r="L1045" s="244"/>
      <c r="M1045" s="244"/>
      <c r="N1045" s="244"/>
      <c r="O1045" s="244"/>
      <c r="P1045" s="244"/>
    </row>
    <row r="1046" ht="18.75" customHeight="1">
      <c r="A1046" s="246"/>
      <c r="B1046" s="247"/>
      <c r="C1046" s="247"/>
      <c r="D1046" s="247"/>
      <c r="E1046" s="247"/>
      <c r="F1046" s="247"/>
      <c r="G1046" s="248"/>
      <c r="H1046" s="249"/>
      <c r="I1046" s="250"/>
      <c r="J1046" s="234"/>
      <c r="K1046" s="244"/>
      <c r="L1046" s="244"/>
      <c r="M1046" s="244"/>
      <c r="N1046" s="244"/>
      <c r="O1046" s="244"/>
      <c r="P1046" s="244"/>
    </row>
    <row r="1047" ht="18.75" customHeight="1">
      <c r="A1047" s="246"/>
      <c r="B1047" s="247"/>
      <c r="C1047" s="247"/>
      <c r="D1047" s="247"/>
      <c r="E1047" s="251"/>
      <c r="F1047" s="247"/>
      <c r="G1047" s="252"/>
      <c r="H1047" s="253"/>
      <c r="I1047" s="254"/>
      <c r="J1047" s="235"/>
      <c r="K1047" s="244"/>
      <c r="L1047" s="244"/>
      <c r="M1047" s="244"/>
      <c r="N1047" s="244"/>
      <c r="O1047" s="244"/>
      <c r="P1047" s="244"/>
    </row>
    <row r="1048" ht="18.75" customHeight="1">
      <c r="A1048" s="246"/>
      <c r="B1048" s="247"/>
      <c r="C1048" s="247"/>
      <c r="D1048" s="247"/>
      <c r="E1048" s="247"/>
      <c r="F1048" s="247"/>
      <c r="G1048" s="248"/>
      <c r="H1048" s="249"/>
      <c r="I1048" s="250"/>
      <c r="J1048" s="234"/>
      <c r="K1048" s="244"/>
      <c r="L1048" s="244"/>
      <c r="M1048" s="244"/>
      <c r="N1048" s="244"/>
      <c r="O1048" s="244"/>
      <c r="P1048" s="244"/>
    </row>
    <row r="1049" ht="18.75" customHeight="1">
      <c r="A1049" s="246"/>
      <c r="B1049" s="247"/>
      <c r="C1049" s="247"/>
      <c r="D1049" s="247"/>
      <c r="E1049" s="251"/>
      <c r="F1049" s="247"/>
      <c r="G1049" s="252"/>
      <c r="H1049" s="253"/>
      <c r="I1049" s="254"/>
      <c r="J1049" s="235"/>
      <c r="K1049" s="244"/>
      <c r="L1049" s="244"/>
      <c r="M1049" s="244"/>
      <c r="N1049" s="244"/>
      <c r="O1049" s="244"/>
      <c r="P1049" s="244"/>
    </row>
    <row r="1050" ht="18.75" customHeight="1">
      <c r="A1050" s="246"/>
      <c r="B1050" s="247"/>
      <c r="C1050" s="247"/>
      <c r="D1050" s="247"/>
      <c r="E1050" s="247"/>
      <c r="F1050" s="247"/>
      <c r="G1050" s="248"/>
      <c r="H1050" s="249"/>
      <c r="I1050" s="250"/>
      <c r="J1050" s="234"/>
      <c r="K1050" s="244"/>
      <c r="L1050" s="244"/>
      <c r="M1050" s="244"/>
      <c r="N1050" s="244"/>
      <c r="O1050" s="244"/>
      <c r="P1050" s="244"/>
    </row>
    <row r="1051" ht="18.75" customHeight="1">
      <c r="A1051" s="246"/>
      <c r="B1051" s="247"/>
      <c r="C1051" s="247"/>
      <c r="D1051" s="247"/>
      <c r="E1051" s="251"/>
      <c r="F1051" s="247"/>
      <c r="G1051" s="252"/>
      <c r="H1051" s="253"/>
      <c r="I1051" s="254"/>
      <c r="J1051" s="235"/>
      <c r="K1051" s="244"/>
      <c r="L1051" s="244"/>
      <c r="M1051" s="244"/>
      <c r="N1051" s="244"/>
      <c r="O1051" s="244"/>
      <c r="P1051" s="244"/>
    </row>
    <row r="1052" ht="18.75" customHeight="1">
      <c r="A1052" s="246"/>
      <c r="B1052" s="247"/>
      <c r="C1052" s="247"/>
      <c r="D1052" s="247"/>
      <c r="E1052" s="247"/>
      <c r="F1052" s="247"/>
      <c r="G1052" s="248"/>
      <c r="H1052" s="249"/>
      <c r="I1052" s="250"/>
      <c r="J1052" s="234"/>
      <c r="K1052" s="244"/>
      <c r="L1052" s="244"/>
      <c r="M1052" s="244"/>
      <c r="N1052" s="244"/>
      <c r="O1052" s="244"/>
      <c r="P1052" s="244"/>
    </row>
    <row r="1053" ht="18.75" customHeight="1">
      <c r="A1053" s="246"/>
      <c r="B1053" s="247"/>
      <c r="C1053" s="247"/>
      <c r="D1053" s="247"/>
      <c r="E1053" s="251"/>
      <c r="F1053" s="247"/>
      <c r="G1053" s="252"/>
      <c r="H1053" s="253"/>
      <c r="I1053" s="254"/>
      <c r="J1053" s="235"/>
      <c r="K1053" s="244"/>
      <c r="L1053" s="244"/>
      <c r="M1053" s="244"/>
      <c r="N1053" s="244"/>
      <c r="O1053" s="244"/>
      <c r="P1053" s="244"/>
    </row>
    <row r="1054" ht="18.75" customHeight="1">
      <c r="A1054" s="246"/>
      <c r="B1054" s="247"/>
      <c r="C1054" s="247"/>
      <c r="D1054" s="247"/>
      <c r="E1054" s="247"/>
      <c r="F1054" s="247"/>
      <c r="G1054" s="248"/>
      <c r="H1054" s="249"/>
      <c r="I1054" s="250"/>
      <c r="J1054" s="234"/>
      <c r="K1054" s="244"/>
      <c r="L1054" s="244"/>
      <c r="M1054" s="244"/>
      <c r="N1054" s="244"/>
      <c r="O1054" s="244"/>
      <c r="P1054" s="244"/>
    </row>
    <row r="1055" ht="18.75" customHeight="1">
      <c r="A1055" s="246"/>
      <c r="B1055" s="247"/>
      <c r="C1055" s="247"/>
      <c r="D1055" s="247"/>
      <c r="E1055" s="251"/>
      <c r="F1055" s="247"/>
      <c r="G1055" s="252"/>
      <c r="H1055" s="253"/>
      <c r="I1055" s="254"/>
      <c r="J1055" s="235"/>
      <c r="K1055" s="244"/>
      <c r="L1055" s="244"/>
      <c r="M1055" s="244"/>
      <c r="N1055" s="244"/>
      <c r="O1055" s="244"/>
      <c r="P1055" s="244"/>
    </row>
    <row r="1056" ht="18.75" customHeight="1">
      <c r="A1056" s="246"/>
      <c r="B1056" s="247"/>
      <c r="C1056" s="247"/>
      <c r="D1056" s="247"/>
      <c r="E1056" s="247"/>
      <c r="F1056" s="247"/>
      <c r="G1056" s="248"/>
      <c r="H1056" s="249"/>
      <c r="I1056" s="250"/>
      <c r="J1056" s="234"/>
      <c r="K1056" s="244"/>
      <c r="L1056" s="244"/>
      <c r="M1056" s="244"/>
      <c r="N1056" s="244"/>
      <c r="O1056" s="244"/>
      <c r="P1056" s="244"/>
    </row>
    <row r="1057" ht="18.75" customHeight="1">
      <c r="A1057" s="246"/>
      <c r="B1057" s="247"/>
      <c r="C1057" s="247"/>
      <c r="D1057" s="247"/>
      <c r="E1057" s="251"/>
      <c r="F1057" s="247"/>
      <c r="G1057" s="252"/>
      <c r="H1057" s="253"/>
      <c r="I1057" s="254"/>
      <c r="J1057" s="235"/>
      <c r="K1057" s="244"/>
      <c r="L1057" s="244"/>
      <c r="M1057" s="244"/>
      <c r="N1057" s="244"/>
      <c r="O1057" s="244"/>
      <c r="P1057" s="244"/>
    </row>
    <row r="1058" ht="18.75" customHeight="1">
      <c r="A1058" s="246"/>
      <c r="B1058" s="247"/>
      <c r="C1058" s="247"/>
      <c r="D1058" s="247"/>
      <c r="E1058" s="247"/>
      <c r="F1058" s="247"/>
      <c r="G1058" s="248"/>
      <c r="H1058" s="249"/>
      <c r="I1058" s="250"/>
      <c r="J1058" s="234"/>
      <c r="K1058" s="244"/>
      <c r="L1058" s="244"/>
      <c r="M1058" s="244"/>
      <c r="N1058" s="244"/>
      <c r="O1058" s="244"/>
      <c r="P1058" s="244"/>
    </row>
    <row r="1059" ht="18.75" customHeight="1">
      <c r="A1059" s="246"/>
      <c r="B1059" s="247"/>
      <c r="C1059" s="247"/>
      <c r="D1059" s="247"/>
      <c r="E1059" s="251"/>
      <c r="F1059" s="247"/>
      <c r="G1059" s="252"/>
      <c r="H1059" s="253"/>
      <c r="I1059" s="254"/>
      <c r="J1059" s="235"/>
      <c r="K1059" s="244"/>
      <c r="L1059" s="244"/>
      <c r="M1059" s="244"/>
      <c r="N1059" s="244"/>
      <c r="O1059" s="244"/>
      <c r="P1059" s="244"/>
    </row>
    <row r="1060" ht="18.75" customHeight="1">
      <c r="A1060" s="246"/>
      <c r="B1060" s="247"/>
      <c r="C1060" s="247"/>
      <c r="D1060" s="247"/>
      <c r="E1060" s="247"/>
      <c r="F1060" s="247"/>
      <c r="G1060" s="248"/>
      <c r="H1060" s="249"/>
      <c r="I1060" s="250"/>
      <c r="J1060" s="234"/>
      <c r="K1060" s="244"/>
      <c r="L1060" s="244"/>
      <c r="M1060" s="244"/>
      <c r="N1060" s="244"/>
      <c r="O1060" s="244"/>
      <c r="P1060" s="244"/>
    </row>
    <row r="1061" ht="18.75" customHeight="1">
      <c r="A1061" s="246"/>
      <c r="B1061" s="247"/>
      <c r="C1061" s="247"/>
      <c r="D1061" s="247"/>
      <c r="E1061" s="251"/>
      <c r="F1061" s="247"/>
      <c r="G1061" s="252"/>
      <c r="H1061" s="253"/>
      <c r="I1061" s="254"/>
      <c r="J1061" s="235"/>
      <c r="K1061" s="244"/>
      <c r="L1061" s="244"/>
      <c r="M1061" s="244"/>
      <c r="N1061" s="244"/>
      <c r="O1061" s="244"/>
      <c r="P1061" s="244"/>
    </row>
    <row r="1062" ht="18.75" customHeight="1">
      <c r="A1062" s="246"/>
      <c r="B1062" s="247"/>
      <c r="C1062" s="247"/>
      <c r="D1062" s="247"/>
      <c r="E1062" s="247"/>
      <c r="F1062" s="247"/>
      <c r="G1062" s="248"/>
      <c r="H1062" s="249"/>
      <c r="I1062" s="250"/>
      <c r="J1062" s="234"/>
      <c r="K1062" s="244"/>
      <c r="L1062" s="244"/>
      <c r="M1062" s="244"/>
      <c r="N1062" s="244"/>
      <c r="O1062" s="244"/>
      <c r="P1062" s="244"/>
    </row>
    <row r="1063" ht="18.75" customHeight="1">
      <c r="A1063" s="246"/>
      <c r="B1063" s="247"/>
      <c r="C1063" s="247"/>
      <c r="D1063" s="247"/>
      <c r="E1063" s="251"/>
      <c r="F1063" s="247"/>
      <c r="G1063" s="252"/>
      <c r="H1063" s="253"/>
      <c r="I1063" s="254"/>
      <c r="J1063" s="235"/>
      <c r="K1063" s="244"/>
      <c r="L1063" s="244"/>
      <c r="M1063" s="244"/>
      <c r="N1063" s="244"/>
      <c r="O1063" s="244"/>
      <c r="P1063" s="244"/>
    </row>
    <row r="1064" ht="18.75" customHeight="1">
      <c r="A1064" s="246"/>
      <c r="B1064" s="247"/>
      <c r="C1064" s="247"/>
      <c r="D1064" s="247"/>
      <c r="E1064" s="247"/>
      <c r="F1064" s="247"/>
      <c r="G1064" s="248"/>
      <c r="H1064" s="249"/>
      <c r="I1064" s="250"/>
      <c r="J1064" s="234"/>
      <c r="K1064" s="244"/>
      <c r="L1064" s="244"/>
      <c r="M1064" s="244"/>
      <c r="N1064" s="244"/>
      <c r="O1064" s="244"/>
      <c r="P1064" s="244"/>
    </row>
    <row r="1065" ht="18.75" customHeight="1">
      <c r="A1065" s="246"/>
      <c r="B1065" s="247"/>
      <c r="C1065" s="247"/>
      <c r="D1065" s="247"/>
      <c r="E1065" s="251"/>
      <c r="F1065" s="247"/>
      <c r="G1065" s="252"/>
      <c r="H1065" s="253"/>
      <c r="I1065" s="254"/>
      <c r="J1065" s="235"/>
      <c r="K1065" s="244"/>
      <c r="L1065" s="244"/>
      <c r="M1065" s="244"/>
      <c r="N1065" s="244"/>
      <c r="O1065" s="244"/>
      <c r="P1065" s="244"/>
    </row>
    <row r="1066" ht="18.75" customHeight="1">
      <c r="A1066" s="246"/>
      <c r="B1066" s="247"/>
      <c r="C1066" s="247"/>
      <c r="D1066" s="247"/>
      <c r="E1066" s="247"/>
      <c r="F1066" s="247"/>
      <c r="G1066" s="248"/>
      <c r="H1066" s="249"/>
      <c r="I1066" s="250"/>
      <c r="J1066" s="234"/>
      <c r="K1066" s="244"/>
      <c r="L1066" s="244"/>
      <c r="M1066" s="244"/>
      <c r="N1066" s="244"/>
      <c r="O1066" s="244"/>
      <c r="P1066" s="244"/>
    </row>
    <row r="1067" ht="18.75" customHeight="1">
      <c r="A1067" s="246"/>
      <c r="B1067" s="247"/>
      <c r="C1067" s="247"/>
      <c r="D1067" s="247"/>
      <c r="E1067" s="251"/>
      <c r="F1067" s="247"/>
      <c r="G1067" s="252"/>
      <c r="H1067" s="253"/>
      <c r="I1067" s="254"/>
      <c r="J1067" s="235"/>
      <c r="K1067" s="244"/>
      <c r="L1067" s="244"/>
      <c r="M1067" s="244"/>
      <c r="N1067" s="244"/>
      <c r="O1067" s="244"/>
      <c r="P1067" s="244"/>
    </row>
    <row r="1068" ht="18.75" customHeight="1">
      <c r="A1068" s="246"/>
      <c r="B1068" s="247"/>
      <c r="C1068" s="247"/>
      <c r="D1068" s="247"/>
      <c r="E1068" s="247"/>
      <c r="F1068" s="247"/>
      <c r="G1068" s="248"/>
      <c r="H1068" s="249"/>
      <c r="I1068" s="250"/>
      <c r="J1068" s="234"/>
      <c r="K1068" s="244"/>
      <c r="L1068" s="244"/>
      <c r="M1068" s="244"/>
      <c r="N1068" s="244"/>
      <c r="O1068" s="244"/>
      <c r="P1068" s="244"/>
    </row>
    <row r="1069" ht="18.75" customHeight="1">
      <c r="A1069" s="246"/>
      <c r="B1069" s="247"/>
      <c r="C1069" s="247"/>
      <c r="D1069" s="247"/>
      <c r="E1069" s="251"/>
      <c r="F1069" s="247"/>
      <c r="G1069" s="252"/>
      <c r="H1069" s="253"/>
      <c r="I1069" s="254"/>
      <c r="J1069" s="235"/>
      <c r="K1069" s="244"/>
      <c r="L1069" s="244"/>
      <c r="M1069" s="244"/>
      <c r="N1069" s="244"/>
      <c r="O1069" s="244"/>
      <c r="P1069" s="244"/>
    </row>
    <row r="1070" ht="18.75" customHeight="1">
      <c r="A1070" s="246"/>
      <c r="B1070" s="247"/>
      <c r="C1070" s="247"/>
      <c r="D1070" s="247"/>
      <c r="E1070" s="247"/>
      <c r="F1070" s="247"/>
      <c r="G1070" s="248"/>
      <c r="H1070" s="249"/>
      <c r="I1070" s="250"/>
      <c r="J1070" s="234"/>
      <c r="K1070" s="244"/>
      <c r="L1070" s="244"/>
      <c r="M1070" s="244"/>
      <c r="N1070" s="244"/>
      <c r="O1070" s="244"/>
      <c r="P1070" s="244"/>
    </row>
    <row r="1071" ht="18.75" customHeight="1">
      <c r="A1071" s="246"/>
      <c r="B1071" s="247"/>
      <c r="C1071" s="247"/>
      <c r="D1071" s="247"/>
      <c r="E1071" s="251"/>
      <c r="F1071" s="247"/>
      <c r="G1071" s="252"/>
      <c r="H1071" s="253"/>
      <c r="I1071" s="254"/>
      <c r="J1071" s="235"/>
      <c r="K1071" s="244"/>
      <c r="L1071" s="244"/>
      <c r="M1071" s="244"/>
      <c r="N1071" s="244"/>
      <c r="O1071" s="244"/>
      <c r="P1071" s="244"/>
    </row>
    <row r="1072" ht="18.75" customHeight="1">
      <c r="A1072" s="246"/>
      <c r="B1072" s="247"/>
      <c r="C1072" s="247"/>
      <c r="D1072" s="247"/>
      <c r="E1072" s="247"/>
      <c r="F1072" s="247"/>
      <c r="G1072" s="248"/>
      <c r="H1072" s="249"/>
      <c r="I1072" s="250"/>
      <c r="J1072" s="234"/>
      <c r="K1072" s="244"/>
      <c r="L1072" s="244"/>
      <c r="M1072" s="244"/>
      <c r="N1072" s="244"/>
      <c r="O1072" s="244"/>
      <c r="P1072" s="244"/>
    </row>
    <row r="1073" ht="18.75" customHeight="1">
      <c r="A1073" s="246"/>
      <c r="B1073" s="247"/>
      <c r="C1073" s="247"/>
      <c r="D1073" s="247"/>
      <c r="E1073" s="251"/>
      <c r="F1073" s="247"/>
      <c r="G1073" s="252"/>
      <c r="H1073" s="253"/>
      <c r="I1073" s="254"/>
      <c r="J1073" s="235"/>
      <c r="K1073" s="244"/>
      <c r="L1073" s="244"/>
      <c r="M1073" s="244"/>
      <c r="N1073" s="244"/>
      <c r="O1073" s="244"/>
      <c r="P1073" s="244"/>
    </row>
    <row r="1074" ht="18.75" customHeight="1">
      <c r="A1074" s="246"/>
      <c r="B1074" s="247"/>
      <c r="C1074" s="247"/>
      <c r="D1074" s="247"/>
      <c r="E1074" s="247"/>
      <c r="F1074" s="247"/>
      <c r="G1074" s="248"/>
      <c r="H1074" s="249"/>
      <c r="I1074" s="250"/>
      <c r="J1074" s="234"/>
      <c r="K1074" s="244"/>
      <c r="L1074" s="244"/>
      <c r="M1074" s="244"/>
      <c r="N1074" s="244"/>
      <c r="O1074" s="244"/>
      <c r="P1074" s="244"/>
    </row>
    <row r="1075" ht="18.75" customHeight="1">
      <c r="A1075" s="246"/>
      <c r="B1075" s="247"/>
      <c r="C1075" s="247"/>
      <c r="D1075" s="247"/>
      <c r="E1075" s="251"/>
      <c r="F1075" s="247"/>
      <c r="G1075" s="252"/>
      <c r="H1075" s="253"/>
      <c r="I1075" s="254"/>
      <c r="J1075" s="235"/>
      <c r="K1075" s="244"/>
      <c r="L1075" s="244"/>
      <c r="M1075" s="244"/>
      <c r="N1075" s="244"/>
      <c r="O1075" s="244"/>
      <c r="P1075" s="244"/>
    </row>
    <row r="1076" ht="18.75" customHeight="1">
      <c r="A1076" s="246"/>
      <c r="B1076" s="247"/>
      <c r="C1076" s="247"/>
      <c r="D1076" s="247"/>
      <c r="E1076" s="247"/>
      <c r="F1076" s="247"/>
      <c r="G1076" s="248"/>
      <c r="H1076" s="249"/>
      <c r="I1076" s="250"/>
      <c r="J1076" s="234"/>
      <c r="K1076" s="244"/>
      <c r="L1076" s="244"/>
      <c r="M1076" s="244"/>
      <c r="N1076" s="244"/>
      <c r="O1076" s="244"/>
      <c r="P1076" s="244"/>
    </row>
    <row r="1077" ht="18.75" customHeight="1">
      <c r="A1077" s="246"/>
      <c r="B1077" s="247"/>
      <c r="C1077" s="247"/>
      <c r="D1077" s="247"/>
      <c r="E1077" s="251"/>
      <c r="F1077" s="247"/>
      <c r="G1077" s="252"/>
      <c r="H1077" s="253"/>
      <c r="I1077" s="254"/>
      <c r="J1077" s="235"/>
      <c r="K1077" s="244"/>
      <c r="L1077" s="244"/>
      <c r="M1077" s="244"/>
      <c r="N1077" s="244"/>
      <c r="O1077" s="244"/>
      <c r="P1077" s="244"/>
    </row>
    <row r="1078" ht="18.75" customHeight="1">
      <c r="A1078" s="246"/>
      <c r="B1078" s="247"/>
      <c r="C1078" s="247"/>
      <c r="D1078" s="247"/>
      <c r="E1078" s="247"/>
      <c r="F1078" s="247"/>
      <c r="G1078" s="248"/>
      <c r="H1078" s="249"/>
      <c r="I1078" s="250"/>
      <c r="J1078" s="234"/>
      <c r="K1078" s="244"/>
      <c r="L1078" s="244"/>
      <c r="M1078" s="244"/>
      <c r="N1078" s="244"/>
      <c r="O1078" s="244"/>
      <c r="P1078" s="244"/>
    </row>
    <row r="1079" ht="18.75" customHeight="1">
      <c r="A1079" s="246"/>
      <c r="B1079" s="247"/>
      <c r="C1079" s="247"/>
      <c r="D1079" s="247"/>
      <c r="E1079" s="251"/>
      <c r="F1079" s="247"/>
      <c r="G1079" s="252"/>
      <c r="H1079" s="253"/>
      <c r="I1079" s="254"/>
      <c r="J1079" s="235"/>
      <c r="K1079" s="244"/>
      <c r="L1079" s="244"/>
      <c r="M1079" s="244"/>
      <c r="N1079" s="244"/>
      <c r="O1079" s="244"/>
      <c r="P1079" s="244"/>
    </row>
    <row r="1080" ht="18.75" customHeight="1">
      <c r="A1080" s="246"/>
      <c r="B1080" s="247"/>
      <c r="C1080" s="247"/>
      <c r="D1080" s="247"/>
      <c r="E1080" s="247"/>
      <c r="F1080" s="247"/>
      <c r="G1080" s="248"/>
      <c r="H1080" s="249"/>
      <c r="I1080" s="250"/>
      <c r="J1080" s="234"/>
      <c r="K1080" s="244"/>
      <c r="L1080" s="244"/>
      <c r="M1080" s="244"/>
      <c r="N1080" s="244"/>
      <c r="O1080" s="244"/>
      <c r="P1080" s="244"/>
    </row>
    <row r="1081" ht="18.75" customHeight="1">
      <c r="A1081" s="246"/>
      <c r="B1081" s="247"/>
      <c r="C1081" s="247"/>
      <c r="D1081" s="247"/>
      <c r="E1081" s="251"/>
      <c r="F1081" s="247"/>
      <c r="G1081" s="252"/>
      <c r="H1081" s="253"/>
      <c r="I1081" s="254"/>
      <c r="J1081" s="235"/>
      <c r="K1081" s="244"/>
      <c r="L1081" s="244"/>
      <c r="M1081" s="244"/>
      <c r="N1081" s="244"/>
      <c r="O1081" s="244"/>
      <c r="P1081" s="244"/>
    </row>
    <row r="1082" ht="18.75" customHeight="1">
      <c r="A1082" s="246"/>
      <c r="B1082" s="247"/>
      <c r="C1082" s="247"/>
      <c r="D1082" s="247"/>
      <c r="E1082" s="247"/>
      <c r="F1082" s="247"/>
      <c r="G1082" s="248"/>
      <c r="H1082" s="249"/>
      <c r="I1082" s="250"/>
      <c r="J1082" s="234"/>
      <c r="K1082" s="244"/>
      <c r="L1082" s="244"/>
      <c r="M1082" s="244"/>
      <c r="N1082" s="244"/>
      <c r="O1082" s="244"/>
      <c r="P1082" s="244"/>
    </row>
    <row r="1083" ht="18.75" customHeight="1">
      <c r="A1083" s="246"/>
      <c r="B1083" s="247"/>
      <c r="C1083" s="247"/>
      <c r="D1083" s="247"/>
      <c r="E1083" s="251"/>
      <c r="F1083" s="247"/>
      <c r="G1083" s="252"/>
      <c r="H1083" s="253"/>
      <c r="I1083" s="254"/>
      <c r="J1083" s="235"/>
      <c r="K1083" s="244"/>
      <c r="L1083" s="244"/>
      <c r="M1083" s="244"/>
      <c r="N1083" s="244"/>
      <c r="O1083" s="244"/>
      <c r="P1083" s="244"/>
    </row>
    <row r="1084" ht="18.75" customHeight="1">
      <c r="A1084" s="246"/>
      <c r="B1084" s="247"/>
      <c r="C1084" s="247"/>
      <c r="D1084" s="247"/>
      <c r="E1084" s="247"/>
      <c r="F1084" s="247"/>
      <c r="G1084" s="248"/>
      <c r="H1084" s="249"/>
      <c r="I1084" s="250"/>
      <c r="J1084" s="234"/>
      <c r="K1084" s="244"/>
      <c r="L1084" s="244"/>
      <c r="M1084" s="244"/>
      <c r="N1084" s="244"/>
      <c r="O1084" s="244"/>
      <c r="P1084" s="244"/>
    </row>
    <row r="1085" ht="18.75" customHeight="1">
      <c r="A1085" s="246"/>
      <c r="B1085" s="247"/>
      <c r="C1085" s="247"/>
      <c r="D1085" s="247"/>
      <c r="E1085" s="251"/>
      <c r="F1085" s="247"/>
      <c r="G1085" s="252"/>
      <c r="H1085" s="253"/>
      <c r="I1085" s="254"/>
      <c r="J1085" s="235"/>
      <c r="K1085" s="244"/>
      <c r="L1085" s="244"/>
      <c r="M1085" s="244"/>
      <c r="N1085" s="244"/>
      <c r="O1085" s="244"/>
      <c r="P1085" s="244"/>
    </row>
    <row r="1086" ht="18.75" customHeight="1">
      <c r="A1086" s="246"/>
      <c r="B1086" s="247"/>
      <c r="C1086" s="247"/>
      <c r="D1086" s="247"/>
      <c r="E1086" s="247"/>
      <c r="F1086" s="247"/>
      <c r="G1086" s="248"/>
      <c r="H1086" s="249"/>
      <c r="I1086" s="250"/>
      <c r="J1086" s="234"/>
      <c r="K1086" s="244"/>
      <c r="L1086" s="244"/>
      <c r="M1086" s="244"/>
      <c r="N1086" s="244"/>
      <c r="O1086" s="244"/>
      <c r="P1086" s="244"/>
    </row>
    <row r="1087" ht="18.75" customHeight="1">
      <c r="A1087" s="246"/>
      <c r="B1087" s="247"/>
      <c r="C1087" s="247"/>
      <c r="D1087" s="247"/>
      <c r="E1087" s="251"/>
      <c r="F1087" s="247"/>
      <c r="G1087" s="252"/>
      <c r="H1087" s="253"/>
      <c r="I1087" s="254"/>
      <c r="J1087" s="235"/>
      <c r="K1087" s="244"/>
      <c r="L1087" s="244"/>
      <c r="M1087" s="244"/>
      <c r="N1087" s="244"/>
      <c r="O1087" s="244"/>
      <c r="P1087" s="244"/>
    </row>
    <row r="1088" ht="18.75" customHeight="1">
      <c r="A1088" s="246"/>
      <c r="B1088" s="247"/>
      <c r="C1088" s="247"/>
      <c r="D1088" s="247"/>
      <c r="E1088" s="247"/>
      <c r="F1088" s="247"/>
      <c r="G1088" s="248"/>
      <c r="H1088" s="249"/>
      <c r="I1088" s="250"/>
      <c r="J1088" s="234"/>
      <c r="K1088" s="244"/>
      <c r="L1088" s="244"/>
      <c r="M1088" s="244"/>
      <c r="N1088" s="244"/>
      <c r="O1088" s="244"/>
      <c r="P1088" s="244"/>
    </row>
    <row r="1089" ht="18.75" customHeight="1">
      <c r="A1089" s="246"/>
      <c r="B1089" s="247"/>
      <c r="C1089" s="247"/>
      <c r="D1089" s="247"/>
      <c r="E1089" s="251"/>
      <c r="F1089" s="247"/>
      <c r="G1089" s="252"/>
      <c r="H1089" s="253"/>
      <c r="I1089" s="254"/>
      <c r="J1089" s="235"/>
      <c r="K1089" s="244"/>
      <c r="L1089" s="244"/>
      <c r="M1089" s="244"/>
      <c r="N1089" s="244"/>
      <c r="O1089" s="244"/>
      <c r="P1089" s="244"/>
    </row>
    <row r="1090" ht="18.75" customHeight="1">
      <c r="A1090" s="246"/>
      <c r="B1090" s="247"/>
      <c r="C1090" s="247"/>
      <c r="D1090" s="247"/>
      <c r="E1090" s="247"/>
      <c r="F1090" s="247"/>
      <c r="G1090" s="248"/>
      <c r="H1090" s="249"/>
      <c r="I1090" s="250"/>
      <c r="J1090" s="234"/>
      <c r="K1090" s="244"/>
      <c r="L1090" s="244"/>
      <c r="M1090" s="244"/>
      <c r="N1090" s="244"/>
      <c r="O1090" s="244"/>
      <c r="P1090" s="244"/>
    </row>
    <row r="1091" ht="18.75" customHeight="1">
      <c r="A1091" s="246"/>
      <c r="B1091" s="247"/>
      <c r="C1091" s="247"/>
      <c r="D1091" s="247"/>
      <c r="E1091" s="251"/>
      <c r="F1091" s="247"/>
      <c r="G1091" s="252"/>
      <c r="H1091" s="253"/>
      <c r="I1091" s="254"/>
      <c r="J1091" s="235"/>
      <c r="K1091" s="244"/>
      <c r="L1091" s="244"/>
      <c r="M1091" s="244"/>
      <c r="N1091" s="244"/>
      <c r="O1091" s="244"/>
      <c r="P1091" s="244"/>
    </row>
    <row r="1092" ht="18.75" customHeight="1">
      <c r="A1092" s="246"/>
      <c r="B1092" s="247"/>
      <c r="C1092" s="247"/>
      <c r="D1092" s="247"/>
      <c r="E1092" s="247"/>
      <c r="F1092" s="247"/>
      <c r="G1092" s="248"/>
      <c r="H1092" s="249"/>
      <c r="I1092" s="250"/>
      <c r="J1092" s="234"/>
      <c r="K1092" s="244"/>
      <c r="L1092" s="244"/>
      <c r="M1092" s="244"/>
      <c r="N1092" s="244"/>
      <c r="O1092" s="244"/>
      <c r="P1092" s="244"/>
    </row>
    <row r="1093" ht="18.75" customHeight="1">
      <c r="A1093" s="246"/>
      <c r="B1093" s="247"/>
      <c r="C1093" s="247"/>
      <c r="D1093" s="247"/>
      <c r="E1093" s="251"/>
      <c r="F1093" s="247"/>
      <c r="G1093" s="252"/>
      <c r="H1093" s="253"/>
      <c r="I1093" s="254"/>
      <c r="J1093" s="235"/>
      <c r="K1093" s="244"/>
      <c r="L1093" s="244"/>
      <c r="M1093" s="244"/>
      <c r="N1093" s="244"/>
      <c r="O1093" s="244"/>
      <c r="P1093" s="244"/>
    </row>
    <row r="1094" ht="18.75" customHeight="1">
      <c r="A1094" s="246"/>
      <c r="B1094" s="247"/>
      <c r="C1094" s="247"/>
      <c r="D1094" s="247"/>
      <c r="E1094" s="247"/>
      <c r="F1094" s="247"/>
      <c r="G1094" s="248"/>
      <c r="H1094" s="249"/>
      <c r="I1094" s="250"/>
      <c r="J1094" s="234"/>
      <c r="K1094" s="244"/>
      <c r="L1094" s="244"/>
      <c r="M1094" s="244"/>
      <c r="N1094" s="244"/>
      <c r="O1094" s="244"/>
      <c r="P1094" s="244"/>
    </row>
    <row r="1095" ht="18.75" customHeight="1">
      <c r="A1095" s="246"/>
      <c r="B1095" s="247"/>
      <c r="C1095" s="247"/>
      <c r="D1095" s="247"/>
      <c r="E1095" s="251"/>
      <c r="F1095" s="247"/>
      <c r="G1095" s="252"/>
      <c r="H1095" s="253"/>
      <c r="I1095" s="254"/>
      <c r="J1095" s="235"/>
      <c r="K1095" s="244"/>
      <c r="L1095" s="244"/>
      <c r="M1095" s="244"/>
      <c r="N1095" s="244"/>
      <c r="O1095" s="244"/>
      <c r="P1095" s="244"/>
    </row>
    <row r="1096" ht="18.75" customHeight="1">
      <c r="A1096" s="246"/>
      <c r="B1096" s="247"/>
      <c r="C1096" s="247"/>
      <c r="D1096" s="247"/>
      <c r="E1096" s="247"/>
      <c r="F1096" s="247"/>
      <c r="G1096" s="248"/>
      <c r="H1096" s="249"/>
      <c r="I1096" s="250"/>
      <c r="J1096" s="234"/>
      <c r="K1096" s="244"/>
      <c r="L1096" s="244"/>
      <c r="M1096" s="244"/>
      <c r="N1096" s="244"/>
      <c r="O1096" s="244"/>
      <c r="P1096" s="244"/>
    </row>
    <row r="1097" ht="18.75" customHeight="1">
      <c r="A1097" s="246"/>
      <c r="B1097" s="247"/>
      <c r="C1097" s="247"/>
      <c r="D1097" s="247"/>
      <c r="E1097" s="251"/>
      <c r="F1097" s="247"/>
      <c r="G1097" s="252"/>
      <c r="H1097" s="253"/>
      <c r="I1097" s="254"/>
      <c r="J1097" s="235"/>
      <c r="K1097" s="244"/>
      <c r="L1097" s="244"/>
      <c r="M1097" s="244"/>
      <c r="N1097" s="244"/>
      <c r="O1097" s="244"/>
      <c r="P1097" s="244"/>
    </row>
    <row r="1098" ht="18.75" customHeight="1">
      <c r="A1098" s="246"/>
      <c r="B1098" s="247"/>
      <c r="C1098" s="247"/>
      <c r="D1098" s="247"/>
      <c r="E1098" s="247"/>
      <c r="F1098" s="247"/>
      <c r="G1098" s="248"/>
      <c r="H1098" s="249"/>
      <c r="I1098" s="250"/>
      <c r="J1098" s="234"/>
      <c r="K1098" s="244"/>
      <c r="L1098" s="244"/>
      <c r="M1098" s="244"/>
      <c r="N1098" s="244"/>
      <c r="O1098" s="244"/>
      <c r="P1098" s="244"/>
    </row>
    <row r="1099" ht="18.75" customHeight="1">
      <c r="A1099" s="246"/>
      <c r="B1099" s="247"/>
      <c r="C1099" s="247"/>
      <c r="D1099" s="247"/>
      <c r="E1099" s="251"/>
      <c r="F1099" s="247"/>
      <c r="G1099" s="252"/>
      <c r="H1099" s="253"/>
      <c r="I1099" s="254"/>
      <c r="J1099" s="235"/>
      <c r="K1099" s="244"/>
      <c r="L1099" s="244"/>
      <c r="M1099" s="244"/>
      <c r="N1099" s="244"/>
      <c r="O1099" s="244"/>
      <c r="P1099" s="244"/>
    </row>
    <row r="1100" ht="18.75" customHeight="1">
      <c r="A1100" s="246"/>
      <c r="B1100" s="247"/>
      <c r="C1100" s="247"/>
      <c r="D1100" s="247"/>
      <c r="E1100" s="247"/>
      <c r="F1100" s="247"/>
      <c r="G1100" s="248"/>
      <c r="H1100" s="249"/>
      <c r="I1100" s="250"/>
      <c r="J1100" s="234"/>
      <c r="K1100" s="244"/>
      <c r="L1100" s="244"/>
      <c r="M1100" s="244"/>
      <c r="N1100" s="244"/>
      <c r="O1100" s="244"/>
      <c r="P1100" s="244"/>
    </row>
    <row r="1101" ht="18.75" customHeight="1">
      <c r="A1101" s="246"/>
      <c r="B1101" s="247"/>
      <c r="C1101" s="247"/>
      <c r="D1101" s="247"/>
      <c r="E1101" s="251"/>
      <c r="F1101" s="247"/>
      <c r="G1101" s="252"/>
      <c r="H1101" s="253"/>
      <c r="I1101" s="254"/>
      <c r="J1101" s="235"/>
      <c r="K1101" s="244"/>
      <c r="L1101" s="244"/>
      <c r="M1101" s="244"/>
      <c r="N1101" s="244"/>
      <c r="O1101" s="244"/>
      <c r="P1101" s="244"/>
    </row>
    <row r="1102" ht="18.75" customHeight="1">
      <c r="A1102" s="246"/>
      <c r="B1102" s="247"/>
      <c r="C1102" s="247"/>
      <c r="D1102" s="247"/>
      <c r="E1102" s="247"/>
      <c r="F1102" s="247"/>
      <c r="G1102" s="248"/>
      <c r="H1102" s="249"/>
      <c r="I1102" s="250"/>
      <c r="J1102" s="234"/>
      <c r="K1102" s="244"/>
      <c r="L1102" s="244"/>
      <c r="M1102" s="244"/>
      <c r="N1102" s="244"/>
      <c r="O1102" s="244"/>
      <c r="P1102" s="244"/>
    </row>
    <row r="1103" ht="18.75" customHeight="1">
      <c r="A1103" s="246"/>
      <c r="B1103" s="247"/>
      <c r="C1103" s="247"/>
      <c r="D1103" s="247"/>
      <c r="E1103" s="251"/>
      <c r="F1103" s="247"/>
      <c r="G1103" s="252"/>
      <c r="H1103" s="253"/>
      <c r="I1103" s="254"/>
      <c r="J1103" s="235"/>
      <c r="K1103" s="244"/>
      <c r="L1103" s="244"/>
      <c r="M1103" s="244"/>
      <c r="N1103" s="244"/>
      <c r="O1103" s="244"/>
      <c r="P1103" s="244"/>
    </row>
    <row r="1104" ht="18.75" customHeight="1">
      <c r="A1104" s="246"/>
      <c r="B1104" s="247"/>
      <c r="C1104" s="247"/>
      <c r="D1104" s="247"/>
      <c r="E1104" s="247"/>
      <c r="F1104" s="247"/>
      <c r="G1104" s="248"/>
      <c r="H1104" s="249"/>
      <c r="I1104" s="250"/>
      <c r="J1104" s="234"/>
      <c r="K1104" s="244"/>
      <c r="L1104" s="244"/>
      <c r="M1104" s="244"/>
      <c r="N1104" s="244"/>
      <c r="O1104" s="244"/>
      <c r="P1104" s="244"/>
    </row>
    <row r="1105" ht="18.75" customHeight="1">
      <c r="A1105" s="246"/>
      <c r="B1105" s="247"/>
      <c r="C1105" s="247"/>
      <c r="D1105" s="247"/>
      <c r="E1105" s="251"/>
      <c r="F1105" s="247"/>
      <c r="G1105" s="252"/>
      <c r="H1105" s="253"/>
      <c r="I1105" s="254"/>
      <c r="J1105" s="235"/>
      <c r="K1105" s="244"/>
      <c r="L1105" s="244"/>
      <c r="M1105" s="244"/>
      <c r="N1105" s="244"/>
      <c r="O1105" s="244"/>
      <c r="P1105" s="244"/>
    </row>
    <row r="1106" ht="18.75" customHeight="1">
      <c r="A1106" s="246"/>
      <c r="B1106" s="247"/>
      <c r="C1106" s="247"/>
      <c r="D1106" s="247"/>
      <c r="E1106" s="247"/>
      <c r="F1106" s="247"/>
      <c r="G1106" s="248"/>
      <c r="H1106" s="249"/>
      <c r="I1106" s="250"/>
      <c r="J1106" s="234"/>
      <c r="K1106" s="244"/>
      <c r="L1106" s="244"/>
      <c r="M1106" s="244"/>
      <c r="N1106" s="244"/>
      <c r="O1106" s="244"/>
      <c r="P1106" s="244"/>
    </row>
    <row r="1107" ht="18.75" customHeight="1">
      <c r="A1107" s="246"/>
      <c r="B1107" s="247"/>
      <c r="C1107" s="247"/>
      <c r="D1107" s="247"/>
      <c r="E1107" s="251"/>
      <c r="F1107" s="247"/>
      <c r="G1107" s="252"/>
      <c r="H1107" s="253"/>
      <c r="I1107" s="254"/>
      <c r="J1107" s="235"/>
      <c r="K1107" s="244"/>
      <c r="L1107" s="244"/>
      <c r="M1107" s="244"/>
      <c r="N1107" s="244"/>
      <c r="O1107" s="244"/>
      <c r="P1107" s="244"/>
    </row>
    <row r="1108" ht="18.75" customHeight="1">
      <c r="A1108" s="246"/>
      <c r="B1108" s="247"/>
      <c r="C1108" s="247"/>
      <c r="D1108" s="247"/>
      <c r="E1108" s="247"/>
      <c r="F1108" s="247"/>
      <c r="G1108" s="248"/>
      <c r="H1108" s="249"/>
      <c r="I1108" s="250"/>
      <c r="J1108" s="234"/>
      <c r="K1108" s="244"/>
      <c r="L1108" s="244"/>
      <c r="M1108" s="244"/>
      <c r="N1108" s="244"/>
      <c r="O1108" s="244"/>
      <c r="P1108" s="244"/>
    </row>
    <row r="1109" ht="18.75" customHeight="1">
      <c r="A1109" s="246"/>
      <c r="B1109" s="247"/>
      <c r="C1109" s="247"/>
      <c r="D1109" s="247"/>
      <c r="E1109" s="251"/>
      <c r="F1109" s="247"/>
      <c r="G1109" s="252"/>
      <c r="H1109" s="253"/>
      <c r="I1109" s="254"/>
      <c r="J1109" s="235"/>
      <c r="K1109" s="244"/>
      <c r="L1109" s="244"/>
      <c r="M1109" s="244"/>
      <c r="N1109" s="244"/>
      <c r="O1109" s="244"/>
      <c r="P1109" s="244"/>
    </row>
    <row r="1110" ht="18.75" customHeight="1">
      <c r="A1110" s="246"/>
      <c r="B1110" s="247"/>
      <c r="C1110" s="247"/>
      <c r="D1110" s="247"/>
      <c r="E1110" s="247"/>
      <c r="F1110" s="247"/>
      <c r="G1110" s="248"/>
      <c r="H1110" s="249"/>
      <c r="I1110" s="250"/>
      <c r="J1110" s="234"/>
      <c r="K1110" s="244"/>
      <c r="L1110" s="244"/>
      <c r="M1110" s="244"/>
      <c r="N1110" s="244"/>
      <c r="O1110" s="244"/>
      <c r="P1110" s="244"/>
    </row>
    <row r="1111" ht="18.75" customHeight="1">
      <c r="A1111" s="246"/>
      <c r="B1111" s="247"/>
      <c r="C1111" s="247"/>
      <c r="D1111" s="247"/>
      <c r="E1111" s="251"/>
      <c r="F1111" s="247"/>
      <c r="G1111" s="252"/>
      <c r="H1111" s="253"/>
      <c r="I1111" s="254"/>
      <c r="J1111" s="235"/>
      <c r="K1111" s="244"/>
      <c r="L1111" s="244"/>
      <c r="M1111" s="244"/>
      <c r="N1111" s="244"/>
      <c r="O1111" s="244"/>
      <c r="P1111" s="244"/>
    </row>
    <row r="1112" ht="18.75" customHeight="1">
      <c r="A1112" s="246"/>
      <c r="B1112" s="247"/>
      <c r="C1112" s="247"/>
      <c r="D1112" s="247"/>
      <c r="E1112" s="247"/>
      <c r="F1112" s="247"/>
      <c r="G1112" s="248"/>
      <c r="H1112" s="249"/>
      <c r="I1112" s="250"/>
      <c r="J1112" s="234"/>
      <c r="K1112" s="244"/>
      <c r="L1112" s="244"/>
      <c r="M1112" s="244"/>
      <c r="N1112" s="244"/>
      <c r="O1112" s="244"/>
      <c r="P1112" s="244"/>
    </row>
    <row r="1113" ht="18.75" customHeight="1">
      <c r="A1113" s="246"/>
      <c r="B1113" s="247"/>
      <c r="C1113" s="247"/>
      <c r="D1113" s="247"/>
      <c r="E1113" s="251"/>
      <c r="F1113" s="247"/>
      <c r="G1113" s="252"/>
      <c r="H1113" s="253"/>
      <c r="I1113" s="254"/>
      <c r="J1113" s="235"/>
      <c r="K1113" s="244"/>
      <c r="L1113" s="244"/>
      <c r="M1113" s="244"/>
      <c r="N1113" s="244"/>
      <c r="O1113" s="244"/>
      <c r="P1113" s="244"/>
    </row>
    <row r="1114" ht="18.75" customHeight="1">
      <c r="A1114" s="246"/>
      <c r="B1114" s="247"/>
      <c r="C1114" s="247"/>
      <c r="D1114" s="247"/>
      <c r="E1114" s="247"/>
      <c r="F1114" s="247"/>
      <c r="G1114" s="248"/>
      <c r="H1114" s="249"/>
      <c r="I1114" s="250"/>
      <c r="J1114" s="234"/>
      <c r="K1114" s="244"/>
      <c r="L1114" s="244"/>
      <c r="M1114" s="244"/>
      <c r="N1114" s="244"/>
      <c r="O1114" s="244"/>
      <c r="P1114" s="244"/>
    </row>
    <row r="1115" ht="18.75" customHeight="1">
      <c r="A1115" s="246"/>
      <c r="B1115" s="247"/>
      <c r="C1115" s="247"/>
      <c r="D1115" s="247"/>
      <c r="E1115" s="251"/>
      <c r="F1115" s="247"/>
      <c r="G1115" s="252"/>
      <c r="H1115" s="253"/>
      <c r="I1115" s="254"/>
      <c r="J1115" s="235"/>
      <c r="K1115" s="244"/>
      <c r="L1115" s="244"/>
      <c r="M1115" s="244"/>
      <c r="N1115" s="244"/>
      <c r="O1115" s="244"/>
      <c r="P1115" s="244"/>
    </row>
    <row r="1116" ht="18.75" customHeight="1">
      <c r="A1116" s="246"/>
      <c r="B1116" s="247"/>
      <c r="C1116" s="247"/>
      <c r="D1116" s="247"/>
      <c r="E1116" s="247"/>
      <c r="F1116" s="247"/>
      <c r="G1116" s="248"/>
      <c r="H1116" s="249"/>
      <c r="I1116" s="250"/>
      <c r="J1116" s="234"/>
      <c r="K1116" s="244"/>
      <c r="L1116" s="244"/>
      <c r="M1116" s="244"/>
      <c r="N1116" s="244"/>
      <c r="O1116" s="244"/>
      <c r="P1116" s="244"/>
    </row>
    <row r="1117" ht="18.75" customHeight="1">
      <c r="A1117" s="246"/>
      <c r="B1117" s="247"/>
      <c r="C1117" s="247"/>
      <c r="D1117" s="247"/>
      <c r="E1117" s="251"/>
      <c r="F1117" s="247"/>
      <c r="G1117" s="252"/>
      <c r="H1117" s="253"/>
      <c r="I1117" s="254"/>
      <c r="J1117" s="235"/>
      <c r="K1117" s="244"/>
      <c r="L1117" s="244"/>
      <c r="M1117" s="244"/>
      <c r="N1117" s="244"/>
      <c r="O1117" s="244"/>
      <c r="P1117" s="244"/>
    </row>
    <row r="1118" ht="18.75" customHeight="1">
      <c r="A1118" s="246"/>
      <c r="B1118" s="247"/>
      <c r="C1118" s="247"/>
      <c r="D1118" s="247"/>
      <c r="E1118" s="247"/>
      <c r="F1118" s="247"/>
      <c r="G1118" s="248"/>
      <c r="H1118" s="249"/>
      <c r="I1118" s="250"/>
      <c r="J1118" s="234"/>
      <c r="K1118" s="244"/>
      <c r="L1118" s="244"/>
      <c r="M1118" s="244"/>
      <c r="N1118" s="244"/>
      <c r="O1118" s="244"/>
      <c r="P1118" s="244"/>
    </row>
    <row r="1119" ht="18.75" customHeight="1">
      <c r="A1119" s="246"/>
      <c r="B1119" s="247"/>
      <c r="C1119" s="247"/>
      <c r="D1119" s="247"/>
      <c r="E1119" s="251"/>
      <c r="F1119" s="247"/>
      <c r="G1119" s="252"/>
      <c r="H1119" s="253"/>
      <c r="I1119" s="254"/>
      <c r="J1119" s="235"/>
      <c r="K1119" s="244"/>
      <c r="L1119" s="244"/>
      <c r="M1119" s="244"/>
      <c r="N1119" s="244"/>
      <c r="O1119" s="244"/>
      <c r="P1119" s="244"/>
    </row>
    <row r="1120" ht="18.75" customHeight="1">
      <c r="A1120" s="246"/>
      <c r="B1120" s="247"/>
      <c r="C1120" s="247"/>
      <c r="D1120" s="247"/>
      <c r="E1120" s="247"/>
      <c r="F1120" s="247"/>
      <c r="G1120" s="248"/>
      <c r="H1120" s="249"/>
      <c r="I1120" s="250"/>
      <c r="J1120" s="234"/>
      <c r="K1120" s="244"/>
      <c r="L1120" s="244"/>
      <c r="M1120" s="244"/>
      <c r="N1120" s="244"/>
      <c r="O1120" s="244"/>
      <c r="P1120" s="244"/>
    </row>
    <row r="1121" ht="18.75" customHeight="1">
      <c r="A1121" s="246"/>
      <c r="B1121" s="247"/>
      <c r="C1121" s="247"/>
      <c r="D1121" s="247"/>
      <c r="E1121" s="251"/>
      <c r="F1121" s="247"/>
      <c r="G1121" s="252"/>
      <c r="H1121" s="253"/>
      <c r="I1121" s="254"/>
      <c r="J1121" s="235"/>
      <c r="K1121" s="244"/>
      <c r="L1121" s="244"/>
      <c r="M1121" s="244"/>
      <c r="N1121" s="244"/>
      <c r="O1121" s="244"/>
      <c r="P1121" s="244"/>
    </row>
    <row r="1122" ht="18.75" customHeight="1">
      <c r="A1122" s="246"/>
      <c r="B1122" s="247"/>
      <c r="C1122" s="247"/>
      <c r="D1122" s="247"/>
      <c r="E1122" s="247"/>
      <c r="F1122" s="247"/>
      <c r="G1122" s="248"/>
      <c r="H1122" s="249"/>
      <c r="I1122" s="250"/>
      <c r="J1122" s="234"/>
      <c r="K1122" s="244"/>
      <c r="L1122" s="244"/>
      <c r="M1122" s="244"/>
      <c r="N1122" s="244"/>
      <c r="O1122" s="244"/>
      <c r="P1122" s="244"/>
    </row>
    <row r="1123" ht="18.75" customHeight="1">
      <c r="A1123" s="246"/>
      <c r="B1123" s="247"/>
      <c r="C1123" s="247"/>
      <c r="D1123" s="247"/>
      <c r="E1123" s="251"/>
      <c r="F1123" s="247"/>
      <c r="G1123" s="252"/>
      <c r="H1123" s="253"/>
      <c r="I1123" s="254"/>
      <c r="J1123" s="235"/>
      <c r="K1123" s="244"/>
      <c r="L1123" s="244"/>
      <c r="M1123" s="244"/>
      <c r="N1123" s="244"/>
      <c r="O1123" s="244"/>
      <c r="P1123" s="244"/>
    </row>
    <row r="1124" ht="18.75" customHeight="1">
      <c r="A1124" s="246"/>
      <c r="B1124" s="247"/>
      <c r="C1124" s="247"/>
      <c r="D1124" s="247"/>
      <c r="E1124" s="247"/>
      <c r="F1124" s="247"/>
      <c r="G1124" s="248"/>
      <c r="H1124" s="249"/>
      <c r="I1124" s="250"/>
      <c r="J1124" s="234"/>
      <c r="K1124" s="244"/>
      <c r="L1124" s="244"/>
      <c r="M1124" s="244"/>
      <c r="N1124" s="244"/>
      <c r="O1124" s="244"/>
      <c r="P1124" s="244"/>
    </row>
    <row r="1125" ht="18.75" customHeight="1">
      <c r="A1125" s="246"/>
      <c r="B1125" s="247"/>
      <c r="C1125" s="247"/>
      <c r="D1125" s="247"/>
      <c r="E1125" s="251"/>
      <c r="F1125" s="247"/>
      <c r="G1125" s="252"/>
      <c r="H1125" s="253"/>
      <c r="I1125" s="254"/>
      <c r="J1125" s="235"/>
      <c r="K1125" s="244"/>
      <c r="L1125" s="244"/>
      <c r="M1125" s="244"/>
      <c r="N1125" s="244"/>
      <c r="O1125" s="244"/>
      <c r="P1125" s="244"/>
    </row>
    <row r="1126" ht="18.75" customHeight="1">
      <c r="A1126" s="246"/>
      <c r="B1126" s="247"/>
      <c r="C1126" s="247"/>
      <c r="D1126" s="247"/>
      <c r="E1126" s="247"/>
      <c r="F1126" s="247"/>
      <c r="G1126" s="248"/>
      <c r="H1126" s="249"/>
      <c r="I1126" s="250"/>
      <c r="J1126" s="234"/>
      <c r="K1126" s="244"/>
      <c r="L1126" s="244"/>
      <c r="M1126" s="244"/>
      <c r="N1126" s="244"/>
      <c r="O1126" s="244"/>
      <c r="P1126" s="244"/>
    </row>
    <row r="1127" ht="18.75" customHeight="1">
      <c r="A1127" s="246"/>
      <c r="B1127" s="247"/>
      <c r="C1127" s="247"/>
      <c r="D1127" s="247"/>
      <c r="E1127" s="251"/>
      <c r="F1127" s="247"/>
      <c r="G1127" s="252"/>
      <c r="H1127" s="253"/>
      <c r="I1127" s="254"/>
      <c r="J1127" s="235"/>
      <c r="K1127" s="244"/>
      <c r="L1127" s="244"/>
      <c r="M1127" s="244"/>
      <c r="N1127" s="244"/>
      <c r="O1127" s="244"/>
      <c r="P1127" s="244"/>
    </row>
    <row r="1128" ht="18.75" customHeight="1">
      <c r="A1128" s="246"/>
      <c r="B1128" s="247"/>
      <c r="C1128" s="247"/>
      <c r="D1128" s="247"/>
      <c r="E1128" s="247"/>
      <c r="F1128" s="247"/>
      <c r="G1128" s="248"/>
      <c r="H1128" s="249"/>
      <c r="I1128" s="250"/>
      <c r="J1128" s="234"/>
      <c r="K1128" s="244"/>
      <c r="L1128" s="244"/>
      <c r="M1128" s="244"/>
      <c r="N1128" s="244"/>
      <c r="O1128" s="244"/>
      <c r="P1128" s="244"/>
    </row>
    <row r="1129" ht="18.75" customHeight="1">
      <c r="A1129" s="246"/>
      <c r="B1129" s="247"/>
      <c r="C1129" s="247"/>
      <c r="D1129" s="247"/>
      <c r="E1129" s="251"/>
      <c r="F1129" s="247"/>
      <c r="G1129" s="252"/>
      <c r="H1129" s="253"/>
      <c r="I1129" s="254"/>
      <c r="J1129" s="235"/>
      <c r="K1129" s="244"/>
      <c r="L1129" s="244"/>
      <c r="M1129" s="244"/>
      <c r="N1129" s="244"/>
      <c r="O1129" s="244"/>
      <c r="P1129" s="244"/>
    </row>
    <row r="1130" ht="18.75" customHeight="1">
      <c r="A1130" s="246"/>
      <c r="B1130" s="247"/>
      <c r="C1130" s="247"/>
      <c r="D1130" s="247"/>
      <c r="E1130" s="247"/>
      <c r="F1130" s="247"/>
      <c r="G1130" s="248"/>
      <c r="H1130" s="249"/>
      <c r="I1130" s="250"/>
      <c r="J1130" s="234"/>
      <c r="K1130" s="244"/>
      <c r="L1130" s="244"/>
      <c r="M1130" s="244"/>
      <c r="N1130" s="244"/>
      <c r="O1130" s="244"/>
      <c r="P1130" s="244"/>
    </row>
    <row r="1131" ht="18.75" customHeight="1">
      <c r="A1131" s="246"/>
      <c r="B1131" s="247"/>
      <c r="C1131" s="247"/>
      <c r="D1131" s="247"/>
      <c r="E1131" s="251"/>
      <c r="F1131" s="247"/>
      <c r="G1131" s="252"/>
      <c r="H1131" s="253"/>
      <c r="I1131" s="254"/>
      <c r="J1131" s="235"/>
      <c r="K1131" s="244"/>
      <c r="L1131" s="244"/>
      <c r="M1131" s="244"/>
      <c r="N1131" s="244"/>
      <c r="O1131" s="244"/>
      <c r="P1131" s="244"/>
    </row>
    <row r="1132" ht="18.75" customHeight="1">
      <c r="A1132" s="246"/>
      <c r="B1132" s="247"/>
      <c r="C1132" s="247"/>
      <c r="D1132" s="247"/>
      <c r="E1132" s="247"/>
      <c r="F1132" s="247"/>
      <c r="G1132" s="248"/>
      <c r="H1132" s="249"/>
      <c r="I1132" s="250"/>
      <c r="J1132" s="234"/>
      <c r="K1132" s="244"/>
      <c r="L1132" s="244"/>
      <c r="M1132" s="244"/>
      <c r="N1132" s="244"/>
      <c r="O1132" s="244"/>
      <c r="P1132" s="244"/>
    </row>
    <row r="1133" ht="18.75" customHeight="1">
      <c r="A1133" s="246"/>
      <c r="B1133" s="247"/>
      <c r="C1133" s="247"/>
      <c r="D1133" s="247"/>
      <c r="E1133" s="251"/>
      <c r="F1133" s="247"/>
      <c r="G1133" s="252"/>
      <c r="H1133" s="253"/>
      <c r="I1133" s="254"/>
      <c r="J1133" s="235"/>
      <c r="K1133" s="244"/>
      <c r="L1133" s="244"/>
      <c r="M1133" s="244"/>
      <c r="N1133" s="244"/>
      <c r="O1133" s="244"/>
      <c r="P1133" s="244"/>
    </row>
    <row r="1134" ht="18.75" customHeight="1">
      <c r="A1134" s="246"/>
      <c r="B1134" s="247"/>
      <c r="C1134" s="247"/>
      <c r="D1134" s="247"/>
      <c r="E1134" s="247"/>
      <c r="F1134" s="247"/>
      <c r="G1134" s="248"/>
      <c r="H1134" s="249"/>
      <c r="I1134" s="250"/>
      <c r="J1134" s="234"/>
      <c r="K1134" s="244"/>
      <c r="L1134" s="244"/>
      <c r="M1134" s="244"/>
      <c r="N1134" s="244"/>
      <c r="O1134" s="244"/>
      <c r="P1134" s="244"/>
    </row>
    <row r="1135" ht="18.75" customHeight="1">
      <c r="A1135" s="246"/>
      <c r="B1135" s="247"/>
      <c r="C1135" s="247"/>
      <c r="D1135" s="247"/>
      <c r="E1135" s="251"/>
      <c r="F1135" s="247"/>
      <c r="G1135" s="252"/>
      <c r="H1135" s="253"/>
      <c r="I1135" s="254"/>
      <c r="J1135" s="235"/>
      <c r="K1135" s="244"/>
      <c r="L1135" s="244"/>
      <c r="M1135" s="244"/>
      <c r="N1135" s="244"/>
      <c r="O1135" s="244"/>
      <c r="P1135" s="244"/>
    </row>
    <row r="1136" ht="18.75" customHeight="1">
      <c r="A1136" s="246"/>
      <c r="B1136" s="247"/>
      <c r="C1136" s="247"/>
      <c r="D1136" s="247"/>
      <c r="E1136" s="247"/>
      <c r="F1136" s="247"/>
      <c r="G1136" s="248"/>
      <c r="H1136" s="249"/>
      <c r="I1136" s="250"/>
      <c r="J1136" s="234"/>
      <c r="K1136" s="244"/>
      <c r="L1136" s="244"/>
      <c r="M1136" s="244"/>
      <c r="N1136" s="244"/>
      <c r="O1136" s="244"/>
      <c r="P1136" s="244"/>
    </row>
    <row r="1137" ht="18.75" customHeight="1">
      <c r="A1137" s="246"/>
      <c r="B1137" s="247"/>
      <c r="C1137" s="247"/>
      <c r="D1137" s="247"/>
      <c r="E1137" s="251"/>
      <c r="F1137" s="247"/>
      <c r="G1137" s="252"/>
      <c r="H1137" s="253"/>
      <c r="I1137" s="254"/>
      <c r="J1137" s="235"/>
      <c r="K1137" s="244"/>
      <c r="L1137" s="244"/>
      <c r="M1137" s="244"/>
      <c r="N1137" s="244"/>
      <c r="O1137" s="244"/>
      <c r="P1137" s="244"/>
    </row>
    <row r="1138" ht="18.75" customHeight="1">
      <c r="A1138" s="246"/>
      <c r="B1138" s="247"/>
      <c r="C1138" s="247"/>
      <c r="D1138" s="247"/>
      <c r="E1138" s="247"/>
      <c r="F1138" s="247"/>
      <c r="G1138" s="248"/>
      <c r="H1138" s="249"/>
      <c r="I1138" s="250"/>
      <c r="J1138" s="234"/>
      <c r="K1138" s="244"/>
      <c r="L1138" s="244"/>
      <c r="M1138" s="244"/>
      <c r="N1138" s="244"/>
      <c r="O1138" s="244"/>
      <c r="P1138" s="244"/>
    </row>
    <row r="1139" ht="18.75" customHeight="1">
      <c r="A1139" s="246"/>
      <c r="B1139" s="247"/>
      <c r="C1139" s="247"/>
      <c r="D1139" s="247"/>
      <c r="E1139" s="251"/>
      <c r="F1139" s="247"/>
      <c r="G1139" s="252"/>
      <c r="H1139" s="253"/>
      <c r="I1139" s="254"/>
      <c r="J1139" s="235"/>
      <c r="K1139" s="244"/>
      <c r="L1139" s="244"/>
      <c r="M1139" s="244"/>
      <c r="N1139" s="244"/>
      <c r="O1139" s="244"/>
      <c r="P1139" s="244"/>
    </row>
    <row r="1140" ht="18.75" customHeight="1">
      <c r="A1140" s="246"/>
      <c r="B1140" s="247"/>
      <c r="C1140" s="247"/>
      <c r="D1140" s="247"/>
      <c r="E1140" s="247"/>
      <c r="F1140" s="247"/>
      <c r="G1140" s="248"/>
      <c r="H1140" s="249"/>
      <c r="I1140" s="250"/>
      <c r="J1140" s="234"/>
      <c r="K1140" s="244"/>
      <c r="L1140" s="244"/>
      <c r="M1140" s="244"/>
      <c r="N1140" s="244"/>
      <c r="O1140" s="244"/>
      <c r="P1140" s="244"/>
    </row>
    <row r="1141" ht="18.75" customHeight="1">
      <c r="A1141" s="246"/>
      <c r="B1141" s="247"/>
      <c r="C1141" s="247"/>
      <c r="D1141" s="247"/>
      <c r="E1141" s="251"/>
      <c r="F1141" s="247"/>
      <c r="G1141" s="252"/>
      <c r="H1141" s="253"/>
      <c r="I1141" s="254"/>
      <c r="J1141" s="235"/>
      <c r="K1141" s="244"/>
      <c r="L1141" s="244"/>
      <c r="M1141" s="244"/>
      <c r="N1141" s="244"/>
      <c r="O1141" s="244"/>
      <c r="P1141" s="244"/>
    </row>
    <row r="1142" ht="18.75" customHeight="1">
      <c r="A1142" s="246"/>
      <c r="B1142" s="247"/>
      <c r="C1142" s="247"/>
      <c r="D1142" s="247"/>
      <c r="E1142" s="247"/>
      <c r="F1142" s="247"/>
      <c r="G1142" s="248"/>
      <c r="H1142" s="249"/>
      <c r="I1142" s="250"/>
      <c r="J1142" s="234"/>
      <c r="K1142" s="244"/>
      <c r="L1142" s="244"/>
      <c r="M1142" s="244"/>
      <c r="N1142" s="244"/>
      <c r="O1142" s="244"/>
      <c r="P1142" s="244"/>
    </row>
    <row r="1143" ht="18.75" customHeight="1">
      <c r="A1143" s="246"/>
      <c r="B1143" s="247"/>
      <c r="C1143" s="247"/>
      <c r="D1143" s="247"/>
      <c r="E1143" s="251"/>
      <c r="F1143" s="247"/>
      <c r="G1143" s="252"/>
      <c r="H1143" s="253"/>
      <c r="I1143" s="254"/>
      <c r="J1143" s="235"/>
      <c r="K1143" s="244"/>
      <c r="L1143" s="244"/>
      <c r="M1143" s="244"/>
      <c r="N1143" s="244"/>
      <c r="O1143" s="244"/>
      <c r="P1143" s="244"/>
    </row>
    <row r="1144" ht="18.75" customHeight="1">
      <c r="A1144" s="246"/>
      <c r="B1144" s="247"/>
      <c r="C1144" s="247"/>
      <c r="D1144" s="247"/>
      <c r="E1144" s="247"/>
      <c r="F1144" s="247"/>
      <c r="G1144" s="248"/>
      <c r="H1144" s="249"/>
      <c r="I1144" s="250"/>
      <c r="J1144" s="234"/>
      <c r="K1144" s="244"/>
      <c r="L1144" s="244"/>
      <c r="M1144" s="244"/>
      <c r="N1144" s="244"/>
      <c r="O1144" s="244"/>
      <c r="P1144" s="244"/>
    </row>
    <row r="1145" ht="18.75" customHeight="1">
      <c r="A1145" s="246"/>
      <c r="B1145" s="247"/>
      <c r="C1145" s="247"/>
      <c r="D1145" s="247"/>
      <c r="E1145" s="251"/>
      <c r="F1145" s="247"/>
      <c r="G1145" s="252"/>
      <c r="H1145" s="253"/>
      <c r="I1145" s="254"/>
      <c r="J1145" s="235"/>
      <c r="K1145" s="244"/>
      <c r="L1145" s="244"/>
      <c r="M1145" s="244"/>
      <c r="N1145" s="244"/>
      <c r="O1145" s="244"/>
      <c r="P1145" s="244"/>
    </row>
    <row r="1146" ht="18.75" customHeight="1">
      <c r="A1146" s="246"/>
      <c r="B1146" s="247"/>
      <c r="C1146" s="247"/>
      <c r="D1146" s="247"/>
      <c r="E1146" s="247"/>
      <c r="F1146" s="247"/>
      <c r="G1146" s="248"/>
      <c r="H1146" s="249"/>
      <c r="I1146" s="250"/>
      <c r="J1146" s="234"/>
      <c r="K1146" s="244"/>
      <c r="L1146" s="244"/>
      <c r="M1146" s="244"/>
      <c r="N1146" s="244"/>
      <c r="O1146" s="244"/>
      <c r="P1146" s="244"/>
    </row>
    <row r="1147" ht="18.75" customHeight="1">
      <c r="A1147" s="246"/>
      <c r="B1147" s="247"/>
      <c r="C1147" s="247"/>
      <c r="D1147" s="247"/>
      <c r="E1147" s="251"/>
      <c r="F1147" s="247"/>
      <c r="G1147" s="252"/>
      <c r="H1147" s="253"/>
      <c r="I1147" s="254"/>
      <c r="J1147" s="235"/>
      <c r="K1147" s="244"/>
      <c r="L1147" s="244"/>
      <c r="M1147" s="244"/>
      <c r="N1147" s="244"/>
      <c r="O1147" s="244"/>
      <c r="P1147" s="244"/>
    </row>
    <row r="1148" ht="18.75" customHeight="1">
      <c r="A1148" s="246"/>
      <c r="B1148" s="247"/>
      <c r="C1148" s="247"/>
      <c r="D1148" s="247"/>
      <c r="E1148" s="247"/>
      <c r="F1148" s="247"/>
      <c r="G1148" s="248"/>
      <c r="H1148" s="249"/>
      <c r="I1148" s="250"/>
      <c r="J1148" s="234"/>
      <c r="K1148" s="244"/>
      <c r="L1148" s="244"/>
      <c r="M1148" s="244"/>
      <c r="N1148" s="244"/>
      <c r="O1148" s="244"/>
      <c r="P1148" s="244"/>
    </row>
    <row r="1149" ht="18.75" customHeight="1">
      <c r="A1149" s="246"/>
      <c r="B1149" s="247"/>
      <c r="C1149" s="247"/>
      <c r="D1149" s="247"/>
      <c r="E1149" s="251"/>
      <c r="F1149" s="247"/>
      <c r="G1149" s="252"/>
      <c r="H1149" s="253"/>
      <c r="I1149" s="254"/>
      <c r="J1149" s="235"/>
      <c r="K1149" s="244"/>
      <c r="L1149" s="244"/>
      <c r="M1149" s="244"/>
      <c r="N1149" s="244"/>
      <c r="O1149" s="244"/>
      <c r="P1149" s="244"/>
    </row>
    <row r="1150" ht="18.75" customHeight="1">
      <c r="A1150" s="246"/>
      <c r="B1150" s="247"/>
      <c r="C1150" s="247"/>
      <c r="D1150" s="247"/>
      <c r="E1150" s="247"/>
      <c r="F1150" s="247"/>
      <c r="G1150" s="248"/>
      <c r="H1150" s="249"/>
      <c r="I1150" s="250"/>
      <c r="J1150" s="234"/>
      <c r="K1150" s="244"/>
      <c r="L1150" s="244"/>
      <c r="M1150" s="244"/>
      <c r="N1150" s="244"/>
      <c r="O1150" s="244"/>
      <c r="P1150" s="244"/>
    </row>
    <row r="1151" ht="18.75" customHeight="1">
      <c r="A1151" s="246"/>
      <c r="B1151" s="247"/>
      <c r="C1151" s="247"/>
      <c r="D1151" s="247"/>
      <c r="E1151" s="251"/>
      <c r="F1151" s="247"/>
      <c r="G1151" s="252"/>
      <c r="H1151" s="253"/>
      <c r="I1151" s="254"/>
      <c r="J1151" s="235"/>
      <c r="K1151" s="244"/>
      <c r="L1151" s="244"/>
      <c r="M1151" s="244"/>
      <c r="N1151" s="244"/>
      <c r="O1151" s="244"/>
      <c r="P1151" s="244"/>
    </row>
    <row r="1152" ht="18.75" customHeight="1">
      <c r="A1152" s="246"/>
      <c r="B1152" s="247"/>
      <c r="C1152" s="247"/>
      <c r="D1152" s="247"/>
      <c r="E1152" s="247"/>
      <c r="F1152" s="247"/>
      <c r="G1152" s="248"/>
      <c r="H1152" s="249"/>
      <c r="I1152" s="250"/>
      <c r="J1152" s="234"/>
      <c r="K1152" s="244"/>
      <c r="L1152" s="244"/>
      <c r="M1152" s="244"/>
      <c r="N1152" s="244"/>
      <c r="O1152" s="244"/>
      <c r="P1152" s="244"/>
    </row>
    <row r="1153" ht="18.75" customHeight="1">
      <c r="A1153" s="246"/>
      <c r="B1153" s="247"/>
      <c r="C1153" s="247"/>
      <c r="D1153" s="247"/>
      <c r="E1153" s="251"/>
      <c r="F1153" s="247"/>
      <c r="G1153" s="252"/>
      <c r="H1153" s="253"/>
      <c r="I1153" s="254"/>
      <c r="J1153" s="235"/>
      <c r="K1153" s="244"/>
      <c r="L1153" s="244"/>
      <c r="M1153" s="244"/>
      <c r="N1153" s="244"/>
      <c r="O1153" s="244"/>
      <c r="P1153" s="244"/>
    </row>
    <row r="1154" ht="18.75" customHeight="1">
      <c r="A1154" s="246"/>
      <c r="B1154" s="247"/>
      <c r="C1154" s="247"/>
      <c r="D1154" s="247"/>
      <c r="E1154" s="247"/>
      <c r="F1154" s="247"/>
      <c r="G1154" s="248"/>
      <c r="H1154" s="249"/>
      <c r="I1154" s="250"/>
      <c r="J1154" s="234"/>
      <c r="K1154" s="244"/>
      <c r="L1154" s="244"/>
      <c r="M1154" s="244"/>
      <c r="N1154" s="244"/>
      <c r="O1154" s="244"/>
      <c r="P1154" s="244"/>
    </row>
    <row r="1155" ht="18.75" customHeight="1">
      <c r="A1155" s="246"/>
      <c r="B1155" s="247"/>
      <c r="C1155" s="247"/>
      <c r="D1155" s="247"/>
      <c r="E1155" s="251"/>
      <c r="F1155" s="247"/>
      <c r="G1155" s="252"/>
      <c r="H1155" s="253"/>
      <c r="I1155" s="254"/>
      <c r="J1155" s="235"/>
      <c r="K1155" s="244"/>
      <c r="L1155" s="244"/>
      <c r="M1155" s="244"/>
      <c r="N1155" s="244"/>
      <c r="O1155" s="244"/>
      <c r="P1155" s="244"/>
    </row>
    <row r="1156" ht="18.75" customHeight="1">
      <c r="A1156" s="246"/>
      <c r="B1156" s="247"/>
      <c r="C1156" s="247"/>
      <c r="D1156" s="247"/>
      <c r="E1156" s="247"/>
      <c r="F1156" s="247"/>
      <c r="G1156" s="248"/>
      <c r="H1156" s="249"/>
      <c r="I1156" s="250"/>
      <c r="J1156" s="234"/>
      <c r="K1156" s="244"/>
      <c r="L1156" s="244"/>
      <c r="M1156" s="244"/>
      <c r="N1156" s="244"/>
      <c r="O1156" s="244"/>
      <c r="P1156" s="244"/>
    </row>
    <row r="1157" ht="18.75" customHeight="1">
      <c r="A1157" s="246"/>
      <c r="B1157" s="247"/>
      <c r="C1157" s="247"/>
      <c r="D1157" s="247"/>
      <c r="E1157" s="251"/>
      <c r="F1157" s="247"/>
      <c r="G1157" s="252"/>
      <c r="H1157" s="253"/>
      <c r="I1157" s="254"/>
      <c r="J1157" s="235"/>
      <c r="K1157" s="244"/>
      <c r="L1157" s="244"/>
      <c r="M1157" s="244"/>
      <c r="N1157" s="244"/>
      <c r="O1157" s="244"/>
      <c r="P1157" s="244"/>
    </row>
    <row r="1158" ht="18.75" customHeight="1">
      <c r="A1158" s="246"/>
      <c r="B1158" s="247"/>
      <c r="C1158" s="247"/>
      <c r="D1158" s="247"/>
      <c r="E1158" s="247"/>
      <c r="F1158" s="247"/>
      <c r="G1158" s="248"/>
      <c r="H1158" s="249"/>
      <c r="I1158" s="250"/>
      <c r="J1158" s="234"/>
      <c r="K1158" s="244"/>
      <c r="L1158" s="244"/>
      <c r="M1158" s="244"/>
      <c r="N1158" s="244"/>
      <c r="O1158" s="244"/>
      <c r="P1158" s="244"/>
    </row>
    <row r="1159" ht="18.75" customHeight="1">
      <c r="A1159" s="246"/>
      <c r="B1159" s="247"/>
      <c r="C1159" s="247"/>
      <c r="D1159" s="247"/>
      <c r="E1159" s="251"/>
      <c r="F1159" s="247"/>
      <c r="G1159" s="252"/>
      <c r="H1159" s="253"/>
      <c r="I1159" s="254"/>
      <c r="J1159" s="235"/>
      <c r="K1159" s="244"/>
      <c r="L1159" s="244"/>
      <c r="M1159" s="244"/>
      <c r="N1159" s="244"/>
      <c r="O1159" s="244"/>
      <c r="P1159" s="244"/>
    </row>
    <row r="1160" ht="18.75" customHeight="1">
      <c r="A1160" s="246"/>
      <c r="B1160" s="247"/>
      <c r="C1160" s="247"/>
      <c r="D1160" s="247"/>
      <c r="E1160" s="247"/>
      <c r="F1160" s="247"/>
      <c r="G1160" s="248"/>
      <c r="H1160" s="249"/>
      <c r="I1160" s="250"/>
      <c r="J1160" s="234"/>
      <c r="K1160" s="244"/>
      <c r="L1160" s="244"/>
      <c r="M1160" s="244"/>
      <c r="N1160" s="244"/>
      <c r="O1160" s="244"/>
      <c r="P1160" s="244"/>
    </row>
    <row r="1161" ht="18.75" customHeight="1">
      <c r="A1161" s="246"/>
      <c r="B1161" s="247"/>
      <c r="C1161" s="247"/>
      <c r="D1161" s="247"/>
      <c r="E1161" s="251"/>
      <c r="F1161" s="247"/>
      <c r="G1161" s="252"/>
      <c r="H1161" s="253"/>
      <c r="I1161" s="254"/>
      <c r="J1161" s="235"/>
      <c r="K1161" s="244"/>
      <c r="L1161" s="244"/>
      <c r="M1161" s="244"/>
      <c r="N1161" s="244"/>
      <c r="O1161" s="244"/>
      <c r="P1161" s="244"/>
    </row>
    <row r="1162" ht="18.75" customHeight="1">
      <c r="A1162" s="246"/>
      <c r="B1162" s="247"/>
      <c r="C1162" s="247"/>
      <c r="D1162" s="247"/>
      <c r="E1162" s="247"/>
      <c r="F1162" s="247"/>
      <c r="G1162" s="248"/>
      <c r="H1162" s="249"/>
      <c r="I1162" s="250"/>
      <c r="J1162" s="234"/>
      <c r="K1162" s="244"/>
      <c r="L1162" s="244"/>
      <c r="M1162" s="244"/>
      <c r="N1162" s="244"/>
      <c r="O1162" s="244"/>
      <c r="P1162" s="244"/>
    </row>
    <row r="1163" ht="18.75" customHeight="1">
      <c r="A1163" s="246"/>
      <c r="B1163" s="247"/>
      <c r="C1163" s="247"/>
      <c r="D1163" s="247"/>
      <c r="E1163" s="251"/>
      <c r="F1163" s="247"/>
      <c r="G1163" s="252"/>
      <c r="H1163" s="253"/>
      <c r="I1163" s="254"/>
      <c r="J1163" s="235"/>
      <c r="K1163" s="244"/>
      <c r="L1163" s="244"/>
      <c r="M1163" s="244"/>
      <c r="N1163" s="244"/>
      <c r="O1163" s="244"/>
      <c r="P1163" s="244"/>
    </row>
    <row r="1164" ht="18.75" customHeight="1">
      <c r="A1164" s="246"/>
      <c r="B1164" s="247"/>
      <c r="C1164" s="247"/>
      <c r="D1164" s="247"/>
      <c r="E1164" s="247"/>
      <c r="F1164" s="247"/>
      <c r="G1164" s="248"/>
      <c r="H1164" s="249"/>
      <c r="I1164" s="250"/>
      <c r="J1164" s="234"/>
      <c r="K1164" s="244"/>
      <c r="L1164" s="244"/>
      <c r="M1164" s="244"/>
      <c r="N1164" s="244"/>
      <c r="O1164" s="244"/>
      <c r="P1164" s="244"/>
    </row>
    <row r="1165" ht="18.75" customHeight="1">
      <c r="A1165" s="246"/>
      <c r="B1165" s="247"/>
      <c r="C1165" s="247"/>
      <c r="D1165" s="247"/>
      <c r="E1165" s="251"/>
      <c r="F1165" s="247"/>
      <c r="G1165" s="252"/>
      <c r="H1165" s="253"/>
      <c r="I1165" s="254"/>
      <c r="J1165" s="235"/>
      <c r="K1165" s="244"/>
      <c r="L1165" s="244"/>
      <c r="M1165" s="244"/>
      <c r="N1165" s="244"/>
      <c r="O1165" s="244"/>
      <c r="P1165" s="244"/>
    </row>
    <row r="1166" ht="18.75" customHeight="1">
      <c r="A1166" s="246"/>
      <c r="B1166" s="247"/>
      <c r="C1166" s="247"/>
      <c r="D1166" s="247"/>
      <c r="E1166" s="247"/>
      <c r="F1166" s="247"/>
      <c r="G1166" s="248"/>
      <c r="H1166" s="249"/>
      <c r="I1166" s="250"/>
      <c r="J1166" s="234"/>
      <c r="K1166" s="244"/>
      <c r="L1166" s="244"/>
      <c r="M1166" s="244"/>
      <c r="N1166" s="244"/>
      <c r="O1166" s="244"/>
      <c r="P1166" s="244"/>
    </row>
    <row r="1167" ht="18.75" customHeight="1">
      <c r="A1167" s="246"/>
      <c r="B1167" s="247"/>
      <c r="C1167" s="247"/>
      <c r="D1167" s="247"/>
      <c r="E1167" s="251"/>
      <c r="F1167" s="247"/>
      <c r="G1167" s="252"/>
      <c r="H1167" s="253"/>
      <c r="I1167" s="254"/>
      <c r="J1167" s="235"/>
      <c r="K1167" s="244"/>
      <c r="L1167" s="244"/>
      <c r="M1167" s="244"/>
      <c r="N1167" s="244"/>
      <c r="O1167" s="244"/>
      <c r="P1167" s="244"/>
    </row>
    <row r="1168" ht="18.75" customHeight="1">
      <c r="A1168" s="246"/>
      <c r="B1168" s="247"/>
      <c r="C1168" s="247"/>
      <c r="D1168" s="247"/>
      <c r="E1168" s="247"/>
      <c r="F1168" s="247"/>
      <c r="G1168" s="248"/>
      <c r="H1168" s="249"/>
      <c r="I1168" s="250"/>
      <c r="J1168" s="234"/>
      <c r="K1168" s="244"/>
      <c r="L1168" s="244"/>
      <c r="M1168" s="244"/>
      <c r="N1168" s="244"/>
      <c r="O1168" s="244"/>
      <c r="P1168" s="244"/>
    </row>
    <row r="1169" ht="18.75" customHeight="1">
      <c r="A1169" s="246"/>
      <c r="B1169" s="247"/>
      <c r="C1169" s="247"/>
      <c r="D1169" s="247"/>
      <c r="E1169" s="251"/>
      <c r="F1169" s="247"/>
      <c r="G1169" s="252"/>
      <c r="H1169" s="253"/>
      <c r="I1169" s="254"/>
      <c r="J1169" s="235"/>
      <c r="K1169" s="244"/>
      <c r="L1169" s="244"/>
      <c r="M1169" s="244"/>
      <c r="N1169" s="244"/>
      <c r="O1169" s="244"/>
      <c r="P1169" s="244"/>
    </row>
    <row r="1170" ht="18.75" customHeight="1">
      <c r="A1170" s="246"/>
      <c r="B1170" s="247"/>
      <c r="C1170" s="247"/>
      <c r="D1170" s="247"/>
      <c r="E1170" s="247"/>
      <c r="F1170" s="247"/>
      <c r="G1170" s="248"/>
      <c r="H1170" s="249"/>
      <c r="I1170" s="250"/>
      <c r="J1170" s="234"/>
      <c r="K1170" s="244"/>
      <c r="L1170" s="244"/>
      <c r="M1170" s="244"/>
      <c r="N1170" s="244"/>
      <c r="O1170" s="244"/>
      <c r="P1170" s="244"/>
    </row>
    <row r="1171" ht="18.75" customHeight="1">
      <c r="A1171" s="246"/>
      <c r="B1171" s="247"/>
      <c r="C1171" s="247"/>
      <c r="D1171" s="247"/>
      <c r="E1171" s="251"/>
      <c r="F1171" s="247"/>
      <c r="G1171" s="252"/>
      <c r="H1171" s="253"/>
      <c r="I1171" s="254"/>
      <c r="J1171" s="235"/>
      <c r="K1171" s="244"/>
      <c r="L1171" s="244"/>
      <c r="M1171" s="244"/>
      <c r="N1171" s="244"/>
      <c r="O1171" s="244"/>
      <c r="P1171" s="244"/>
    </row>
    <row r="1172" ht="18.75" customHeight="1">
      <c r="A1172" s="246"/>
      <c r="B1172" s="247"/>
      <c r="C1172" s="247"/>
      <c r="D1172" s="247"/>
      <c r="E1172" s="247"/>
      <c r="F1172" s="247"/>
      <c r="G1172" s="248"/>
      <c r="H1172" s="249"/>
      <c r="I1172" s="250"/>
      <c r="J1172" s="234"/>
      <c r="K1172" s="244"/>
      <c r="L1172" s="244"/>
      <c r="M1172" s="244"/>
      <c r="N1172" s="244"/>
      <c r="O1172" s="244"/>
      <c r="P1172" s="244"/>
    </row>
    <row r="1173" ht="18.75" customHeight="1">
      <c r="A1173" s="246"/>
      <c r="B1173" s="247"/>
      <c r="C1173" s="247"/>
      <c r="D1173" s="247"/>
      <c r="E1173" s="251"/>
      <c r="F1173" s="247"/>
      <c r="G1173" s="252"/>
      <c r="H1173" s="253"/>
      <c r="I1173" s="254"/>
      <c r="J1173" s="235"/>
      <c r="K1173" s="244"/>
      <c r="L1173" s="244"/>
      <c r="M1173" s="244"/>
      <c r="N1173" s="244"/>
      <c r="O1173" s="244"/>
      <c r="P1173" s="244"/>
    </row>
    <row r="1174" ht="18.75" customHeight="1">
      <c r="A1174" s="246"/>
      <c r="B1174" s="247"/>
      <c r="C1174" s="247"/>
      <c r="D1174" s="247"/>
      <c r="E1174" s="247"/>
      <c r="F1174" s="247"/>
      <c r="G1174" s="248"/>
      <c r="H1174" s="249"/>
      <c r="I1174" s="250"/>
      <c r="J1174" s="234"/>
      <c r="K1174" s="244"/>
      <c r="L1174" s="244"/>
      <c r="M1174" s="244"/>
      <c r="N1174" s="244"/>
      <c r="O1174" s="244"/>
      <c r="P1174" s="244"/>
    </row>
    <row r="1175" ht="18.75" customHeight="1">
      <c r="A1175" s="246"/>
      <c r="B1175" s="247"/>
      <c r="C1175" s="247"/>
      <c r="D1175" s="247"/>
      <c r="E1175" s="251"/>
      <c r="F1175" s="247"/>
      <c r="G1175" s="252"/>
      <c r="H1175" s="253"/>
      <c r="I1175" s="254"/>
      <c r="J1175" s="235"/>
      <c r="K1175" s="244"/>
      <c r="L1175" s="244"/>
      <c r="M1175" s="244"/>
      <c r="N1175" s="244"/>
      <c r="O1175" s="244"/>
      <c r="P1175" s="244"/>
    </row>
    <row r="1176" ht="18.75" customHeight="1">
      <c r="A1176" s="246"/>
      <c r="B1176" s="247"/>
      <c r="C1176" s="247"/>
      <c r="D1176" s="247"/>
      <c r="E1176" s="247"/>
      <c r="F1176" s="247"/>
      <c r="G1176" s="248"/>
      <c r="H1176" s="249"/>
      <c r="I1176" s="250"/>
      <c r="J1176" s="234"/>
      <c r="K1176" s="244"/>
      <c r="L1176" s="244"/>
      <c r="M1176" s="244"/>
      <c r="N1176" s="244"/>
      <c r="O1176" s="244"/>
      <c r="P1176" s="244"/>
    </row>
    <row r="1177" ht="18.75" customHeight="1">
      <c r="A1177" s="246"/>
      <c r="B1177" s="247"/>
      <c r="C1177" s="247"/>
      <c r="D1177" s="247"/>
      <c r="E1177" s="251"/>
      <c r="F1177" s="247"/>
      <c r="G1177" s="252"/>
      <c r="H1177" s="253"/>
      <c r="I1177" s="254"/>
      <c r="J1177" s="235"/>
      <c r="K1177" s="244"/>
      <c r="L1177" s="244"/>
      <c r="M1177" s="244"/>
      <c r="N1177" s="244"/>
      <c r="O1177" s="244"/>
      <c r="P1177" s="244"/>
    </row>
    <row r="1178" ht="18.75" customHeight="1">
      <c r="A1178" s="246"/>
      <c r="B1178" s="247"/>
      <c r="C1178" s="247"/>
      <c r="D1178" s="247"/>
      <c r="E1178" s="247"/>
      <c r="F1178" s="247"/>
      <c r="G1178" s="248"/>
      <c r="H1178" s="249"/>
      <c r="I1178" s="250"/>
      <c r="J1178" s="234"/>
      <c r="K1178" s="244"/>
      <c r="L1178" s="244"/>
      <c r="M1178" s="244"/>
      <c r="N1178" s="244"/>
      <c r="O1178" s="244"/>
      <c r="P1178" s="244"/>
    </row>
    <row r="1179" ht="18.75" customHeight="1">
      <c r="A1179" s="246"/>
      <c r="B1179" s="247"/>
      <c r="C1179" s="247"/>
      <c r="D1179" s="247"/>
      <c r="E1179" s="251"/>
      <c r="F1179" s="247"/>
      <c r="G1179" s="252"/>
      <c r="H1179" s="253"/>
      <c r="I1179" s="254"/>
      <c r="J1179" s="235"/>
      <c r="K1179" s="244"/>
      <c r="L1179" s="244"/>
      <c r="M1179" s="244"/>
      <c r="N1179" s="244"/>
      <c r="O1179" s="244"/>
      <c r="P1179" s="244"/>
    </row>
    <row r="1180" ht="18.75" customHeight="1">
      <c r="A1180" s="246"/>
      <c r="B1180" s="247"/>
      <c r="C1180" s="247"/>
      <c r="D1180" s="247"/>
      <c r="E1180" s="247"/>
      <c r="F1180" s="247"/>
      <c r="G1180" s="248"/>
      <c r="H1180" s="249"/>
      <c r="I1180" s="250"/>
      <c r="J1180" s="234"/>
      <c r="K1180" s="244"/>
      <c r="L1180" s="244"/>
      <c r="M1180" s="244"/>
      <c r="N1180" s="244"/>
      <c r="O1180" s="244"/>
      <c r="P1180" s="244"/>
    </row>
    <row r="1181" ht="18.75" customHeight="1">
      <c r="A1181" s="246"/>
      <c r="B1181" s="247"/>
      <c r="C1181" s="247"/>
      <c r="D1181" s="247"/>
      <c r="E1181" s="251"/>
      <c r="F1181" s="247"/>
      <c r="G1181" s="252"/>
      <c r="H1181" s="253"/>
      <c r="I1181" s="254"/>
      <c r="J1181" s="235"/>
      <c r="K1181" s="244"/>
      <c r="L1181" s="244"/>
      <c r="M1181" s="244"/>
      <c r="N1181" s="244"/>
      <c r="O1181" s="244"/>
      <c r="P1181" s="244"/>
    </row>
    <row r="1182" ht="18.75" customHeight="1">
      <c r="A1182" s="246"/>
      <c r="B1182" s="247"/>
      <c r="C1182" s="247"/>
      <c r="D1182" s="247"/>
      <c r="E1182" s="247"/>
      <c r="F1182" s="247"/>
      <c r="G1182" s="248"/>
      <c r="H1182" s="249"/>
      <c r="I1182" s="250"/>
      <c r="J1182" s="234"/>
      <c r="K1182" s="244"/>
      <c r="L1182" s="244"/>
      <c r="M1182" s="244"/>
      <c r="N1182" s="244"/>
      <c r="O1182" s="244"/>
      <c r="P1182" s="244"/>
    </row>
    <row r="1183" ht="18.75" customHeight="1">
      <c r="A1183" s="246"/>
      <c r="B1183" s="247"/>
      <c r="C1183" s="247"/>
      <c r="D1183" s="247"/>
      <c r="E1183" s="251"/>
      <c r="F1183" s="247"/>
      <c r="G1183" s="252"/>
      <c r="H1183" s="253"/>
      <c r="I1183" s="254"/>
      <c r="J1183" s="235"/>
      <c r="K1183" s="244"/>
      <c r="L1183" s="244"/>
      <c r="M1183" s="244"/>
      <c r="N1183" s="244"/>
      <c r="O1183" s="244"/>
      <c r="P1183" s="244"/>
    </row>
    <row r="1184" ht="18.75" customHeight="1">
      <c r="A1184" s="246"/>
      <c r="B1184" s="247"/>
      <c r="C1184" s="247"/>
      <c r="D1184" s="247"/>
      <c r="E1184" s="247"/>
      <c r="F1184" s="247"/>
      <c r="G1184" s="248"/>
      <c r="H1184" s="249"/>
      <c r="I1184" s="250"/>
      <c r="J1184" s="234"/>
      <c r="K1184" s="244"/>
      <c r="L1184" s="244"/>
      <c r="M1184" s="244"/>
      <c r="N1184" s="244"/>
      <c r="O1184" s="244"/>
      <c r="P1184" s="244"/>
    </row>
    <row r="1185" ht="18.75" customHeight="1">
      <c r="A1185" s="246"/>
      <c r="B1185" s="247"/>
      <c r="C1185" s="247"/>
      <c r="D1185" s="247"/>
      <c r="E1185" s="251"/>
      <c r="F1185" s="247"/>
      <c r="G1185" s="252"/>
      <c r="H1185" s="253"/>
      <c r="I1185" s="254"/>
      <c r="J1185" s="235"/>
      <c r="K1185" s="244"/>
      <c r="L1185" s="244"/>
      <c r="M1185" s="244"/>
      <c r="N1185" s="244"/>
      <c r="O1185" s="244"/>
      <c r="P1185" s="244"/>
    </row>
    <row r="1186" ht="18.75" customHeight="1">
      <c r="A1186" s="246"/>
      <c r="B1186" s="247"/>
      <c r="C1186" s="247"/>
      <c r="D1186" s="247"/>
      <c r="E1186" s="247"/>
      <c r="F1186" s="247"/>
      <c r="G1186" s="248"/>
      <c r="H1186" s="249"/>
      <c r="I1186" s="250"/>
      <c r="J1186" s="234"/>
      <c r="K1186" s="244"/>
      <c r="L1186" s="244"/>
      <c r="M1186" s="244"/>
      <c r="N1186" s="244"/>
      <c r="O1186" s="244"/>
      <c r="P1186" s="244"/>
    </row>
    <row r="1187" ht="18.75" customHeight="1">
      <c r="A1187" s="246"/>
      <c r="B1187" s="247"/>
      <c r="C1187" s="247"/>
      <c r="D1187" s="247"/>
      <c r="E1187" s="251"/>
      <c r="F1187" s="247"/>
      <c r="G1187" s="252"/>
      <c r="H1187" s="253"/>
      <c r="I1187" s="254"/>
      <c r="J1187" s="235"/>
      <c r="K1187" s="244"/>
      <c r="L1187" s="244"/>
      <c r="M1187" s="244"/>
      <c r="N1187" s="244"/>
      <c r="O1187" s="244"/>
      <c r="P1187" s="244"/>
    </row>
    <row r="1188" ht="18.75" customHeight="1">
      <c r="A1188" s="246"/>
      <c r="B1188" s="247"/>
      <c r="C1188" s="247"/>
      <c r="D1188" s="247"/>
      <c r="E1188" s="247"/>
      <c r="F1188" s="247"/>
      <c r="G1188" s="248"/>
      <c r="H1188" s="249"/>
      <c r="I1188" s="250"/>
      <c r="J1188" s="234"/>
      <c r="K1188" s="244"/>
      <c r="L1188" s="244"/>
      <c r="M1188" s="244"/>
      <c r="N1188" s="244"/>
      <c r="O1188" s="244"/>
      <c r="P1188" s="244"/>
    </row>
    <row r="1189" ht="18.75" customHeight="1">
      <c r="A1189" s="246"/>
      <c r="B1189" s="247"/>
      <c r="C1189" s="247"/>
      <c r="D1189" s="247"/>
      <c r="E1189" s="251"/>
      <c r="F1189" s="247"/>
      <c r="G1189" s="252"/>
      <c r="H1189" s="253"/>
      <c r="I1189" s="254"/>
      <c r="J1189" s="235"/>
      <c r="K1189" s="244"/>
      <c r="L1189" s="244"/>
      <c r="M1189" s="244"/>
      <c r="N1189" s="244"/>
      <c r="O1189" s="244"/>
      <c r="P1189" s="244"/>
    </row>
    <row r="1190" ht="18.75" customHeight="1">
      <c r="A1190" s="246"/>
      <c r="B1190" s="247"/>
      <c r="C1190" s="247"/>
      <c r="D1190" s="247"/>
      <c r="E1190" s="247"/>
      <c r="F1190" s="247"/>
      <c r="G1190" s="248"/>
      <c r="H1190" s="249"/>
      <c r="I1190" s="250"/>
      <c r="J1190" s="234"/>
      <c r="K1190" s="244"/>
      <c r="L1190" s="244"/>
      <c r="M1190" s="244"/>
      <c r="N1190" s="244"/>
      <c r="O1190" s="244"/>
      <c r="P1190" s="244"/>
    </row>
    <row r="1191" ht="18.75" customHeight="1">
      <c r="A1191" s="246"/>
      <c r="B1191" s="247"/>
      <c r="C1191" s="247"/>
      <c r="D1191" s="247"/>
      <c r="E1191" s="251"/>
      <c r="F1191" s="247"/>
      <c r="G1191" s="252"/>
      <c r="H1191" s="253"/>
      <c r="I1191" s="254"/>
      <c r="J1191" s="235"/>
      <c r="K1191" s="244"/>
      <c r="L1191" s="244"/>
      <c r="M1191" s="244"/>
      <c r="N1191" s="244"/>
      <c r="O1191" s="244"/>
      <c r="P1191" s="244"/>
    </row>
    <row r="1192" ht="18.75" customHeight="1">
      <c r="A1192" s="246"/>
      <c r="B1192" s="247"/>
      <c r="C1192" s="247"/>
      <c r="D1192" s="247"/>
      <c r="E1192" s="247"/>
      <c r="F1192" s="247"/>
      <c r="G1192" s="248"/>
      <c r="H1192" s="249"/>
      <c r="I1192" s="250"/>
      <c r="J1192" s="234"/>
      <c r="K1192" s="244"/>
      <c r="L1192" s="244"/>
      <c r="M1192" s="244"/>
      <c r="N1192" s="244"/>
      <c r="O1192" s="244"/>
      <c r="P1192" s="244"/>
    </row>
    <row r="1193" ht="18.75" customHeight="1">
      <c r="A1193" s="246"/>
      <c r="B1193" s="247"/>
      <c r="C1193" s="247"/>
      <c r="D1193" s="247"/>
      <c r="E1193" s="251"/>
      <c r="F1193" s="247"/>
      <c r="G1193" s="252"/>
      <c r="H1193" s="253"/>
      <c r="I1193" s="254"/>
      <c r="J1193" s="235"/>
      <c r="K1193" s="244"/>
      <c r="L1193" s="244"/>
      <c r="M1193" s="244"/>
      <c r="N1193" s="244"/>
      <c r="O1193" s="244"/>
      <c r="P1193" s="244"/>
    </row>
    <row r="1194" ht="18.75" customHeight="1">
      <c r="A1194" s="246"/>
      <c r="B1194" s="247"/>
      <c r="C1194" s="247"/>
      <c r="D1194" s="247"/>
      <c r="E1194" s="247"/>
      <c r="F1194" s="247"/>
      <c r="G1194" s="248"/>
      <c r="H1194" s="249"/>
      <c r="I1194" s="250"/>
      <c r="J1194" s="234"/>
      <c r="K1194" s="244"/>
      <c r="L1194" s="244"/>
      <c r="M1194" s="244"/>
      <c r="N1194" s="244"/>
      <c r="O1194" s="244"/>
      <c r="P1194" s="244"/>
    </row>
    <row r="1195" ht="18.75" customHeight="1">
      <c r="A1195" s="246"/>
      <c r="B1195" s="247"/>
      <c r="C1195" s="247"/>
      <c r="D1195" s="247"/>
      <c r="E1195" s="251"/>
      <c r="F1195" s="247"/>
      <c r="G1195" s="252"/>
      <c r="H1195" s="253"/>
      <c r="I1195" s="254"/>
      <c r="J1195" s="235"/>
      <c r="K1195" s="244"/>
      <c r="L1195" s="244"/>
      <c r="M1195" s="244"/>
      <c r="N1195" s="244"/>
      <c r="O1195" s="244"/>
      <c r="P1195" s="244"/>
    </row>
    <row r="1196" ht="18.75" customHeight="1">
      <c r="A1196" s="246"/>
      <c r="B1196" s="247"/>
      <c r="C1196" s="247"/>
      <c r="D1196" s="247"/>
      <c r="E1196" s="247"/>
      <c r="F1196" s="247"/>
      <c r="G1196" s="248"/>
      <c r="H1196" s="249"/>
      <c r="I1196" s="250"/>
      <c r="J1196" s="234"/>
      <c r="K1196" s="244"/>
      <c r="L1196" s="244"/>
      <c r="M1196" s="244"/>
      <c r="N1196" s="244"/>
      <c r="O1196" s="244"/>
      <c r="P1196" s="244"/>
    </row>
    <row r="1197" ht="18.75" customHeight="1">
      <c r="A1197" s="246"/>
      <c r="B1197" s="247"/>
      <c r="C1197" s="247"/>
      <c r="D1197" s="247"/>
      <c r="E1197" s="251"/>
      <c r="F1197" s="247"/>
      <c r="G1197" s="252"/>
      <c r="H1197" s="253"/>
      <c r="I1197" s="254"/>
      <c r="J1197" s="235"/>
      <c r="K1197" s="244"/>
      <c r="L1197" s="244"/>
      <c r="M1197" s="244"/>
      <c r="N1197" s="244"/>
      <c r="O1197" s="244"/>
      <c r="P1197" s="244"/>
    </row>
    <row r="1198" ht="18.75" customHeight="1">
      <c r="A1198" s="246"/>
      <c r="B1198" s="247"/>
      <c r="C1198" s="247"/>
      <c r="D1198" s="247"/>
      <c r="E1198" s="247"/>
      <c r="F1198" s="247"/>
      <c r="G1198" s="248"/>
      <c r="H1198" s="249"/>
      <c r="I1198" s="250"/>
      <c r="J1198" s="234"/>
      <c r="K1198" s="244"/>
      <c r="L1198" s="244"/>
      <c r="M1198" s="244"/>
      <c r="N1198" s="244"/>
      <c r="O1198" s="244"/>
      <c r="P1198" s="244"/>
    </row>
    <row r="1199" ht="18.75" customHeight="1">
      <c r="A1199" s="246"/>
      <c r="B1199" s="247"/>
      <c r="C1199" s="247"/>
      <c r="D1199" s="247"/>
      <c r="E1199" s="251"/>
      <c r="F1199" s="247"/>
      <c r="G1199" s="252"/>
      <c r="H1199" s="253"/>
      <c r="I1199" s="254"/>
      <c r="J1199" s="235"/>
      <c r="K1199" s="244"/>
      <c r="L1199" s="244"/>
      <c r="M1199" s="244"/>
      <c r="N1199" s="244"/>
      <c r="O1199" s="244"/>
      <c r="P1199" s="244"/>
    </row>
    <row r="1200" ht="18.75" customHeight="1">
      <c r="A1200" s="246"/>
      <c r="B1200" s="247"/>
      <c r="C1200" s="247"/>
      <c r="D1200" s="247"/>
      <c r="E1200" s="247"/>
      <c r="F1200" s="247"/>
      <c r="G1200" s="248"/>
      <c r="H1200" s="249"/>
      <c r="I1200" s="250"/>
      <c r="J1200" s="234"/>
      <c r="K1200" s="244"/>
      <c r="L1200" s="244"/>
      <c r="M1200" s="244"/>
      <c r="N1200" s="244"/>
      <c r="O1200" s="244"/>
      <c r="P1200" s="244"/>
    </row>
    <row r="1201" ht="18.75" customHeight="1">
      <c r="A1201" s="246"/>
      <c r="B1201" s="247"/>
      <c r="C1201" s="247"/>
      <c r="D1201" s="247"/>
      <c r="E1201" s="251"/>
      <c r="F1201" s="247"/>
      <c r="G1201" s="252"/>
      <c r="H1201" s="253"/>
      <c r="I1201" s="254"/>
      <c r="J1201" s="235"/>
      <c r="K1201" s="244"/>
      <c r="L1201" s="244"/>
      <c r="M1201" s="244"/>
      <c r="N1201" s="244"/>
      <c r="O1201" s="244"/>
      <c r="P1201" s="244"/>
    </row>
    <row r="1202" ht="18.75" customHeight="1">
      <c r="A1202" s="246"/>
      <c r="B1202" s="247"/>
      <c r="C1202" s="247"/>
      <c r="D1202" s="247"/>
      <c r="E1202" s="247"/>
      <c r="F1202" s="247"/>
      <c r="G1202" s="248"/>
      <c r="H1202" s="249"/>
      <c r="I1202" s="250"/>
      <c r="J1202" s="234"/>
      <c r="K1202" s="244"/>
      <c r="L1202" s="244"/>
      <c r="M1202" s="244"/>
      <c r="N1202" s="244"/>
      <c r="O1202" s="244"/>
      <c r="P1202" s="244"/>
    </row>
    <row r="1203" ht="18.75" customHeight="1">
      <c r="A1203" s="246"/>
      <c r="B1203" s="247"/>
      <c r="C1203" s="247"/>
      <c r="D1203" s="247"/>
      <c r="E1203" s="251"/>
      <c r="F1203" s="247"/>
      <c r="G1203" s="252"/>
      <c r="H1203" s="253"/>
      <c r="I1203" s="254"/>
      <c r="J1203" s="235"/>
      <c r="K1203" s="244"/>
      <c r="L1203" s="244"/>
      <c r="M1203" s="244"/>
      <c r="N1203" s="244"/>
      <c r="O1203" s="244"/>
      <c r="P1203" s="244"/>
    </row>
    <row r="1204" ht="18.75" customHeight="1">
      <c r="A1204" s="246"/>
      <c r="B1204" s="247"/>
      <c r="C1204" s="247"/>
      <c r="D1204" s="247"/>
      <c r="E1204" s="247"/>
      <c r="F1204" s="247"/>
      <c r="G1204" s="248"/>
      <c r="H1204" s="249"/>
      <c r="I1204" s="250"/>
      <c r="J1204" s="234"/>
      <c r="K1204" s="244"/>
      <c r="L1204" s="244"/>
      <c r="M1204" s="244"/>
      <c r="N1204" s="244"/>
      <c r="O1204" s="244"/>
      <c r="P1204" s="244"/>
    </row>
    <row r="1205" ht="18.75" customHeight="1">
      <c r="A1205" s="246"/>
      <c r="B1205" s="247"/>
      <c r="C1205" s="247"/>
      <c r="D1205" s="247"/>
      <c r="E1205" s="251"/>
      <c r="F1205" s="247"/>
      <c r="G1205" s="252"/>
      <c r="H1205" s="253"/>
      <c r="I1205" s="254"/>
      <c r="J1205" s="235"/>
      <c r="K1205" s="244"/>
      <c r="L1205" s="244"/>
      <c r="M1205" s="244"/>
      <c r="N1205" s="244"/>
      <c r="O1205" s="244"/>
      <c r="P1205" s="244"/>
    </row>
    <row r="1206" ht="18.75" customHeight="1">
      <c r="A1206" s="246"/>
      <c r="B1206" s="247"/>
      <c r="C1206" s="247"/>
      <c r="D1206" s="247"/>
      <c r="E1206" s="247"/>
      <c r="F1206" s="247"/>
      <c r="G1206" s="248"/>
      <c r="H1206" s="249"/>
      <c r="I1206" s="250"/>
      <c r="J1206" s="234"/>
      <c r="K1206" s="244"/>
      <c r="L1206" s="244"/>
      <c r="M1206" s="244"/>
      <c r="N1206" s="244"/>
      <c r="O1206" s="244"/>
      <c r="P1206" s="244"/>
    </row>
    <row r="1207" ht="18.75" customHeight="1">
      <c r="A1207" s="246"/>
      <c r="B1207" s="247"/>
      <c r="C1207" s="247"/>
      <c r="D1207" s="247"/>
      <c r="E1207" s="251"/>
      <c r="F1207" s="247"/>
      <c r="G1207" s="252"/>
      <c r="H1207" s="253"/>
      <c r="I1207" s="254"/>
      <c r="J1207" s="235"/>
      <c r="K1207" s="244"/>
      <c r="L1207" s="244"/>
      <c r="M1207" s="244"/>
      <c r="N1207" s="244"/>
      <c r="O1207" s="244"/>
      <c r="P1207" s="244"/>
    </row>
    <row r="1208" ht="18.75" customHeight="1">
      <c r="A1208" s="246"/>
      <c r="B1208" s="247"/>
      <c r="C1208" s="247"/>
      <c r="D1208" s="247"/>
      <c r="E1208" s="247"/>
      <c r="F1208" s="247"/>
      <c r="G1208" s="248"/>
      <c r="H1208" s="249"/>
      <c r="I1208" s="250"/>
      <c r="J1208" s="234"/>
      <c r="K1208" s="244"/>
      <c r="L1208" s="244"/>
      <c r="M1208" s="244"/>
      <c r="N1208" s="244"/>
      <c r="O1208" s="244"/>
      <c r="P1208" s="244"/>
    </row>
    <row r="1209" ht="18.75" customHeight="1">
      <c r="A1209" s="246"/>
      <c r="B1209" s="247"/>
      <c r="C1209" s="247"/>
      <c r="D1209" s="247"/>
      <c r="E1209" s="251"/>
      <c r="F1209" s="247"/>
      <c r="G1209" s="252"/>
      <c r="H1209" s="253"/>
      <c r="I1209" s="254"/>
      <c r="J1209" s="235"/>
      <c r="K1209" s="244"/>
      <c r="L1209" s="244"/>
      <c r="M1209" s="244"/>
      <c r="N1209" s="244"/>
      <c r="O1209" s="244"/>
      <c r="P1209" s="244"/>
    </row>
    <row r="1210" ht="18.75" customHeight="1">
      <c r="A1210" s="246"/>
      <c r="B1210" s="247"/>
      <c r="C1210" s="247"/>
      <c r="D1210" s="247"/>
      <c r="E1210" s="247"/>
      <c r="F1210" s="247"/>
      <c r="G1210" s="248"/>
      <c r="H1210" s="249"/>
      <c r="I1210" s="250"/>
      <c r="J1210" s="234"/>
      <c r="K1210" s="244"/>
      <c r="L1210" s="244"/>
      <c r="M1210" s="244"/>
      <c r="N1210" s="244"/>
      <c r="O1210" s="244"/>
      <c r="P1210" s="244"/>
    </row>
    <row r="1211" ht="18.75" customHeight="1">
      <c r="A1211" s="246"/>
      <c r="B1211" s="247"/>
      <c r="C1211" s="247"/>
      <c r="D1211" s="247"/>
      <c r="E1211" s="251"/>
      <c r="F1211" s="247"/>
      <c r="G1211" s="252"/>
      <c r="H1211" s="253"/>
      <c r="I1211" s="254"/>
      <c r="J1211" s="235"/>
      <c r="K1211" s="244"/>
      <c r="L1211" s="244"/>
      <c r="M1211" s="244"/>
      <c r="N1211" s="244"/>
      <c r="O1211" s="244"/>
      <c r="P1211" s="244"/>
    </row>
    <row r="1212" ht="18.75" customHeight="1">
      <c r="A1212" s="246"/>
      <c r="B1212" s="247"/>
      <c r="C1212" s="247"/>
      <c r="D1212" s="247"/>
      <c r="E1212" s="247"/>
      <c r="F1212" s="247"/>
      <c r="G1212" s="248"/>
      <c r="H1212" s="249"/>
      <c r="I1212" s="250"/>
      <c r="J1212" s="234"/>
      <c r="K1212" s="244"/>
      <c r="L1212" s="244"/>
      <c r="M1212" s="244"/>
      <c r="N1212" s="244"/>
      <c r="O1212" s="244"/>
      <c r="P1212" s="244"/>
    </row>
    <row r="1213" ht="18.75" customHeight="1">
      <c r="A1213" s="246"/>
      <c r="B1213" s="247"/>
      <c r="C1213" s="247"/>
      <c r="D1213" s="247"/>
      <c r="E1213" s="251"/>
      <c r="F1213" s="247"/>
      <c r="G1213" s="252"/>
      <c r="H1213" s="253"/>
      <c r="I1213" s="254"/>
      <c r="J1213" s="235"/>
      <c r="K1213" s="244"/>
      <c r="L1213" s="244"/>
      <c r="M1213" s="244"/>
      <c r="N1213" s="244"/>
      <c r="O1213" s="244"/>
      <c r="P1213" s="244"/>
    </row>
    <row r="1214" ht="18.75" customHeight="1">
      <c r="A1214" s="246"/>
      <c r="B1214" s="247"/>
      <c r="C1214" s="247"/>
      <c r="D1214" s="247"/>
      <c r="E1214" s="247"/>
      <c r="F1214" s="247"/>
      <c r="G1214" s="248"/>
      <c r="H1214" s="249"/>
      <c r="I1214" s="250"/>
      <c r="J1214" s="234"/>
      <c r="K1214" s="244"/>
      <c r="L1214" s="244"/>
      <c r="M1214" s="244"/>
      <c r="N1214" s="244"/>
      <c r="O1214" s="244"/>
      <c r="P1214" s="244"/>
    </row>
    <row r="1215" ht="18.75" customHeight="1">
      <c r="A1215" s="246"/>
      <c r="B1215" s="247"/>
      <c r="C1215" s="247"/>
      <c r="D1215" s="247"/>
      <c r="E1215" s="251"/>
      <c r="F1215" s="247"/>
      <c r="G1215" s="252"/>
      <c r="H1215" s="253"/>
      <c r="I1215" s="254"/>
      <c r="J1215" s="235"/>
      <c r="K1215" s="244"/>
      <c r="L1215" s="244"/>
      <c r="M1215" s="244"/>
      <c r="N1215" s="244"/>
      <c r="O1215" s="244"/>
      <c r="P1215" s="244"/>
    </row>
    <row r="1216" ht="18.75" customHeight="1">
      <c r="A1216" s="246"/>
      <c r="B1216" s="247"/>
      <c r="C1216" s="247"/>
      <c r="D1216" s="247"/>
      <c r="E1216" s="247"/>
      <c r="F1216" s="247"/>
      <c r="G1216" s="248"/>
      <c r="H1216" s="249"/>
      <c r="I1216" s="250"/>
      <c r="J1216" s="234"/>
      <c r="K1216" s="244"/>
      <c r="L1216" s="244"/>
      <c r="M1216" s="244"/>
      <c r="N1216" s="244"/>
      <c r="O1216" s="244"/>
      <c r="P1216" s="244"/>
    </row>
    <row r="1217" ht="18.75" customHeight="1">
      <c r="A1217" s="246"/>
      <c r="B1217" s="247"/>
      <c r="C1217" s="247"/>
      <c r="D1217" s="247"/>
      <c r="E1217" s="251"/>
      <c r="F1217" s="247"/>
      <c r="G1217" s="252"/>
      <c r="H1217" s="253"/>
      <c r="I1217" s="254"/>
      <c r="J1217" s="235"/>
      <c r="K1217" s="244"/>
      <c r="L1217" s="244"/>
      <c r="M1217" s="244"/>
      <c r="N1217" s="244"/>
      <c r="O1217" s="244"/>
      <c r="P1217" s="244"/>
    </row>
    <row r="1218" ht="18.75" customHeight="1">
      <c r="A1218" s="246"/>
      <c r="B1218" s="247"/>
      <c r="C1218" s="247"/>
      <c r="D1218" s="247"/>
      <c r="E1218" s="247"/>
      <c r="F1218" s="247"/>
      <c r="G1218" s="248"/>
      <c r="H1218" s="249"/>
      <c r="I1218" s="250"/>
      <c r="J1218" s="234"/>
      <c r="K1218" s="244"/>
      <c r="L1218" s="244"/>
      <c r="M1218" s="244"/>
      <c r="N1218" s="244"/>
      <c r="O1218" s="244"/>
      <c r="P1218" s="244"/>
    </row>
    <row r="1219" ht="18.75" customHeight="1">
      <c r="A1219" s="246"/>
      <c r="B1219" s="247"/>
      <c r="C1219" s="247"/>
      <c r="D1219" s="247"/>
      <c r="E1219" s="251"/>
      <c r="F1219" s="247"/>
      <c r="G1219" s="252"/>
      <c r="H1219" s="253"/>
      <c r="I1219" s="254"/>
      <c r="J1219" s="235"/>
      <c r="K1219" s="244"/>
      <c r="L1219" s="244"/>
      <c r="M1219" s="244"/>
      <c r="N1219" s="244"/>
      <c r="O1219" s="244"/>
      <c r="P1219" s="244"/>
    </row>
    <row r="1220" ht="18.75" customHeight="1">
      <c r="A1220" s="246"/>
      <c r="B1220" s="247"/>
      <c r="C1220" s="247"/>
      <c r="D1220" s="247"/>
      <c r="E1220" s="247"/>
      <c r="F1220" s="247"/>
      <c r="G1220" s="248"/>
      <c r="H1220" s="249"/>
      <c r="I1220" s="250"/>
      <c r="J1220" s="234"/>
      <c r="K1220" s="244"/>
      <c r="L1220" s="244"/>
      <c r="M1220" s="244"/>
      <c r="N1220" s="244"/>
      <c r="O1220" s="244"/>
      <c r="P1220" s="244"/>
    </row>
    <row r="1221" ht="18.75" customHeight="1">
      <c r="A1221" s="246"/>
      <c r="B1221" s="247"/>
      <c r="C1221" s="247"/>
      <c r="D1221" s="247"/>
      <c r="E1221" s="251"/>
      <c r="F1221" s="247"/>
      <c r="G1221" s="252"/>
      <c r="H1221" s="253"/>
      <c r="I1221" s="254"/>
      <c r="J1221" s="235"/>
      <c r="K1221" s="244"/>
      <c r="L1221" s="244"/>
      <c r="M1221" s="244"/>
      <c r="N1221" s="244"/>
      <c r="O1221" s="244"/>
      <c r="P1221" s="244"/>
    </row>
    <row r="1222" ht="18.75" customHeight="1">
      <c r="A1222" s="246"/>
      <c r="B1222" s="247"/>
      <c r="C1222" s="247"/>
      <c r="D1222" s="247"/>
      <c r="E1222" s="247"/>
      <c r="F1222" s="247"/>
      <c r="G1222" s="248"/>
      <c r="H1222" s="249"/>
      <c r="I1222" s="250"/>
      <c r="J1222" s="234"/>
      <c r="K1222" s="244"/>
      <c r="L1222" s="244"/>
      <c r="M1222" s="244"/>
      <c r="N1222" s="244"/>
      <c r="O1222" s="244"/>
      <c r="P1222" s="244"/>
    </row>
    <row r="1223" ht="18.75" customHeight="1">
      <c r="A1223" s="246"/>
      <c r="B1223" s="247"/>
      <c r="C1223" s="247"/>
      <c r="D1223" s="247"/>
      <c r="E1223" s="251"/>
      <c r="F1223" s="247"/>
      <c r="G1223" s="252"/>
      <c r="H1223" s="253"/>
      <c r="I1223" s="254"/>
      <c r="J1223" s="235"/>
      <c r="K1223" s="244"/>
      <c r="L1223" s="244"/>
      <c r="M1223" s="244"/>
      <c r="N1223" s="244"/>
      <c r="O1223" s="244"/>
      <c r="P1223" s="244"/>
    </row>
    <row r="1224" ht="18.75" customHeight="1">
      <c r="A1224" s="246"/>
      <c r="B1224" s="247"/>
      <c r="C1224" s="247"/>
      <c r="D1224" s="247"/>
      <c r="E1224" s="247"/>
      <c r="F1224" s="247"/>
      <c r="G1224" s="248"/>
      <c r="H1224" s="249"/>
      <c r="I1224" s="250"/>
      <c r="J1224" s="234"/>
      <c r="K1224" s="244"/>
      <c r="L1224" s="244"/>
      <c r="M1224" s="244"/>
      <c r="N1224" s="244"/>
      <c r="O1224" s="244"/>
      <c r="P1224" s="244"/>
    </row>
    <row r="1225" ht="18.75" customHeight="1">
      <c r="A1225" s="246"/>
      <c r="B1225" s="247"/>
      <c r="C1225" s="247"/>
      <c r="D1225" s="247"/>
      <c r="E1225" s="251"/>
      <c r="F1225" s="247"/>
      <c r="G1225" s="252"/>
      <c r="H1225" s="253"/>
      <c r="I1225" s="254"/>
      <c r="J1225" s="235"/>
      <c r="K1225" s="244"/>
      <c r="L1225" s="244"/>
      <c r="M1225" s="244"/>
      <c r="N1225" s="244"/>
      <c r="O1225" s="244"/>
      <c r="P1225" s="244"/>
    </row>
    <row r="1226" ht="18.75" customHeight="1">
      <c r="A1226" s="246"/>
      <c r="B1226" s="247"/>
      <c r="C1226" s="247"/>
      <c r="D1226" s="247"/>
      <c r="E1226" s="247"/>
      <c r="F1226" s="247"/>
      <c r="G1226" s="248"/>
      <c r="H1226" s="249"/>
      <c r="I1226" s="250"/>
      <c r="J1226" s="234"/>
      <c r="K1226" s="244"/>
      <c r="L1226" s="244"/>
      <c r="M1226" s="244"/>
      <c r="N1226" s="244"/>
      <c r="O1226" s="244"/>
      <c r="P1226" s="244"/>
    </row>
    <row r="1227" ht="18.75" customHeight="1">
      <c r="A1227" s="246"/>
      <c r="B1227" s="247"/>
      <c r="C1227" s="247"/>
      <c r="D1227" s="247"/>
      <c r="E1227" s="251"/>
      <c r="F1227" s="247"/>
      <c r="G1227" s="252"/>
      <c r="H1227" s="253"/>
      <c r="I1227" s="254"/>
      <c r="J1227" s="235"/>
      <c r="K1227" s="244"/>
      <c r="L1227" s="244"/>
      <c r="M1227" s="244"/>
      <c r="N1227" s="244"/>
      <c r="O1227" s="244"/>
      <c r="P1227" s="244"/>
    </row>
    <row r="1228" ht="18.75" customHeight="1">
      <c r="A1228" s="246"/>
      <c r="B1228" s="247"/>
      <c r="C1228" s="247"/>
      <c r="D1228" s="247"/>
      <c r="E1228" s="247"/>
      <c r="F1228" s="247"/>
      <c r="G1228" s="248"/>
      <c r="H1228" s="249"/>
      <c r="I1228" s="250"/>
      <c r="J1228" s="234"/>
      <c r="K1228" s="244"/>
      <c r="L1228" s="244"/>
      <c r="M1228" s="244"/>
      <c r="N1228" s="244"/>
      <c r="O1228" s="244"/>
      <c r="P1228" s="244"/>
    </row>
    <row r="1229" ht="18.75" customHeight="1">
      <c r="A1229" s="246"/>
      <c r="B1229" s="247"/>
      <c r="C1229" s="247"/>
      <c r="D1229" s="247"/>
      <c r="E1229" s="251"/>
      <c r="F1229" s="247"/>
      <c r="G1229" s="252"/>
      <c r="H1229" s="253"/>
      <c r="I1229" s="254"/>
      <c r="J1229" s="235"/>
      <c r="K1229" s="244"/>
      <c r="L1229" s="244"/>
      <c r="M1229" s="244"/>
      <c r="N1229" s="244"/>
      <c r="O1229" s="244"/>
      <c r="P1229" s="244"/>
    </row>
    <row r="1230" ht="18.75" customHeight="1">
      <c r="A1230" s="246"/>
      <c r="B1230" s="247"/>
      <c r="C1230" s="247"/>
      <c r="D1230" s="247"/>
      <c r="E1230" s="247"/>
      <c r="F1230" s="247"/>
      <c r="G1230" s="248"/>
      <c r="H1230" s="249"/>
      <c r="I1230" s="250"/>
      <c r="J1230" s="234"/>
      <c r="K1230" s="244"/>
      <c r="L1230" s="244"/>
      <c r="M1230" s="244"/>
      <c r="N1230" s="244"/>
      <c r="O1230" s="244"/>
      <c r="P1230" s="244"/>
    </row>
    <row r="1231" ht="18.75" customHeight="1">
      <c r="A1231" s="246"/>
      <c r="B1231" s="247"/>
      <c r="C1231" s="247"/>
      <c r="D1231" s="247"/>
      <c r="E1231" s="251"/>
      <c r="F1231" s="247"/>
      <c r="G1231" s="252"/>
      <c r="H1231" s="253"/>
      <c r="I1231" s="254"/>
      <c r="J1231" s="235"/>
      <c r="K1231" s="244"/>
      <c r="L1231" s="244"/>
      <c r="M1231" s="244"/>
      <c r="N1231" s="244"/>
      <c r="O1231" s="244"/>
      <c r="P1231" s="244"/>
    </row>
    <row r="1232" ht="18.75" customHeight="1">
      <c r="A1232" s="246"/>
      <c r="B1232" s="247"/>
      <c r="C1232" s="247"/>
      <c r="D1232" s="247"/>
      <c r="E1232" s="247"/>
      <c r="F1232" s="247"/>
      <c r="G1232" s="248"/>
      <c r="H1232" s="249"/>
      <c r="I1232" s="250"/>
      <c r="J1232" s="234"/>
      <c r="K1232" s="244"/>
      <c r="L1232" s="244"/>
      <c r="M1232" s="244"/>
      <c r="N1232" s="244"/>
      <c r="O1232" s="244"/>
      <c r="P1232" s="244"/>
    </row>
    <row r="1233" ht="18.75" customHeight="1">
      <c r="A1233" s="246"/>
      <c r="B1233" s="247"/>
      <c r="C1233" s="247"/>
      <c r="D1233" s="247"/>
      <c r="E1233" s="251"/>
      <c r="F1233" s="247"/>
      <c r="G1233" s="252"/>
      <c r="H1233" s="253"/>
      <c r="I1233" s="254"/>
      <c r="J1233" s="235"/>
      <c r="K1233" s="244"/>
      <c r="L1233" s="244"/>
      <c r="M1233" s="244"/>
      <c r="N1233" s="244"/>
      <c r="O1233" s="244"/>
      <c r="P1233" s="244"/>
    </row>
    <row r="1234" ht="18.75" customHeight="1">
      <c r="A1234" s="246"/>
      <c r="B1234" s="247"/>
      <c r="C1234" s="247"/>
      <c r="D1234" s="247"/>
      <c r="E1234" s="247"/>
      <c r="F1234" s="247"/>
      <c r="G1234" s="248"/>
      <c r="H1234" s="249"/>
      <c r="I1234" s="250"/>
      <c r="J1234" s="234"/>
      <c r="K1234" s="244"/>
      <c r="L1234" s="244"/>
      <c r="M1234" s="244"/>
      <c r="N1234" s="244"/>
      <c r="O1234" s="244"/>
      <c r="P1234" s="244"/>
    </row>
    <row r="1235" ht="18.75" customHeight="1">
      <c r="A1235" s="246"/>
      <c r="B1235" s="247"/>
      <c r="C1235" s="247"/>
      <c r="D1235" s="247"/>
      <c r="E1235" s="251"/>
      <c r="F1235" s="247"/>
      <c r="G1235" s="252"/>
      <c r="H1235" s="253"/>
      <c r="I1235" s="254"/>
      <c r="J1235" s="235"/>
      <c r="K1235" s="244"/>
      <c r="L1235" s="244"/>
      <c r="M1235" s="244"/>
      <c r="N1235" s="244"/>
      <c r="O1235" s="244"/>
      <c r="P1235" s="244"/>
    </row>
    <row r="1236" ht="18.75" customHeight="1">
      <c r="A1236" s="246"/>
      <c r="B1236" s="247"/>
      <c r="C1236" s="247"/>
      <c r="D1236" s="247"/>
      <c r="E1236" s="247"/>
      <c r="F1236" s="247"/>
      <c r="G1236" s="248"/>
      <c r="H1236" s="249"/>
      <c r="I1236" s="250"/>
      <c r="J1236" s="234"/>
      <c r="K1236" s="244"/>
      <c r="L1236" s="244"/>
      <c r="M1236" s="244"/>
      <c r="N1236" s="244"/>
      <c r="O1236" s="244"/>
      <c r="P1236" s="244"/>
    </row>
    <row r="1237" ht="18.75" customHeight="1">
      <c r="A1237" s="246"/>
      <c r="B1237" s="247"/>
      <c r="C1237" s="247"/>
      <c r="D1237" s="247"/>
      <c r="E1237" s="251"/>
      <c r="F1237" s="247"/>
      <c r="G1237" s="252"/>
      <c r="H1237" s="253"/>
      <c r="I1237" s="254"/>
      <c r="J1237" s="235"/>
      <c r="K1237" s="244"/>
      <c r="L1237" s="244"/>
      <c r="M1237" s="244"/>
      <c r="N1237" s="244"/>
      <c r="O1237" s="244"/>
      <c r="P1237" s="244"/>
    </row>
    <row r="1238" ht="18.75" customHeight="1">
      <c r="A1238" s="246"/>
      <c r="B1238" s="247"/>
      <c r="C1238" s="247"/>
      <c r="D1238" s="247"/>
      <c r="E1238" s="247"/>
      <c r="F1238" s="247"/>
      <c r="G1238" s="248"/>
      <c r="H1238" s="249"/>
      <c r="I1238" s="250"/>
      <c r="J1238" s="234"/>
      <c r="K1238" s="244"/>
      <c r="L1238" s="244"/>
      <c r="M1238" s="244"/>
      <c r="N1238" s="244"/>
      <c r="O1238" s="244"/>
      <c r="P1238" s="244"/>
    </row>
    <row r="1239" ht="18.75" customHeight="1">
      <c r="A1239" s="246"/>
      <c r="B1239" s="247"/>
      <c r="C1239" s="247"/>
      <c r="D1239" s="247"/>
      <c r="E1239" s="251"/>
      <c r="F1239" s="247"/>
      <c r="G1239" s="252"/>
      <c r="H1239" s="253"/>
      <c r="I1239" s="254"/>
      <c r="J1239" s="235"/>
      <c r="K1239" s="244"/>
      <c r="L1239" s="244"/>
      <c r="M1239" s="244"/>
      <c r="N1239" s="244"/>
      <c r="O1239" s="244"/>
      <c r="P1239" s="244"/>
    </row>
    <row r="1240" ht="18.75" customHeight="1">
      <c r="A1240" s="246"/>
      <c r="B1240" s="247"/>
      <c r="C1240" s="247"/>
      <c r="D1240" s="247"/>
      <c r="E1240" s="247"/>
      <c r="F1240" s="247"/>
      <c r="G1240" s="248"/>
      <c r="H1240" s="249"/>
      <c r="I1240" s="250"/>
      <c r="J1240" s="234"/>
      <c r="K1240" s="244"/>
      <c r="L1240" s="244"/>
      <c r="M1240" s="244"/>
      <c r="N1240" s="244"/>
      <c r="O1240" s="244"/>
      <c r="P1240" s="244"/>
    </row>
    <row r="1241" ht="18.75" customHeight="1">
      <c r="A1241" s="246"/>
      <c r="B1241" s="247"/>
      <c r="C1241" s="247"/>
      <c r="D1241" s="247"/>
      <c r="E1241" s="251"/>
      <c r="F1241" s="247"/>
      <c r="G1241" s="252"/>
      <c r="H1241" s="253"/>
      <c r="I1241" s="254"/>
      <c r="J1241" s="235"/>
      <c r="K1241" s="244"/>
      <c r="L1241" s="244"/>
      <c r="M1241" s="244"/>
      <c r="N1241" s="244"/>
      <c r="O1241" s="244"/>
      <c r="P1241" s="244"/>
    </row>
    <row r="1242" ht="18.75" customHeight="1">
      <c r="A1242" s="246"/>
      <c r="B1242" s="247"/>
      <c r="C1242" s="247"/>
      <c r="D1242" s="247"/>
      <c r="E1242" s="247"/>
      <c r="F1242" s="247"/>
      <c r="G1242" s="248"/>
      <c r="H1242" s="249"/>
      <c r="I1242" s="250"/>
      <c r="J1242" s="234"/>
      <c r="K1242" s="244"/>
      <c r="L1242" s="244"/>
      <c r="M1242" s="244"/>
      <c r="N1242" s="244"/>
      <c r="O1242" s="244"/>
      <c r="P1242" s="244"/>
    </row>
    <row r="1243" ht="18.75" customHeight="1">
      <c r="A1243" s="246"/>
      <c r="B1243" s="247"/>
      <c r="C1243" s="247"/>
      <c r="D1243" s="247"/>
      <c r="E1243" s="251"/>
      <c r="F1243" s="247"/>
      <c r="G1243" s="252"/>
      <c r="H1243" s="253"/>
      <c r="I1243" s="254"/>
      <c r="J1243" s="235"/>
      <c r="K1243" s="244"/>
      <c r="L1243" s="244"/>
      <c r="M1243" s="244"/>
      <c r="N1243" s="244"/>
      <c r="O1243" s="244"/>
      <c r="P1243" s="244"/>
    </row>
    <row r="1244" ht="18.75" customHeight="1">
      <c r="A1244" s="246"/>
      <c r="B1244" s="247"/>
      <c r="C1244" s="247"/>
      <c r="D1244" s="247"/>
      <c r="E1244" s="247"/>
      <c r="F1244" s="247"/>
      <c r="G1244" s="248"/>
      <c r="H1244" s="249"/>
      <c r="I1244" s="250"/>
      <c r="J1244" s="234"/>
      <c r="K1244" s="244"/>
      <c r="L1244" s="244"/>
      <c r="M1244" s="244"/>
      <c r="N1244" s="244"/>
      <c r="O1244" s="244"/>
      <c r="P1244" s="244"/>
    </row>
    <row r="1245" ht="18.75" customHeight="1">
      <c r="A1245" s="246"/>
      <c r="B1245" s="247"/>
      <c r="C1245" s="247"/>
      <c r="D1245" s="247"/>
      <c r="E1245" s="251"/>
      <c r="F1245" s="247"/>
      <c r="G1245" s="252"/>
      <c r="H1245" s="253"/>
      <c r="I1245" s="254"/>
      <c r="J1245" s="235"/>
      <c r="K1245" s="244"/>
      <c r="L1245" s="244"/>
      <c r="M1245" s="244"/>
      <c r="N1245" s="244"/>
      <c r="O1245" s="244"/>
      <c r="P1245" s="244"/>
    </row>
    <row r="1246" ht="18.75" customHeight="1">
      <c r="A1246" s="246"/>
      <c r="B1246" s="247"/>
      <c r="C1246" s="247"/>
      <c r="D1246" s="247"/>
      <c r="E1246" s="247"/>
      <c r="F1246" s="247"/>
      <c r="G1246" s="248"/>
      <c r="H1246" s="249"/>
      <c r="I1246" s="250"/>
      <c r="J1246" s="234"/>
      <c r="K1246" s="244"/>
      <c r="L1246" s="244"/>
      <c r="M1246" s="244"/>
      <c r="N1246" s="244"/>
      <c r="O1246" s="244"/>
      <c r="P1246" s="244"/>
    </row>
    <row r="1247" ht="18.75" customHeight="1">
      <c r="A1247" s="246"/>
      <c r="B1247" s="247"/>
      <c r="C1247" s="247"/>
      <c r="D1247" s="247"/>
      <c r="E1247" s="251"/>
      <c r="F1247" s="247"/>
      <c r="G1247" s="252"/>
      <c r="H1247" s="253"/>
      <c r="I1247" s="254"/>
      <c r="J1247" s="235"/>
      <c r="K1247" s="244"/>
      <c r="L1247" s="244"/>
      <c r="M1247" s="244"/>
      <c r="N1247" s="244"/>
      <c r="O1247" s="244"/>
      <c r="P1247" s="244"/>
    </row>
    <row r="1248" ht="18.75" customHeight="1">
      <c r="A1248" s="246"/>
      <c r="B1248" s="247"/>
      <c r="C1248" s="247"/>
      <c r="D1248" s="247"/>
      <c r="E1248" s="247"/>
      <c r="F1248" s="247"/>
      <c r="G1248" s="248"/>
      <c r="H1248" s="249"/>
      <c r="I1248" s="250"/>
      <c r="J1248" s="234"/>
      <c r="K1248" s="244"/>
      <c r="L1248" s="244"/>
      <c r="M1248" s="244"/>
      <c r="N1248" s="244"/>
      <c r="O1248" s="244"/>
      <c r="P1248" s="244"/>
    </row>
    <row r="1249" ht="18.75" customHeight="1">
      <c r="A1249" s="246"/>
      <c r="B1249" s="247"/>
      <c r="C1249" s="247"/>
      <c r="D1249" s="247"/>
      <c r="E1249" s="251"/>
      <c r="F1249" s="247"/>
      <c r="G1249" s="252"/>
      <c r="H1249" s="253"/>
      <c r="I1249" s="254"/>
      <c r="J1249" s="235"/>
      <c r="K1249" s="244"/>
      <c r="L1249" s="244"/>
      <c r="M1249" s="244"/>
      <c r="N1249" s="244"/>
      <c r="O1249" s="244"/>
      <c r="P1249" s="244"/>
    </row>
    <row r="1250" ht="18.75" customHeight="1">
      <c r="A1250" s="246"/>
      <c r="B1250" s="247"/>
      <c r="C1250" s="247"/>
      <c r="D1250" s="247"/>
      <c r="E1250" s="247"/>
      <c r="F1250" s="247"/>
      <c r="G1250" s="248"/>
      <c r="H1250" s="249"/>
      <c r="I1250" s="250"/>
      <c r="J1250" s="234"/>
      <c r="K1250" s="244"/>
      <c r="L1250" s="244"/>
      <c r="M1250" s="244"/>
      <c r="N1250" s="244"/>
      <c r="O1250" s="244"/>
      <c r="P1250" s="244"/>
    </row>
    <row r="1251" ht="18.75" customHeight="1">
      <c r="A1251" s="246"/>
      <c r="B1251" s="247"/>
      <c r="C1251" s="247"/>
      <c r="D1251" s="247"/>
      <c r="E1251" s="251"/>
      <c r="F1251" s="247"/>
      <c r="G1251" s="252"/>
      <c r="H1251" s="253"/>
      <c r="I1251" s="254"/>
      <c r="J1251" s="235"/>
      <c r="K1251" s="244"/>
      <c r="L1251" s="244"/>
      <c r="M1251" s="244"/>
      <c r="N1251" s="244"/>
      <c r="O1251" s="244"/>
      <c r="P1251" s="244"/>
    </row>
    <row r="1252" ht="18.75" customHeight="1">
      <c r="A1252" s="246"/>
      <c r="B1252" s="247"/>
      <c r="C1252" s="247"/>
      <c r="D1252" s="247"/>
      <c r="E1252" s="247"/>
      <c r="F1252" s="247"/>
      <c r="G1252" s="248"/>
      <c r="H1252" s="249"/>
      <c r="I1252" s="250"/>
      <c r="J1252" s="234"/>
      <c r="K1252" s="244"/>
      <c r="L1252" s="244"/>
      <c r="M1252" s="244"/>
      <c r="N1252" s="244"/>
      <c r="O1252" s="244"/>
      <c r="P1252" s="244"/>
    </row>
    <row r="1253" ht="18.75" customHeight="1">
      <c r="A1253" s="246"/>
      <c r="B1253" s="247"/>
      <c r="C1253" s="247"/>
      <c r="D1253" s="247"/>
      <c r="E1253" s="251"/>
      <c r="F1253" s="247"/>
      <c r="G1253" s="252"/>
      <c r="H1253" s="253"/>
      <c r="I1253" s="254"/>
      <c r="J1253" s="235"/>
      <c r="K1253" s="244"/>
      <c r="L1253" s="244"/>
      <c r="M1253" s="244"/>
      <c r="N1253" s="244"/>
      <c r="O1253" s="244"/>
      <c r="P1253" s="244"/>
    </row>
    <row r="1254" ht="18.75" customHeight="1">
      <c r="A1254" s="246"/>
      <c r="B1254" s="247"/>
      <c r="C1254" s="247"/>
      <c r="D1254" s="247"/>
      <c r="E1254" s="247"/>
      <c r="F1254" s="247"/>
      <c r="G1254" s="248"/>
      <c r="H1254" s="249"/>
      <c r="I1254" s="250"/>
      <c r="J1254" s="234"/>
      <c r="K1254" s="244"/>
      <c r="L1254" s="244"/>
      <c r="M1254" s="244"/>
      <c r="N1254" s="244"/>
      <c r="O1254" s="244"/>
      <c r="P1254" s="244"/>
    </row>
    <row r="1255" ht="18.75" customHeight="1">
      <c r="A1255" s="246"/>
      <c r="B1255" s="247"/>
      <c r="C1255" s="247"/>
      <c r="D1255" s="247"/>
      <c r="E1255" s="251"/>
      <c r="F1255" s="247"/>
      <c r="G1255" s="252"/>
      <c r="H1255" s="253"/>
      <c r="I1255" s="254"/>
      <c r="J1255" s="235"/>
      <c r="K1255" s="244"/>
      <c r="L1255" s="244"/>
      <c r="M1255" s="244"/>
      <c r="N1255" s="244"/>
      <c r="O1255" s="244"/>
      <c r="P1255" s="244"/>
    </row>
    <row r="1256" ht="18.75" customHeight="1">
      <c r="A1256" s="246"/>
      <c r="B1256" s="247"/>
      <c r="C1256" s="247"/>
      <c r="D1256" s="247"/>
      <c r="E1256" s="247"/>
      <c r="F1256" s="247"/>
      <c r="G1256" s="248"/>
      <c r="H1256" s="249"/>
      <c r="I1256" s="250"/>
      <c r="J1256" s="234"/>
      <c r="K1256" s="244"/>
      <c r="L1256" s="244"/>
      <c r="M1256" s="244"/>
      <c r="N1256" s="244"/>
      <c r="O1256" s="244"/>
      <c r="P1256" s="244"/>
    </row>
    <row r="1257" ht="18.75" customHeight="1">
      <c r="A1257" s="246"/>
      <c r="B1257" s="247"/>
      <c r="C1257" s="247"/>
      <c r="D1257" s="247"/>
      <c r="E1257" s="251"/>
      <c r="F1257" s="247"/>
      <c r="G1257" s="252"/>
      <c r="H1257" s="253"/>
      <c r="I1257" s="254"/>
      <c r="J1257" s="235"/>
      <c r="K1257" s="244"/>
      <c r="L1257" s="244"/>
      <c r="M1257" s="244"/>
      <c r="N1257" s="244"/>
      <c r="O1257" s="244"/>
      <c r="P1257" s="244"/>
    </row>
    <row r="1258" ht="18.75" customHeight="1">
      <c r="A1258" s="246"/>
      <c r="B1258" s="247"/>
      <c r="C1258" s="247"/>
      <c r="D1258" s="247"/>
      <c r="E1258" s="247"/>
      <c r="F1258" s="247"/>
      <c r="G1258" s="248"/>
      <c r="H1258" s="249"/>
      <c r="I1258" s="250"/>
      <c r="J1258" s="234"/>
      <c r="K1258" s="244"/>
      <c r="L1258" s="244"/>
      <c r="M1258" s="244"/>
      <c r="N1258" s="244"/>
      <c r="O1258" s="244"/>
      <c r="P1258" s="244"/>
    </row>
    <row r="1259" ht="18.75" customHeight="1">
      <c r="A1259" s="246"/>
      <c r="B1259" s="247"/>
      <c r="C1259" s="247"/>
      <c r="D1259" s="247"/>
      <c r="E1259" s="251"/>
      <c r="F1259" s="247"/>
      <c r="G1259" s="252"/>
      <c r="H1259" s="253"/>
      <c r="I1259" s="254"/>
      <c r="J1259" s="235"/>
      <c r="K1259" s="244"/>
      <c r="L1259" s="244"/>
      <c r="M1259" s="244"/>
      <c r="N1259" s="244"/>
      <c r="O1259" s="244"/>
      <c r="P1259" s="244"/>
    </row>
    <row r="1260" ht="18.75" customHeight="1">
      <c r="A1260" s="246"/>
      <c r="B1260" s="247"/>
      <c r="C1260" s="247"/>
      <c r="D1260" s="247"/>
      <c r="E1260" s="247"/>
      <c r="F1260" s="247"/>
      <c r="G1260" s="248"/>
      <c r="H1260" s="249"/>
      <c r="I1260" s="250"/>
      <c r="J1260" s="234"/>
      <c r="K1260" s="244"/>
      <c r="L1260" s="244"/>
      <c r="M1260" s="244"/>
      <c r="N1260" s="244"/>
      <c r="O1260" s="244"/>
      <c r="P1260" s="244"/>
    </row>
    <row r="1261" ht="18.75" customHeight="1">
      <c r="A1261" s="246"/>
      <c r="B1261" s="247"/>
      <c r="C1261" s="247"/>
      <c r="D1261" s="247"/>
      <c r="E1261" s="251"/>
      <c r="F1261" s="247"/>
      <c r="G1261" s="252"/>
      <c r="H1261" s="253"/>
      <c r="I1261" s="254"/>
      <c r="J1261" s="235"/>
      <c r="K1261" s="244"/>
      <c r="L1261" s="244"/>
      <c r="M1261" s="244"/>
      <c r="N1261" s="244"/>
      <c r="O1261" s="244"/>
      <c r="P1261" s="244"/>
    </row>
    <row r="1262" ht="18.75" customHeight="1">
      <c r="A1262" s="246"/>
      <c r="B1262" s="247"/>
      <c r="C1262" s="247"/>
      <c r="D1262" s="247"/>
      <c r="E1262" s="247"/>
      <c r="F1262" s="247"/>
      <c r="G1262" s="248"/>
      <c r="H1262" s="249"/>
      <c r="I1262" s="250"/>
      <c r="J1262" s="234"/>
      <c r="K1262" s="244"/>
      <c r="L1262" s="244"/>
      <c r="M1262" s="244"/>
      <c r="N1262" s="244"/>
      <c r="O1262" s="244"/>
      <c r="P1262" s="244"/>
    </row>
    <row r="1263" ht="18.75" customHeight="1">
      <c r="A1263" s="246"/>
      <c r="B1263" s="247"/>
      <c r="C1263" s="247"/>
      <c r="D1263" s="247"/>
      <c r="E1263" s="251"/>
      <c r="F1263" s="247"/>
      <c r="G1263" s="252"/>
      <c r="H1263" s="253"/>
      <c r="I1263" s="254"/>
      <c r="J1263" s="235"/>
      <c r="K1263" s="244"/>
      <c r="L1263" s="244"/>
      <c r="M1263" s="244"/>
      <c r="N1263" s="244"/>
      <c r="O1263" s="244"/>
      <c r="P1263" s="244"/>
    </row>
    <row r="1264" ht="18.75" customHeight="1">
      <c r="A1264" s="246"/>
      <c r="B1264" s="247"/>
      <c r="C1264" s="247"/>
      <c r="D1264" s="247"/>
      <c r="E1264" s="247"/>
      <c r="F1264" s="247"/>
      <c r="G1264" s="248"/>
      <c r="H1264" s="249"/>
      <c r="I1264" s="250"/>
      <c r="J1264" s="234"/>
      <c r="K1264" s="244"/>
      <c r="L1264" s="244"/>
      <c r="M1264" s="244"/>
      <c r="N1264" s="244"/>
      <c r="O1264" s="244"/>
      <c r="P1264" s="244"/>
    </row>
    <row r="1265" ht="18.75" customHeight="1">
      <c r="A1265" s="246"/>
      <c r="B1265" s="247"/>
      <c r="C1265" s="247"/>
      <c r="D1265" s="247"/>
      <c r="E1265" s="251"/>
      <c r="F1265" s="247"/>
      <c r="G1265" s="252"/>
      <c r="H1265" s="253"/>
      <c r="I1265" s="254"/>
      <c r="J1265" s="235"/>
      <c r="K1265" s="244"/>
      <c r="L1265" s="244"/>
      <c r="M1265" s="244"/>
      <c r="N1265" s="244"/>
      <c r="O1265" s="244"/>
      <c r="P1265" s="244"/>
    </row>
    <row r="1266" ht="18.75" customHeight="1">
      <c r="A1266" s="246"/>
      <c r="B1266" s="247"/>
      <c r="C1266" s="247"/>
      <c r="D1266" s="247"/>
      <c r="E1266" s="247"/>
      <c r="F1266" s="247"/>
      <c r="G1266" s="248"/>
      <c r="H1266" s="249"/>
      <c r="I1266" s="250"/>
      <c r="J1266" s="234"/>
      <c r="K1266" s="244"/>
      <c r="L1266" s="244"/>
      <c r="M1266" s="244"/>
      <c r="N1266" s="244"/>
      <c r="O1266" s="244"/>
      <c r="P1266" s="244"/>
    </row>
    <row r="1267" ht="18.75" customHeight="1">
      <c r="A1267" s="246"/>
      <c r="B1267" s="247"/>
      <c r="C1267" s="247"/>
      <c r="D1267" s="247"/>
      <c r="E1267" s="251"/>
      <c r="F1267" s="247"/>
      <c r="G1267" s="252"/>
      <c r="H1267" s="253"/>
      <c r="I1267" s="254"/>
      <c r="J1267" s="235"/>
      <c r="K1267" s="244"/>
      <c r="L1267" s="244"/>
      <c r="M1267" s="244"/>
      <c r="N1267" s="244"/>
      <c r="O1267" s="244"/>
      <c r="P1267" s="244"/>
    </row>
    <row r="1268" ht="18.75" customHeight="1">
      <c r="A1268" s="246"/>
      <c r="B1268" s="247"/>
      <c r="C1268" s="247"/>
      <c r="D1268" s="247"/>
      <c r="E1268" s="247"/>
      <c r="F1268" s="247"/>
      <c r="G1268" s="248"/>
      <c r="H1268" s="249"/>
      <c r="I1268" s="250"/>
      <c r="J1268" s="234"/>
      <c r="K1268" s="244"/>
      <c r="L1268" s="244"/>
      <c r="M1268" s="244"/>
      <c r="N1268" s="244"/>
      <c r="O1268" s="244"/>
      <c r="P1268" s="244"/>
    </row>
    <row r="1269" ht="18.75" customHeight="1">
      <c r="A1269" s="246"/>
      <c r="B1269" s="247"/>
      <c r="C1269" s="247"/>
      <c r="D1269" s="247"/>
      <c r="E1269" s="251"/>
      <c r="F1269" s="247"/>
      <c r="G1269" s="252"/>
      <c r="H1269" s="253"/>
      <c r="I1269" s="254"/>
      <c r="J1269" s="235"/>
      <c r="K1269" s="244"/>
      <c r="L1269" s="244"/>
      <c r="M1269" s="244"/>
      <c r="N1269" s="244"/>
      <c r="O1269" s="244"/>
      <c r="P1269" s="244"/>
    </row>
    <row r="1270" ht="18.75" customHeight="1">
      <c r="A1270" s="246"/>
      <c r="B1270" s="247"/>
      <c r="C1270" s="247"/>
      <c r="D1270" s="247"/>
      <c r="E1270" s="247"/>
      <c r="F1270" s="247"/>
      <c r="G1270" s="248"/>
      <c r="H1270" s="249"/>
      <c r="I1270" s="250"/>
      <c r="J1270" s="234"/>
      <c r="K1270" s="244"/>
      <c r="L1270" s="244"/>
      <c r="M1270" s="244"/>
      <c r="N1270" s="244"/>
      <c r="O1270" s="244"/>
      <c r="P1270" s="244"/>
    </row>
    <row r="1271" ht="18.75" customHeight="1">
      <c r="A1271" s="246"/>
      <c r="B1271" s="247"/>
      <c r="C1271" s="247"/>
      <c r="D1271" s="247"/>
      <c r="E1271" s="251"/>
      <c r="F1271" s="247"/>
      <c r="G1271" s="252"/>
      <c r="H1271" s="253"/>
      <c r="I1271" s="254"/>
      <c r="J1271" s="235"/>
      <c r="K1271" s="244"/>
      <c r="L1271" s="244"/>
      <c r="M1271" s="244"/>
      <c r="N1271" s="244"/>
      <c r="O1271" s="244"/>
      <c r="P1271" s="244"/>
    </row>
    <row r="1272" ht="18.75" customHeight="1">
      <c r="A1272" s="246"/>
      <c r="B1272" s="247"/>
      <c r="C1272" s="247"/>
      <c r="D1272" s="247"/>
      <c r="E1272" s="247"/>
      <c r="F1272" s="247"/>
      <c r="G1272" s="248"/>
      <c r="H1272" s="249"/>
      <c r="I1272" s="250"/>
      <c r="J1272" s="234"/>
      <c r="K1272" s="244"/>
      <c r="L1272" s="244"/>
      <c r="M1272" s="244"/>
      <c r="N1272" s="244"/>
      <c r="O1272" s="244"/>
      <c r="P1272" s="244"/>
    </row>
    <row r="1273" ht="18.75" customHeight="1">
      <c r="A1273" s="246"/>
      <c r="B1273" s="247"/>
      <c r="C1273" s="247"/>
      <c r="D1273" s="247"/>
      <c r="E1273" s="251"/>
      <c r="F1273" s="247"/>
      <c r="G1273" s="252"/>
      <c r="H1273" s="253"/>
      <c r="I1273" s="254"/>
      <c r="J1273" s="235"/>
      <c r="K1273" s="244"/>
      <c r="L1273" s="244"/>
      <c r="M1273" s="244"/>
      <c r="N1273" s="244"/>
      <c r="O1273" s="244"/>
      <c r="P1273" s="244"/>
    </row>
    <row r="1274" ht="18.75" customHeight="1">
      <c r="A1274" s="246"/>
      <c r="B1274" s="247"/>
      <c r="C1274" s="247"/>
      <c r="D1274" s="247"/>
      <c r="E1274" s="247"/>
      <c r="F1274" s="247"/>
      <c r="G1274" s="248"/>
      <c r="H1274" s="249"/>
      <c r="I1274" s="250"/>
      <c r="J1274" s="234"/>
      <c r="K1274" s="244"/>
      <c r="L1274" s="244"/>
      <c r="M1274" s="244"/>
      <c r="N1274" s="244"/>
      <c r="O1274" s="244"/>
      <c r="P1274" s="244"/>
    </row>
    <row r="1275" ht="18.75" customHeight="1">
      <c r="A1275" s="246"/>
      <c r="B1275" s="247"/>
      <c r="C1275" s="247"/>
      <c r="D1275" s="247"/>
      <c r="E1275" s="251"/>
      <c r="F1275" s="247"/>
      <c r="G1275" s="252"/>
      <c r="H1275" s="253"/>
      <c r="I1275" s="254"/>
      <c r="J1275" s="235"/>
      <c r="K1275" s="244"/>
      <c r="L1275" s="244"/>
      <c r="M1275" s="244"/>
      <c r="N1275" s="244"/>
      <c r="O1275" s="244"/>
      <c r="P1275" s="244"/>
    </row>
    <row r="1276" ht="18.75" customHeight="1">
      <c r="A1276" s="246"/>
      <c r="B1276" s="247"/>
      <c r="C1276" s="247"/>
      <c r="D1276" s="247"/>
      <c r="E1276" s="247"/>
      <c r="F1276" s="247"/>
      <c r="G1276" s="248"/>
      <c r="H1276" s="249"/>
      <c r="I1276" s="250"/>
      <c r="J1276" s="234"/>
      <c r="K1276" s="244"/>
      <c r="L1276" s="244"/>
      <c r="M1276" s="244"/>
      <c r="N1276" s="244"/>
      <c r="O1276" s="244"/>
      <c r="P1276" s="244"/>
    </row>
    <row r="1277" ht="18.75" customHeight="1">
      <c r="A1277" s="246"/>
      <c r="B1277" s="247"/>
      <c r="C1277" s="247"/>
      <c r="D1277" s="247"/>
      <c r="E1277" s="251"/>
      <c r="F1277" s="247"/>
      <c r="G1277" s="252"/>
      <c r="H1277" s="253"/>
      <c r="I1277" s="254"/>
      <c r="J1277" s="235"/>
      <c r="K1277" s="244"/>
      <c r="L1277" s="244"/>
      <c r="M1277" s="244"/>
      <c r="N1277" s="244"/>
      <c r="O1277" s="244"/>
      <c r="P1277" s="244"/>
    </row>
    <row r="1278" ht="18.75" customHeight="1">
      <c r="A1278" s="246"/>
      <c r="B1278" s="247"/>
      <c r="C1278" s="247"/>
      <c r="D1278" s="247"/>
      <c r="E1278" s="247"/>
      <c r="F1278" s="247"/>
      <c r="G1278" s="248"/>
      <c r="H1278" s="249"/>
      <c r="I1278" s="250"/>
      <c r="J1278" s="234"/>
      <c r="K1278" s="244"/>
      <c r="L1278" s="244"/>
      <c r="M1278" s="244"/>
      <c r="N1278" s="244"/>
      <c r="O1278" s="244"/>
      <c r="P1278" s="244"/>
    </row>
    <row r="1279" ht="18.75" customHeight="1">
      <c r="A1279" s="246"/>
      <c r="B1279" s="247"/>
      <c r="C1279" s="247"/>
      <c r="D1279" s="247"/>
      <c r="E1279" s="251"/>
      <c r="F1279" s="247"/>
      <c r="G1279" s="252"/>
      <c r="H1279" s="253"/>
      <c r="I1279" s="254"/>
      <c r="J1279" s="235"/>
      <c r="K1279" s="244"/>
      <c r="L1279" s="244"/>
      <c r="M1279" s="244"/>
      <c r="N1279" s="244"/>
      <c r="O1279" s="244"/>
      <c r="P1279" s="244"/>
    </row>
    <row r="1280" ht="18.75" customHeight="1">
      <c r="A1280" s="246"/>
      <c r="B1280" s="247"/>
      <c r="C1280" s="247"/>
      <c r="D1280" s="247"/>
      <c r="E1280" s="247"/>
      <c r="F1280" s="247"/>
      <c r="G1280" s="248"/>
      <c r="H1280" s="249"/>
      <c r="I1280" s="250"/>
      <c r="J1280" s="234"/>
      <c r="K1280" s="244"/>
      <c r="L1280" s="244"/>
      <c r="M1280" s="244"/>
      <c r="N1280" s="244"/>
      <c r="O1280" s="244"/>
      <c r="P1280" s="244"/>
    </row>
    <row r="1281" ht="18.75" customHeight="1">
      <c r="A1281" s="246"/>
      <c r="B1281" s="247"/>
      <c r="C1281" s="247"/>
      <c r="D1281" s="247"/>
      <c r="E1281" s="251"/>
      <c r="F1281" s="247"/>
      <c r="G1281" s="252"/>
      <c r="H1281" s="253"/>
      <c r="I1281" s="254"/>
      <c r="J1281" s="235"/>
      <c r="K1281" s="244"/>
      <c r="L1281" s="244"/>
      <c r="M1281" s="244"/>
      <c r="N1281" s="244"/>
      <c r="O1281" s="244"/>
      <c r="P1281" s="244"/>
    </row>
    <row r="1282" ht="18.75" customHeight="1">
      <c r="A1282" s="246"/>
      <c r="B1282" s="247"/>
      <c r="C1282" s="247"/>
      <c r="D1282" s="247"/>
      <c r="E1282" s="247"/>
      <c r="F1282" s="247"/>
      <c r="G1282" s="248"/>
      <c r="H1282" s="249"/>
      <c r="I1282" s="250"/>
      <c r="J1282" s="234"/>
      <c r="K1282" s="244"/>
      <c r="L1282" s="244"/>
      <c r="M1282" s="244"/>
      <c r="N1282" s="244"/>
      <c r="O1282" s="244"/>
      <c r="P1282" s="244"/>
    </row>
    <row r="1283" ht="18.75" customHeight="1">
      <c r="A1283" s="246"/>
      <c r="B1283" s="247"/>
      <c r="C1283" s="247"/>
      <c r="D1283" s="247"/>
      <c r="E1283" s="251"/>
      <c r="F1283" s="247"/>
      <c r="G1283" s="252"/>
      <c r="H1283" s="253"/>
      <c r="I1283" s="254"/>
      <c r="J1283" s="235"/>
      <c r="K1283" s="244"/>
      <c r="L1283" s="244"/>
      <c r="M1283" s="244"/>
      <c r="N1283" s="244"/>
      <c r="O1283" s="244"/>
      <c r="P1283" s="244"/>
    </row>
    <row r="1284" ht="18.75" customHeight="1">
      <c r="A1284" s="246"/>
      <c r="B1284" s="247"/>
      <c r="C1284" s="247"/>
      <c r="D1284" s="247"/>
      <c r="E1284" s="247"/>
      <c r="F1284" s="247"/>
      <c r="G1284" s="248"/>
      <c r="H1284" s="249"/>
      <c r="I1284" s="250"/>
      <c r="J1284" s="234"/>
      <c r="K1284" s="244"/>
      <c r="L1284" s="244"/>
      <c r="M1284" s="244"/>
      <c r="N1284" s="244"/>
      <c r="O1284" s="244"/>
      <c r="P1284" s="244"/>
    </row>
    <row r="1285" ht="18.75" customHeight="1">
      <c r="A1285" s="246"/>
      <c r="B1285" s="247"/>
      <c r="C1285" s="247"/>
      <c r="D1285" s="247"/>
      <c r="E1285" s="251"/>
      <c r="F1285" s="247"/>
      <c r="G1285" s="252"/>
      <c r="H1285" s="253"/>
      <c r="I1285" s="254"/>
      <c r="J1285" s="235"/>
      <c r="K1285" s="244"/>
      <c r="L1285" s="244"/>
      <c r="M1285" s="244"/>
      <c r="N1285" s="244"/>
      <c r="O1285" s="244"/>
      <c r="P1285" s="244"/>
    </row>
    <row r="1286" ht="18.75" customHeight="1">
      <c r="A1286" s="246"/>
      <c r="B1286" s="247"/>
      <c r="C1286" s="247"/>
      <c r="D1286" s="247"/>
      <c r="E1286" s="247"/>
      <c r="F1286" s="247"/>
      <c r="G1286" s="248"/>
      <c r="H1286" s="249"/>
      <c r="I1286" s="250"/>
      <c r="J1286" s="234"/>
      <c r="K1286" s="244"/>
      <c r="L1286" s="244"/>
      <c r="M1286" s="244"/>
      <c r="N1286" s="244"/>
      <c r="O1286" s="244"/>
      <c r="P1286" s="244"/>
    </row>
    <row r="1287" ht="18.75" customHeight="1">
      <c r="A1287" s="246"/>
      <c r="B1287" s="247"/>
      <c r="C1287" s="247"/>
      <c r="D1287" s="247"/>
      <c r="E1287" s="251"/>
      <c r="F1287" s="247"/>
      <c r="G1287" s="252"/>
      <c r="H1287" s="253"/>
      <c r="I1287" s="254"/>
      <c r="J1287" s="235"/>
      <c r="K1287" s="244"/>
      <c r="L1287" s="244"/>
      <c r="M1287" s="244"/>
      <c r="N1287" s="244"/>
      <c r="O1287" s="244"/>
      <c r="P1287" s="244"/>
    </row>
    <row r="1288" ht="18.75" customHeight="1">
      <c r="A1288" s="246"/>
      <c r="B1288" s="247"/>
      <c r="C1288" s="247"/>
      <c r="D1288" s="247"/>
      <c r="E1288" s="247"/>
      <c r="F1288" s="247"/>
      <c r="G1288" s="248"/>
      <c r="H1288" s="249"/>
      <c r="I1288" s="250"/>
      <c r="J1288" s="234"/>
      <c r="K1288" s="244"/>
      <c r="L1288" s="244"/>
      <c r="M1288" s="244"/>
      <c r="N1288" s="244"/>
      <c r="O1288" s="244"/>
      <c r="P1288" s="244"/>
    </row>
    <row r="1289" ht="18.75" customHeight="1">
      <c r="A1289" s="246"/>
      <c r="B1289" s="247"/>
      <c r="C1289" s="247"/>
      <c r="D1289" s="247"/>
      <c r="E1289" s="251"/>
      <c r="F1289" s="247"/>
      <c r="G1289" s="252"/>
      <c r="H1289" s="253"/>
      <c r="I1289" s="254"/>
      <c r="J1289" s="235"/>
      <c r="K1289" s="244"/>
      <c r="L1289" s="244"/>
      <c r="M1289" s="244"/>
      <c r="N1289" s="244"/>
      <c r="O1289" s="244"/>
      <c r="P1289" s="244"/>
    </row>
    <row r="1290" ht="18.75" customHeight="1">
      <c r="A1290" s="246"/>
      <c r="B1290" s="247"/>
      <c r="C1290" s="247"/>
      <c r="D1290" s="247"/>
      <c r="E1290" s="247"/>
      <c r="F1290" s="247"/>
      <c r="G1290" s="248"/>
      <c r="H1290" s="249"/>
      <c r="I1290" s="250"/>
      <c r="J1290" s="234"/>
      <c r="K1290" s="244"/>
      <c r="L1290" s="244"/>
      <c r="M1290" s="244"/>
      <c r="N1290" s="244"/>
      <c r="O1290" s="244"/>
      <c r="P1290" s="244"/>
    </row>
    <row r="1291" ht="18.75" customHeight="1">
      <c r="A1291" s="246"/>
      <c r="B1291" s="247"/>
      <c r="C1291" s="247"/>
      <c r="D1291" s="247"/>
      <c r="E1291" s="251"/>
      <c r="F1291" s="247"/>
      <c r="G1291" s="252"/>
      <c r="H1291" s="253"/>
      <c r="I1291" s="254"/>
      <c r="J1291" s="235"/>
      <c r="K1291" s="244"/>
      <c r="L1291" s="244"/>
      <c r="M1291" s="244"/>
      <c r="N1291" s="244"/>
      <c r="O1291" s="244"/>
      <c r="P1291" s="244"/>
    </row>
    <row r="1292" ht="18.75" customHeight="1">
      <c r="A1292" s="246"/>
      <c r="B1292" s="247"/>
      <c r="C1292" s="247"/>
      <c r="D1292" s="247"/>
      <c r="E1292" s="247"/>
      <c r="F1292" s="247"/>
      <c r="G1292" s="248"/>
      <c r="H1292" s="249"/>
      <c r="I1292" s="250"/>
      <c r="J1292" s="234"/>
      <c r="K1292" s="244"/>
      <c r="L1292" s="244"/>
      <c r="M1292" s="244"/>
      <c r="N1292" s="244"/>
      <c r="O1292" s="244"/>
      <c r="P1292" s="244"/>
    </row>
    <row r="1293" ht="18.75" customHeight="1">
      <c r="A1293" s="246"/>
      <c r="B1293" s="247"/>
      <c r="C1293" s="247"/>
      <c r="D1293" s="247"/>
      <c r="E1293" s="251"/>
      <c r="F1293" s="247"/>
      <c r="G1293" s="252"/>
      <c r="H1293" s="253"/>
      <c r="I1293" s="254"/>
      <c r="J1293" s="235"/>
      <c r="K1293" s="244"/>
      <c r="L1293" s="244"/>
      <c r="M1293" s="244"/>
      <c r="N1293" s="244"/>
      <c r="O1293" s="244"/>
      <c r="P1293" s="244"/>
    </row>
    <row r="1294" ht="18.75" customHeight="1">
      <c r="A1294" s="246"/>
      <c r="B1294" s="247"/>
      <c r="C1294" s="247"/>
      <c r="D1294" s="247"/>
      <c r="E1294" s="247"/>
      <c r="F1294" s="247"/>
      <c r="G1294" s="248"/>
      <c r="H1294" s="249"/>
      <c r="I1294" s="250"/>
      <c r="J1294" s="234"/>
      <c r="K1294" s="244"/>
      <c r="L1294" s="244"/>
      <c r="M1294" s="244"/>
      <c r="N1294" s="244"/>
      <c r="O1294" s="244"/>
      <c r="P1294" s="244"/>
    </row>
    <row r="1295" ht="18.75" customHeight="1">
      <c r="A1295" s="246"/>
      <c r="B1295" s="247"/>
      <c r="C1295" s="247"/>
      <c r="D1295" s="247"/>
      <c r="E1295" s="251"/>
      <c r="F1295" s="247"/>
      <c r="G1295" s="252"/>
      <c r="H1295" s="253"/>
      <c r="I1295" s="254"/>
      <c r="J1295" s="235"/>
      <c r="K1295" s="244"/>
      <c r="L1295" s="244"/>
      <c r="M1295" s="244"/>
      <c r="N1295" s="244"/>
      <c r="O1295" s="244"/>
      <c r="P1295" s="244"/>
    </row>
    <row r="1296" ht="18.75" customHeight="1">
      <c r="A1296" s="246"/>
      <c r="B1296" s="247"/>
      <c r="C1296" s="247"/>
      <c r="D1296" s="247"/>
      <c r="E1296" s="247"/>
      <c r="F1296" s="247"/>
      <c r="G1296" s="248"/>
      <c r="H1296" s="249"/>
      <c r="I1296" s="250"/>
      <c r="J1296" s="234"/>
      <c r="K1296" s="244"/>
      <c r="L1296" s="244"/>
      <c r="M1296" s="244"/>
      <c r="N1296" s="244"/>
      <c r="O1296" s="244"/>
      <c r="P1296" s="244"/>
    </row>
    <row r="1297" ht="18.75" customHeight="1">
      <c r="A1297" s="246"/>
      <c r="B1297" s="247"/>
      <c r="C1297" s="247"/>
      <c r="D1297" s="247"/>
      <c r="E1297" s="251"/>
      <c r="F1297" s="247"/>
      <c r="G1297" s="252"/>
      <c r="H1297" s="253"/>
      <c r="I1297" s="254"/>
      <c r="J1297" s="235"/>
      <c r="K1297" s="244"/>
      <c r="L1297" s="244"/>
      <c r="M1297" s="244"/>
      <c r="N1297" s="244"/>
      <c r="O1297" s="244"/>
      <c r="P1297" s="244"/>
    </row>
    <row r="1298" ht="18.75" customHeight="1">
      <c r="A1298" s="246"/>
      <c r="B1298" s="247"/>
      <c r="C1298" s="247"/>
      <c r="D1298" s="247"/>
      <c r="E1298" s="247"/>
      <c r="F1298" s="247"/>
      <c r="G1298" s="248"/>
      <c r="H1298" s="249"/>
      <c r="I1298" s="250"/>
      <c r="J1298" s="234"/>
      <c r="K1298" s="244"/>
      <c r="L1298" s="244"/>
      <c r="M1298" s="244"/>
      <c r="N1298" s="244"/>
      <c r="O1298" s="244"/>
      <c r="P1298" s="244"/>
    </row>
    <row r="1299" ht="18.75" customHeight="1">
      <c r="A1299" s="246"/>
      <c r="B1299" s="247"/>
      <c r="C1299" s="247"/>
      <c r="D1299" s="247"/>
      <c r="E1299" s="251"/>
      <c r="F1299" s="247"/>
      <c r="G1299" s="252"/>
      <c r="H1299" s="253"/>
      <c r="I1299" s="254"/>
      <c r="J1299" s="235"/>
      <c r="K1299" s="244"/>
      <c r="L1299" s="244"/>
      <c r="M1299" s="244"/>
      <c r="N1299" s="244"/>
      <c r="O1299" s="244"/>
      <c r="P1299" s="244"/>
    </row>
    <row r="1300" ht="18.75" customHeight="1">
      <c r="A1300" s="246"/>
      <c r="B1300" s="247"/>
      <c r="C1300" s="247"/>
      <c r="D1300" s="247"/>
      <c r="E1300" s="247"/>
      <c r="F1300" s="247"/>
      <c r="G1300" s="248"/>
      <c r="H1300" s="249"/>
      <c r="I1300" s="250"/>
      <c r="J1300" s="234"/>
      <c r="K1300" s="244"/>
      <c r="L1300" s="244"/>
      <c r="M1300" s="244"/>
      <c r="N1300" s="244"/>
      <c r="O1300" s="244"/>
      <c r="P1300" s="244"/>
    </row>
    <row r="1301" ht="18.75" customHeight="1">
      <c r="A1301" s="246"/>
      <c r="B1301" s="247"/>
      <c r="C1301" s="247"/>
      <c r="D1301" s="247"/>
      <c r="E1301" s="251"/>
      <c r="F1301" s="247"/>
      <c r="G1301" s="252"/>
      <c r="H1301" s="253"/>
      <c r="I1301" s="254"/>
      <c r="J1301" s="235"/>
      <c r="K1301" s="244"/>
      <c r="L1301" s="244"/>
      <c r="M1301" s="244"/>
      <c r="N1301" s="244"/>
      <c r="O1301" s="244"/>
      <c r="P1301" s="244"/>
    </row>
    <row r="1302" ht="18.75" customHeight="1">
      <c r="A1302" s="246"/>
      <c r="B1302" s="247"/>
      <c r="C1302" s="247"/>
      <c r="D1302" s="247"/>
      <c r="E1302" s="247"/>
      <c r="F1302" s="247"/>
      <c r="G1302" s="248"/>
      <c r="H1302" s="249"/>
      <c r="I1302" s="250"/>
      <c r="J1302" s="234"/>
      <c r="K1302" s="244"/>
      <c r="L1302" s="244"/>
      <c r="M1302" s="244"/>
      <c r="N1302" s="244"/>
      <c r="O1302" s="244"/>
      <c r="P1302" s="244"/>
    </row>
    <row r="1303" ht="18.75" customHeight="1">
      <c r="A1303" s="246"/>
      <c r="B1303" s="247"/>
      <c r="C1303" s="247"/>
      <c r="D1303" s="247"/>
      <c r="E1303" s="251"/>
      <c r="F1303" s="247"/>
      <c r="G1303" s="252"/>
      <c r="H1303" s="253"/>
      <c r="I1303" s="254"/>
      <c r="J1303" s="235"/>
      <c r="K1303" s="244"/>
      <c r="L1303" s="244"/>
      <c r="M1303" s="244"/>
      <c r="N1303" s="244"/>
      <c r="O1303" s="244"/>
      <c r="P1303" s="244"/>
    </row>
    <row r="1304" ht="18.75" customHeight="1">
      <c r="A1304" s="246"/>
      <c r="B1304" s="247"/>
      <c r="C1304" s="247"/>
      <c r="D1304" s="247"/>
      <c r="E1304" s="247"/>
      <c r="F1304" s="247"/>
      <c r="G1304" s="248"/>
      <c r="H1304" s="249"/>
      <c r="I1304" s="250"/>
      <c r="J1304" s="234"/>
      <c r="K1304" s="244"/>
      <c r="L1304" s="244"/>
      <c r="M1304" s="244"/>
      <c r="N1304" s="244"/>
      <c r="O1304" s="244"/>
      <c r="P1304" s="244"/>
    </row>
    <row r="1305" ht="18.75" customHeight="1">
      <c r="A1305" s="246"/>
      <c r="B1305" s="247"/>
      <c r="C1305" s="247"/>
      <c r="D1305" s="247"/>
      <c r="E1305" s="251"/>
      <c r="F1305" s="247"/>
      <c r="G1305" s="252"/>
      <c r="H1305" s="253"/>
      <c r="I1305" s="254"/>
      <c r="J1305" s="235"/>
      <c r="K1305" s="244"/>
      <c r="L1305" s="244"/>
      <c r="M1305" s="244"/>
      <c r="N1305" s="244"/>
      <c r="O1305" s="244"/>
      <c r="P1305" s="244"/>
    </row>
    <row r="1306" ht="18.75" customHeight="1">
      <c r="A1306" s="246"/>
      <c r="B1306" s="247"/>
      <c r="C1306" s="247"/>
      <c r="D1306" s="247"/>
      <c r="E1306" s="247"/>
      <c r="F1306" s="247"/>
      <c r="G1306" s="248"/>
      <c r="H1306" s="249"/>
      <c r="I1306" s="250"/>
      <c r="J1306" s="234"/>
      <c r="K1306" s="244"/>
      <c r="L1306" s="244"/>
      <c r="M1306" s="244"/>
      <c r="N1306" s="244"/>
      <c r="O1306" s="244"/>
      <c r="P1306" s="244"/>
    </row>
    <row r="1307" ht="18.75" customHeight="1">
      <c r="A1307" s="246"/>
      <c r="B1307" s="247"/>
      <c r="C1307" s="247"/>
      <c r="D1307" s="247"/>
      <c r="E1307" s="251"/>
      <c r="F1307" s="247"/>
      <c r="G1307" s="252"/>
      <c r="H1307" s="253"/>
      <c r="I1307" s="254"/>
      <c r="J1307" s="235"/>
      <c r="K1307" s="244"/>
      <c r="L1307" s="244"/>
      <c r="M1307" s="244"/>
      <c r="N1307" s="244"/>
      <c r="O1307" s="244"/>
      <c r="P1307" s="244"/>
    </row>
    <row r="1308" ht="18.75" customHeight="1">
      <c r="A1308" s="246"/>
      <c r="B1308" s="247"/>
      <c r="C1308" s="247"/>
      <c r="D1308" s="247"/>
      <c r="E1308" s="247"/>
      <c r="F1308" s="247"/>
      <c r="G1308" s="248"/>
      <c r="H1308" s="249"/>
      <c r="I1308" s="250"/>
      <c r="J1308" s="234"/>
      <c r="K1308" s="244"/>
      <c r="L1308" s="244"/>
      <c r="M1308" s="244"/>
      <c r="N1308" s="244"/>
      <c r="O1308" s="244"/>
      <c r="P1308" s="244"/>
    </row>
    <row r="1309" ht="18.75" customHeight="1">
      <c r="A1309" s="246"/>
      <c r="B1309" s="247"/>
      <c r="C1309" s="247"/>
      <c r="D1309" s="247"/>
      <c r="E1309" s="251"/>
      <c r="F1309" s="247"/>
      <c r="G1309" s="252"/>
      <c r="H1309" s="253"/>
      <c r="I1309" s="254"/>
      <c r="J1309" s="235"/>
      <c r="K1309" s="244"/>
      <c r="L1309" s="244"/>
      <c r="M1309" s="244"/>
      <c r="N1309" s="244"/>
      <c r="O1309" s="244"/>
      <c r="P1309" s="244"/>
    </row>
    <row r="1310" ht="18.75" customHeight="1">
      <c r="A1310" s="246"/>
      <c r="B1310" s="247"/>
      <c r="C1310" s="247"/>
      <c r="D1310" s="247"/>
      <c r="E1310" s="247"/>
      <c r="F1310" s="247"/>
      <c r="G1310" s="248"/>
      <c r="H1310" s="249"/>
      <c r="I1310" s="250"/>
      <c r="J1310" s="234"/>
      <c r="K1310" s="244"/>
      <c r="L1310" s="244"/>
      <c r="M1310" s="244"/>
      <c r="N1310" s="244"/>
      <c r="O1310" s="244"/>
      <c r="P1310" s="244"/>
    </row>
    <row r="1311" ht="18.75" customHeight="1">
      <c r="A1311" s="246"/>
      <c r="B1311" s="247"/>
      <c r="C1311" s="247"/>
      <c r="D1311" s="247"/>
      <c r="E1311" s="251"/>
      <c r="F1311" s="247"/>
      <c r="G1311" s="252"/>
      <c r="H1311" s="253"/>
      <c r="I1311" s="254"/>
      <c r="J1311" s="235"/>
      <c r="K1311" s="244"/>
      <c r="L1311" s="244"/>
      <c r="M1311" s="244"/>
      <c r="N1311" s="244"/>
      <c r="O1311" s="244"/>
      <c r="P1311" s="244"/>
    </row>
    <row r="1312" ht="18.75" customHeight="1">
      <c r="A1312" s="246"/>
      <c r="B1312" s="247"/>
      <c r="C1312" s="247"/>
      <c r="D1312" s="247"/>
      <c r="E1312" s="247"/>
      <c r="F1312" s="247"/>
      <c r="G1312" s="248"/>
      <c r="H1312" s="249"/>
      <c r="I1312" s="250"/>
      <c r="J1312" s="234"/>
      <c r="K1312" s="244"/>
      <c r="L1312" s="244"/>
      <c r="M1312" s="244"/>
      <c r="N1312" s="244"/>
      <c r="O1312" s="244"/>
      <c r="P1312" s="244"/>
    </row>
    <row r="1313" ht="18.75" customHeight="1">
      <c r="A1313" s="246"/>
      <c r="B1313" s="247"/>
      <c r="C1313" s="247"/>
      <c r="D1313" s="247"/>
      <c r="E1313" s="251"/>
      <c r="F1313" s="247"/>
      <c r="G1313" s="252"/>
      <c r="H1313" s="253"/>
      <c r="I1313" s="254"/>
      <c r="J1313" s="235"/>
      <c r="K1313" s="244"/>
      <c r="L1313" s="244"/>
      <c r="M1313" s="244"/>
      <c r="N1313" s="244"/>
      <c r="O1313" s="244"/>
      <c r="P1313" s="244"/>
    </row>
    <row r="1314" ht="18.75" customHeight="1">
      <c r="A1314" s="246"/>
      <c r="B1314" s="247"/>
      <c r="C1314" s="247"/>
      <c r="D1314" s="247"/>
      <c r="E1314" s="247"/>
      <c r="F1314" s="247"/>
      <c r="G1314" s="248"/>
      <c r="H1314" s="249"/>
      <c r="I1314" s="250"/>
      <c r="J1314" s="234"/>
      <c r="K1314" s="244"/>
      <c r="L1314" s="244"/>
      <c r="M1314" s="244"/>
      <c r="N1314" s="244"/>
      <c r="O1314" s="244"/>
      <c r="P1314" s="244"/>
    </row>
    <row r="1315" ht="18.75" customHeight="1">
      <c r="A1315" s="246"/>
      <c r="B1315" s="247"/>
      <c r="C1315" s="247"/>
      <c r="D1315" s="247"/>
      <c r="E1315" s="251"/>
      <c r="F1315" s="247"/>
      <c r="G1315" s="252"/>
      <c r="H1315" s="253"/>
      <c r="I1315" s="254"/>
      <c r="J1315" s="235"/>
      <c r="K1315" s="244"/>
      <c r="L1315" s="244"/>
      <c r="M1315" s="244"/>
      <c r="N1315" s="244"/>
      <c r="O1315" s="244"/>
      <c r="P1315" s="244"/>
    </row>
    <row r="1316" ht="18.75" customHeight="1">
      <c r="A1316" s="246"/>
      <c r="B1316" s="247"/>
      <c r="C1316" s="247"/>
      <c r="D1316" s="247"/>
      <c r="E1316" s="247"/>
      <c r="F1316" s="247"/>
      <c r="G1316" s="248"/>
      <c r="H1316" s="249"/>
      <c r="I1316" s="250"/>
      <c r="J1316" s="234"/>
      <c r="K1316" s="244"/>
      <c r="L1316" s="244"/>
      <c r="M1316" s="244"/>
      <c r="N1316" s="244"/>
      <c r="O1316" s="244"/>
      <c r="P1316" s="244"/>
    </row>
    <row r="1317" ht="18.75" customHeight="1">
      <c r="A1317" s="246"/>
      <c r="B1317" s="247"/>
      <c r="C1317" s="247"/>
      <c r="D1317" s="247"/>
      <c r="E1317" s="251"/>
      <c r="F1317" s="247"/>
      <c r="G1317" s="252"/>
      <c r="H1317" s="253"/>
      <c r="I1317" s="254"/>
      <c r="J1317" s="235"/>
      <c r="K1317" s="244"/>
      <c r="L1317" s="244"/>
      <c r="M1317" s="244"/>
      <c r="N1317" s="244"/>
      <c r="O1317" s="244"/>
      <c r="P1317" s="244"/>
    </row>
    <row r="1318" ht="18.75" customHeight="1">
      <c r="A1318" s="246"/>
      <c r="B1318" s="247"/>
      <c r="C1318" s="247"/>
      <c r="D1318" s="247"/>
      <c r="E1318" s="247"/>
      <c r="F1318" s="247"/>
      <c r="G1318" s="248"/>
      <c r="H1318" s="249"/>
      <c r="I1318" s="250"/>
      <c r="J1318" s="234"/>
      <c r="K1318" s="244"/>
      <c r="L1318" s="244"/>
      <c r="M1318" s="244"/>
      <c r="N1318" s="244"/>
      <c r="O1318" s="244"/>
      <c r="P1318" s="244"/>
    </row>
    <row r="1319" ht="18.75" customHeight="1">
      <c r="A1319" s="246"/>
      <c r="B1319" s="247"/>
      <c r="C1319" s="247"/>
      <c r="D1319" s="247"/>
      <c r="E1319" s="251"/>
      <c r="F1319" s="247"/>
      <c r="G1319" s="252"/>
      <c r="H1319" s="253"/>
      <c r="I1319" s="254"/>
      <c r="J1319" s="235"/>
      <c r="K1319" s="244"/>
      <c r="L1319" s="244"/>
      <c r="M1319" s="244"/>
      <c r="N1319" s="244"/>
      <c r="O1319" s="244"/>
      <c r="P1319" s="244"/>
    </row>
    <row r="1320" ht="18.75" customHeight="1">
      <c r="A1320" s="246"/>
      <c r="B1320" s="247"/>
      <c r="C1320" s="247"/>
      <c r="D1320" s="247"/>
      <c r="E1320" s="247"/>
      <c r="F1320" s="247"/>
      <c r="G1320" s="248"/>
      <c r="H1320" s="249"/>
      <c r="I1320" s="250"/>
      <c r="J1320" s="234"/>
      <c r="K1320" s="244"/>
      <c r="L1320" s="244"/>
      <c r="M1320" s="244"/>
      <c r="N1320" s="244"/>
      <c r="O1320" s="244"/>
      <c r="P1320" s="244"/>
    </row>
    <row r="1321" ht="18.75" customHeight="1">
      <c r="A1321" s="246"/>
      <c r="B1321" s="247"/>
      <c r="C1321" s="247"/>
      <c r="D1321" s="247"/>
      <c r="E1321" s="251"/>
      <c r="F1321" s="247"/>
      <c r="G1321" s="252"/>
      <c r="H1321" s="253"/>
      <c r="I1321" s="254"/>
      <c r="J1321" s="235"/>
      <c r="K1321" s="244"/>
      <c r="L1321" s="244"/>
      <c r="M1321" s="244"/>
      <c r="N1321" s="244"/>
      <c r="O1321" s="244"/>
      <c r="P1321" s="244"/>
    </row>
    <row r="1322" ht="18.75" customHeight="1">
      <c r="A1322" s="246"/>
      <c r="B1322" s="247"/>
      <c r="C1322" s="247"/>
      <c r="D1322" s="247"/>
      <c r="E1322" s="247"/>
      <c r="F1322" s="247"/>
      <c r="G1322" s="248"/>
      <c r="H1322" s="249"/>
      <c r="I1322" s="250"/>
      <c r="J1322" s="234"/>
      <c r="K1322" s="244"/>
      <c r="L1322" s="244"/>
      <c r="M1322" s="244"/>
      <c r="N1322" s="244"/>
      <c r="O1322" s="244"/>
      <c r="P1322" s="244"/>
    </row>
    <row r="1323" ht="18.75" customHeight="1">
      <c r="A1323" s="246"/>
      <c r="B1323" s="247"/>
      <c r="C1323" s="247"/>
      <c r="D1323" s="247"/>
      <c r="E1323" s="251"/>
      <c r="F1323" s="247"/>
      <c r="G1323" s="252"/>
      <c r="H1323" s="253"/>
      <c r="I1323" s="254"/>
      <c r="J1323" s="235"/>
      <c r="K1323" s="244"/>
      <c r="L1323" s="244"/>
      <c r="M1323" s="244"/>
      <c r="N1323" s="244"/>
      <c r="O1323" s="244"/>
      <c r="P1323" s="244"/>
    </row>
    <row r="1324" ht="18.75" customHeight="1">
      <c r="A1324" s="246"/>
      <c r="B1324" s="247"/>
      <c r="C1324" s="247"/>
      <c r="D1324" s="247"/>
      <c r="E1324" s="247"/>
      <c r="F1324" s="247"/>
      <c r="G1324" s="248"/>
      <c r="H1324" s="249"/>
      <c r="I1324" s="250"/>
      <c r="J1324" s="234"/>
      <c r="K1324" s="244"/>
      <c r="L1324" s="244"/>
      <c r="M1324" s="244"/>
      <c r="N1324" s="244"/>
      <c r="O1324" s="244"/>
      <c r="P1324" s="244"/>
    </row>
    <row r="1325" ht="18.75" customHeight="1">
      <c r="A1325" s="246"/>
      <c r="B1325" s="247"/>
      <c r="C1325" s="247"/>
      <c r="D1325" s="247"/>
      <c r="E1325" s="251"/>
      <c r="F1325" s="247"/>
      <c r="G1325" s="252"/>
      <c r="H1325" s="253"/>
      <c r="I1325" s="254"/>
      <c r="J1325" s="235"/>
      <c r="K1325" s="244"/>
      <c r="L1325" s="244"/>
      <c r="M1325" s="244"/>
      <c r="N1325" s="244"/>
      <c r="O1325" s="244"/>
      <c r="P1325" s="244"/>
    </row>
    <row r="1326" ht="18.75" customHeight="1">
      <c r="A1326" s="246"/>
      <c r="B1326" s="247"/>
      <c r="C1326" s="247"/>
      <c r="D1326" s="247"/>
      <c r="E1326" s="247"/>
      <c r="F1326" s="247"/>
      <c r="G1326" s="248"/>
      <c r="H1326" s="249"/>
      <c r="I1326" s="250"/>
      <c r="J1326" s="234"/>
      <c r="K1326" s="244"/>
      <c r="L1326" s="244"/>
      <c r="M1326" s="244"/>
      <c r="N1326" s="244"/>
      <c r="O1326" s="244"/>
      <c r="P1326" s="244"/>
    </row>
    <row r="1327" ht="18.75" customHeight="1">
      <c r="A1327" s="246"/>
      <c r="B1327" s="247"/>
      <c r="C1327" s="247"/>
      <c r="D1327" s="247"/>
      <c r="E1327" s="251"/>
      <c r="F1327" s="247"/>
      <c r="G1327" s="252"/>
      <c r="H1327" s="253"/>
      <c r="I1327" s="254"/>
      <c r="J1327" s="235"/>
      <c r="K1327" s="244"/>
      <c r="L1327" s="244"/>
      <c r="M1327" s="244"/>
      <c r="N1327" s="244"/>
      <c r="O1327" s="244"/>
      <c r="P1327" s="244"/>
    </row>
    <row r="1328" ht="18.75" customHeight="1">
      <c r="A1328" s="246"/>
      <c r="B1328" s="247"/>
      <c r="C1328" s="247"/>
      <c r="D1328" s="247"/>
      <c r="E1328" s="247"/>
      <c r="F1328" s="247"/>
      <c r="G1328" s="248"/>
      <c r="H1328" s="249"/>
      <c r="I1328" s="250"/>
      <c r="J1328" s="234"/>
      <c r="K1328" s="244"/>
      <c r="L1328" s="244"/>
      <c r="M1328" s="244"/>
      <c r="N1328" s="244"/>
      <c r="O1328" s="244"/>
      <c r="P1328" s="244"/>
    </row>
    <row r="1329" ht="18.75" customHeight="1">
      <c r="A1329" s="246"/>
      <c r="B1329" s="247"/>
      <c r="C1329" s="247"/>
      <c r="D1329" s="247"/>
      <c r="E1329" s="251"/>
      <c r="F1329" s="247"/>
      <c r="G1329" s="252"/>
      <c r="H1329" s="253"/>
      <c r="I1329" s="254"/>
      <c r="J1329" s="235"/>
      <c r="K1329" s="244"/>
      <c r="L1329" s="244"/>
      <c r="M1329" s="244"/>
      <c r="N1329" s="244"/>
      <c r="O1329" s="244"/>
      <c r="P1329" s="244"/>
    </row>
    <row r="1330" ht="18.75" customHeight="1">
      <c r="A1330" s="246"/>
      <c r="B1330" s="247"/>
      <c r="C1330" s="247"/>
      <c r="D1330" s="247"/>
      <c r="E1330" s="247"/>
      <c r="F1330" s="247"/>
      <c r="G1330" s="248"/>
      <c r="H1330" s="249"/>
      <c r="I1330" s="250"/>
      <c r="J1330" s="234"/>
      <c r="K1330" s="244"/>
      <c r="L1330" s="244"/>
      <c r="M1330" s="244"/>
      <c r="N1330" s="244"/>
      <c r="O1330" s="244"/>
      <c r="P1330" s="244"/>
    </row>
    <row r="1331" ht="18.75" customHeight="1">
      <c r="A1331" s="246"/>
      <c r="B1331" s="247"/>
      <c r="C1331" s="247"/>
      <c r="D1331" s="247"/>
      <c r="E1331" s="251"/>
      <c r="F1331" s="247"/>
      <c r="G1331" s="252"/>
      <c r="H1331" s="253"/>
      <c r="I1331" s="254"/>
      <c r="J1331" s="235"/>
      <c r="K1331" s="244"/>
      <c r="L1331" s="244"/>
      <c r="M1331" s="244"/>
      <c r="N1331" s="244"/>
      <c r="O1331" s="244"/>
      <c r="P1331" s="244"/>
    </row>
    <row r="1332" ht="18.75" customHeight="1">
      <c r="A1332" s="246"/>
      <c r="B1332" s="247"/>
      <c r="C1332" s="247"/>
      <c r="D1332" s="247"/>
      <c r="E1332" s="247"/>
      <c r="F1332" s="247"/>
      <c r="G1332" s="248"/>
      <c r="H1332" s="249"/>
      <c r="I1332" s="250"/>
      <c r="J1332" s="234"/>
      <c r="K1332" s="244"/>
      <c r="L1332" s="244"/>
      <c r="M1332" s="244"/>
      <c r="N1332" s="244"/>
      <c r="O1332" s="244"/>
      <c r="P1332" s="244"/>
    </row>
    <row r="1333" ht="18.75" customHeight="1">
      <c r="A1333" s="246"/>
      <c r="B1333" s="247"/>
      <c r="C1333" s="247"/>
      <c r="D1333" s="247"/>
      <c r="E1333" s="251"/>
      <c r="F1333" s="247"/>
      <c r="G1333" s="252"/>
      <c r="H1333" s="253"/>
      <c r="I1333" s="254"/>
      <c r="J1333" s="235"/>
      <c r="K1333" s="244"/>
      <c r="L1333" s="244"/>
      <c r="M1333" s="244"/>
      <c r="N1333" s="244"/>
      <c r="O1333" s="244"/>
      <c r="P1333" s="244"/>
    </row>
    <row r="1334" ht="18.75" customHeight="1">
      <c r="A1334" s="246"/>
      <c r="B1334" s="247"/>
      <c r="C1334" s="247"/>
      <c r="D1334" s="247"/>
      <c r="E1334" s="247"/>
      <c r="F1334" s="247"/>
      <c r="G1334" s="248"/>
      <c r="H1334" s="249"/>
      <c r="I1334" s="250"/>
      <c r="J1334" s="234"/>
      <c r="K1334" s="244"/>
      <c r="L1334" s="244"/>
      <c r="M1334" s="244"/>
      <c r="N1334" s="244"/>
      <c r="O1334" s="244"/>
      <c r="P1334" s="244"/>
    </row>
    <row r="1335" ht="18.75" customHeight="1">
      <c r="A1335" s="246"/>
      <c r="B1335" s="247"/>
      <c r="C1335" s="247"/>
      <c r="D1335" s="247"/>
      <c r="E1335" s="251"/>
      <c r="F1335" s="247"/>
      <c r="G1335" s="252"/>
      <c r="H1335" s="253"/>
      <c r="I1335" s="254"/>
      <c r="J1335" s="235"/>
      <c r="K1335" s="244"/>
      <c r="L1335" s="244"/>
      <c r="M1335" s="244"/>
      <c r="N1335" s="244"/>
      <c r="O1335" s="244"/>
      <c r="P1335" s="244"/>
    </row>
    <row r="1336" ht="18.75" customHeight="1">
      <c r="A1336" s="246"/>
      <c r="B1336" s="247"/>
      <c r="C1336" s="247"/>
      <c r="D1336" s="247"/>
      <c r="E1336" s="247"/>
      <c r="F1336" s="247"/>
      <c r="G1336" s="248"/>
      <c r="H1336" s="249"/>
      <c r="I1336" s="250"/>
      <c r="J1336" s="234"/>
      <c r="K1336" s="244"/>
      <c r="L1336" s="244"/>
      <c r="M1336" s="244"/>
      <c r="N1336" s="244"/>
      <c r="O1336" s="244"/>
      <c r="P1336" s="244"/>
    </row>
    <row r="1337" ht="18.75" customHeight="1">
      <c r="A1337" s="246"/>
      <c r="B1337" s="247"/>
      <c r="C1337" s="247"/>
      <c r="D1337" s="247"/>
      <c r="E1337" s="251"/>
      <c r="F1337" s="247"/>
      <c r="G1337" s="252"/>
      <c r="H1337" s="253"/>
      <c r="I1337" s="254"/>
      <c r="J1337" s="235"/>
      <c r="K1337" s="244"/>
      <c r="L1337" s="244"/>
      <c r="M1337" s="244"/>
      <c r="N1337" s="244"/>
      <c r="O1337" s="244"/>
      <c r="P1337" s="244"/>
    </row>
    <row r="1338" ht="18.75" customHeight="1">
      <c r="A1338" s="246"/>
      <c r="B1338" s="247"/>
      <c r="C1338" s="247"/>
      <c r="D1338" s="247"/>
      <c r="E1338" s="247"/>
      <c r="F1338" s="247"/>
      <c r="G1338" s="248"/>
      <c r="H1338" s="249"/>
      <c r="I1338" s="250"/>
      <c r="J1338" s="234"/>
      <c r="K1338" s="244"/>
      <c r="L1338" s="244"/>
      <c r="M1338" s="244"/>
      <c r="N1338" s="244"/>
      <c r="O1338" s="244"/>
      <c r="P1338" s="244"/>
    </row>
    <row r="1339" ht="18.75" customHeight="1">
      <c r="A1339" s="246"/>
      <c r="B1339" s="247"/>
      <c r="C1339" s="247"/>
      <c r="D1339" s="247"/>
      <c r="E1339" s="251"/>
      <c r="F1339" s="247"/>
      <c r="G1339" s="252"/>
      <c r="H1339" s="253"/>
      <c r="I1339" s="254"/>
      <c r="J1339" s="235"/>
      <c r="K1339" s="244"/>
      <c r="L1339" s="244"/>
      <c r="M1339" s="244"/>
      <c r="N1339" s="244"/>
      <c r="O1339" s="244"/>
      <c r="P1339" s="244"/>
    </row>
    <row r="1340" ht="18.75" customHeight="1">
      <c r="A1340" s="246"/>
      <c r="B1340" s="247"/>
      <c r="C1340" s="247"/>
      <c r="D1340" s="247"/>
      <c r="E1340" s="247"/>
      <c r="F1340" s="247"/>
      <c r="G1340" s="248"/>
      <c r="H1340" s="249"/>
      <c r="I1340" s="250"/>
      <c r="J1340" s="234"/>
      <c r="K1340" s="244"/>
      <c r="L1340" s="244"/>
      <c r="M1340" s="244"/>
      <c r="N1340" s="244"/>
      <c r="O1340" s="244"/>
      <c r="P1340" s="244"/>
    </row>
    <row r="1341" ht="18.75" customHeight="1">
      <c r="A1341" s="246"/>
      <c r="B1341" s="247"/>
      <c r="C1341" s="247"/>
      <c r="D1341" s="247"/>
      <c r="E1341" s="251"/>
      <c r="F1341" s="247"/>
      <c r="G1341" s="252"/>
      <c r="H1341" s="253"/>
      <c r="I1341" s="254"/>
      <c r="J1341" s="235"/>
      <c r="K1341" s="244"/>
      <c r="L1341" s="244"/>
      <c r="M1341" s="244"/>
      <c r="N1341" s="244"/>
      <c r="O1341" s="244"/>
      <c r="P1341" s="244"/>
    </row>
    <row r="1342" ht="18.75" customHeight="1">
      <c r="A1342" s="246"/>
      <c r="B1342" s="247"/>
      <c r="C1342" s="247"/>
      <c r="D1342" s="247"/>
      <c r="E1342" s="247"/>
      <c r="F1342" s="247"/>
      <c r="G1342" s="248"/>
      <c r="H1342" s="249"/>
      <c r="I1342" s="250"/>
      <c r="J1342" s="234"/>
      <c r="K1342" s="244"/>
      <c r="L1342" s="244"/>
      <c r="M1342" s="244"/>
      <c r="N1342" s="244"/>
      <c r="O1342" s="244"/>
      <c r="P1342" s="244"/>
    </row>
    <row r="1343" ht="18.75" customHeight="1">
      <c r="A1343" s="246"/>
      <c r="B1343" s="247"/>
      <c r="C1343" s="247"/>
      <c r="D1343" s="247"/>
      <c r="E1343" s="251"/>
      <c r="F1343" s="247"/>
      <c r="G1343" s="252"/>
      <c r="H1343" s="253"/>
      <c r="I1343" s="254"/>
      <c r="J1343" s="235"/>
      <c r="K1343" s="244"/>
      <c r="L1343" s="244"/>
      <c r="M1343" s="244"/>
      <c r="N1343" s="244"/>
      <c r="O1343" s="244"/>
      <c r="P1343" s="244"/>
    </row>
    <row r="1344" ht="18.75" customHeight="1">
      <c r="A1344" s="246"/>
      <c r="B1344" s="247"/>
      <c r="C1344" s="247"/>
      <c r="D1344" s="247"/>
      <c r="E1344" s="247"/>
      <c r="F1344" s="247"/>
      <c r="G1344" s="248"/>
      <c r="H1344" s="249"/>
      <c r="I1344" s="250"/>
      <c r="J1344" s="234"/>
      <c r="K1344" s="244"/>
      <c r="L1344" s="244"/>
      <c r="M1344" s="244"/>
      <c r="N1344" s="244"/>
      <c r="O1344" s="244"/>
      <c r="P1344" s="244"/>
    </row>
    <row r="1345" ht="18.75" customHeight="1">
      <c r="A1345" s="246"/>
      <c r="B1345" s="247"/>
      <c r="C1345" s="247"/>
      <c r="D1345" s="247"/>
      <c r="E1345" s="251"/>
      <c r="F1345" s="247"/>
      <c r="G1345" s="252"/>
      <c r="H1345" s="253"/>
      <c r="I1345" s="254"/>
      <c r="J1345" s="235"/>
      <c r="K1345" s="244"/>
      <c r="L1345" s="244"/>
      <c r="M1345" s="244"/>
      <c r="N1345" s="244"/>
      <c r="O1345" s="244"/>
      <c r="P1345" s="244"/>
    </row>
    <row r="1346" ht="18.75" customHeight="1">
      <c r="A1346" s="246"/>
      <c r="B1346" s="247"/>
      <c r="C1346" s="247"/>
      <c r="D1346" s="247"/>
      <c r="E1346" s="247"/>
      <c r="F1346" s="247"/>
      <c r="G1346" s="248"/>
      <c r="H1346" s="249"/>
      <c r="I1346" s="250"/>
      <c r="J1346" s="234"/>
      <c r="K1346" s="244"/>
      <c r="L1346" s="244"/>
      <c r="M1346" s="244"/>
      <c r="N1346" s="244"/>
      <c r="O1346" s="244"/>
      <c r="P1346" s="244"/>
    </row>
    <row r="1347" ht="18.75" customHeight="1">
      <c r="A1347" s="246"/>
      <c r="B1347" s="247"/>
      <c r="C1347" s="247"/>
      <c r="D1347" s="247"/>
      <c r="E1347" s="251"/>
      <c r="F1347" s="247"/>
      <c r="G1347" s="252"/>
      <c r="H1347" s="253"/>
      <c r="I1347" s="254"/>
      <c r="J1347" s="235"/>
      <c r="K1347" s="244"/>
      <c r="L1347" s="244"/>
      <c r="M1347" s="244"/>
      <c r="N1347" s="244"/>
      <c r="O1347" s="244"/>
      <c r="P1347" s="244"/>
    </row>
    <row r="1348" ht="18.75" customHeight="1">
      <c r="A1348" s="246"/>
      <c r="B1348" s="247"/>
      <c r="C1348" s="247"/>
      <c r="D1348" s="247"/>
      <c r="E1348" s="247"/>
      <c r="F1348" s="247"/>
      <c r="G1348" s="248"/>
      <c r="H1348" s="249"/>
      <c r="I1348" s="250"/>
      <c r="J1348" s="234"/>
      <c r="K1348" s="244"/>
      <c r="L1348" s="244"/>
      <c r="M1348" s="244"/>
      <c r="N1348" s="244"/>
      <c r="O1348" s="244"/>
      <c r="P1348" s="244"/>
    </row>
    <row r="1349" ht="18.75" customHeight="1">
      <c r="A1349" s="246"/>
      <c r="B1349" s="247"/>
      <c r="C1349" s="247"/>
      <c r="D1349" s="247"/>
      <c r="E1349" s="251"/>
      <c r="F1349" s="247"/>
      <c r="G1349" s="252"/>
      <c r="H1349" s="253"/>
      <c r="I1349" s="254"/>
      <c r="J1349" s="235"/>
      <c r="K1349" s="244"/>
      <c r="L1349" s="244"/>
      <c r="M1349" s="244"/>
      <c r="N1349" s="244"/>
      <c r="O1349" s="244"/>
      <c r="P1349" s="244"/>
    </row>
    <row r="1350" ht="18.75" customHeight="1">
      <c r="A1350" s="246"/>
      <c r="B1350" s="247"/>
      <c r="C1350" s="247"/>
      <c r="D1350" s="247"/>
      <c r="E1350" s="247"/>
      <c r="F1350" s="247"/>
      <c r="G1350" s="248"/>
      <c r="H1350" s="249"/>
      <c r="I1350" s="250"/>
      <c r="J1350" s="234"/>
      <c r="K1350" s="244"/>
      <c r="L1350" s="244"/>
      <c r="M1350" s="244"/>
      <c r="N1350" s="244"/>
      <c r="O1350" s="244"/>
      <c r="P1350" s="244"/>
    </row>
    <row r="1351" ht="18.75" customHeight="1">
      <c r="A1351" s="246"/>
      <c r="B1351" s="247"/>
      <c r="C1351" s="247"/>
      <c r="D1351" s="247"/>
      <c r="E1351" s="251"/>
      <c r="F1351" s="247"/>
      <c r="G1351" s="252"/>
      <c r="H1351" s="253"/>
      <c r="I1351" s="254"/>
      <c r="J1351" s="235"/>
      <c r="K1351" s="244"/>
      <c r="L1351" s="244"/>
      <c r="M1351" s="244"/>
      <c r="N1351" s="244"/>
      <c r="O1351" s="244"/>
      <c r="P1351" s="244"/>
    </row>
    <row r="1352" ht="18.75" customHeight="1">
      <c r="A1352" s="246"/>
      <c r="B1352" s="247"/>
      <c r="C1352" s="247"/>
      <c r="D1352" s="247"/>
      <c r="E1352" s="247"/>
      <c r="F1352" s="247"/>
      <c r="G1352" s="248"/>
      <c r="H1352" s="249"/>
      <c r="I1352" s="250"/>
      <c r="J1352" s="234"/>
      <c r="K1352" s="244"/>
      <c r="L1352" s="244"/>
      <c r="M1352" s="244"/>
      <c r="N1352" s="244"/>
      <c r="O1352" s="244"/>
      <c r="P1352" s="244"/>
    </row>
    <row r="1353" ht="18.75" customHeight="1">
      <c r="A1353" s="246"/>
      <c r="B1353" s="247"/>
      <c r="C1353" s="247"/>
      <c r="D1353" s="247"/>
      <c r="E1353" s="251"/>
      <c r="F1353" s="247"/>
      <c r="G1353" s="252"/>
      <c r="H1353" s="253"/>
      <c r="I1353" s="254"/>
      <c r="J1353" s="235"/>
      <c r="K1353" s="244"/>
      <c r="L1353" s="244"/>
      <c r="M1353" s="244"/>
      <c r="N1353" s="244"/>
      <c r="O1353" s="244"/>
      <c r="P1353" s="244"/>
    </row>
    <row r="1354" ht="18.75" customHeight="1">
      <c r="A1354" s="246"/>
      <c r="B1354" s="247"/>
      <c r="C1354" s="247"/>
      <c r="D1354" s="247"/>
      <c r="E1354" s="247"/>
      <c r="F1354" s="247"/>
      <c r="G1354" s="248"/>
      <c r="H1354" s="249"/>
      <c r="I1354" s="250"/>
      <c r="J1354" s="234"/>
      <c r="K1354" s="244"/>
      <c r="L1354" s="244"/>
      <c r="M1354" s="244"/>
      <c r="N1354" s="244"/>
      <c r="O1354" s="244"/>
      <c r="P1354" s="244"/>
    </row>
    <row r="1355" ht="18.75" customHeight="1">
      <c r="A1355" s="246"/>
      <c r="B1355" s="247"/>
      <c r="C1355" s="247"/>
      <c r="D1355" s="247"/>
      <c r="E1355" s="251"/>
      <c r="F1355" s="247"/>
      <c r="G1355" s="252"/>
      <c r="H1355" s="253"/>
      <c r="I1355" s="254"/>
      <c r="J1355" s="235"/>
      <c r="K1355" s="244"/>
      <c r="L1355" s="244"/>
      <c r="M1355" s="244"/>
      <c r="N1355" s="244"/>
      <c r="O1355" s="244"/>
      <c r="P1355" s="244"/>
    </row>
    <row r="1356" ht="18.75" customHeight="1">
      <c r="A1356" s="246"/>
      <c r="B1356" s="247"/>
      <c r="C1356" s="247"/>
      <c r="D1356" s="247"/>
      <c r="E1356" s="247"/>
      <c r="F1356" s="247"/>
      <c r="G1356" s="248"/>
      <c r="H1356" s="249"/>
      <c r="I1356" s="250"/>
      <c r="J1356" s="234"/>
      <c r="K1356" s="244"/>
      <c r="L1356" s="244"/>
      <c r="M1356" s="244"/>
      <c r="N1356" s="244"/>
      <c r="O1356" s="244"/>
      <c r="P1356" s="244"/>
    </row>
    <row r="1357" ht="18.75" customHeight="1">
      <c r="A1357" s="246"/>
      <c r="B1357" s="247"/>
      <c r="C1357" s="247"/>
      <c r="D1357" s="247"/>
      <c r="E1357" s="251"/>
      <c r="F1357" s="247"/>
      <c r="G1357" s="252"/>
      <c r="H1357" s="253"/>
      <c r="I1357" s="254"/>
      <c r="J1357" s="235"/>
      <c r="K1357" s="244"/>
      <c r="L1357" s="244"/>
      <c r="M1357" s="244"/>
      <c r="N1357" s="244"/>
      <c r="O1357" s="244"/>
      <c r="P1357" s="244"/>
    </row>
    <row r="1358" ht="18.75" customHeight="1">
      <c r="A1358" s="246"/>
      <c r="B1358" s="247"/>
      <c r="C1358" s="247"/>
      <c r="D1358" s="247"/>
      <c r="E1358" s="247"/>
      <c r="F1358" s="247"/>
      <c r="G1358" s="248"/>
      <c r="H1358" s="249"/>
      <c r="I1358" s="250"/>
      <c r="J1358" s="234"/>
      <c r="K1358" s="244"/>
      <c r="L1358" s="244"/>
      <c r="M1358" s="244"/>
      <c r="N1358" s="244"/>
      <c r="O1358" s="244"/>
      <c r="P1358" s="244"/>
    </row>
    <row r="1359" ht="18.75" customHeight="1">
      <c r="A1359" s="246"/>
      <c r="B1359" s="247"/>
      <c r="C1359" s="247"/>
      <c r="D1359" s="247"/>
      <c r="E1359" s="251"/>
      <c r="F1359" s="247"/>
      <c r="G1359" s="252"/>
      <c r="H1359" s="253"/>
      <c r="I1359" s="254"/>
      <c r="J1359" s="235"/>
      <c r="K1359" s="244"/>
      <c r="L1359" s="244"/>
      <c r="M1359" s="244"/>
      <c r="N1359" s="244"/>
      <c r="O1359" s="244"/>
      <c r="P1359" s="244"/>
    </row>
    <row r="1360" ht="18.75" customHeight="1">
      <c r="A1360" s="246"/>
      <c r="B1360" s="247"/>
      <c r="C1360" s="247"/>
      <c r="D1360" s="247"/>
      <c r="E1360" s="247"/>
      <c r="F1360" s="247"/>
      <c r="G1360" s="248"/>
      <c r="H1360" s="249"/>
      <c r="I1360" s="250"/>
      <c r="J1360" s="234"/>
      <c r="K1360" s="244"/>
      <c r="L1360" s="244"/>
      <c r="M1360" s="244"/>
      <c r="N1360" s="244"/>
      <c r="O1360" s="244"/>
      <c r="P1360" s="244"/>
    </row>
    <row r="1361" ht="18.75" customHeight="1">
      <c r="A1361" s="246"/>
      <c r="B1361" s="247"/>
      <c r="C1361" s="247"/>
      <c r="D1361" s="247"/>
      <c r="E1361" s="251"/>
      <c r="F1361" s="247"/>
      <c r="G1361" s="252"/>
      <c r="H1361" s="253"/>
      <c r="I1361" s="254"/>
      <c r="J1361" s="235"/>
      <c r="K1361" s="244"/>
      <c r="L1361" s="244"/>
      <c r="M1361" s="244"/>
      <c r="N1361" s="244"/>
      <c r="O1361" s="244"/>
      <c r="P1361" s="244"/>
    </row>
    <row r="1362" ht="18.75" customHeight="1">
      <c r="A1362" s="246"/>
      <c r="B1362" s="247"/>
      <c r="C1362" s="247"/>
      <c r="D1362" s="247"/>
      <c r="E1362" s="247"/>
      <c r="F1362" s="247"/>
      <c r="G1362" s="248"/>
      <c r="H1362" s="249"/>
      <c r="I1362" s="250"/>
      <c r="J1362" s="234"/>
      <c r="K1362" s="244"/>
      <c r="L1362" s="244"/>
      <c r="M1362" s="244"/>
      <c r="N1362" s="244"/>
      <c r="O1362" s="244"/>
      <c r="P1362" s="244"/>
    </row>
    <row r="1363" ht="18.75" customHeight="1">
      <c r="A1363" s="246"/>
      <c r="B1363" s="247"/>
      <c r="C1363" s="247"/>
      <c r="D1363" s="247"/>
      <c r="E1363" s="251"/>
      <c r="F1363" s="247"/>
      <c r="G1363" s="252"/>
      <c r="H1363" s="253"/>
      <c r="I1363" s="254"/>
      <c r="J1363" s="235"/>
      <c r="K1363" s="244"/>
      <c r="L1363" s="244"/>
      <c r="M1363" s="244"/>
      <c r="N1363" s="244"/>
      <c r="O1363" s="244"/>
      <c r="P1363" s="244"/>
    </row>
    <row r="1364" ht="18.75" customHeight="1">
      <c r="A1364" s="246"/>
      <c r="B1364" s="247"/>
      <c r="C1364" s="247"/>
      <c r="D1364" s="247"/>
      <c r="E1364" s="247"/>
      <c r="F1364" s="247"/>
      <c r="G1364" s="248"/>
      <c r="H1364" s="249"/>
      <c r="I1364" s="250"/>
      <c r="J1364" s="234"/>
      <c r="K1364" s="244"/>
      <c r="L1364" s="244"/>
      <c r="M1364" s="244"/>
      <c r="N1364" s="244"/>
      <c r="O1364" s="244"/>
      <c r="P1364" s="244"/>
    </row>
    <row r="1365" ht="18.75" customHeight="1">
      <c r="A1365" s="246"/>
      <c r="B1365" s="247"/>
      <c r="C1365" s="247"/>
      <c r="D1365" s="247"/>
      <c r="E1365" s="251"/>
      <c r="F1365" s="247"/>
      <c r="G1365" s="252"/>
      <c r="H1365" s="253"/>
      <c r="I1365" s="254"/>
      <c r="J1365" s="235"/>
      <c r="K1365" s="244"/>
      <c r="L1365" s="244"/>
      <c r="M1365" s="244"/>
      <c r="N1365" s="244"/>
      <c r="O1365" s="244"/>
      <c r="P1365" s="244"/>
    </row>
    <row r="1366" ht="18.75" customHeight="1">
      <c r="A1366" s="246"/>
      <c r="B1366" s="247"/>
      <c r="C1366" s="247"/>
      <c r="D1366" s="247"/>
      <c r="E1366" s="247"/>
      <c r="F1366" s="247"/>
      <c r="G1366" s="248"/>
      <c r="H1366" s="249"/>
      <c r="I1366" s="250"/>
      <c r="J1366" s="234"/>
      <c r="K1366" s="244"/>
      <c r="L1366" s="244"/>
      <c r="M1366" s="244"/>
      <c r="N1366" s="244"/>
      <c r="O1366" s="244"/>
      <c r="P1366" s="244"/>
    </row>
    <row r="1367" ht="18.75" customHeight="1">
      <c r="A1367" s="246"/>
      <c r="B1367" s="247"/>
      <c r="C1367" s="247"/>
      <c r="D1367" s="247"/>
      <c r="E1367" s="251"/>
      <c r="F1367" s="247"/>
      <c r="G1367" s="252"/>
      <c r="H1367" s="253"/>
      <c r="I1367" s="254"/>
      <c r="J1367" s="235"/>
      <c r="K1367" s="244"/>
      <c r="L1367" s="244"/>
      <c r="M1367" s="244"/>
      <c r="N1367" s="244"/>
      <c r="O1367" s="244"/>
      <c r="P1367" s="244"/>
    </row>
    <row r="1368" ht="18.75" customHeight="1">
      <c r="A1368" s="246"/>
      <c r="B1368" s="247"/>
      <c r="C1368" s="247"/>
      <c r="D1368" s="247"/>
      <c r="E1368" s="247"/>
      <c r="F1368" s="247"/>
      <c r="G1368" s="248"/>
      <c r="H1368" s="249"/>
      <c r="I1368" s="250"/>
      <c r="J1368" s="234"/>
      <c r="K1368" s="244"/>
      <c r="L1368" s="244"/>
      <c r="M1368" s="244"/>
      <c r="N1368" s="244"/>
      <c r="O1368" s="244"/>
      <c r="P1368" s="244"/>
    </row>
    <row r="1369" ht="18.75" customHeight="1">
      <c r="A1369" s="246"/>
      <c r="B1369" s="247"/>
      <c r="C1369" s="247"/>
      <c r="D1369" s="247"/>
      <c r="E1369" s="251"/>
      <c r="F1369" s="247"/>
      <c r="G1369" s="252"/>
      <c r="H1369" s="253"/>
      <c r="I1369" s="254"/>
      <c r="J1369" s="235"/>
      <c r="K1369" s="244"/>
      <c r="L1369" s="244"/>
      <c r="M1369" s="244"/>
      <c r="N1369" s="244"/>
      <c r="O1369" s="244"/>
      <c r="P1369" s="244"/>
    </row>
    <row r="1370" ht="18.75" customHeight="1">
      <c r="A1370" s="246"/>
      <c r="B1370" s="247"/>
      <c r="C1370" s="247"/>
      <c r="D1370" s="247"/>
      <c r="E1370" s="247"/>
      <c r="F1370" s="247"/>
      <c r="G1370" s="248"/>
      <c r="H1370" s="249"/>
      <c r="I1370" s="250"/>
      <c r="J1370" s="234"/>
      <c r="K1370" s="244"/>
      <c r="L1370" s="244"/>
      <c r="M1370" s="244"/>
      <c r="N1370" s="244"/>
      <c r="O1370" s="244"/>
      <c r="P1370" s="244"/>
    </row>
    <row r="1371" ht="18.75" customHeight="1">
      <c r="A1371" s="246"/>
      <c r="B1371" s="247"/>
      <c r="C1371" s="247"/>
      <c r="D1371" s="247"/>
      <c r="E1371" s="251"/>
      <c r="F1371" s="247"/>
      <c r="G1371" s="252"/>
      <c r="H1371" s="253"/>
      <c r="I1371" s="254"/>
      <c r="J1371" s="235"/>
      <c r="K1371" s="244"/>
      <c r="L1371" s="244"/>
      <c r="M1371" s="244"/>
      <c r="N1371" s="244"/>
      <c r="O1371" s="244"/>
      <c r="P1371" s="244"/>
    </row>
    <row r="1372" ht="18.75" customHeight="1">
      <c r="A1372" s="246"/>
      <c r="B1372" s="247"/>
      <c r="C1372" s="247"/>
      <c r="D1372" s="247"/>
      <c r="E1372" s="247"/>
      <c r="F1372" s="247"/>
      <c r="G1372" s="248"/>
      <c r="H1372" s="249"/>
      <c r="I1372" s="250"/>
      <c r="J1372" s="234"/>
      <c r="K1372" s="244"/>
      <c r="L1372" s="244"/>
      <c r="M1372" s="244"/>
      <c r="N1372" s="244"/>
      <c r="O1372" s="244"/>
      <c r="P1372" s="244"/>
    </row>
    <row r="1373" ht="18.75" customHeight="1">
      <c r="A1373" s="246"/>
      <c r="B1373" s="247"/>
      <c r="C1373" s="247"/>
      <c r="D1373" s="247"/>
      <c r="E1373" s="251"/>
      <c r="F1373" s="247"/>
      <c r="G1373" s="252"/>
      <c r="H1373" s="253"/>
      <c r="I1373" s="254"/>
      <c r="J1373" s="235"/>
      <c r="K1373" s="244"/>
      <c r="L1373" s="244"/>
      <c r="M1373" s="244"/>
      <c r="N1373" s="244"/>
      <c r="O1373" s="244"/>
      <c r="P1373" s="244"/>
    </row>
    <row r="1374" ht="18.75" customHeight="1">
      <c r="A1374" s="246"/>
      <c r="B1374" s="247"/>
      <c r="C1374" s="247"/>
      <c r="D1374" s="247"/>
      <c r="E1374" s="247"/>
      <c r="F1374" s="247"/>
      <c r="G1374" s="248"/>
      <c r="H1374" s="249"/>
      <c r="I1374" s="250"/>
      <c r="J1374" s="234"/>
      <c r="K1374" s="244"/>
      <c r="L1374" s="244"/>
      <c r="M1374" s="244"/>
      <c r="N1374" s="244"/>
      <c r="O1374" s="244"/>
      <c r="P1374" s="244"/>
    </row>
    <row r="1375" ht="18.75" customHeight="1">
      <c r="A1375" s="246"/>
      <c r="B1375" s="247"/>
      <c r="C1375" s="247"/>
      <c r="D1375" s="247"/>
      <c r="E1375" s="251"/>
      <c r="F1375" s="247"/>
      <c r="G1375" s="252"/>
      <c r="H1375" s="253"/>
      <c r="I1375" s="254"/>
      <c r="J1375" s="235"/>
      <c r="K1375" s="244"/>
      <c r="L1375" s="244"/>
      <c r="M1375" s="244"/>
      <c r="N1375" s="244"/>
      <c r="O1375" s="244"/>
      <c r="P1375" s="244"/>
    </row>
    <row r="1376" ht="18.75" customHeight="1">
      <c r="A1376" s="246"/>
      <c r="B1376" s="247"/>
      <c r="C1376" s="247"/>
      <c r="D1376" s="247"/>
      <c r="E1376" s="247"/>
      <c r="F1376" s="247"/>
      <c r="G1376" s="248"/>
      <c r="H1376" s="249"/>
      <c r="I1376" s="250"/>
      <c r="J1376" s="234"/>
      <c r="K1376" s="244"/>
      <c r="L1376" s="244"/>
      <c r="M1376" s="244"/>
      <c r="N1376" s="244"/>
      <c r="O1376" s="244"/>
      <c r="P1376" s="244"/>
    </row>
    <row r="1377" ht="18.75" customHeight="1">
      <c r="A1377" s="246"/>
      <c r="B1377" s="247"/>
      <c r="C1377" s="247"/>
      <c r="D1377" s="247"/>
      <c r="E1377" s="251"/>
      <c r="F1377" s="247"/>
      <c r="G1377" s="252"/>
      <c r="H1377" s="253"/>
      <c r="I1377" s="254"/>
      <c r="J1377" s="235"/>
      <c r="K1377" s="244"/>
      <c r="L1377" s="244"/>
      <c r="M1377" s="244"/>
      <c r="N1377" s="244"/>
      <c r="O1377" s="244"/>
      <c r="P1377" s="244"/>
    </row>
    <row r="1378" ht="18.75" customHeight="1">
      <c r="A1378" s="246"/>
      <c r="B1378" s="247"/>
      <c r="C1378" s="247"/>
      <c r="D1378" s="247"/>
      <c r="E1378" s="247"/>
      <c r="F1378" s="247"/>
      <c r="G1378" s="248"/>
      <c r="H1378" s="249"/>
      <c r="I1378" s="250"/>
      <c r="J1378" s="234"/>
      <c r="K1378" s="244"/>
      <c r="L1378" s="244"/>
      <c r="M1378" s="244"/>
      <c r="N1378" s="244"/>
      <c r="O1378" s="244"/>
      <c r="P1378" s="244"/>
    </row>
    <row r="1379" ht="18.75" customHeight="1">
      <c r="A1379" s="246"/>
      <c r="B1379" s="247"/>
      <c r="C1379" s="247"/>
      <c r="D1379" s="247"/>
      <c r="E1379" s="251"/>
      <c r="F1379" s="247"/>
      <c r="G1379" s="252"/>
      <c r="H1379" s="253"/>
      <c r="I1379" s="254"/>
      <c r="J1379" s="235"/>
      <c r="K1379" s="244"/>
      <c r="L1379" s="244"/>
      <c r="M1379" s="244"/>
      <c r="N1379" s="244"/>
      <c r="O1379" s="244"/>
      <c r="P1379" s="244"/>
    </row>
    <row r="1380" ht="18.75" customHeight="1">
      <c r="A1380" s="246"/>
      <c r="B1380" s="247"/>
      <c r="C1380" s="247"/>
      <c r="D1380" s="247"/>
      <c r="E1380" s="247"/>
      <c r="F1380" s="247"/>
      <c r="G1380" s="248"/>
      <c r="H1380" s="249"/>
      <c r="I1380" s="250"/>
      <c r="J1380" s="234"/>
      <c r="K1380" s="244"/>
      <c r="L1380" s="244"/>
      <c r="M1380" s="244"/>
      <c r="N1380" s="244"/>
      <c r="O1380" s="244"/>
      <c r="P1380" s="244"/>
    </row>
    <row r="1381" ht="18.75" customHeight="1">
      <c r="A1381" s="246"/>
      <c r="B1381" s="247"/>
      <c r="C1381" s="247"/>
      <c r="D1381" s="247"/>
      <c r="E1381" s="251"/>
      <c r="F1381" s="247"/>
      <c r="G1381" s="252"/>
      <c r="H1381" s="253"/>
      <c r="I1381" s="254"/>
      <c r="J1381" s="235"/>
      <c r="K1381" s="244"/>
      <c r="L1381" s="244"/>
      <c r="M1381" s="244"/>
      <c r="N1381" s="244"/>
      <c r="O1381" s="244"/>
      <c r="P1381" s="244"/>
    </row>
    <row r="1382" ht="18.75" customHeight="1">
      <c r="A1382" s="246"/>
      <c r="B1382" s="247"/>
      <c r="C1382" s="247"/>
      <c r="D1382" s="247"/>
      <c r="E1382" s="247"/>
      <c r="F1382" s="247"/>
      <c r="G1382" s="248"/>
      <c r="H1382" s="249"/>
      <c r="I1382" s="250"/>
      <c r="J1382" s="234"/>
      <c r="K1382" s="244"/>
      <c r="L1382" s="244"/>
      <c r="M1382" s="244"/>
      <c r="N1382" s="244"/>
      <c r="O1382" s="244"/>
      <c r="P1382" s="244"/>
    </row>
    <row r="1383" ht="18.75" customHeight="1">
      <c r="A1383" s="246"/>
      <c r="B1383" s="247"/>
      <c r="C1383" s="247"/>
      <c r="D1383" s="247"/>
      <c r="E1383" s="251"/>
      <c r="F1383" s="247"/>
      <c r="G1383" s="252"/>
      <c r="H1383" s="253"/>
      <c r="I1383" s="254"/>
      <c r="J1383" s="235"/>
      <c r="K1383" s="244"/>
      <c r="L1383" s="244"/>
      <c r="M1383" s="244"/>
      <c r="N1383" s="244"/>
      <c r="O1383" s="244"/>
      <c r="P1383" s="244"/>
    </row>
    <row r="1384" ht="18.75" customHeight="1">
      <c r="A1384" s="246"/>
      <c r="B1384" s="247"/>
      <c r="C1384" s="247"/>
      <c r="D1384" s="247"/>
      <c r="E1384" s="247"/>
      <c r="F1384" s="247"/>
      <c r="G1384" s="248"/>
      <c r="H1384" s="249"/>
      <c r="I1384" s="250"/>
      <c r="J1384" s="234"/>
      <c r="K1384" s="244"/>
      <c r="L1384" s="244"/>
      <c r="M1384" s="244"/>
      <c r="N1384" s="244"/>
      <c r="O1384" s="244"/>
      <c r="P1384" s="244"/>
    </row>
    <row r="1385" ht="18.75" customHeight="1">
      <c r="A1385" s="246"/>
      <c r="B1385" s="247"/>
      <c r="C1385" s="247"/>
      <c r="D1385" s="247"/>
      <c r="E1385" s="251"/>
      <c r="F1385" s="247"/>
      <c r="G1385" s="252"/>
      <c r="H1385" s="253"/>
      <c r="I1385" s="254"/>
      <c r="J1385" s="235"/>
      <c r="K1385" s="244"/>
      <c r="L1385" s="244"/>
      <c r="M1385" s="244"/>
      <c r="N1385" s="244"/>
      <c r="O1385" s="244"/>
      <c r="P1385" s="244"/>
    </row>
    <row r="1386" ht="18.75" customHeight="1">
      <c r="A1386" s="246"/>
      <c r="B1386" s="247"/>
      <c r="C1386" s="247"/>
      <c r="D1386" s="247"/>
      <c r="E1386" s="247"/>
      <c r="F1386" s="247"/>
      <c r="G1386" s="248"/>
      <c r="H1386" s="249"/>
      <c r="I1386" s="250"/>
      <c r="J1386" s="234"/>
      <c r="K1386" s="244"/>
      <c r="L1386" s="244"/>
      <c r="M1386" s="244"/>
      <c r="N1386" s="244"/>
      <c r="O1386" s="244"/>
      <c r="P1386" s="244"/>
    </row>
    <row r="1387" ht="18.75" customHeight="1">
      <c r="A1387" s="246"/>
      <c r="B1387" s="247"/>
      <c r="C1387" s="247"/>
      <c r="D1387" s="247"/>
      <c r="E1387" s="251"/>
      <c r="F1387" s="247"/>
      <c r="G1387" s="252"/>
      <c r="H1387" s="253"/>
      <c r="I1387" s="254"/>
      <c r="J1387" s="235"/>
      <c r="K1387" s="244"/>
      <c r="L1387" s="244"/>
      <c r="M1387" s="244"/>
      <c r="N1387" s="244"/>
      <c r="O1387" s="244"/>
      <c r="P1387" s="244"/>
    </row>
    <row r="1388" ht="18.75" customHeight="1">
      <c r="A1388" s="246"/>
      <c r="B1388" s="247"/>
      <c r="C1388" s="247"/>
      <c r="D1388" s="247"/>
      <c r="E1388" s="247"/>
      <c r="F1388" s="247"/>
      <c r="G1388" s="248"/>
      <c r="H1388" s="249"/>
      <c r="I1388" s="250"/>
      <c r="J1388" s="234"/>
      <c r="K1388" s="244"/>
      <c r="L1388" s="244"/>
      <c r="M1388" s="244"/>
      <c r="N1388" s="244"/>
      <c r="O1388" s="244"/>
      <c r="P1388" s="244"/>
    </row>
    <row r="1389" ht="18.75" customHeight="1">
      <c r="A1389" s="246"/>
      <c r="B1389" s="247"/>
      <c r="C1389" s="247"/>
      <c r="D1389" s="247"/>
      <c r="E1389" s="251"/>
      <c r="F1389" s="247"/>
      <c r="G1389" s="252"/>
      <c r="H1389" s="253"/>
      <c r="I1389" s="254"/>
      <c r="J1389" s="235"/>
      <c r="K1389" s="244"/>
      <c r="L1389" s="244"/>
      <c r="M1389" s="244"/>
      <c r="N1389" s="244"/>
      <c r="O1389" s="244"/>
      <c r="P1389" s="244"/>
    </row>
    <row r="1390" ht="18.75" customHeight="1">
      <c r="A1390" s="246"/>
      <c r="B1390" s="247"/>
      <c r="C1390" s="247"/>
      <c r="D1390" s="247"/>
      <c r="E1390" s="247"/>
      <c r="F1390" s="247"/>
      <c r="G1390" s="248"/>
      <c r="H1390" s="249"/>
      <c r="I1390" s="250"/>
      <c r="J1390" s="234"/>
      <c r="K1390" s="244"/>
      <c r="L1390" s="244"/>
      <c r="M1390" s="244"/>
      <c r="N1390" s="244"/>
      <c r="O1390" s="244"/>
      <c r="P1390" s="244"/>
    </row>
    <row r="1391" ht="18.75" customHeight="1">
      <c r="A1391" s="246"/>
      <c r="B1391" s="247"/>
      <c r="C1391" s="247"/>
      <c r="D1391" s="247"/>
      <c r="E1391" s="251"/>
      <c r="F1391" s="247"/>
      <c r="G1391" s="252"/>
      <c r="H1391" s="253"/>
      <c r="I1391" s="254"/>
      <c r="J1391" s="235"/>
      <c r="K1391" s="244"/>
      <c r="L1391" s="244"/>
      <c r="M1391" s="244"/>
      <c r="N1391" s="244"/>
      <c r="O1391" s="244"/>
      <c r="P1391" s="244"/>
    </row>
    <row r="1392" ht="18.75" customHeight="1">
      <c r="A1392" s="246"/>
      <c r="B1392" s="247"/>
      <c r="C1392" s="247"/>
      <c r="D1392" s="247"/>
      <c r="E1392" s="247"/>
      <c r="F1392" s="247"/>
      <c r="G1392" s="248"/>
      <c r="H1392" s="249"/>
      <c r="I1392" s="250"/>
      <c r="J1392" s="234"/>
      <c r="K1392" s="244"/>
      <c r="L1392" s="244"/>
      <c r="M1392" s="244"/>
      <c r="N1392" s="244"/>
      <c r="O1392" s="244"/>
      <c r="P1392" s="244"/>
    </row>
    <row r="1393" ht="18.75" customHeight="1">
      <c r="A1393" s="246"/>
      <c r="B1393" s="247"/>
      <c r="C1393" s="247"/>
      <c r="D1393" s="247"/>
      <c r="E1393" s="251"/>
      <c r="F1393" s="247"/>
      <c r="G1393" s="252"/>
      <c r="H1393" s="253"/>
      <c r="I1393" s="254"/>
      <c r="J1393" s="235"/>
      <c r="K1393" s="244"/>
      <c r="L1393" s="244"/>
      <c r="M1393" s="244"/>
      <c r="N1393" s="244"/>
      <c r="O1393" s="244"/>
      <c r="P1393" s="244"/>
    </row>
    <row r="1394" ht="18.75" customHeight="1">
      <c r="A1394" s="246"/>
      <c r="B1394" s="247"/>
      <c r="C1394" s="247"/>
      <c r="D1394" s="247"/>
      <c r="E1394" s="247"/>
      <c r="F1394" s="247"/>
      <c r="G1394" s="248"/>
      <c r="H1394" s="249"/>
      <c r="I1394" s="250"/>
      <c r="J1394" s="234"/>
      <c r="K1394" s="244"/>
      <c r="L1394" s="244"/>
      <c r="M1394" s="244"/>
      <c r="N1394" s="244"/>
      <c r="O1394" s="244"/>
      <c r="P1394" s="244"/>
    </row>
    <row r="1395" ht="18.75" customHeight="1">
      <c r="A1395" s="246"/>
      <c r="B1395" s="247"/>
      <c r="C1395" s="247"/>
      <c r="D1395" s="247"/>
      <c r="E1395" s="251"/>
      <c r="F1395" s="247"/>
      <c r="G1395" s="252"/>
      <c r="H1395" s="253"/>
      <c r="I1395" s="254"/>
      <c r="J1395" s="235"/>
      <c r="K1395" s="244"/>
      <c r="L1395" s="244"/>
      <c r="M1395" s="244"/>
      <c r="N1395" s="244"/>
      <c r="O1395" s="244"/>
      <c r="P1395" s="244"/>
    </row>
    <row r="1396" ht="18.75" customHeight="1">
      <c r="A1396" s="246"/>
      <c r="B1396" s="247"/>
      <c r="C1396" s="247"/>
      <c r="D1396" s="247"/>
      <c r="E1396" s="247"/>
      <c r="F1396" s="247"/>
      <c r="G1396" s="248"/>
      <c r="H1396" s="249"/>
      <c r="I1396" s="250"/>
      <c r="J1396" s="234"/>
      <c r="K1396" s="244"/>
      <c r="L1396" s="244"/>
      <c r="M1396" s="244"/>
      <c r="N1396" s="244"/>
      <c r="O1396" s="244"/>
      <c r="P1396" s="244"/>
    </row>
    <row r="1397" ht="18.75" customHeight="1">
      <c r="A1397" s="246"/>
      <c r="B1397" s="247"/>
      <c r="C1397" s="247"/>
      <c r="D1397" s="247"/>
      <c r="E1397" s="251"/>
      <c r="F1397" s="247"/>
      <c r="G1397" s="252"/>
      <c r="H1397" s="253"/>
      <c r="I1397" s="254"/>
      <c r="J1397" s="235"/>
      <c r="K1397" s="244"/>
      <c r="L1397" s="244"/>
      <c r="M1397" s="244"/>
      <c r="N1397" s="244"/>
      <c r="O1397" s="244"/>
      <c r="P1397" s="244"/>
    </row>
    <row r="1398" ht="18.75" customHeight="1">
      <c r="A1398" s="246"/>
      <c r="B1398" s="247"/>
      <c r="C1398" s="247"/>
      <c r="D1398" s="247"/>
      <c r="E1398" s="247"/>
      <c r="F1398" s="247"/>
      <c r="G1398" s="248"/>
      <c r="H1398" s="249"/>
      <c r="I1398" s="250"/>
      <c r="J1398" s="234"/>
      <c r="K1398" s="244"/>
      <c r="L1398" s="244"/>
      <c r="M1398" s="244"/>
      <c r="N1398" s="244"/>
      <c r="O1398" s="244"/>
      <c r="P1398" s="244"/>
    </row>
    <row r="1399" ht="18.75" customHeight="1">
      <c r="A1399" s="246"/>
      <c r="B1399" s="247"/>
      <c r="C1399" s="247"/>
      <c r="D1399" s="247"/>
      <c r="E1399" s="251"/>
      <c r="F1399" s="247"/>
      <c r="G1399" s="252"/>
      <c r="H1399" s="253"/>
      <c r="I1399" s="254"/>
      <c r="J1399" s="235"/>
      <c r="K1399" s="244"/>
      <c r="L1399" s="244"/>
      <c r="M1399" s="244"/>
      <c r="N1399" s="244"/>
      <c r="O1399" s="244"/>
      <c r="P1399" s="244"/>
    </row>
    <row r="1400" ht="18.75" customHeight="1">
      <c r="A1400" s="246"/>
      <c r="B1400" s="247"/>
      <c r="C1400" s="247"/>
      <c r="D1400" s="247"/>
      <c r="E1400" s="247"/>
      <c r="F1400" s="247"/>
      <c r="G1400" s="248"/>
      <c r="H1400" s="249"/>
      <c r="I1400" s="250"/>
      <c r="J1400" s="234"/>
      <c r="K1400" s="244"/>
      <c r="L1400" s="244"/>
      <c r="M1400" s="244"/>
      <c r="N1400" s="244"/>
      <c r="O1400" s="244"/>
      <c r="P1400" s="244"/>
    </row>
    <row r="1401" ht="18.75" customHeight="1">
      <c r="A1401" s="246"/>
      <c r="B1401" s="247"/>
      <c r="C1401" s="247"/>
      <c r="D1401" s="247"/>
      <c r="E1401" s="251"/>
      <c r="F1401" s="247"/>
      <c r="G1401" s="252"/>
      <c r="H1401" s="253"/>
      <c r="I1401" s="254"/>
      <c r="J1401" s="235"/>
      <c r="K1401" s="244"/>
      <c r="L1401" s="244"/>
      <c r="M1401" s="244"/>
      <c r="N1401" s="244"/>
      <c r="O1401" s="244"/>
      <c r="P1401" s="244"/>
    </row>
    <row r="1402" ht="18.75" customHeight="1">
      <c r="A1402" s="246"/>
      <c r="B1402" s="247"/>
      <c r="C1402" s="247"/>
      <c r="D1402" s="247"/>
      <c r="E1402" s="247"/>
      <c r="F1402" s="247"/>
      <c r="G1402" s="248"/>
      <c r="H1402" s="249"/>
      <c r="I1402" s="250"/>
      <c r="J1402" s="234"/>
      <c r="K1402" s="244"/>
      <c r="L1402" s="244"/>
      <c r="M1402" s="244"/>
      <c r="N1402" s="244"/>
      <c r="O1402" s="244"/>
      <c r="P1402" s="244"/>
    </row>
    <row r="1403" ht="18.75" customHeight="1">
      <c r="A1403" s="246"/>
      <c r="B1403" s="247"/>
      <c r="C1403" s="247"/>
      <c r="D1403" s="247"/>
      <c r="E1403" s="251"/>
      <c r="F1403" s="247"/>
      <c r="G1403" s="252"/>
      <c r="H1403" s="253"/>
      <c r="I1403" s="254"/>
      <c r="J1403" s="235"/>
      <c r="K1403" s="244"/>
      <c r="L1403" s="244"/>
      <c r="M1403" s="244"/>
      <c r="N1403" s="244"/>
      <c r="O1403" s="244"/>
      <c r="P1403" s="244"/>
    </row>
    <row r="1404" ht="18.75" customHeight="1">
      <c r="A1404" s="246"/>
      <c r="B1404" s="247"/>
      <c r="C1404" s="247"/>
      <c r="D1404" s="247"/>
      <c r="E1404" s="247"/>
      <c r="F1404" s="247"/>
      <c r="G1404" s="248"/>
      <c r="H1404" s="249"/>
      <c r="I1404" s="250"/>
      <c r="J1404" s="234"/>
      <c r="K1404" s="244"/>
      <c r="L1404" s="244"/>
      <c r="M1404" s="244"/>
      <c r="N1404" s="244"/>
      <c r="O1404" s="244"/>
      <c r="P1404" s="244"/>
    </row>
    <row r="1405" ht="18.75" customHeight="1">
      <c r="A1405" s="246"/>
      <c r="B1405" s="247"/>
      <c r="C1405" s="247"/>
      <c r="D1405" s="247"/>
      <c r="E1405" s="251"/>
      <c r="F1405" s="247"/>
      <c r="G1405" s="252"/>
      <c r="H1405" s="253"/>
      <c r="I1405" s="254"/>
      <c r="J1405" s="235"/>
      <c r="K1405" s="244"/>
      <c r="L1405" s="244"/>
      <c r="M1405" s="244"/>
      <c r="N1405" s="244"/>
      <c r="O1405" s="244"/>
      <c r="P1405" s="244"/>
    </row>
    <row r="1406" ht="18.75" customHeight="1">
      <c r="A1406" s="246"/>
      <c r="B1406" s="247"/>
      <c r="C1406" s="247"/>
      <c r="D1406" s="247"/>
      <c r="E1406" s="247"/>
      <c r="F1406" s="247"/>
      <c r="G1406" s="248"/>
      <c r="H1406" s="249"/>
      <c r="I1406" s="250"/>
      <c r="J1406" s="234"/>
      <c r="K1406" s="244"/>
      <c r="L1406" s="244"/>
      <c r="M1406" s="244"/>
      <c r="N1406" s="244"/>
      <c r="O1406" s="244"/>
      <c r="P1406" s="244"/>
    </row>
    <row r="1407" ht="18.75" customHeight="1">
      <c r="A1407" s="246"/>
      <c r="B1407" s="247"/>
      <c r="C1407" s="247"/>
      <c r="D1407" s="247"/>
      <c r="E1407" s="251"/>
      <c r="F1407" s="247"/>
      <c r="G1407" s="252"/>
      <c r="H1407" s="253"/>
      <c r="I1407" s="254"/>
      <c r="J1407" s="235"/>
      <c r="K1407" s="244"/>
      <c r="L1407" s="244"/>
      <c r="M1407" s="244"/>
      <c r="N1407" s="244"/>
      <c r="O1407" s="244"/>
      <c r="P1407" s="244"/>
    </row>
    <row r="1408" ht="18.75" customHeight="1">
      <c r="A1408" s="246"/>
      <c r="B1408" s="247"/>
      <c r="C1408" s="247"/>
      <c r="D1408" s="247"/>
      <c r="E1408" s="247"/>
      <c r="F1408" s="247"/>
      <c r="G1408" s="248"/>
      <c r="H1408" s="249"/>
      <c r="I1408" s="250"/>
      <c r="J1408" s="234"/>
      <c r="K1408" s="244"/>
      <c r="L1408" s="244"/>
      <c r="M1408" s="244"/>
      <c r="N1408" s="244"/>
      <c r="O1408" s="244"/>
      <c r="P1408" s="244"/>
    </row>
    <row r="1409" ht="18.75" customHeight="1">
      <c r="A1409" s="246"/>
      <c r="B1409" s="247"/>
      <c r="C1409" s="247"/>
      <c r="D1409" s="247"/>
      <c r="E1409" s="251"/>
      <c r="F1409" s="247"/>
      <c r="G1409" s="252"/>
      <c r="H1409" s="253"/>
      <c r="I1409" s="254"/>
      <c r="J1409" s="235"/>
      <c r="K1409" s="244"/>
      <c r="L1409" s="244"/>
      <c r="M1409" s="244"/>
      <c r="N1409" s="244"/>
      <c r="O1409" s="244"/>
      <c r="P1409" s="244"/>
    </row>
    <row r="1410" ht="18.75" customHeight="1">
      <c r="A1410" s="246"/>
      <c r="B1410" s="247"/>
      <c r="C1410" s="247"/>
      <c r="D1410" s="247"/>
      <c r="E1410" s="247"/>
      <c r="F1410" s="247"/>
      <c r="G1410" s="248"/>
      <c r="H1410" s="249"/>
      <c r="I1410" s="250"/>
      <c r="J1410" s="234"/>
      <c r="K1410" s="244"/>
      <c r="L1410" s="244"/>
      <c r="M1410" s="244"/>
      <c r="N1410" s="244"/>
      <c r="O1410" s="244"/>
      <c r="P1410" s="244"/>
    </row>
    <row r="1411" ht="18.75" customHeight="1">
      <c r="A1411" s="246"/>
      <c r="B1411" s="247"/>
      <c r="C1411" s="247"/>
      <c r="D1411" s="247"/>
      <c r="E1411" s="251"/>
      <c r="F1411" s="247"/>
      <c r="G1411" s="252"/>
      <c r="H1411" s="253"/>
      <c r="I1411" s="254"/>
      <c r="J1411" s="235"/>
      <c r="K1411" s="244"/>
      <c r="L1411" s="244"/>
      <c r="M1411" s="244"/>
      <c r="N1411" s="244"/>
      <c r="O1411" s="244"/>
      <c r="P1411" s="244"/>
    </row>
    <row r="1412" ht="18.75" customHeight="1">
      <c r="A1412" s="246"/>
      <c r="B1412" s="247"/>
      <c r="C1412" s="247"/>
      <c r="D1412" s="247"/>
      <c r="E1412" s="247"/>
      <c r="F1412" s="247"/>
      <c r="G1412" s="248"/>
      <c r="H1412" s="249"/>
      <c r="I1412" s="250"/>
      <c r="J1412" s="234"/>
      <c r="K1412" s="244"/>
      <c r="L1412" s="244"/>
      <c r="M1412" s="244"/>
      <c r="N1412" s="244"/>
      <c r="O1412" s="244"/>
      <c r="P1412" s="244"/>
    </row>
    <row r="1413" ht="18.75" customHeight="1">
      <c r="A1413" s="246"/>
      <c r="B1413" s="247"/>
      <c r="C1413" s="247"/>
      <c r="D1413" s="247"/>
      <c r="E1413" s="251"/>
      <c r="F1413" s="247"/>
      <c r="G1413" s="252"/>
      <c r="H1413" s="253"/>
      <c r="I1413" s="254"/>
      <c r="J1413" s="235"/>
      <c r="K1413" s="244"/>
      <c r="L1413" s="244"/>
      <c r="M1413" s="244"/>
      <c r="N1413" s="244"/>
      <c r="O1413" s="244"/>
      <c r="P1413" s="244"/>
    </row>
    <row r="1414" ht="18.75" customHeight="1">
      <c r="A1414" s="246"/>
      <c r="B1414" s="247"/>
      <c r="C1414" s="247"/>
      <c r="D1414" s="247"/>
      <c r="E1414" s="247"/>
      <c r="F1414" s="247"/>
      <c r="G1414" s="248"/>
      <c r="H1414" s="249"/>
      <c r="I1414" s="250"/>
      <c r="J1414" s="234"/>
      <c r="K1414" s="244"/>
      <c r="L1414" s="244"/>
      <c r="M1414" s="244"/>
      <c r="N1414" s="244"/>
      <c r="O1414" s="244"/>
      <c r="P1414" s="244"/>
    </row>
    <row r="1415" ht="18.75" customHeight="1">
      <c r="A1415" s="246"/>
      <c r="B1415" s="247"/>
      <c r="C1415" s="247"/>
      <c r="D1415" s="247"/>
      <c r="E1415" s="251"/>
      <c r="F1415" s="247"/>
      <c r="G1415" s="252"/>
      <c r="H1415" s="253"/>
      <c r="I1415" s="254"/>
      <c r="J1415" s="235"/>
      <c r="K1415" s="244"/>
      <c r="L1415" s="244"/>
      <c r="M1415" s="244"/>
      <c r="N1415" s="244"/>
      <c r="O1415" s="244"/>
      <c r="P1415" s="244"/>
    </row>
    <row r="1416" ht="18.75" customHeight="1">
      <c r="A1416" s="246"/>
      <c r="B1416" s="247"/>
      <c r="C1416" s="247"/>
      <c r="D1416" s="247"/>
      <c r="E1416" s="247"/>
      <c r="F1416" s="247"/>
      <c r="G1416" s="248"/>
      <c r="H1416" s="249"/>
      <c r="I1416" s="250"/>
      <c r="J1416" s="234"/>
      <c r="K1416" s="244"/>
      <c r="L1416" s="244"/>
      <c r="M1416" s="244"/>
      <c r="N1416" s="244"/>
      <c r="O1416" s="244"/>
      <c r="P1416" s="244"/>
    </row>
    <row r="1417" ht="18.75" customHeight="1">
      <c r="A1417" s="246"/>
      <c r="B1417" s="247"/>
      <c r="C1417" s="247"/>
      <c r="D1417" s="247"/>
      <c r="E1417" s="251"/>
      <c r="F1417" s="247"/>
      <c r="G1417" s="252"/>
      <c r="H1417" s="253"/>
      <c r="I1417" s="254"/>
      <c r="J1417" s="235"/>
      <c r="K1417" s="244"/>
      <c r="L1417" s="244"/>
      <c r="M1417" s="244"/>
      <c r="N1417" s="244"/>
      <c r="O1417" s="244"/>
      <c r="P1417" s="244"/>
    </row>
    <row r="1418" ht="18.75" customHeight="1">
      <c r="A1418" s="246"/>
      <c r="B1418" s="247"/>
      <c r="C1418" s="247"/>
      <c r="D1418" s="247"/>
      <c r="E1418" s="247"/>
      <c r="F1418" s="247"/>
      <c r="G1418" s="248"/>
      <c r="H1418" s="249"/>
      <c r="I1418" s="250"/>
      <c r="J1418" s="234"/>
      <c r="K1418" s="244"/>
      <c r="L1418" s="244"/>
      <c r="M1418" s="244"/>
      <c r="N1418" s="244"/>
      <c r="O1418" s="244"/>
      <c r="P1418" s="244"/>
    </row>
    <row r="1419" ht="18.75" customHeight="1">
      <c r="A1419" s="246"/>
      <c r="B1419" s="247"/>
      <c r="C1419" s="247"/>
      <c r="D1419" s="247"/>
      <c r="E1419" s="251"/>
      <c r="F1419" s="247"/>
      <c r="G1419" s="252"/>
      <c r="H1419" s="253"/>
      <c r="I1419" s="254"/>
      <c r="J1419" s="235"/>
      <c r="K1419" s="244"/>
      <c r="L1419" s="244"/>
      <c r="M1419" s="244"/>
      <c r="N1419" s="244"/>
      <c r="O1419" s="244"/>
      <c r="P1419" s="244"/>
    </row>
    <row r="1420" ht="18.75" customHeight="1">
      <c r="A1420" s="246"/>
      <c r="B1420" s="247"/>
      <c r="C1420" s="247"/>
      <c r="D1420" s="247"/>
      <c r="E1420" s="247"/>
      <c r="F1420" s="247"/>
      <c r="G1420" s="248"/>
      <c r="H1420" s="249"/>
      <c r="I1420" s="250"/>
      <c r="J1420" s="234"/>
      <c r="K1420" s="244"/>
      <c r="L1420" s="244"/>
      <c r="M1420" s="244"/>
      <c r="N1420" s="244"/>
      <c r="O1420" s="244"/>
      <c r="P1420" s="244"/>
    </row>
    <row r="1421" ht="18.75" customHeight="1">
      <c r="A1421" s="246"/>
      <c r="B1421" s="247"/>
      <c r="C1421" s="247"/>
      <c r="D1421" s="247"/>
      <c r="E1421" s="251"/>
      <c r="F1421" s="247"/>
      <c r="G1421" s="252"/>
      <c r="H1421" s="253"/>
      <c r="I1421" s="254"/>
      <c r="J1421" s="235"/>
      <c r="K1421" s="244"/>
      <c r="L1421" s="244"/>
      <c r="M1421" s="244"/>
      <c r="N1421" s="244"/>
      <c r="O1421" s="244"/>
      <c r="P1421" s="244"/>
    </row>
    <row r="1422" ht="18.75" customHeight="1">
      <c r="A1422" s="246"/>
      <c r="B1422" s="247"/>
      <c r="C1422" s="247"/>
      <c r="D1422" s="247"/>
      <c r="E1422" s="247"/>
      <c r="F1422" s="247"/>
      <c r="G1422" s="248"/>
      <c r="H1422" s="249"/>
      <c r="I1422" s="250"/>
      <c r="J1422" s="234"/>
      <c r="K1422" s="244"/>
      <c r="L1422" s="244"/>
      <c r="M1422" s="244"/>
      <c r="N1422" s="244"/>
      <c r="O1422" s="244"/>
      <c r="P1422" s="244"/>
    </row>
    <row r="1423" ht="18.75" customHeight="1">
      <c r="A1423" s="246"/>
      <c r="B1423" s="247"/>
      <c r="C1423" s="247"/>
      <c r="D1423" s="247"/>
      <c r="E1423" s="251"/>
      <c r="F1423" s="247"/>
      <c r="G1423" s="252"/>
      <c r="H1423" s="253"/>
      <c r="I1423" s="254"/>
      <c r="J1423" s="235"/>
      <c r="K1423" s="244"/>
      <c r="L1423" s="244"/>
      <c r="M1423" s="244"/>
      <c r="N1423" s="244"/>
      <c r="O1423" s="244"/>
      <c r="P1423" s="244"/>
    </row>
    <row r="1424" ht="18.75" customHeight="1">
      <c r="A1424" s="246"/>
      <c r="B1424" s="247"/>
      <c r="C1424" s="247"/>
      <c r="D1424" s="247"/>
      <c r="E1424" s="247"/>
      <c r="F1424" s="247"/>
      <c r="G1424" s="248"/>
      <c r="H1424" s="249"/>
      <c r="I1424" s="250"/>
      <c r="J1424" s="234"/>
      <c r="K1424" s="244"/>
      <c r="L1424" s="244"/>
      <c r="M1424" s="244"/>
      <c r="N1424" s="244"/>
      <c r="O1424" s="244"/>
      <c r="P1424" s="244"/>
    </row>
    <row r="1425" ht="18.75" customHeight="1">
      <c r="A1425" s="246"/>
      <c r="B1425" s="247"/>
      <c r="C1425" s="247"/>
      <c r="D1425" s="247"/>
      <c r="E1425" s="251"/>
      <c r="F1425" s="247"/>
      <c r="G1425" s="252"/>
      <c r="H1425" s="253"/>
      <c r="I1425" s="254"/>
      <c r="J1425" s="235"/>
      <c r="K1425" s="244"/>
      <c r="L1425" s="244"/>
      <c r="M1425" s="244"/>
      <c r="N1425" s="244"/>
      <c r="O1425" s="244"/>
      <c r="P1425" s="244"/>
    </row>
    <row r="1426" ht="18.75" customHeight="1">
      <c r="A1426" s="246"/>
      <c r="B1426" s="247"/>
      <c r="C1426" s="247"/>
      <c r="D1426" s="247"/>
      <c r="E1426" s="247"/>
      <c r="F1426" s="247"/>
      <c r="G1426" s="248"/>
      <c r="H1426" s="249"/>
      <c r="I1426" s="250"/>
      <c r="J1426" s="234"/>
      <c r="K1426" s="244"/>
      <c r="L1426" s="244"/>
      <c r="M1426" s="244"/>
      <c r="N1426" s="244"/>
      <c r="O1426" s="244"/>
      <c r="P1426" s="244"/>
    </row>
    <row r="1427" ht="18.75" customHeight="1">
      <c r="A1427" s="246"/>
      <c r="B1427" s="247"/>
      <c r="C1427" s="247"/>
      <c r="D1427" s="247"/>
      <c r="E1427" s="251"/>
      <c r="F1427" s="247"/>
      <c r="G1427" s="252"/>
      <c r="H1427" s="253"/>
      <c r="I1427" s="254"/>
      <c r="J1427" s="235"/>
      <c r="K1427" s="244"/>
      <c r="L1427" s="244"/>
      <c r="M1427" s="244"/>
      <c r="N1427" s="244"/>
      <c r="O1427" s="244"/>
      <c r="P1427" s="244"/>
    </row>
    <row r="1428" ht="18.75" customHeight="1">
      <c r="A1428" s="246"/>
      <c r="B1428" s="247"/>
      <c r="C1428" s="247"/>
      <c r="D1428" s="247"/>
      <c r="E1428" s="247"/>
      <c r="F1428" s="247"/>
      <c r="G1428" s="248"/>
      <c r="H1428" s="249"/>
      <c r="I1428" s="250"/>
      <c r="J1428" s="234"/>
      <c r="K1428" s="244"/>
      <c r="L1428" s="244"/>
      <c r="M1428" s="244"/>
      <c r="N1428" s="244"/>
      <c r="O1428" s="244"/>
      <c r="P1428" s="244"/>
    </row>
    <row r="1429" ht="18.75" customHeight="1">
      <c r="A1429" s="246"/>
      <c r="B1429" s="247"/>
      <c r="C1429" s="247"/>
      <c r="D1429" s="247"/>
      <c r="E1429" s="251"/>
      <c r="F1429" s="247"/>
      <c r="G1429" s="252"/>
      <c r="H1429" s="253"/>
      <c r="I1429" s="254"/>
      <c r="J1429" s="235"/>
      <c r="K1429" s="244"/>
      <c r="L1429" s="244"/>
      <c r="M1429" s="244"/>
      <c r="N1429" s="244"/>
      <c r="O1429" s="244"/>
      <c r="P1429" s="244"/>
    </row>
    <row r="1430" ht="18.75" customHeight="1">
      <c r="A1430" s="246"/>
      <c r="B1430" s="247"/>
      <c r="C1430" s="247"/>
      <c r="D1430" s="247"/>
      <c r="E1430" s="247"/>
      <c r="F1430" s="247"/>
      <c r="G1430" s="248"/>
      <c r="H1430" s="249"/>
      <c r="I1430" s="250"/>
      <c r="J1430" s="234"/>
      <c r="K1430" s="244"/>
      <c r="L1430" s="244"/>
      <c r="M1430" s="244"/>
      <c r="N1430" s="244"/>
      <c r="O1430" s="244"/>
      <c r="P1430" s="244"/>
    </row>
    <row r="1431" ht="18.75" customHeight="1">
      <c r="A1431" s="246"/>
      <c r="B1431" s="247"/>
      <c r="C1431" s="247"/>
      <c r="D1431" s="247"/>
      <c r="E1431" s="251"/>
      <c r="F1431" s="247"/>
      <c r="G1431" s="252"/>
      <c r="H1431" s="253"/>
      <c r="I1431" s="254"/>
      <c r="J1431" s="235"/>
      <c r="K1431" s="244"/>
      <c r="L1431" s="244"/>
      <c r="M1431" s="244"/>
      <c r="N1431" s="244"/>
      <c r="O1431" s="244"/>
      <c r="P1431" s="244"/>
    </row>
    <row r="1432" ht="18.75" customHeight="1">
      <c r="A1432" s="246"/>
      <c r="B1432" s="247"/>
      <c r="C1432" s="247"/>
      <c r="D1432" s="247"/>
      <c r="E1432" s="247"/>
      <c r="F1432" s="247"/>
      <c r="G1432" s="248"/>
      <c r="H1432" s="249"/>
      <c r="I1432" s="250"/>
      <c r="J1432" s="234"/>
      <c r="K1432" s="244"/>
      <c r="L1432" s="244"/>
      <c r="M1432" s="244"/>
      <c r="N1432" s="244"/>
      <c r="O1432" s="244"/>
      <c r="P1432" s="244"/>
    </row>
    <row r="1433" ht="18.75" customHeight="1">
      <c r="A1433" s="246"/>
      <c r="B1433" s="247"/>
      <c r="C1433" s="247"/>
      <c r="D1433" s="247"/>
      <c r="E1433" s="251"/>
      <c r="F1433" s="247"/>
      <c r="G1433" s="252"/>
      <c r="H1433" s="253"/>
      <c r="I1433" s="254"/>
      <c r="J1433" s="235"/>
      <c r="K1433" s="244"/>
      <c r="L1433" s="244"/>
      <c r="M1433" s="244"/>
      <c r="N1433" s="244"/>
      <c r="O1433" s="244"/>
      <c r="P1433" s="244"/>
    </row>
    <row r="1434" ht="18.75" customHeight="1">
      <c r="A1434" s="246"/>
      <c r="B1434" s="247"/>
      <c r="C1434" s="247"/>
      <c r="D1434" s="247"/>
      <c r="E1434" s="247"/>
      <c r="F1434" s="247"/>
      <c r="G1434" s="248"/>
      <c r="H1434" s="249"/>
      <c r="I1434" s="250"/>
      <c r="J1434" s="234"/>
      <c r="K1434" s="244"/>
      <c r="L1434" s="244"/>
      <c r="M1434" s="244"/>
      <c r="N1434" s="244"/>
      <c r="O1434" s="244"/>
      <c r="P1434" s="244"/>
    </row>
    <row r="1435" ht="18.75" customHeight="1">
      <c r="A1435" s="246"/>
      <c r="B1435" s="247"/>
      <c r="C1435" s="247"/>
      <c r="D1435" s="247"/>
      <c r="E1435" s="251"/>
      <c r="F1435" s="247"/>
      <c r="G1435" s="252"/>
      <c r="H1435" s="253"/>
      <c r="I1435" s="254"/>
      <c r="J1435" s="235"/>
      <c r="K1435" s="244"/>
      <c r="L1435" s="244"/>
      <c r="M1435" s="244"/>
      <c r="N1435" s="244"/>
      <c r="O1435" s="244"/>
      <c r="P1435" s="244"/>
    </row>
    <row r="1436" ht="18.75" customHeight="1">
      <c r="A1436" s="246"/>
      <c r="B1436" s="247"/>
      <c r="C1436" s="247"/>
      <c r="D1436" s="247"/>
      <c r="E1436" s="247"/>
      <c r="F1436" s="247"/>
      <c r="G1436" s="248"/>
      <c r="H1436" s="249"/>
      <c r="I1436" s="250"/>
      <c r="J1436" s="234"/>
      <c r="K1436" s="244"/>
      <c r="L1436" s="244"/>
      <c r="M1436" s="244"/>
      <c r="N1436" s="244"/>
      <c r="O1436" s="244"/>
      <c r="P1436" s="244"/>
    </row>
    <row r="1437" ht="18.75" customHeight="1">
      <c r="A1437" s="246"/>
      <c r="B1437" s="247"/>
      <c r="C1437" s="247"/>
      <c r="D1437" s="247"/>
      <c r="E1437" s="251"/>
      <c r="F1437" s="247"/>
      <c r="G1437" s="252"/>
      <c r="H1437" s="253"/>
      <c r="I1437" s="254"/>
      <c r="J1437" s="235"/>
      <c r="K1437" s="244"/>
      <c r="L1437" s="244"/>
      <c r="M1437" s="244"/>
      <c r="N1437" s="244"/>
      <c r="O1437" s="244"/>
      <c r="P1437" s="244"/>
    </row>
    <row r="1438" ht="18.75" customHeight="1">
      <c r="A1438" s="246"/>
      <c r="B1438" s="247"/>
      <c r="C1438" s="247"/>
      <c r="D1438" s="247"/>
      <c r="E1438" s="247"/>
      <c r="F1438" s="247"/>
      <c r="G1438" s="248"/>
      <c r="H1438" s="249"/>
      <c r="I1438" s="250"/>
      <c r="J1438" s="234"/>
      <c r="K1438" s="244"/>
      <c r="L1438" s="244"/>
      <c r="M1438" s="244"/>
      <c r="N1438" s="244"/>
      <c r="O1438" s="244"/>
      <c r="P1438" s="244"/>
    </row>
    <row r="1439" ht="18.75" customHeight="1">
      <c r="A1439" s="246"/>
      <c r="B1439" s="247"/>
      <c r="C1439" s="247"/>
      <c r="D1439" s="247"/>
      <c r="E1439" s="251"/>
      <c r="F1439" s="247"/>
      <c r="G1439" s="252"/>
      <c r="H1439" s="253"/>
      <c r="I1439" s="254"/>
      <c r="J1439" s="235"/>
      <c r="K1439" s="244"/>
      <c r="L1439" s="244"/>
      <c r="M1439" s="244"/>
      <c r="N1439" s="244"/>
      <c r="O1439" s="244"/>
      <c r="P1439" s="244"/>
    </row>
    <row r="1440" ht="18.75" customHeight="1">
      <c r="A1440" s="246"/>
      <c r="B1440" s="247"/>
      <c r="C1440" s="247"/>
      <c r="D1440" s="247"/>
      <c r="E1440" s="247"/>
      <c r="F1440" s="247"/>
      <c r="G1440" s="248"/>
      <c r="H1440" s="249"/>
      <c r="I1440" s="250"/>
      <c r="J1440" s="234"/>
      <c r="K1440" s="244"/>
      <c r="L1440" s="244"/>
      <c r="M1440" s="244"/>
      <c r="N1440" s="244"/>
      <c r="O1440" s="244"/>
      <c r="P1440" s="244"/>
    </row>
    <row r="1441" ht="18.75" customHeight="1">
      <c r="A1441" s="246"/>
      <c r="B1441" s="247"/>
      <c r="C1441" s="247"/>
      <c r="D1441" s="247"/>
      <c r="E1441" s="251"/>
      <c r="F1441" s="247"/>
      <c r="G1441" s="252"/>
      <c r="H1441" s="253"/>
      <c r="I1441" s="254"/>
      <c r="J1441" s="235"/>
      <c r="K1441" s="244"/>
      <c r="L1441" s="244"/>
      <c r="M1441" s="244"/>
      <c r="N1441" s="244"/>
      <c r="O1441" s="244"/>
      <c r="P1441" s="244"/>
    </row>
    <row r="1442" ht="18.75" customHeight="1">
      <c r="A1442" s="246"/>
      <c r="B1442" s="247"/>
      <c r="C1442" s="247"/>
      <c r="D1442" s="247"/>
      <c r="E1442" s="247"/>
      <c r="F1442" s="247"/>
      <c r="G1442" s="248"/>
      <c r="H1442" s="249"/>
      <c r="I1442" s="250"/>
      <c r="J1442" s="234"/>
      <c r="K1442" s="244"/>
      <c r="L1442" s="244"/>
      <c r="M1442" s="244"/>
      <c r="N1442" s="244"/>
      <c r="O1442" s="244"/>
      <c r="P1442" s="244"/>
    </row>
    <row r="1443" ht="18.75" customHeight="1">
      <c r="A1443" s="246"/>
      <c r="B1443" s="247"/>
      <c r="C1443" s="247"/>
      <c r="D1443" s="247"/>
      <c r="E1443" s="251"/>
      <c r="F1443" s="247"/>
      <c r="G1443" s="252"/>
      <c r="H1443" s="253"/>
      <c r="I1443" s="254"/>
      <c r="J1443" s="235"/>
      <c r="K1443" s="244"/>
      <c r="L1443" s="244"/>
      <c r="M1443" s="244"/>
      <c r="N1443" s="244"/>
      <c r="O1443" s="244"/>
      <c r="P1443" s="244"/>
    </row>
    <row r="1444" ht="18.75" customHeight="1">
      <c r="A1444" s="246"/>
      <c r="B1444" s="247"/>
      <c r="C1444" s="247"/>
      <c r="D1444" s="247"/>
      <c r="E1444" s="247"/>
      <c r="F1444" s="247"/>
      <c r="G1444" s="248"/>
      <c r="H1444" s="249"/>
      <c r="I1444" s="250"/>
      <c r="J1444" s="234"/>
      <c r="K1444" s="244"/>
      <c r="L1444" s="244"/>
      <c r="M1444" s="244"/>
      <c r="N1444" s="244"/>
      <c r="O1444" s="244"/>
      <c r="P1444" s="244"/>
    </row>
    <row r="1445" ht="18.75" customHeight="1">
      <c r="A1445" s="246"/>
      <c r="B1445" s="247"/>
      <c r="C1445" s="247"/>
      <c r="D1445" s="247"/>
      <c r="E1445" s="251"/>
      <c r="F1445" s="247"/>
      <c r="G1445" s="252"/>
      <c r="H1445" s="253"/>
      <c r="I1445" s="254"/>
      <c r="J1445" s="235"/>
      <c r="K1445" s="244"/>
      <c r="L1445" s="244"/>
      <c r="M1445" s="244"/>
      <c r="N1445" s="244"/>
      <c r="O1445" s="244"/>
      <c r="P1445" s="244"/>
    </row>
    <row r="1446" ht="18.75" customHeight="1">
      <c r="A1446" s="246"/>
      <c r="B1446" s="247"/>
      <c r="C1446" s="247"/>
      <c r="D1446" s="247"/>
      <c r="E1446" s="247"/>
      <c r="F1446" s="247"/>
      <c r="G1446" s="248"/>
      <c r="H1446" s="249"/>
      <c r="I1446" s="250"/>
      <c r="J1446" s="234"/>
      <c r="K1446" s="244"/>
      <c r="L1446" s="244"/>
      <c r="M1446" s="244"/>
      <c r="N1446" s="244"/>
      <c r="O1446" s="244"/>
      <c r="P1446" s="244"/>
    </row>
    <row r="1447" ht="18.75" customHeight="1">
      <c r="A1447" s="246"/>
      <c r="B1447" s="247"/>
      <c r="C1447" s="247"/>
      <c r="D1447" s="247"/>
      <c r="E1447" s="251"/>
      <c r="F1447" s="247"/>
      <c r="G1447" s="252"/>
      <c r="H1447" s="253"/>
      <c r="I1447" s="254"/>
      <c r="J1447" s="235"/>
      <c r="K1447" s="244"/>
      <c r="L1447" s="244"/>
      <c r="M1447" s="244"/>
      <c r="N1447" s="244"/>
      <c r="O1447" s="244"/>
      <c r="P1447" s="244"/>
    </row>
    <row r="1448" ht="18.75" customHeight="1">
      <c r="A1448" s="246"/>
      <c r="B1448" s="247"/>
      <c r="C1448" s="247"/>
      <c r="D1448" s="247"/>
      <c r="E1448" s="247"/>
      <c r="F1448" s="247"/>
      <c r="G1448" s="248"/>
      <c r="H1448" s="249"/>
      <c r="I1448" s="250"/>
      <c r="J1448" s="234"/>
      <c r="K1448" s="244"/>
      <c r="L1448" s="244"/>
      <c r="M1448" s="244"/>
      <c r="N1448" s="244"/>
      <c r="O1448" s="244"/>
      <c r="P1448" s="244"/>
    </row>
    <row r="1449" ht="18.75" customHeight="1">
      <c r="A1449" s="246"/>
      <c r="B1449" s="247"/>
      <c r="C1449" s="247"/>
      <c r="D1449" s="247"/>
      <c r="E1449" s="251"/>
      <c r="F1449" s="247"/>
      <c r="G1449" s="252"/>
      <c r="H1449" s="253"/>
      <c r="I1449" s="254"/>
      <c r="J1449" s="235"/>
      <c r="K1449" s="244"/>
      <c r="L1449" s="244"/>
      <c r="M1449" s="244"/>
      <c r="N1449" s="244"/>
      <c r="O1449" s="244"/>
      <c r="P1449" s="244"/>
    </row>
    <row r="1450" ht="18.75" customHeight="1">
      <c r="A1450" s="246"/>
      <c r="B1450" s="247"/>
      <c r="C1450" s="247"/>
      <c r="D1450" s="247"/>
      <c r="E1450" s="247"/>
      <c r="F1450" s="247"/>
      <c r="G1450" s="248"/>
      <c r="H1450" s="249"/>
      <c r="I1450" s="250"/>
      <c r="J1450" s="234"/>
      <c r="K1450" s="244"/>
      <c r="L1450" s="244"/>
      <c r="M1450" s="244"/>
      <c r="N1450" s="244"/>
      <c r="O1450" s="244"/>
      <c r="P1450" s="244"/>
    </row>
    <row r="1451" ht="18.75" customHeight="1">
      <c r="A1451" s="246"/>
      <c r="B1451" s="247"/>
      <c r="C1451" s="247"/>
      <c r="D1451" s="247"/>
      <c r="E1451" s="251"/>
      <c r="F1451" s="247"/>
      <c r="G1451" s="252"/>
      <c r="H1451" s="253"/>
      <c r="I1451" s="254"/>
      <c r="J1451" s="235"/>
      <c r="K1451" s="244"/>
      <c r="L1451" s="244"/>
      <c r="M1451" s="244"/>
      <c r="N1451" s="244"/>
      <c r="O1451" s="244"/>
      <c r="P1451" s="244"/>
    </row>
    <row r="1452" ht="18.75" customHeight="1">
      <c r="A1452" s="246"/>
      <c r="B1452" s="247"/>
      <c r="C1452" s="247"/>
      <c r="D1452" s="247"/>
      <c r="E1452" s="247"/>
      <c r="F1452" s="247"/>
      <c r="G1452" s="248"/>
      <c r="H1452" s="249"/>
      <c r="I1452" s="250"/>
      <c r="J1452" s="234"/>
      <c r="K1452" s="244"/>
      <c r="L1452" s="244"/>
      <c r="M1452" s="244"/>
      <c r="N1452" s="244"/>
      <c r="O1452" s="244"/>
      <c r="P1452" s="244"/>
    </row>
    <row r="1453" ht="18.75" customHeight="1">
      <c r="A1453" s="246"/>
      <c r="B1453" s="247"/>
      <c r="C1453" s="247"/>
      <c r="D1453" s="247"/>
      <c r="E1453" s="251"/>
      <c r="F1453" s="247"/>
      <c r="G1453" s="252"/>
      <c r="H1453" s="253"/>
      <c r="I1453" s="254"/>
      <c r="J1453" s="235"/>
      <c r="K1453" s="244"/>
      <c r="L1453" s="244"/>
      <c r="M1453" s="244"/>
      <c r="N1453" s="244"/>
      <c r="O1453" s="244"/>
      <c r="P1453" s="244"/>
    </row>
    <row r="1454" ht="18.75" customHeight="1">
      <c r="A1454" s="246"/>
      <c r="B1454" s="247"/>
      <c r="C1454" s="247"/>
      <c r="D1454" s="247"/>
      <c r="E1454" s="247"/>
      <c r="F1454" s="247"/>
      <c r="G1454" s="248"/>
      <c r="H1454" s="249"/>
      <c r="I1454" s="250"/>
      <c r="J1454" s="234"/>
      <c r="K1454" s="244"/>
      <c r="L1454" s="244"/>
      <c r="M1454" s="244"/>
      <c r="N1454" s="244"/>
      <c r="O1454" s="244"/>
      <c r="P1454" s="244"/>
    </row>
    <row r="1455" ht="18.75" customHeight="1">
      <c r="A1455" s="246"/>
      <c r="B1455" s="247"/>
      <c r="C1455" s="247"/>
      <c r="D1455" s="247"/>
      <c r="E1455" s="251"/>
      <c r="F1455" s="247"/>
      <c r="G1455" s="252"/>
      <c r="H1455" s="253"/>
      <c r="I1455" s="254"/>
      <c r="J1455" s="235"/>
      <c r="K1455" s="244"/>
      <c r="L1455" s="244"/>
      <c r="M1455" s="244"/>
      <c r="N1455" s="244"/>
      <c r="O1455" s="244"/>
      <c r="P1455" s="244"/>
    </row>
    <row r="1456" ht="18.75" customHeight="1">
      <c r="A1456" s="246"/>
      <c r="B1456" s="247"/>
      <c r="C1456" s="247"/>
      <c r="D1456" s="247"/>
      <c r="E1456" s="247"/>
      <c r="F1456" s="247"/>
      <c r="G1456" s="248"/>
      <c r="H1456" s="249"/>
      <c r="I1456" s="250"/>
      <c r="J1456" s="234"/>
      <c r="K1456" s="244"/>
      <c r="L1456" s="244"/>
      <c r="M1456" s="244"/>
      <c r="N1456" s="244"/>
      <c r="O1456" s="244"/>
      <c r="P1456" s="244"/>
    </row>
    <row r="1457" ht="18.75" customHeight="1">
      <c r="A1457" s="246"/>
      <c r="B1457" s="247"/>
      <c r="C1457" s="247"/>
      <c r="D1457" s="247"/>
      <c r="E1457" s="251"/>
      <c r="F1457" s="247"/>
      <c r="G1457" s="252"/>
      <c r="H1457" s="253"/>
      <c r="I1457" s="254"/>
      <c r="J1457" s="235"/>
      <c r="K1457" s="244"/>
      <c r="L1457" s="244"/>
      <c r="M1457" s="244"/>
      <c r="N1457" s="244"/>
      <c r="O1457" s="244"/>
      <c r="P1457" s="244"/>
    </row>
    <row r="1458" ht="18.75" customHeight="1">
      <c r="A1458" s="246"/>
      <c r="B1458" s="247"/>
      <c r="C1458" s="247"/>
      <c r="D1458" s="247"/>
      <c r="E1458" s="247"/>
      <c r="F1458" s="247"/>
      <c r="G1458" s="248"/>
      <c r="H1458" s="249"/>
      <c r="I1458" s="250"/>
      <c r="J1458" s="234"/>
      <c r="K1458" s="244"/>
      <c r="L1458" s="244"/>
      <c r="M1458" s="244"/>
      <c r="N1458" s="244"/>
      <c r="O1458" s="244"/>
      <c r="P1458" s="244"/>
    </row>
    <row r="1459" ht="18.75" customHeight="1">
      <c r="A1459" s="246"/>
      <c r="B1459" s="247"/>
      <c r="C1459" s="247"/>
      <c r="D1459" s="247"/>
      <c r="E1459" s="251"/>
      <c r="F1459" s="247"/>
      <c r="G1459" s="252"/>
      <c r="H1459" s="253"/>
      <c r="I1459" s="254"/>
      <c r="J1459" s="235"/>
      <c r="K1459" s="244"/>
      <c r="L1459" s="244"/>
      <c r="M1459" s="244"/>
      <c r="N1459" s="244"/>
      <c r="O1459" s="244"/>
      <c r="P1459" s="244"/>
    </row>
    <row r="1460" ht="18.75" customHeight="1">
      <c r="A1460" s="246"/>
      <c r="B1460" s="247"/>
      <c r="C1460" s="247"/>
      <c r="D1460" s="247"/>
      <c r="E1460" s="247"/>
      <c r="F1460" s="247"/>
      <c r="G1460" s="248"/>
      <c r="H1460" s="249"/>
      <c r="I1460" s="250"/>
      <c r="J1460" s="234"/>
      <c r="K1460" s="244"/>
      <c r="L1460" s="244"/>
      <c r="M1460" s="244"/>
      <c r="N1460" s="244"/>
      <c r="O1460" s="244"/>
      <c r="P1460" s="244"/>
    </row>
    <row r="1461" ht="18.75" customHeight="1">
      <c r="A1461" s="246"/>
      <c r="B1461" s="247"/>
      <c r="C1461" s="247"/>
      <c r="D1461" s="247"/>
      <c r="E1461" s="251"/>
      <c r="F1461" s="247"/>
      <c r="G1461" s="252"/>
      <c r="H1461" s="253"/>
      <c r="I1461" s="254"/>
      <c r="J1461" s="235"/>
      <c r="K1461" s="244"/>
      <c r="L1461" s="244"/>
      <c r="M1461" s="244"/>
      <c r="N1461" s="244"/>
      <c r="O1461" s="244"/>
      <c r="P1461" s="244"/>
    </row>
    <row r="1462" ht="18.75" customHeight="1">
      <c r="A1462" s="246"/>
      <c r="B1462" s="247"/>
      <c r="C1462" s="247"/>
      <c r="D1462" s="247"/>
      <c r="E1462" s="247"/>
      <c r="F1462" s="247"/>
      <c r="G1462" s="248"/>
      <c r="H1462" s="249"/>
      <c r="I1462" s="250"/>
      <c r="J1462" s="234"/>
      <c r="K1462" s="244"/>
      <c r="L1462" s="244"/>
      <c r="M1462" s="244"/>
      <c r="N1462" s="244"/>
      <c r="O1462" s="244"/>
      <c r="P1462" s="244"/>
    </row>
    <row r="1463" ht="18.75" customHeight="1">
      <c r="A1463" s="246"/>
      <c r="B1463" s="247"/>
      <c r="C1463" s="247"/>
      <c r="D1463" s="247"/>
      <c r="E1463" s="251"/>
      <c r="F1463" s="247"/>
      <c r="G1463" s="252"/>
      <c r="H1463" s="253"/>
      <c r="I1463" s="254"/>
      <c r="J1463" s="235"/>
      <c r="K1463" s="244"/>
      <c r="L1463" s="244"/>
      <c r="M1463" s="244"/>
      <c r="N1463" s="244"/>
      <c r="O1463" s="244"/>
      <c r="P1463" s="244"/>
    </row>
    <row r="1464" ht="18.75" customHeight="1">
      <c r="A1464" s="246"/>
      <c r="B1464" s="247"/>
      <c r="C1464" s="247"/>
      <c r="D1464" s="247"/>
      <c r="E1464" s="247"/>
      <c r="F1464" s="247"/>
      <c r="G1464" s="248"/>
      <c r="H1464" s="249"/>
      <c r="I1464" s="250"/>
      <c r="J1464" s="234"/>
      <c r="K1464" s="244"/>
      <c r="L1464" s="244"/>
      <c r="M1464" s="244"/>
      <c r="N1464" s="244"/>
      <c r="O1464" s="244"/>
      <c r="P1464" s="244"/>
    </row>
    <row r="1465" ht="18.75" customHeight="1">
      <c r="A1465" s="246"/>
      <c r="B1465" s="247"/>
      <c r="C1465" s="247"/>
      <c r="D1465" s="247"/>
      <c r="E1465" s="251"/>
      <c r="F1465" s="247"/>
      <c r="G1465" s="252"/>
      <c r="H1465" s="253"/>
      <c r="I1465" s="254"/>
      <c r="J1465" s="235"/>
      <c r="K1465" s="244"/>
      <c r="L1465" s="244"/>
      <c r="M1465" s="244"/>
      <c r="N1465" s="244"/>
      <c r="O1465" s="244"/>
      <c r="P1465" s="244"/>
    </row>
    <row r="1466" ht="18.75" customHeight="1">
      <c r="A1466" s="246"/>
      <c r="B1466" s="247"/>
      <c r="C1466" s="247"/>
      <c r="D1466" s="247"/>
      <c r="E1466" s="247"/>
      <c r="F1466" s="247"/>
      <c r="G1466" s="248"/>
      <c r="H1466" s="249"/>
      <c r="I1466" s="250"/>
      <c r="J1466" s="234"/>
      <c r="K1466" s="244"/>
      <c r="L1466" s="244"/>
      <c r="M1466" s="244"/>
      <c r="N1466" s="244"/>
      <c r="O1466" s="244"/>
      <c r="P1466" s="244"/>
    </row>
    <row r="1467" ht="18.75" customHeight="1">
      <c r="A1467" s="246"/>
      <c r="B1467" s="247"/>
      <c r="C1467" s="247"/>
      <c r="D1467" s="247"/>
      <c r="E1467" s="251"/>
      <c r="F1467" s="247"/>
      <c r="G1467" s="252"/>
      <c r="H1467" s="253"/>
      <c r="I1467" s="254"/>
      <c r="J1467" s="235"/>
      <c r="K1467" s="244"/>
      <c r="L1467" s="244"/>
      <c r="M1467" s="244"/>
      <c r="N1467" s="244"/>
      <c r="O1467" s="244"/>
      <c r="P1467" s="244"/>
    </row>
    <row r="1468" ht="18.75" customHeight="1">
      <c r="A1468" s="246"/>
      <c r="B1468" s="247"/>
      <c r="C1468" s="247"/>
      <c r="D1468" s="247"/>
      <c r="E1468" s="247"/>
      <c r="F1468" s="247"/>
      <c r="G1468" s="248"/>
      <c r="H1468" s="249"/>
      <c r="I1468" s="250"/>
      <c r="J1468" s="234"/>
      <c r="K1468" s="244"/>
      <c r="L1468" s="244"/>
      <c r="M1468" s="244"/>
      <c r="N1468" s="244"/>
      <c r="O1468" s="244"/>
      <c r="P1468" s="244"/>
    </row>
    <row r="1469" ht="18.75" customHeight="1">
      <c r="A1469" s="246"/>
      <c r="B1469" s="247"/>
      <c r="C1469" s="247"/>
      <c r="D1469" s="247"/>
      <c r="E1469" s="251"/>
      <c r="F1469" s="247"/>
      <c r="G1469" s="252"/>
      <c r="H1469" s="253"/>
      <c r="I1469" s="254"/>
      <c r="J1469" s="235"/>
      <c r="K1469" s="244"/>
      <c r="L1469" s="244"/>
      <c r="M1469" s="244"/>
      <c r="N1469" s="244"/>
      <c r="O1469" s="244"/>
      <c r="P1469" s="244"/>
    </row>
    <row r="1470" ht="18.75" customHeight="1">
      <c r="A1470" s="246"/>
      <c r="B1470" s="247"/>
      <c r="C1470" s="247"/>
      <c r="D1470" s="247"/>
      <c r="E1470" s="247"/>
      <c r="F1470" s="247"/>
      <c r="G1470" s="248"/>
      <c r="H1470" s="249"/>
      <c r="I1470" s="250"/>
      <c r="J1470" s="234"/>
      <c r="K1470" s="244"/>
      <c r="L1470" s="244"/>
      <c r="M1470" s="244"/>
      <c r="N1470" s="244"/>
      <c r="O1470" s="244"/>
      <c r="P1470" s="244"/>
    </row>
    <row r="1471" ht="18.75" customHeight="1">
      <c r="A1471" s="246"/>
      <c r="B1471" s="247"/>
      <c r="C1471" s="247"/>
      <c r="D1471" s="247"/>
      <c r="E1471" s="251"/>
      <c r="F1471" s="247"/>
      <c r="G1471" s="252"/>
      <c r="H1471" s="253"/>
      <c r="I1471" s="254"/>
      <c r="J1471" s="235"/>
      <c r="K1471" s="244"/>
      <c r="L1471" s="244"/>
      <c r="M1471" s="244"/>
      <c r="N1471" s="244"/>
      <c r="O1471" s="244"/>
      <c r="P1471" s="244"/>
    </row>
    <row r="1472" ht="18.75" customHeight="1">
      <c r="A1472" s="246"/>
      <c r="B1472" s="247"/>
      <c r="C1472" s="247"/>
      <c r="D1472" s="247"/>
      <c r="E1472" s="247"/>
      <c r="F1472" s="247"/>
      <c r="G1472" s="248"/>
      <c r="H1472" s="249"/>
      <c r="I1472" s="250"/>
      <c r="J1472" s="234"/>
      <c r="K1472" s="244"/>
      <c r="L1472" s="244"/>
      <c r="M1472" s="244"/>
      <c r="N1472" s="244"/>
      <c r="O1472" s="244"/>
      <c r="P1472" s="244"/>
    </row>
    <row r="1473" ht="18.75" customHeight="1">
      <c r="A1473" s="246"/>
      <c r="B1473" s="247"/>
      <c r="C1473" s="247"/>
      <c r="D1473" s="247"/>
      <c r="E1473" s="251"/>
      <c r="F1473" s="247"/>
      <c r="G1473" s="252"/>
      <c r="H1473" s="253"/>
      <c r="I1473" s="254"/>
      <c r="J1473" s="235"/>
      <c r="K1473" s="244"/>
      <c r="L1473" s="244"/>
      <c r="M1473" s="244"/>
      <c r="N1473" s="244"/>
      <c r="O1473" s="244"/>
      <c r="P1473" s="244"/>
    </row>
    <row r="1474" ht="18.75" customHeight="1">
      <c r="A1474" s="246"/>
      <c r="B1474" s="247"/>
      <c r="C1474" s="247"/>
      <c r="D1474" s="247"/>
      <c r="E1474" s="247"/>
      <c r="F1474" s="247"/>
      <c r="G1474" s="248"/>
      <c r="H1474" s="249"/>
      <c r="I1474" s="250"/>
      <c r="J1474" s="234"/>
      <c r="K1474" s="244"/>
      <c r="L1474" s="244"/>
      <c r="M1474" s="244"/>
      <c r="N1474" s="244"/>
      <c r="O1474" s="244"/>
      <c r="P1474" s="244"/>
    </row>
    <row r="1475" ht="18.75" customHeight="1">
      <c r="A1475" s="246"/>
      <c r="B1475" s="247"/>
      <c r="C1475" s="247"/>
      <c r="D1475" s="247"/>
      <c r="E1475" s="251"/>
      <c r="F1475" s="247"/>
      <c r="G1475" s="252"/>
      <c r="H1475" s="253"/>
      <c r="I1475" s="254"/>
      <c r="J1475" s="235"/>
      <c r="K1475" s="244"/>
      <c r="L1475" s="244"/>
      <c r="M1475" s="244"/>
      <c r="N1475" s="244"/>
      <c r="O1475" s="244"/>
      <c r="P1475" s="244"/>
    </row>
    <row r="1476" ht="18.75" customHeight="1">
      <c r="A1476" s="246"/>
      <c r="B1476" s="247"/>
      <c r="C1476" s="247"/>
      <c r="D1476" s="247"/>
      <c r="E1476" s="247"/>
      <c r="F1476" s="247"/>
      <c r="G1476" s="248"/>
      <c r="H1476" s="249"/>
      <c r="I1476" s="250"/>
      <c r="J1476" s="234"/>
      <c r="K1476" s="244"/>
      <c r="L1476" s="244"/>
      <c r="M1476" s="244"/>
      <c r="N1476" s="244"/>
      <c r="O1476" s="244"/>
      <c r="P1476" s="244"/>
    </row>
    <row r="1477" ht="18.75" customHeight="1">
      <c r="A1477" s="246"/>
      <c r="B1477" s="247"/>
      <c r="C1477" s="247"/>
      <c r="D1477" s="247"/>
      <c r="E1477" s="251"/>
      <c r="F1477" s="247"/>
      <c r="G1477" s="252"/>
      <c r="H1477" s="253"/>
      <c r="I1477" s="254"/>
      <c r="J1477" s="235"/>
      <c r="K1477" s="244"/>
      <c r="L1477" s="244"/>
      <c r="M1477" s="244"/>
      <c r="N1477" s="244"/>
      <c r="O1477" s="244"/>
      <c r="P1477" s="244"/>
    </row>
    <row r="1478" ht="18.75" customHeight="1">
      <c r="A1478" s="246"/>
      <c r="B1478" s="247"/>
      <c r="C1478" s="247"/>
      <c r="D1478" s="247"/>
      <c r="E1478" s="247"/>
      <c r="F1478" s="247"/>
      <c r="G1478" s="248"/>
      <c r="H1478" s="249"/>
      <c r="I1478" s="250"/>
      <c r="J1478" s="234"/>
      <c r="K1478" s="244"/>
      <c r="L1478" s="244"/>
      <c r="M1478" s="244"/>
      <c r="N1478" s="244"/>
      <c r="O1478" s="244"/>
      <c r="P1478" s="244"/>
    </row>
    <row r="1479" ht="18.75" customHeight="1">
      <c r="A1479" s="246"/>
      <c r="B1479" s="247"/>
      <c r="C1479" s="247"/>
      <c r="D1479" s="247"/>
      <c r="E1479" s="251"/>
      <c r="F1479" s="247"/>
      <c r="G1479" s="252"/>
      <c r="H1479" s="253"/>
      <c r="I1479" s="254"/>
      <c r="J1479" s="235"/>
      <c r="K1479" s="244"/>
      <c r="L1479" s="244"/>
      <c r="M1479" s="244"/>
      <c r="N1479" s="244"/>
      <c r="O1479" s="244"/>
      <c r="P1479" s="244"/>
    </row>
    <row r="1480" ht="18.75" customHeight="1">
      <c r="A1480" s="246"/>
      <c r="B1480" s="247"/>
      <c r="C1480" s="247"/>
      <c r="D1480" s="247"/>
      <c r="E1480" s="247"/>
      <c r="F1480" s="247"/>
      <c r="G1480" s="248"/>
      <c r="H1480" s="249"/>
      <c r="I1480" s="250"/>
      <c r="J1480" s="234"/>
      <c r="K1480" s="244"/>
      <c r="L1480" s="244"/>
      <c r="M1480" s="244"/>
      <c r="N1480" s="244"/>
      <c r="O1480" s="244"/>
      <c r="P1480" s="244"/>
    </row>
    <row r="1481" ht="18.75" customHeight="1">
      <c r="A1481" s="246"/>
      <c r="B1481" s="247"/>
      <c r="C1481" s="247"/>
      <c r="D1481" s="247"/>
      <c r="E1481" s="251"/>
      <c r="F1481" s="247"/>
      <c r="G1481" s="252"/>
      <c r="H1481" s="253"/>
      <c r="I1481" s="254"/>
      <c r="J1481" s="235"/>
      <c r="K1481" s="244"/>
      <c r="L1481" s="244"/>
      <c r="M1481" s="244"/>
      <c r="N1481" s="244"/>
      <c r="O1481" s="244"/>
      <c r="P1481" s="244"/>
    </row>
    <row r="1482" ht="18.75" customHeight="1">
      <c r="A1482" s="246"/>
      <c r="B1482" s="247"/>
      <c r="C1482" s="247"/>
      <c r="D1482" s="247"/>
      <c r="E1482" s="247"/>
      <c r="F1482" s="247"/>
      <c r="G1482" s="248"/>
      <c r="H1482" s="249"/>
      <c r="I1482" s="250"/>
      <c r="J1482" s="234"/>
      <c r="K1482" s="244"/>
      <c r="L1482" s="244"/>
      <c r="M1482" s="244"/>
      <c r="N1482" s="244"/>
      <c r="O1482" s="244"/>
      <c r="P1482" s="244"/>
    </row>
    <row r="1483" ht="18.75" customHeight="1">
      <c r="A1483" s="246"/>
      <c r="B1483" s="247"/>
      <c r="C1483" s="247"/>
      <c r="D1483" s="247"/>
      <c r="E1483" s="251"/>
      <c r="F1483" s="247"/>
      <c r="G1483" s="252"/>
      <c r="H1483" s="253"/>
      <c r="I1483" s="254"/>
      <c r="J1483" s="235"/>
      <c r="K1483" s="244"/>
      <c r="L1483" s="244"/>
      <c r="M1483" s="244"/>
      <c r="N1483" s="244"/>
      <c r="O1483" s="244"/>
      <c r="P1483" s="244"/>
    </row>
    <row r="1484" ht="18.75" customHeight="1">
      <c r="A1484" s="246"/>
      <c r="B1484" s="247"/>
      <c r="C1484" s="247"/>
      <c r="D1484" s="247"/>
      <c r="E1484" s="247"/>
      <c r="F1484" s="247"/>
      <c r="G1484" s="248"/>
      <c r="H1484" s="249"/>
      <c r="I1484" s="250"/>
      <c r="J1484" s="234"/>
      <c r="K1484" s="244"/>
      <c r="L1484" s="244"/>
      <c r="M1484" s="244"/>
      <c r="N1484" s="244"/>
      <c r="O1484" s="244"/>
      <c r="P1484" s="244"/>
    </row>
    <row r="1485" ht="18.75" customHeight="1">
      <c r="A1485" s="246"/>
      <c r="B1485" s="247"/>
      <c r="C1485" s="247"/>
      <c r="D1485" s="247"/>
      <c r="E1485" s="251"/>
      <c r="F1485" s="247"/>
      <c r="G1485" s="252"/>
      <c r="H1485" s="253"/>
      <c r="I1485" s="254"/>
      <c r="J1485" s="235"/>
      <c r="K1485" s="244"/>
      <c r="L1485" s="244"/>
      <c r="M1485" s="244"/>
      <c r="N1485" s="244"/>
      <c r="O1485" s="244"/>
      <c r="P1485" s="244"/>
    </row>
    <row r="1486" ht="18.75" customHeight="1">
      <c r="A1486" s="246"/>
      <c r="B1486" s="247"/>
      <c r="C1486" s="247"/>
      <c r="D1486" s="247"/>
      <c r="E1486" s="247"/>
      <c r="F1486" s="247"/>
      <c r="G1486" s="248"/>
      <c r="H1486" s="249"/>
      <c r="I1486" s="250"/>
      <c r="J1486" s="234"/>
      <c r="K1486" s="244"/>
      <c r="L1486" s="244"/>
      <c r="M1486" s="244"/>
      <c r="N1486" s="244"/>
      <c r="O1486" s="244"/>
      <c r="P1486" s="244"/>
    </row>
    <row r="1487" ht="18.75" customHeight="1">
      <c r="A1487" s="246"/>
      <c r="B1487" s="247"/>
      <c r="C1487" s="247"/>
      <c r="D1487" s="247"/>
      <c r="E1487" s="251"/>
      <c r="F1487" s="247"/>
      <c r="G1487" s="252"/>
      <c r="H1487" s="253"/>
      <c r="I1487" s="254"/>
      <c r="J1487" s="235"/>
      <c r="K1487" s="244"/>
      <c r="L1487" s="244"/>
      <c r="M1487" s="244"/>
      <c r="N1487" s="244"/>
      <c r="O1487" s="244"/>
      <c r="P1487" s="244"/>
    </row>
    <row r="1488" ht="18.75" customHeight="1">
      <c r="A1488" s="246"/>
      <c r="B1488" s="247"/>
      <c r="C1488" s="247"/>
      <c r="D1488" s="247"/>
      <c r="E1488" s="247"/>
      <c r="F1488" s="247"/>
      <c r="G1488" s="248"/>
      <c r="H1488" s="249"/>
      <c r="I1488" s="250"/>
      <c r="J1488" s="234"/>
      <c r="K1488" s="244"/>
      <c r="L1488" s="244"/>
      <c r="M1488" s="244"/>
      <c r="N1488" s="244"/>
      <c r="O1488" s="244"/>
      <c r="P1488" s="244"/>
    </row>
    <row r="1489" ht="18.75" customHeight="1">
      <c r="A1489" s="246"/>
      <c r="B1489" s="247"/>
      <c r="C1489" s="247"/>
      <c r="D1489" s="247"/>
      <c r="E1489" s="251"/>
      <c r="F1489" s="247"/>
      <c r="G1489" s="252"/>
      <c r="H1489" s="253"/>
      <c r="I1489" s="254"/>
      <c r="J1489" s="235"/>
      <c r="K1489" s="244"/>
      <c r="L1489" s="244"/>
      <c r="M1489" s="244"/>
      <c r="N1489" s="244"/>
      <c r="O1489" s="244"/>
      <c r="P1489" s="244"/>
    </row>
    <row r="1490" ht="18.75" customHeight="1">
      <c r="A1490" s="246"/>
      <c r="B1490" s="247"/>
      <c r="C1490" s="247"/>
      <c r="D1490" s="247"/>
      <c r="E1490" s="247"/>
      <c r="F1490" s="247"/>
      <c r="G1490" s="248"/>
      <c r="H1490" s="249"/>
      <c r="I1490" s="250"/>
      <c r="J1490" s="234"/>
      <c r="K1490" s="244"/>
      <c r="L1490" s="244"/>
      <c r="M1490" s="244"/>
      <c r="N1490" s="244"/>
      <c r="O1490" s="244"/>
      <c r="P1490" s="244"/>
    </row>
    <row r="1491" ht="18.75" customHeight="1">
      <c r="A1491" s="246"/>
      <c r="B1491" s="247"/>
      <c r="C1491" s="247"/>
      <c r="D1491" s="247"/>
      <c r="E1491" s="251"/>
      <c r="F1491" s="247"/>
      <c r="G1491" s="252"/>
      <c r="H1491" s="253"/>
      <c r="I1491" s="254"/>
      <c r="J1491" s="235"/>
      <c r="K1491" s="244"/>
      <c r="L1491" s="244"/>
      <c r="M1491" s="244"/>
      <c r="N1491" s="244"/>
      <c r="O1491" s="244"/>
      <c r="P1491" s="244"/>
    </row>
    <row r="1492" ht="18.75" customHeight="1">
      <c r="A1492" s="246"/>
      <c r="B1492" s="247"/>
      <c r="C1492" s="247"/>
      <c r="D1492" s="247"/>
      <c r="E1492" s="247"/>
      <c r="F1492" s="247"/>
      <c r="G1492" s="248"/>
      <c r="H1492" s="249"/>
      <c r="I1492" s="250"/>
      <c r="J1492" s="234"/>
      <c r="K1492" s="244"/>
      <c r="L1492" s="244"/>
      <c r="M1492" s="244"/>
      <c r="N1492" s="244"/>
      <c r="O1492" s="244"/>
      <c r="P1492" s="244"/>
    </row>
    <row r="1493" ht="18.75" customHeight="1">
      <c r="A1493" s="246"/>
      <c r="B1493" s="247"/>
      <c r="C1493" s="247"/>
      <c r="D1493" s="247"/>
      <c r="E1493" s="251"/>
      <c r="F1493" s="247"/>
      <c r="G1493" s="252"/>
      <c r="H1493" s="253"/>
      <c r="I1493" s="254"/>
      <c r="J1493" s="235"/>
      <c r="K1493" s="244"/>
      <c r="L1493" s="244"/>
      <c r="M1493" s="244"/>
      <c r="N1493" s="244"/>
      <c r="O1493" s="244"/>
      <c r="P1493" s="244"/>
    </row>
    <row r="1494" ht="18.75" customHeight="1">
      <c r="A1494" s="246"/>
      <c r="B1494" s="247"/>
      <c r="C1494" s="247"/>
      <c r="D1494" s="247"/>
      <c r="E1494" s="247"/>
      <c r="F1494" s="247"/>
      <c r="G1494" s="248"/>
      <c r="H1494" s="249"/>
      <c r="I1494" s="250"/>
      <c r="J1494" s="234"/>
      <c r="K1494" s="244"/>
      <c r="L1494" s="244"/>
      <c r="M1494" s="244"/>
      <c r="N1494" s="244"/>
      <c r="O1494" s="244"/>
      <c r="P1494" s="244"/>
    </row>
    <row r="1495" ht="18.75" customHeight="1">
      <c r="A1495" s="246"/>
      <c r="B1495" s="247"/>
      <c r="C1495" s="247"/>
      <c r="D1495" s="247"/>
      <c r="E1495" s="251"/>
      <c r="F1495" s="247"/>
      <c r="G1495" s="252"/>
      <c r="H1495" s="253"/>
      <c r="I1495" s="254"/>
      <c r="J1495" s="235"/>
      <c r="K1495" s="244"/>
      <c r="L1495" s="244"/>
      <c r="M1495" s="244"/>
      <c r="N1495" s="244"/>
      <c r="O1495" s="244"/>
      <c r="P1495" s="244"/>
    </row>
    <row r="1496" ht="18.75" customHeight="1">
      <c r="A1496" s="246"/>
      <c r="B1496" s="247"/>
      <c r="C1496" s="247"/>
      <c r="D1496" s="247"/>
      <c r="E1496" s="247"/>
      <c r="F1496" s="247"/>
      <c r="G1496" s="248"/>
      <c r="H1496" s="249"/>
      <c r="I1496" s="250"/>
      <c r="J1496" s="234"/>
      <c r="K1496" s="244"/>
      <c r="L1496" s="244"/>
      <c r="M1496" s="244"/>
      <c r="N1496" s="244"/>
      <c r="O1496" s="244"/>
      <c r="P1496" s="244"/>
    </row>
    <row r="1497" ht="18.75" customHeight="1">
      <c r="A1497" s="246"/>
      <c r="B1497" s="247"/>
      <c r="C1497" s="247"/>
      <c r="D1497" s="247"/>
      <c r="E1497" s="251"/>
      <c r="F1497" s="247"/>
      <c r="G1497" s="252"/>
      <c r="H1497" s="253"/>
      <c r="I1497" s="254"/>
      <c r="J1497" s="235"/>
      <c r="K1497" s="244"/>
      <c r="L1497" s="244"/>
      <c r="M1497" s="244"/>
      <c r="N1497" s="244"/>
      <c r="O1497" s="244"/>
      <c r="P1497" s="244"/>
    </row>
    <row r="1498" ht="18.75" customHeight="1">
      <c r="A1498" s="246"/>
      <c r="B1498" s="247"/>
      <c r="C1498" s="247"/>
      <c r="D1498" s="247"/>
      <c r="E1498" s="247"/>
      <c r="F1498" s="247"/>
      <c r="G1498" s="248"/>
      <c r="H1498" s="249"/>
      <c r="I1498" s="250"/>
      <c r="J1498" s="234"/>
      <c r="K1498" s="244"/>
      <c r="L1498" s="244"/>
      <c r="M1498" s="244"/>
      <c r="N1498" s="244"/>
      <c r="O1498" s="244"/>
      <c r="P1498" s="244"/>
    </row>
    <row r="1499" ht="18.75" customHeight="1">
      <c r="A1499" s="246"/>
      <c r="B1499" s="247"/>
      <c r="C1499" s="247"/>
      <c r="D1499" s="247"/>
      <c r="E1499" s="251"/>
      <c r="F1499" s="247"/>
      <c r="G1499" s="252"/>
      <c r="H1499" s="253"/>
      <c r="I1499" s="254"/>
      <c r="J1499" s="235"/>
      <c r="K1499" s="244"/>
      <c r="L1499" s="244"/>
      <c r="M1499" s="244"/>
      <c r="N1499" s="244"/>
      <c r="O1499" s="244"/>
      <c r="P1499" s="244"/>
    </row>
    <row r="1500" ht="18.75" customHeight="1">
      <c r="A1500" s="246"/>
      <c r="B1500" s="247"/>
      <c r="C1500" s="247"/>
      <c r="D1500" s="247"/>
      <c r="E1500" s="247"/>
      <c r="F1500" s="247"/>
      <c r="G1500" s="248"/>
      <c r="H1500" s="249"/>
      <c r="I1500" s="250"/>
      <c r="J1500" s="234"/>
      <c r="K1500" s="244"/>
      <c r="L1500" s="244"/>
      <c r="M1500" s="244"/>
      <c r="N1500" s="244"/>
      <c r="O1500" s="244"/>
      <c r="P1500" s="244"/>
    </row>
    <row r="1501" ht="18.75" customHeight="1">
      <c r="A1501" s="246"/>
      <c r="B1501" s="247"/>
      <c r="C1501" s="247"/>
      <c r="D1501" s="247"/>
      <c r="E1501" s="251"/>
      <c r="F1501" s="247"/>
      <c r="G1501" s="252"/>
      <c r="H1501" s="253"/>
      <c r="I1501" s="254"/>
      <c r="J1501" s="235"/>
      <c r="K1501" s="244"/>
      <c r="L1501" s="244"/>
      <c r="M1501" s="244"/>
      <c r="N1501" s="244"/>
      <c r="O1501" s="244"/>
      <c r="P1501" s="244"/>
    </row>
    <row r="1502" ht="18.75" customHeight="1">
      <c r="A1502" s="246"/>
      <c r="B1502" s="247"/>
      <c r="C1502" s="247"/>
      <c r="D1502" s="247"/>
      <c r="E1502" s="247"/>
      <c r="F1502" s="247"/>
      <c r="G1502" s="248"/>
      <c r="H1502" s="249"/>
      <c r="I1502" s="250"/>
      <c r="J1502" s="234"/>
      <c r="K1502" s="244"/>
      <c r="L1502" s="244"/>
      <c r="M1502" s="244"/>
      <c r="N1502" s="244"/>
      <c r="O1502" s="244"/>
      <c r="P1502" s="244"/>
    </row>
    <row r="1503" ht="18.75" customHeight="1">
      <c r="A1503" s="246"/>
      <c r="B1503" s="247"/>
      <c r="C1503" s="247"/>
      <c r="D1503" s="247"/>
      <c r="E1503" s="251"/>
      <c r="F1503" s="247"/>
      <c r="G1503" s="252"/>
      <c r="H1503" s="253"/>
      <c r="I1503" s="254"/>
      <c r="J1503" s="235"/>
      <c r="K1503" s="244"/>
      <c r="L1503" s="244"/>
      <c r="M1503" s="244"/>
      <c r="N1503" s="244"/>
      <c r="O1503" s="244"/>
      <c r="P1503" s="244"/>
    </row>
    <row r="1504" ht="18.75" customHeight="1">
      <c r="A1504" s="246"/>
      <c r="B1504" s="247"/>
      <c r="C1504" s="247"/>
      <c r="D1504" s="247"/>
      <c r="E1504" s="247"/>
      <c r="F1504" s="247"/>
      <c r="G1504" s="248"/>
      <c r="H1504" s="249"/>
      <c r="I1504" s="250"/>
      <c r="J1504" s="234"/>
      <c r="K1504" s="244"/>
      <c r="L1504" s="244"/>
      <c r="M1504" s="244"/>
      <c r="N1504" s="244"/>
      <c r="O1504" s="244"/>
      <c r="P1504" s="244"/>
    </row>
    <row r="1505" ht="18.75" customHeight="1">
      <c r="A1505" s="246"/>
      <c r="B1505" s="247"/>
      <c r="C1505" s="247"/>
      <c r="D1505" s="247"/>
      <c r="E1505" s="251"/>
      <c r="F1505" s="247"/>
      <c r="G1505" s="252"/>
      <c r="H1505" s="253"/>
      <c r="I1505" s="254"/>
      <c r="J1505" s="235"/>
      <c r="K1505" s="244"/>
      <c r="L1505" s="244"/>
      <c r="M1505" s="244"/>
      <c r="N1505" s="244"/>
      <c r="O1505" s="244"/>
      <c r="P1505" s="244"/>
    </row>
    <row r="1506" ht="18.75" customHeight="1">
      <c r="A1506" s="246"/>
      <c r="B1506" s="247"/>
      <c r="C1506" s="247"/>
      <c r="D1506" s="247"/>
      <c r="E1506" s="247"/>
      <c r="F1506" s="247"/>
      <c r="G1506" s="248"/>
      <c r="H1506" s="249"/>
      <c r="I1506" s="250"/>
      <c r="J1506" s="234"/>
      <c r="K1506" s="244"/>
      <c r="L1506" s="244"/>
      <c r="M1506" s="244"/>
      <c r="N1506" s="244"/>
      <c r="O1506" s="244"/>
      <c r="P1506" s="244"/>
    </row>
    <row r="1507" ht="18.75" customHeight="1">
      <c r="A1507" s="246"/>
      <c r="B1507" s="247"/>
      <c r="C1507" s="247"/>
      <c r="D1507" s="247"/>
      <c r="E1507" s="251"/>
      <c r="F1507" s="247"/>
      <c r="G1507" s="252"/>
      <c r="H1507" s="253"/>
      <c r="I1507" s="254"/>
      <c r="J1507" s="235"/>
      <c r="K1507" s="244"/>
      <c r="L1507" s="244"/>
      <c r="M1507" s="244"/>
      <c r="N1507" s="244"/>
      <c r="O1507" s="244"/>
      <c r="P1507" s="244"/>
    </row>
    <row r="1508" ht="18.75" customHeight="1">
      <c r="A1508" s="246"/>
      <c r="B1508" s="247"/>
      <c r="C1508" s="247"/>
      <c r="D1508" s="247"/>
      <c r="E1508" s="247"/>
      <c r="F1508" s="247"/>
      <c r="G1508" s="248"/>
      <c r="H1508" s="249"/>
      <c r="I1508" s="250"/>
      <c r="J1508" s="234"/>
      <c r="K1508" s="244"/>
      <c r="L1508" s="244"/>
      <c r="M1508" s="244"/>
      <c r="N1508" s="244"/>
      <c r="O1508" s="244"/>
      <c r="P1508" s="244"/>
    </row>
    <row r="1509" ht="18.75" customHeight="1">
      <c r="A1509" s="246"/>
      <c r="B1509" s="247"/>
      <c r="C1509" s="247"/>
      <c r="D1509" s="247"/>
      <c r="E1509" s="251"/>
      <c r="F1509" s="247"/>
      <c r="G1509" s="252"/>
      <c r="H1509" s="253"/>
      <c r="I1509" s="254"/>
      <c r="J1509" s="235"/>
      <c r="K1509" s="244"/>
      <c r="L1509" s="244"/>
      <c r="M1509" s="244"/>
      <c r="N1509" s="244"/>
      <c r="O1509" s="244"/>
      <c r="P1509" s="244"/>
    </row>
    <row r="1510" ht="18.75" customHeight="1">
      <c r="A1510" s="246"/>
      <c r="B1510" s="247"/>
      <c r="C1510" s="247"/>
      <c r="D1510" s="247"/>
      <c r="E1510" s="247"/>
      <c r="F1510" s="247"/>
      <c r="G1510" s="248"/>
      <c r="H1510" s="249"/>
      <c r="I1510" s="250"/>
      <c r="J1510" s="234"/>
      <c r="K1510" s="244"/>
      <c r="L1510" s="244"/>
      <c r="M1510" s="244"/>
      <c r="N1510" s="244"/>
      <c r="O1510" s="244"/>
      <c r="P1510" s="244"/>
    </row>
    <row r="1511" ht="18.75" customHeight="1">
      <c r="A1511" s="246"/>
      <c r="B1511" s="247"/>
      <c r="C1511" s="247"/>
      <c r="D1511" s="247"/>
      <c r="E1511" s="251"/>
      <c r="F1511" s="247"/>
      <c r="G1511" s="252"/>
      <c r="H1511" s="253"/>
      <c r="I1511" s="254"/>
      <c r="J1511" s="235"/>
      <c r="K1511" s="244"/>
      <c r="L1511" s="244"/>
      <c r="M1511" s="244"/>
      <c r="N1511" s="244"/>
      <c r="O1511" s="244"/>
      <c r="P1511" s="244"/>
    </row>
    <row r="1512" ht="18.75" customHeight="1">
      <c r="A1512" s="246"/>
      <c r="B1512" s="247"/>
      <c r="C1512" s="247"/>
      <c r="D1512" s="247"/>
      <c r="E1512" s="247"/>
      <c r="F1512" s="247"/>
      <c r="G1512" s="248"/>
      <c r="H1512" s="249"/>
      <c r="I1512" s="250"/>
      <c r="J1512" s="234"/>
      <c r="K1512" s="244"/>
      <c r="L1512" s="244"/>
      <c r="M1512" s="244"/>
      <c r="N1512" s="244"/>
      <c r="O1512" s="244"/>
      <c r="P1512" s="244"/>
    </row>
    <row r="1513" ht="18.75" customHeight="1">
      <c r="A1513" s="246"/>
      <c r="B1513" s="247"/>
      <c r="C1513" s="247"/>
      <c r="D1513" s="247"/>
      <c r="E1513" s="251"/>
      <c r="F1513" s="247"/>
      <c r="G1513" s="252"/>
      <c r="H1513" s="253"/>
      <c r="I1513" s="254"/>
      <c r="J1513" s="235"/>
      <c r="K1513" s="244"/>
      <c r="L1513" s="244"/>
      <c r="M1513" s="244"/>
      <c r="N1513" s="244"/>
      <c r="O1513" s="244"/>
      <c r="P1513" s="244"/>
    </row>
    <row r="1514" ht="18.75" customHeight="1">
      <c r="A1514" s="246"/>
      <c r="B1514" s="247"/>
      <c r="C1514" s="247"/>
      <c r="D1514" s="247"/>
      <c r="E1514" s="247"/>
      <c r="F1514" s="247"/>
      <c r="G1514" s="248"/>
      <c r="H1514" s="249"/>
      <c r="I1514" s="250"/>
      <c r="J1514" s="234"/>
      <c r="K1514" s="244"/>
      <c r="L1514" s="244"/>
      <c r="M1514" s="244"/>
      <c r="N1514" s="244"/>
      <c r="O1514" s="244"/>
      <c r="P1514" s="244"/>
    </row>
    <row r="1515" ht="18.75" customHeight="1">
      <c r="A1515" s="246"/>
      <c r="B1515" s="247"/>
      <c r="C1515" s="247"/>
      <c r="D1515" s="247"/>
      <c r="E1515" s="251"/>
      <c r="F1515" s="247"/>
      <c r="G1515" s="252"/>
      <c r="H1515" s="253"/>
      <c r="I1515" s="254"/>
      <c r="J1515" s="235"/>
      <c r="K1515" s="244"/>
      <c r="L1515" s="244"/>
      <c r="M1515" s="244"/>
      <c r="N1515" s="244"/>
      <c r="O1515" s="244"/>
      <c r="P1515" s="244"/>
    </row>
    <row r="1516" ht="18.75" customHeight="1">
      <c r="A1516" s="246"/>
      <c r="B1516" s="247"/>
      <c r="C1516" s="247"/>
      <c r="D1516" s="247"/>
      <c r="E1516" s="247"/>
      <c r="F1516" s="247"/>
      <c r="G1516" s="248"/>
      <c r="H1516" s="249"/>
      <c r="I1516" s="250"/>
      <c r="J1516" s="234"/>
      <c r="K1516" s="244"/>
      <c r="L1516" s="244"/>
      <c r="M1516" s="244"/>
      <c r="N1516" s="244"/>
      <c r="O1516" s="244"/>
      <c r="P1516" s="244"/>
    </row>
    <row r="1517" ht="18.75" customHeight="1">
      <c r="A1517" s="246"/>
      <c r="B1517" s="247"/>
      <c r="C1517" s="247"/>
      <c r="D1517" s="247"/>
      <c r="E1517" s="251"/>
      <c r="F1517" s="247"/>
      <c r="G1517" s="252"/>
      <c r="H1517" s="253"/>
      <c r="I1517" s="254"/>
      <c r="J1517" s="235"/>
      <c r="K1517" s="244"/>
      <c r="L1517" s="244"/>
      <c r="M1517" s="244"/>
      <c r="N1517" s="244"/>
      <c r="O1517" s="244"/>
      <c r="P1517" s="244"/>
    </row>
    <row r="1518" ht="18.75" customHeight="1">
      <c r="A1518" s="246"/>
      <c r="B1518" s="247"/>
      <c r="C1518" s="247"/>
      <c r="D1518" s="247"/>
      <c r="E1518" s="247"/>
      <c r="F1518" s="247"/>
      <c r="G1518" s="248"/>
      <c r="H1518" s="249"/>
      <c r="I1518" s="250"/>
      <c r="J1518" s="234"/>
      <c r="K1518" s="244"/>
      <c r="L1518" s="244"/>
      <c r="M1518" s="244"/>
      <c r="N1518" s="244"/>
      <c r="O1518" s="244"/>
      <c r="P1518" s="244"/>
    </row>
    <row r="1519" ht="18.75" customHeight="1">
      <c r="A1519" s="246"/>
      <c r="B1519" s="247"/>
      <c r="C1519" s="247"/>
      <c r="D1519" s="247"/>
      <c r="E1519" s="251"/>
      <c r="F1519" s="247"/>
      <c r="G1519" s="252"/>
      <c r="H1519" s="253"/>
      <c r="I1519" s="254"/>
      <c r="J1519" s="235"/>
      <c r="K1519" s="244"/>
      <c r="L1519" s="244"/>
      <c r="M1519" s="244"/>
      <c r="N1519" s="244"/>
      <c r="O1519" s="244"/>
      <c r="P1519" s="244"/>
    </row>
    <row r="1520" ht="18.75" customHeight="1">
      <c r="A1520" s="246"/>
      <c r="B1520" s="247"/>
      <c r="C1520" s="247"/>
      <c r="D1520" s="247"/>
      <c r="E1520" s="247"/>
      <c r="F1520" s="247"/>
      <c r="G1520" s="248"/>
      <c r="H1520" s="249"/>
      <c r="I1520" s="250"/>
      <c r="J1520" s="234"/>
      <c r="K1520" s="244"/>
      <c r="L1520" s="244"/>
      <c r="M1520" s="244"/>
      <c r="N1520" s="244"/>
      <c r="O1520" s="244"/>
      <c r="P1520" s="244"/>
    </row>
    <row r="1521" ht="18.75" customHeight="1">
      <c r="A1521" s="246"/>
      <c r="B1521" s="247"/>
      <c r="C1521" s="247"/>
      <c r="D1521" s="247"/>
      <c r="E1521" s="251"/>
      <c r="F1521" s="247"/>
      <c r="G1521" s="252"/>
      <c r="H1521" s="253"/>
      <c r="I1521" s="254"/>
      <c r="J1521" s="235"/>
      <c r="K1521" s="244"/>
      <c r="L1521" s="244"/>
      <c r="M1521" s="244"/>
      <c r="N1521" s="244"/>
      <c r="O1521" s="244"/>
      <c r="P1521" s="244"/>
    </row>
    <row r="1522" ht="18.75" customHeight="1">
      <c r="A1522" s="246"/>
      <c r="B1522" s="247"/>
      <c r="C1522" s="247"/>
      <c r="D1522" s="247"/>
      <c r="E1522" s="247"/>
      <c r="F1522" s="247"/>
      <c r="G1522" s="248"/>
      <c r="H1522" s="249"/>
      <c r="I1522" s="250"/>
      <c r="J1522" s="234"/>
      <c r="K1522" s="244"/>
      <c r="L1522" s="244"/>
      <c r="M1522" s="244"/>
      <c r="N1522" s="244"/>
      <c r="O1522" s="244"/>
      <c r="P1522" s="244"/>
    </row>
    <row r="1523" ht="18.75" customHeight="1">
      <c r="A1523" s="246"/>
      <c r="B1523" s="247"/>
      <c r="C1523" s="247"/>
      <c r="D1523" s="247"/>
      <c r="E1523" s="251"/>
      <c r="F1523" s="247"/>
      <c r="G1523" s="252"/>
      <c r="H1523" s="253"/>
      <c r="I1523" s="254"/>
      <c r="J1523" s="235"/>
      <c r="K1523" s="244"/>
      <c r="L1523" s="244"/>
      <c r="M1523" s="244"/>
      <c r="N1523" s="244"/>
      <c r="O1523" s="244"/>
      <c r="P1523" s="244"/>
    </row>
    <row r="1524" ht="18.75" customHeight="1">
      <c r="A1524" s="246"/>
      <c r="B1524" s="247"/>
      <c r="C1524" s="247"/>
      <c r="D1524" s="247"/>
      <c r="E1524" s="247"/>
      <c r="F1524" s="247"/>
      <c r="G1524" s="248"/>
      <c r="H1524" s="249"/>
      <c r="I1524" s="250"/>
      <c r="J1524" s="234"/>
      <c r="K1524" s="244"/>
      <c r="L1524" s="244"/>
      <c r="M1524" s="244"/>
      <c r="N1524" s="244"/>
      <c r="O1524" s="244"/>
      <c r="P1524" s="244"/>
    </row>
    <row r="1525" ht="18.75" customHeight="1">
      <c r="A1525" s="246"/>
      <c r="B1525" s="247"/>
      <c r="C1525" s="247"/>
      <c r="D1525" s="247"/>
      <c r="E1525" s="251"/>
      <c r="F1525" s="247"/>
      <c r="G1525" s="252"/>
      <c r="H1525" s="253"/>
      <c r="I1525" s="254"/>
      <c r="J1525" s="235"/>
      <c r="K1525" s="244"/>
      <c r="L1525" s="244"/>
      <c r="M1525" s="244"/>
      <c r="N1525" s="244"/>
      <c r="O1525" s="244"/>
      <c r="P1525" s="244"/>
    </row>
    <row r="1526" ht="18.75" customHeight="1">
      <c r="A1526" s="246"/>
      <c r="B1526" s="247"/>
      <c r="C1526" s="247"/>
      <c r="D1526" s="247"/>
      <c r="E1526" s="247"/>
      <c r="F1526" s="247"/>
      <c r="G1526" s="248"/>
      <c r="H1526" s="249"/>
      <c r="I1526" s="250"/>
      <c r="J1526" s="234"/>
      <c r="K1526" s="244"/>
      <c r="L1526" s="244"/>
      <c r="M1526" s="244"/>
      <c r="N1526" s="244"/>
      <c r="O1526" s="244"/>
      <c r="P1526" s="244"/>
    </row>
    <row r="1527" ht="18.75" customHeight="1">
      <c r="A1527" s="246"/>
      <c r="B1527" s="247"/>
      <c r="C1527" s="247"/>
      <c r="D1527" s="247"/>
      <c r="E1527" s="251"/>
      <c r="F1527" s="247"/>
      <c r="G1527" s="252"/>
      <c r="H1527" s="253"/>
      <c r="I1527" s="254"/>
      <c r="J1527" s="235"/>
      <c r="K1527" s="244"/>
      <c r="L1527" s="244"/>
      <c r="M1527" s="244"/>
      <c r="N1527" s="244"/>
      <c r="O1527" s="244"/>
      <c r="P1527" s="244"/>
    </row>
    <row r="1528" ht="18.75" customHeight="1">
      <c r="A1528" s="246"/>
      <c r="B1528" s="247"/>
      <c r="C1528" s="247"/>
      <c r="D1528" s="247"/>
      <c r="E1528" s="247"/>
      <c r="F1528" s="247"/>
      <c r="G1528" s="248"/>
      <c r="H1528" s="249"/>
      <c r="I1528" s="250"/>
      <c r="J1528" s="234"/>
      <c r="K1528" s="244"/>
      <c r="L1528" s="244"/>
      <c r="M1528" s="244"/>
      <c r="N1528" s="244"/>
      <c r="O1528" s="244"/>
      <c r="P1528" s="244"/>
    </row>
    <row r="1529" ht="18.75" customHeight="1">
      <c r="A1529" s="246"/>
      <c r="B1529" s="247"/>
      <c r="C1529" s="247"/>
      <c r="D1529" s="247"/>
      <c r="E1529" s="251"/>
      <c r="F1529" s="247"/>
      <c r="G1529" s="252"/>
      <c r="H1529" s="253"/>
      <c r="I1529" s="254"/>
      <c r="J1529" s="235"/>
      <c r="K1529" s="244"/>
      <c r="L1529" s="244"/>
      <c r="M1529" s="244"/>
      <c r="N1529" s="244"/>
      <c r="O1529" s="244"/>
      <c r="P1529" s="244"/>
    </row>
    <row r="1530" ht="18.75" customHeight="1">
      <c r="A1530" s="246"/>
      <c r="B1530" s="247"/>
      <c r="C1530" s="247"/>
      <c r="D1530" s="247"/>
      <c r="E1530" s="247"/>
      <c r="F1530" s="247"/>
      <c r="G1530" s="248"/>
      <c r="H1530" s="249"/>
      <c r="I1530" s="250"/>
      <c r="J1530" s="234"/>
      <c r="K1530" s="244"/>
      <c r="L1530" s="244"/>
      <c r="M1530" s="244"/>
      <c r="N1530" s="244"/>
      <c r="O1530" s="244"/>
      <c r="P1530" s="244"/>
    </row>
    <row r="1531" ht="18.75" customHeight="1">
      <c r="A1531" s="246"/>
      <c r="B1531" s="247"/>
      <c r="C1531" s="247"/>
      <c r="D1531" s="247"/>
      <c r="E1531" s="251"/>
      <c r="F1531" s="247"/>
      <c r="G1531" s="252"/>
      <c r="H1531" s="253"/>
      <c r="I1531" s="254"/>
      <c r="J1531" s="235"/>
      <c r="K1531" s="244"/>
      <c r="L1531" s="244"/>
      <c r="M1531" s="244"/>
      <c r="N1531" s="244"/>
      <c r="O1531" s="244"/>
      <c r="P1531" s="244"/>
    </row>
    <row r="1532" ht="18.75" customHeight="1">
      <c r="A1532" s="246"/>
      <c r="B1532" s="247"/>
      <c r="C1532" s="247"/>
      <c r="D1532" s="247"/>
      <c r="E1532" s="247"/>
      <c r="F1532" s="247"/>
      <c r="G1532" s="248"/>
      <c r="H1532" s="249"/>
      <c r="I1532" s="250"/>
      <c r="J1532" s="234"/>
      <c r="K1532" s="244"/>
      <c r="L1532" s="244"/>
      <c r="M1532" s="244"/>
      <c r="N1532" s="244"/>
      <c r="O1532" s="244"/>
      <c r="P1532" s="244"/>
    </row>
    <row r="1533" ht="18.75" customHeight="1">
      <c r="A1533" s="246"/>
      <c r="B1533" s="247"/>
      <c r="C1533" s="247"/>
      <c r="D1533" s="247"/>
      <c r="E1533" s="251"/>
      <c r="F1533" s="247"/>
      <c r="G1533" s="252"/>
      <c r="H1533" s="253"/>
      <c r="I1533" s="254"/>
      <c r="J1533" s="235"/>
      <c r="K1533" s="244"/>
      <c r="L1533" s="244"/>
      <c r="M1533" s="244"/>
      <c r="N1533" s="244"/>
      <c r="O1533" s="244"/>
      <c r="P1533" s="244"/>
    </row>
    <row r="1534" ht="18.75" customHeight="1">
      <c r="A1534" s="246"/>
      <c r="B1534" s="247"/>
      <c r="C1534" s="247"/>
      <c r="D1534" s="247"/>
      <c r="E1534" s="247"/>
      <c r="F1534" s="247"/>
      <c r="G1534" s="248"/>
      <c r="H1534" s="249"/>
      <c r="I1534" s="250"/>
      <c r="J1534" s="234"/>
      <c r="K1534" s="244"/>
      <c r="L1534" s="244"/>
      <c r="M1534" s="244"/>
      <c r="N1534" s="244"/>
      <c r="O1534" s="244"/>
      <c r="P1534" s="244"/>
    </row>
    <row r="1535" ht="18.75" customHeight="1">
      <c r="A1535" s="246"/>
      <c r="B1535" s="247"/>
      <c r="C1535" s="247"/>
      <c r="D1535" s="247"/>
      <c r="E1535" s="251"/>
      <c r="F1535" s="247"/>
      <c r="G1535" s="252"/>
      <c r="H1535" s="253"/>
      <c r="I1535" s="254"/>
      <c r="J1535" s="235"/>
      <c r="K1535" s="244"/>
      <c r="L1535" s="244"/>
      <c r="M1535" s="244"/>
      <c r="N1535" s="244"/>
      <c r="O1535" s="244"/>
      <c r="P1535" s="244"/>
    </row>
    <row r="1536" ht="18.75" customHeight="1">
      <c r="A1536" s="246"/>
      <c r="B1536" s="247"/>
      <c r="C1536" s="247"/>
      <c r="D1536" s="247"/>
      <c r="E1536" s="247"/>
      <c r="F1536" s="247"/>
      <c r="G1536" s="248"/>
      <c r="H1536" s="249"/>
      <c r="I1536" s="250"/>
      <c r="J1536" s="234"/>
      <c r="K1536" s="244"/>
      <c r="L1536" s="244"/>
      <c r="M1536" s="244"/>
      <c r="N1536" s="244"/>
      <c r="O1536" s="244"/>
      <c r="P1536" s="244"/>
    </row>
    <row r="1537" ht="18.75" customHeight="1">
      <c r="A1537" s="246"/>
      <c r="B1537" s="247"/>
      <c r="C1537" s="247"/>
      <c r="D1537" s="247"/>
      <c r="E1537" s="251"/>
      <c r="F1537" s="247"/>
      <c r="G1537" s="252"/>
      <c r="H1537" s="253"/>
      <c r="I1537" s="254"/>
      <c r="J1537" s="235"/>
      <c r="K1537" s="244"/>
      <c r="L1537" s="244"/>
      <c r="M1537" s="244"/>
      <c r="N1537" s="244"/>
      <c r="O1537" s="244"/>
      <c r="P1537" s="244"/>
    </row>
    <row r="1538" ht="18.75" customHeight="1">
      <c r="A1538" s="246"/>
      <c r="B1538" s="247"/>
      <c r="C1538" s="247"/>
      <c r="D1538" s="247"/>
      <c r="E1538" s="247"/>
      <c r="F1538" s="247"/>
      <c r="G1538" s="248"/>
      <c r="H1538" s="249"/>
      <c r="I1538" s="250"/>
      <c r="J1538" s="234"/>
      <c r="K1538" s="244"/>
      <c r="L1538" s="244"/>
      <c r="M1538" s="244"/>
      <c r="N1538" s="244"/>
      <c r="O1538" s="244"/>
      <c r="P1538" s="244"/>
    </row>
    <row r="1539" ht="18.75" customHeight="1">
      <c r="A1539" s="246"/>
      <c r="B1539" s="247"/>
      <c r="C1539" s="247"/>
      <c r="D1539" s="247"/>
      <c r="E1539" s="251"/>
      <c r="F1539" s="247"/>
      <c r="G1539" s="252"/>
      <c r="H1539" s="253"/>
      <c r="I1539" s="254"/>
      <c r="J1539" s="235"/>
      <c r="K1539" s="244"/>
      <c r="L1539" s="244"/>
      <c r="M1539" s="244"/>
      <c r="N1539" s="244"/>
      <c r="O1539" s="244"/>
      <c r="P1539" s="244"/>
    </row>
    <row r="1540" ht="18.75" customHeight="1">
      <c r="A1540" s="246"/>
      <c r="B1540" s="247"/>
      <c r="C1540" s="247"/>
      <c r="D1540" s="247"/>
      <c r="E1540" s="247"/>
      <c r="F1540" s="247"/>
      <c r="G1540" s="248"/>
      <c r="H1540" s="249"/>
      <c r="I1540" s="250"/>
      <c r="J1540" s="234"/>
      <c r="K1540" s="244"/>
      <c r="L1540" s="244"/>
      <c r="M1540" s="244"/>
      <c r="N1540" s="244"/>
      <c r="O1540" s="244"/>
      <c r="P1540" s="244"/>
    </row>
    <row r="1541" ht="18.75" customHeight="1">
      <c r="A1541" s="246"/>
      <c r="B1541" s="247"/>
      <c r="C1541" s="247"/>
      <c r="D1541" s="247"/>
      <c r="E1541" s="251"/>
      <c r="F1541" s="247"/>
      <c r="G1541" s="252"/>
      <c r="H1541" s="253"/>
      <c r="I1541" s="254"/>
      <c r="J1541" s="235"/>
      <c r="K1541" s="244"/>
      <c r="L1541" s="244"/>
      <c r="M1541" s="244"/>
      <c r="N1541" s="244"/>
      <c r="O1541" s="244"/>
      <c r="P1541" s="244"/>
    </row>
    <row r="1542" ht="18.75" customHeight="1">
      <c r="A1542" s="246"/>
      <c r="B1542" s="247"/>
      <c r="C1542" s="247"/>
      <c r="D1542" s="247"/>
      <c r="E1542" s="247"/>
      <c r="F1542" s="247"/>
      <c r="G1542" s="248"/>
      <c r="H1542" s="249"/>
      <c r="I1542" s="250"/>
      <c r="J1542" s="234"/>
      <c r="K1542" s="244"/>
      <c r="L1542" s="244"/>
      <c r="M1542" s="244"/>
      <c r="N1542" s="244"/>
      <c r="O1542" s="244"/>
      <c r="P1542" s="244"/>
    </row>
    <row r="1543" ht="18.75" customHeight="1">
      <c r="A1543" s="246"/>
      <c r="B1543" s="247"/>
      <c r="C1543" s="247"/>
      <c r="D1543" s="247"/>
      <c r="E1543" s="251"/>
      <c r="F1543" s="247"/>
      <c r="G1543" s="252"/>
      <c r="H1543" s="253"/>
      <c r="I1543" s="254"/>
      <c r="J1543" s="235"/>
      <c r="K1543" s="244"/>
      <c r="L1543" s="244"/>
      <c r="M1543" s="244"/>
      <c r="N1543" s="244"/>
      <c r="O1543" s="244"/>
      <c r="P1543" s="244"/>
    </row>
    <row r="1544" ht="18.75" customHeight="1">
      <c r="A1544" s="246"/>
      <c r="B1544" s="247"/>
      <c r="C1544" s="247"/>
      <c r="D1544" s="247"/>
      <c r="E1544" s="247"/>
      <c r="F1544" s="247"/>
      <c r="G1544" s="248"/>
      <c r="H1544" s="249"/>
      <c r="I1544" s="250"/>
      <c r="J1544" s="234"/>
      <c r="K1544" s="244"/>
      <c r="L1544" s="244"/>
      <c r="M1544" s="244"/>
      <c r="N1544" s="244"/>
      <c r="O1544" s="244"/>
      <c r="P1544" s="244"/>
    </row>
    <row r="1545" ht="18.75" customHeight="1">
      <c r="A1545" s="246"/>
      <c r="B1545" s="247"/>
      <c r="C1545" s="247"/>
      <c r="D1545" s="247"/>
      <c r="E1545" s="251"/>
      <c r="F1545" s="247"/>
      <c r="G1545" s="252"/>
      <c r="H1545" s="253"/>
      <c r="I1545" s="254"/>
      <c r="J1545" s="235"/>
      <c r="K1545" s="244"/>
      <c r="L1545" s="244"/>
      <c r="M1545" s="244"/>
      <c r="N1545" s="244"/>
      <c r="O1545" s="244"/>
      <c r="P1545" s="244"/>
    </row>
    <row r="1546" ht="18.75" customHeight="1">
      <c r="A1546" s="246"/>
      <c r="B1546" s="247"/>
      <c r="C1546" s="247"/>
      <c r="D1546" s="247"/>
      <c r="E1546" s="247"/>
      <c r="F1546" s="247"/>
      <c r="G1546" s="248"/>
      <c r="H1546" s="249"/>
      <c r="I1546" s="250"/>
      <c r="J1546" s="234"/>
      <c r="K1546" s="244"/>
      <c r="L1546" s="244"/>
      <c r="M1546" s="244"/>
      <c r="N1546" s="244"/>
      <c r="O1546" s="244"/>
      <c r="P1546" s="244"/>
    </row>
    <row r="1547" ht="18.75" customHeight="1">
      <c r="A1547" s="246"/>
      <c r="B1547" s="247"/>
      <c r="C1547" s="247"/>
      <c r="D1547" s="247"/>
      <c r="E1547" s="251"/>
      <c r="F1547" s="247"/>
      <c r="G1547" s="252"/>
      <c r="H1547" s="253"/>
      <c r="I1547" s="254"/>
      <c r="J1547" s="235"/>
      <c r="K1547" s="244"/>
      <c r="L1547" s="244"/>
      <c r="M1547" s="244"/>
      <c r="N1547" s="244"/>
      <c r="O1547" s="244"/>
      <c r="P1547" s="244"/>
    </row>
    <row r="1548" ht="18.75" customHeight="1">
      <c r="A1548" s="246"/>
      <c r="B1548" s="247"/>
      <c r="C1548" s="247"/>
      <c r="D1548" s="247"/>
      <c r="E1548" s="247"/>
      <c r="F1548" s="247"/>
      <c r="G1548" s="248"/>
      <c r="H1548" s="249"/>
      <c r="I1548" s="250"/>
      <c r="J1548" s="234"/>
      <c r="K1548" s="244"/>
      <c r="L1548" s="244"/>
      <c r="M1548" s="244"/>
      <c r="N1548" s="244"/>
      <c r="O1548" s="244"/>
      <c r="P1548" s="244"/>
    </row>
    <row r="1549" ht="18.75" customHeight="1">
      <c r="A1549" s="246"/>
      <c r="B1549" s="247"/>
      <c r="C1549" s="247"/>
      <c r="D1549" s="247"/>
      <c r="E1549" s="251"/>
      <c r="F1549" s="247"/>
      <c r="G1549" s="252"/>
      <c r="H1549" s="253"/>
      <c r="I1549" s="254"/>
      <c r="J1549" s="235"/>
      <c r="K1549" s="244"/>
      <c r="L1549" s="244"/>
      <c r="M1549" s="244"/>
      <c r="N1549" s="244"/>
      <c r="O1549" s="244"/>
      <c r="P1549" s="244"/>
    </row>
    <row r="1550" ht="18.75" customHeight="1">
      <c r="A1550" s="246"/>
      <c r="B1550" s="247"/>
      <c r="C1550" s="247"/>
      <c r="D1550" s="247"/>
      <c r="E1550" s="247"/>
      <c r="F1550" s="247"/>
      <c r="G1550" s="248"/>
      <c r="H1550" s="249"/>
      <c r="I1550" s="250"/>
      <c r="J1550" s="234"/>
      <c r="K1550" s="244"/>
      <c r="L1550" s="244"/>
      <c r="M1550" s="244"/>
      <c r="N1550" s="244"/>
      <c r="O1550" s="244"/>
      <c r="P1550" s="244"/>
    </row>
    <row r="1551" ht="18.75" customHeight="1">
      <c r="A1551" s="246"/>
      <c r="B1551" s="247"/>
      <c r="C1551" s="247"/>
      <c r="D1551" s="247"/>
      <c r="E1551" s="251"/>
      <c r="F1551" s="247"/>
      <c r="G1551" s="252"/>
      <c r="H1551" s="253"/>
      <c r="I1551" s="254"/>
      <c r="J1551" s="235"/>
      <c r="K1551" s="244"/>
      <c r="L1551" s="244"/>
      <c r="M1551" s="244"/>
      <c r="N1551" s="244"/>
      <c r="O1551" s="244"/>
      <c r="P1551" s="244"/>
    </row>
    <row r="1552" ht="18.75" customHeight="1">
      <c r="A1552" s="246"/>
      <c r="B1552" s="247"/>
      <c r="C1552" s="247"/>
      <c r="D1552" s="247"/>
      <c r="E1552" s="247"/>
      <c r="F1552" s="247"/>
      <c r="G1552" s="248"/>
      <c r="H1552" s="249"/>
      <c r="I1552" s="250"/>
      <c r="J1552" s="234"/>
      <c r="K1552" s="244"/>
      <c r="L1552" s="244"/>
      <c r="M1552" s="244"/>
      <c r="N1552" s="244"/>
      <c r="O1552" s="244"/>
      <c r="P1552" s="244"/>
    </row>
    <row r="1553" ht="18.75" customHeight="1">
      <c r="A1553" s="246"/>
      <c r="B1553" s="247"/>
      <c r="C1553" s="247"/>
      <c r="D1553" s="247"/>
      <c r="E1553" s="251"/>
      <c r="F1553" s="247"/>
      <c r="G1553" s="252"/>
      <c r="H1553" s="253"/>
      <c r="I1553" s="254"/>
      <c r="J1553" s="235"/>
      <c r="K1553" s="244"/>
      <c r="L1553" s="244"/>
      <c r="M1553" s="244"/>
      <c r="N1553" s="244"/>
      <c r="O1553" s="244"/>
      <c r="P1553" s="244"/>
    </row>
    <row r="1554" ht="18.75" customHeight="1">
      <c r="A1554" s="246"/>
      <c r="B1554" s="247"/>
      <c r="C1554" s="247"/>
      <c r="D1554" s="247"/>
      <c r="E1554" s="247"/>
      <c r="F1554" s="247"/>
      <c r="G1554" s="248"/>
      <c r="H1554" s="249"/>
      <c r="I1554" s="250"/>
      <c r="J1554" s="234"/>
      <c r="K1554" s="244"/>
      <c r="L1554" s="244"/>
      <c r="M1554" s="244"/>
      <c r="N1554" s="244"/>
      <c r="O1554" s="244"/>
      <c r="P1554" s="244"/>
    </row>
    <row r="1555" ht="18.75" customHeight="1">
      <c r="A1555" s="246"/>
      <c r="B1555" s="247"/>
      <c r="C1555" s="247"/>
      <c r="D1555" s="247"/>
      <c r="E1555" s="251"/>
      <c r="F1555" s="247"/>
      <c r="G1555" s="252"/>
      <c r="H1555" s="253"/>
      <c r="I1555" s="254"/>
      <c r="J1555" s="235"/>
      <c r="K1555" s="244"/>
      <c r="L1555" s="244"/>
      <c r="M1555" s="244"/>
      <c r="N1555" s="244"/>
      <c r="O1555" s="244"/>
      <c r="P1555" s="244"/>
    </row>
    <row r="1556" ht="18.75" customHeight="1">
      <c r="A1556" s="246"/>
      <c r="B1556" s="247"/>
      <c r="C1556" s="247"/>
      <c r="D1556" s="247"/>
      <c r="E1556" s="247"/>
      <c r="F1556" s="247"/>
      <c r="G1556" s="248"/>
      <c r="H1556" s="249"/>
      <c r="I1556" s="250"/>
      <c r="J1556" s="234"/>
      <c r="K1556" s="244"/>
      <c r="L1556" s="244"/>
      <c r="M1556" s="244"/>
      <c r="N1556" s="244"/>
      <c r="O1556" s="244"/>
      <c r="P1556" s="244"/>
    </row>
    <row r="1557" ht="18.75" customHeight="1">
      <c r="A1557" s="246"/>
      <c r="B1557" s="247"/>
      <c r="C1557" s="247"/>
      <c r="D1557" s="247"/>
      <c r="E1557" s="251"/>
      <c r="F1557" s="247"/>
      <c r="G1557" s="252"/>
      <c r="H1557" s="253"/>
      <c r="I1557" s="254"/>
      <c r="J1557" s="235"/>
      <c r="K1557" s="244"/>
      <c r="L1557" s="244"/>
      <c r="M1557" s="244"/>
      <c r="N1557" s="244"/>
      <c r="O1557" s="244"/>
      <c r="P1557" s="244"/>
    </row>
    <row r="1558" ht="18.75" customHeight="1">
      <c r="A1558" s="246"/>
      <c r="B1558" s="247"/>
      <c r="C1558" s="247"/>
      <c r="D1558" s="247"/>
      <c r="E1558" s="247"/>
      <c r="F1558" s="247"/>
      <c r="G1558" s="248"/>
      <c r="H1558" s="249"/>
      <c r="I1558" s="250"/>
      <c r="J1558" s="234"/>
      <c r="K1558" s="244"/>
      <c r="L1558" s="244"/>
      <c r="M1558" s="244"/>
      <c r="N1558" s="244"/>
      <c r="O1558" s="244"/>
      <c r="P1558" s="244"/>
    </row>
    <row r="1559" ht="18.75" customHeight="1">
      <c r="A1559" s="246"/>
      <c r="B1559" s="247"/>
      <c r="C1559" s="247"/>
      <c r="D1559" s="247"/>
      <c r="E1559" s="251"/>
      <c r="F1559" s="247"/>
      <c r="G1559" s="252"/>
      <c r="H1559" s="253"/>
      <c r="I1559" s="254"/>
      <c r="J1559" s="235"/>
      <c r="K1559" s="244"/>
      <c r="L1559" s="244"/>
      <c r="M1559" s="244"/>
      <c r="N1559" s="244"/>
      <c r="O1559" s="244"/>
      <c r="P1559" s="244"/>
    </row>
    <row r="1560" ht="18.75" customHeight="1">
      <c r="A1560" s="246"/>
      <c r="B1560" s="247"/>
      <c r="C1560" s="247"/>
      <c r="D1560" s="247"/>
      <c r="E1560" s="247"/>
      <c r="F1560" s="247"/>
      <c r="G1560" s="248"/>
      <c r="H1560" s="249"/>
      <c r="I1560" s="250"/>
      <c r="J1560" s="234"/>
      <c r="K1560" s="244"/>
      <c r="L1560" s="244"/>
      <c r="M1560" s="244"/>
      <c r="N1560" s="244"/>
      <c r="O1560" s="244"/>
      <c r="P1560" s="244"/>
    </row>
    <row r="1561" ht="18.75" customHeight="1">
      <c r="A1561" s="246"/>
      <c r="B1561" s="247"/>
      <c r="C1561" s="247"/>
      <c r="D1561" s="247"/>
      <c r="E1561" s="251"/>
      <c r="F1561" s="247"/>
      <c r="G1561" s="252"/>
      <c r="H1561" s="253"/>
      <c r="I1561" s="254"/>
      <c r="J1561" s="235"/>
      <c r="K1561" s="244"/>
      <c r="L1561" s="244"/>
      <c r="M1561" s="244"/>
      <c r="N1561" s="244"/>
      <c r="O1561" s="244"/>
      <c r="P1561" s="244"/>
    </row>
    <row r="1562" ht="18.75" customHeight="1">
      <c r="A1562" s="246"/>
      <c r="B1562" s="247"/>
      <c r="C1562" s="247"/>
      <c r="D1562" s="247"/>
      <c r="E1562" s="247"/>
      <c r="F1562" s="247"/>
      <c r="G1562" s="248"/>
      <c r="H1562" s="249"/>
      <c r="I1562" s="250"/>
      <c r="J1562" s="234"/>
      <c r="K1562" s="244"/>
      <c r="L1562" s="244"/>
      <c r="M1562" s="244"/>
      <c r="N1562" s="244"/>
      <c r="O1562" s="244"/>
      <c r="P1562" s="244"/>
    </row>
    <row r="1563" ht="18.75" customHeight="1">
      <c r="A1563" s="246"/>
      <c r="B1563" s="247"/>
      <c r="C1563" s="247"/>
      <c r="D1563" s="247"/>
      <c r="E1563" s="251"/>
      <c r="F1563" s="247"/>
      <c r="G1563" s="252"/>
      <c r="H1563" s="253"/>
      <c r="I1563" s="254"/>
      <c r="J1563" s="235"/>
      <c r="K1563" s="244"/>
      <c r="L1563" s="244"/>
      <c r="M1563" s="244"/>
      <c r="N1563" s="244"/>
      <c r="O1563" s="244"/>
      <c r="P1563" s="244"/>
    </row>
    <row r="1564" ht="18.75" customHeight="1">
      <c r="A1564" s="246"/>
      <c r="B1564" s="247"/>
      <c r="C1564" s="247"/>
      <c r="D1564" s="247"/>
      <c r="E1564" s="247"/>
      <c r="F1564" s="247"/>
      <c r="G1564" s="248"/>
      <c r="H1564" s="249"/>
      <c r="I1564" s="250"/>
      <c r="J1564" s="234"/>
      <c r="K1564" s="244"/>
      <c r="L1564" s="244"/>
      <c r="M1564" s="244"/>
      <c r="N1564" s="244"/>
      <c r="O1564" s="244"/>
      <c r="P1564" s="244"/>
    </row>
    <row r="1565" ht="18.75" customHeight="1">
      <c r="A1565" s="246"/>
      <c r="B1565" s="247"/>
      <c r="C1565" s="247"/>
      <c r="D1565" s="247"/>
      <c r="E1565" s="251"/>
      <c r="F1565" s="247"/>
      <c r="G1565" s="252"/>
      <c r="H1565" s="253"/>
      <c r="I1565" s="254"/>
      <c r="J1565" s="235"/>
      <c r="K1565" s="244"/>
      <c r="L1565" s="244"/>
      <c r="M1565" s="244"/>
      <c r="N1565" s="244"/>
      <c r="O1565" s="244"/>
      <c r="P1565" s="244"/>
    </row>
    <row r="1566" ht="18.75" customHeight="1">
      <c r="A1566" s="246"/>
      <c r="B1566" s="247"/>
      <c r="C1566" s="247"/>
      <c r="D1566" s="247"/>
      <c r="E1566" s="247"/>
      <c r="F1566" s="247"/>
      <c r="G1566" s="248"/>
      <c r="H1566" s="249"/>
      <c r="I1566" s="250"/>
      <c r="J1566" s="234"/>
      <c r="K1566" s="244"/>
      <c r="L1566" s="244"/>
      <c r="M1566" s="244"/>
      <c r="N1566" s="244"/>
      <c r="O1566" s="244"/>
      <c r="P1566" s="244"/>
    </row>
    <row r="1567" ht="18.75" customHeight="1">
      <c r="A1567" s="246"/>
      <c r="B1567" s="247"/>
      <c r="C1567" s="247"/>
      <c r="D1567" s="247"/>
      <c r="E1567" s="251"/>
      <c r="F1567" s="247"/>
      <c r="G1567" s="252"/>
      <c r="H1567" s="253"/>
      <c r="I1567" s="254"/>
      <c r="J1567" s="235"/>
      <c r="K1567" s="244"/>
      <c r="L1567" s="244"/>
      <c r="M1567" s="244"/>
      <c r="N1567" s="244"/>
      <c r="O1567" s="244"/>
      <c r="P1567" s="244"/>
    </row>
    <row r="1568" ht="18.75" customHeight="1">
      <c r="A1568" s="246"/>
      <c r="B1568" s="247"/>
      <c r="C1568" s="247"/>
      <c r="D1568" s="247"/>
      <c r="E1568" s="247"/>
      <c r="F1568" s="247"/>
      <c r="G1568" s="248"/>
      <c r="H1568" s="249"/>
      <c r="I1568" s="250"/>
      <c r="J1568" s="234"/>
      <c r="K1568" s="244"/>
      <c r="L1568" s="244"/>
      <c r="M1568" s="244"/>
      <c r="N1568" s="244"/>
      <c r="O1568" s="244"/>
      <c r="P1568" s="244"/>
    </row>
    <row r="1569" ht="18.75" customHeight="1">
      <c r="A1569" s="246"/>
      <c r="B1569" s="247"/>
      <c r="C1569" s="247"/>
      <c r="D1569" s="247"/>
      <c r="E1569" s="251"/>
      <c r="F1569" s="247"/>
      <c r="G1569" s="252"/>
      <c r="H1569" s="253"/>
      <c r="I1569" s="254"/>
      <c r="J1569" s="235"/>
      <c r="K1569" s="244"/>
      <c r="L1569" s="244"/>
      <c r="M1569" s="244"/>
      <c r="N1569" s="244"/>
      <c r="O1569" s="244"/>
      <c r="P1569" s="244"/>
    </row>
    <row r="1570" ht="18.75" customHeight="1">
      <c r="A1570" s="246"/>
      <c r="B1570" s="247"/>
      <c r="C1570" s="247"/>
      <c r="D1570" s="247"/>
      <c r="E1570" s="247"/>
      <c r="F1570" s="247"/>
      <c r="G1570" s="248"/>
      <c r="H1570" s="249"/>
      <c r="I1570" s="250"/>
      <c r="J1570" s="234"/>
      <c r="K1570" s="244"/>
      <c r="L1570" s="244"/>
      <c r="M1570" s="244"/>
      <c r="N1570" s="244"/>
      <c r="O1570" s="244"/>
      <c r="P1570" s="244"/>
    </row>
    <row r="1571" ht="18.75" customHeight="1">
      <c r="A1571" s="246"/>
      <c r="B1571" s="247"/>
      <c r="C1571" s="247"/>
      <c r="D1571" s="247"/>
      <c r="E1571" s="251"/>
      <c r="F1571" s="247"/>
      <c r="G1571" s="252"/>
      <c r="H1571" s="253"/>
      <c r="I1571" s="254"/>
      <c r="J1571" s="235"/>
      <c r="K1571" s="244"/>
      <c r="L1571" s="244"/>
      <c r="M1571" s="244"/>
      <c r="N1571" s="244"/>
      <c r="O1571" s="244"/>
      <c r="P1571" s="244"/>
    </row>
    <row r="1572" ht="18.75" customHeight="1">
      <c r="A1572" s="246"/>
      <c r="B1572" s="247"/>
      <c r="C1572" s="247"/>
      <c r="D1572" s="247"/>
      <c r="E1572" s="247"/>
      <c r="F1572" s="247"/>
      <c r="G1572" s="248"/>
      <c r="H1572" s="249"/>
      <c r="I1572" s="250"/>
      <c r="J1572" s="234"/>
      <c r="K1572" s="244"/>
      <c r="L1572" s="244"/>
      <c r="M1572" s="244"/>
      <c r="N1572" s="244"/>
      <c r="O1572" s="244"/>
      <c r="P1572" s="244"/>
    </row>
    <row r="1573" ht="18.75" customHeight="1">
      <c r="A1573" s="246"/>
      <c r="B1573" s="247"/>
      <c r="C1573" s="247"/>
      <c r="D1573" s="247"/>
      <c r="E1573" s="251"/>
      <c r="F1573" s="247"/>
      <c r="G1573" s="252"/>
      <c r="H1573" s="253"/>
      <c r="I1573" s="254"/>
      <c r="J1573" s="235"/>
      <c r="K1573" s="244"/>
      <c r="L1573" s="244"/>
      <c r="M1573" s="244"/>
      <c r="N1573" s="244"/>
      <c r="O1573" s="244"/>
      <c r="P1573" s="244"/>
    </row>
    <row r="1574" ht="18.75" customHeight="1">
      <c r="A1574" s="246"/>
      <c r="B1574" s="247"/>
      <c r="C1574" s="247"/>
      <c r="D1574" s="247"/>
      <c r="E1574" s="247"/>
      <c r="F1574" s="247"/>
      <c r="G1574" s="248"/>
      <c r="H1574" s="249"/>
      <c r="I1574" s="250"/>
      <c r="J1574" s="234"/>
      <c r="K1574" s="244"/>
      <c r="L1574" s="244"/>
      <c r="M1574" s="244"/>
      <c r="N1574" s="244"/>
      <c r="O1574" s="244"/>
      <c r="P1574" s="244"/>
    </row>
    <row r="1575" ht="18.75" customHeight="1">
      <c r="A1575" s="246"/>
      <c r="B1575" s="247"/>
      <c r="C1575" s="247"/>
      <c r="D1575" s="247"/>
      <c r="E1575" s="251"/>
      <c r="F1575" s="247"/>
      <c r="G1575" s="252"/>
      <c r="H1575" s="253"/>
      <c r="I1575" s="254"/>
      <c r="J1575" s="235"/>
      <c r="K1575" s="244"/>
      <c r="L1575" s="244"/>
      <c r="M1575" s="244"/>
      <c r="N1575" s="244"/>
      <c r="O1575" s="244"/>
      <c r="P1575" s="244"/>
    </row>
    <row r="1576" ht="18.75" customHeight="1">
      <c r="A1576" s="246"/>
      <c r="B1576" s="247"/>
      <c r="C1576" s="247"/>
      <c r="D1576" s="247"/>
      <c r="E1576" s="247"/>
      <c r="F1576" s="247"/>
      <c r="G1576" s="248"/>
      <c r="H1576" s="249"/>
      <c r="I1576" s="250"/>
      <c r="J1576" s="234"/>
      <c r="K1576" s="244"/>
      <c r="L1576" s="244"/>
      <c r="M1576" s="244"/>
      <c r="N1576" s="244"/>
      <c r="O1576" s="244"/>
      <c r="P1576" s="244"/>
    </row>
    <row r="1577" ht="18.75" customHeight="1">
      <c r="A1577" s="246"/>
      <c r="B1577" s="247"/>
      <c r="C1577" s="247"/>
      <c r="D1577" s="247"/>
      <c r="E1577" s="251"/>
      <c r="F1577" s="247"/>
      <c r="G1577" s="252"/>
      <c r="H1577" s="253"/>
      <c r="I1577" s="254"/>
      <c r="J1577" s="235"/>
      <c r="K1577" s="244"/>
      <c r="L1577" s="244"/>
      <c r="M1577" s="244"/>
      <c r="N1577" s="244"/>
      <c r="O1577" s="244"/>
      <c r="P1577" s="244"/>
    </row>
    <row r="1578" ht="18.75" customHeight="1">
      <c r="A1578" s="246"/>
      <c r="B1578" s="247"/>
      <c r="C1578" s="247"/>
      <c r="D1578" s="247"/>
      <c r="E1578" s="247"/>
      <c r="F1578" s="247"/>
      <c r="G1578" s="248"/>
      <c r="H1578" s="249"/>
      <c r="I1578" s="250"/>
      <c r="J1578" s="234"/>
      <c r="K1578" s="244"/>
      <c r="L1578" s="244"/>
      <c r="M1578" s="244"/>
      <c r="N1578" s="244"/>
      <c r="O1578" s="244"/>
      <c r="P1578" s="244"/>
    </row>
    <row r="1579" ht="18.75" customHeight="1">
      <c r="A1579" s="246"/>
      <c r="B1579" s="247"/>
      <c r="C1579" s="247"/>
      <c r="D1579" s="247"/>
      <c r="E1579" s="251"/>
      <c r="F1579" s="247"/>
      <c r="G1579" s="252"/>
      <c r="H1579" s="253"/>
      <c r="I1579" s="254"/>
      <c r="J1579" s="235"/>
      <c r="K1579" s="244"/>
      <c r="L1579" s="244"/>
      <c r="M1579" s="244"/>
      <c r="N1579" s="244"/>
      <c r="O1579" s="244"/>
      <c r="P1579" s="244"/>
    </row>
    <row r="1580" ht="18.75" customHeight="1">
      <c r="A1580" s="246"/>
      <c r="B1580" s="247"/>
      <c r="C1580" s="247"/>
      <c r="D1580" s="247"/>
      <c r="E1580" s="247"/>
      <c r="F1580" s="247"/>
      <c r="G1580" s="248"/>
      <c r="H1580" s="249"/>
      <c r="I1580" s="250"/>
      <c r="J1580" s="234"/>
      <c r="K1580" s="244"/>
      <c r="L1580" s="244"/>
      <c r="M1580" s="244"/>
      <c r="N1580" s="244"/>
      <c r="O1580" s="244"/>
      <c r="P1580" s="244"/>
    </row>
    <row r="1581" ht="18.75" customHeight="1">
      <c r="A1581" s="246"/>
      <c r="B1581" s="247"/>
      <c r="C1581" s="247"/>
      <c r="D1581" s="247"/>
      <c r="E1581" s="251"/>
      <c r="F1581" s="247"/>
      <c r="G1581" s="252"/>
      <c r="H1581" s="253"/>
      <c r="I1581" s="254"/>
      <c r="J1581" s="235"/>
      <c r="K1581" s="244"/>
      <c r="L1581" s="244"/>
      <c r="M1581" s="244"/>
      <c r="N1581" s="244"/>
      <c r="O1581" s="244"/>
      <c r="P1581" s="244"/>
    </row>
    <row r="1582" ht="18.75" customHeight="1">
      <c r="A1582" s="246"/>
      <c r="B1582" s="247"/>
      <c r="C1582" s="247"/>
      <c r="D1582" s="247"/>
      <c r="E1582" s="247"/>
      <c r="F1582" s="247"/>
      <c r="G1582" s="248"/>
      <c r="H1582" s="249"/>
      <c r="I1582" s="250"/>
      <c r="J1582" s="234"/>
      <c r="K1582" s="244"/>
      <c r="L1582" s="244"/>
      <c r="M1582" s="244"/>
      <c r="N1582" s="244"/>
      <c r="O1582" s="244"/>
      <c r="P1582" s="244"/>
    </row>
    <row r="1583" ht="18.75" customHeight="1">
      <c r="A1583" s="246"/>
      <c r="B1583" s="247"/>
      <c r="C1583" s="247"/>
      <c r="D1583" s="247"/>
      <c r="E1583" s="251"/>
      <c r="F1583" s="247"/>
      <c r="G1583" s="252"/>
      <c r="H1583" s="253"/>
      <c r="I1583" s="254"/>
      <c r="J1583" s="235"/>
      <c r="K1583" s="244"/>
      <c r="L1583" s="244"/>
      <c r="M1583" s="244"/>
      <c r="N1583" s="244"/>
      <c r="O1583" s="244"/>
      <c r="P1583" s="244"/>
    </row>
    <row r="1584" ht="18.75" customHeight="1">
      <c r="A1584" s="246"/>
      <c r="B1584" s="247"/>
      <c r="C1584" s="247"/>
      <c r="D1584" s="247"/>
      <c r="E1584" s="247"/>
      <c r="F1584" s="247"/>
      <c r="G1584" s="248"/>
      <c r="H1584" s="249"/>
      <c r="I1584" s="250"/>
      <c r="J1584" s="234"/>
      <c r="K1584" s="244"/>
      <c r="L1584" s="244"/>
      <c r="M1584" s="244"/>
      <c r="N1584" s="244"/>
      <c r="O1584" s="244"/>
      <c r="P1584" s="244"/>
    </row>
    <row r="1585" ht="18.75" customHeight="1">
      <c r="A1585" s="246"/>
      <c r="B1585" s="247"/>
      <c r="C1585" s="247"/>
      <c r="D1585" s="247"/>
      <c r="E1585" s="251"/>
      <c r="F1585" s="247"/>
      <c r="G1585" s="252"/>
      <c r="H1585" s="253"/>
      <c r="I1585" s="254"/>
      <c r="J1585" s="235"/>
      <c r="K1585" s="244"/>
      <c r="L1585" s="244"/>
      <c r="M1585" s="244"/>
      <c r="N1585" s="244"/>
      <c r="O1585" s="244"/>
      <c r="P1585" s="244"/>
    </row>
    <row r="1586" ht="18.75" customHeight="1">
      <c r="A1586" s="246"/>
      <c r="B1586" s="247"/>
      <c r="C1586" s="247"/>
      <c r="D1586" s="247"/>
      <c r="E1586" s="247"/>
      <c r="F1586" s="247"/>
      <c r="G1586" s="248"/>
      <c r="H1586" s="249"/>
      <c r="I1586" s="250"/>
      <c r="J1586" s="234"/>
      <c r="K1586" s="244"/>
      <c r="L1586" s="244"/>
      <c r="M1586" s="244"/>
      <c r="N1586" s="244"/>
      <c r="O1586" s="244"/>
      <c r="P1586" s="244"/>
    </row>
    <row r="1587" ht="18.75" customHeight="1">
      <c r="A1587" s="246"/>
      <c r="B1587" s="247"/>
      <c r="C1587" s="247"/>
      <c r="D1587" s="247"/>
      <c r="E1587" s="251"/>
      <c r="F1587" s="247"/>
      <c r="G1587" s="252"/>
      <c r="H1587" s="253"/>
      <c r="I1587" s="254"/>
      <c r="J1587" s="235"/>
      <c r="K1587" s="244"/>
      <c r="L1587" s="244"/>
      <c r="M1587" s="244"/>
      <c r="N1587" s="244"/>
      <c r="O1587" s="244"/>
      <c r="P1587" s="244"/>
    </row>
    <row r="1588" ht="18.75" customHeight="1">
      <c r="A1588" s="246"/>
      <c r="B1588" s="247"/>
      <c r="C1588" s="247"/>
      <c r="D1588" s="247"/>
      <c r="E1588" s="247"/>
      <c r="F1588" s="247"/>
      <c r="G1588" s="248"/>
      <c r="H1588" s="249"/>
      <c r="I1588" s="250"/>
      <c r="J1588" s="234"/>
      <c r="K1588" s="244"/>
      <c r="L1588" s="244"/>
      <c r="M1588" s="244"/>
      <c r="N1588" s="244"/>
      <c r="O1588" s="244"/>
      <c r="P1588" s="244"/>
    </row>
    <row r="1589" ht="18.75" customHeight="1">
      <c r="A1589" s="246"/>
      <c r="B1589" s="247"/>
      <c r="C1589" s="247"/>
      <c r="D1589" s="247"/>
      <c r="E1589" s="251"/>
      <c r="F1589" s="247"/>
      <c r="G1589" s="252"/>
      <c r="H1589" s="253"/>
      <c r="I1589" s="254"/>
      <c r="J1589" s="235"/>
      <c r="K1589" s="244"/>
      <c r="L1589" s="244"/>
      <c r="M1589" s="244"/>
      <c r="N1589" s="244"/>
      <c r="O1589" s="244"/>
      <c r="P1589" s="244"/>
    </row>
    <row r="1590" ht="18.75" customHeight="1">
      <c r="A1590" s="246"/>
      <c r="B1590" s="247"/>
      <c r="C1590" s="247"/>
      <c r="D1590" s="247"/>
      <c r="E1590" s="247"/>
      <c r="F1590" s="247"/>
      <c r="G1590" s="248"/>
      <c r="H1590" s="249"/>
      <c r="I1590" s="250"/>
      <c r="J1590" s="234"/>
      <c r="K1590" s="244"/>
      <c r="L1590" s="244"/>
      <c r="M1590" s="244"/>
      <c r="N1590" s="244"/>
      <c r="O1590" s="244"/>
      <c r="P1590" s="244"/>
    </row>
    <row r="1591" ht="18.75" customHeight="1">
      <c r="A1591" s="246"/>
      <c r="B1591" s="247"/>
      <c r="C1591" s="247"/>
      <c r="D1591" s="247"/>
      <c r="E1591" s="251"/>
      <c r="F1591" s="247"/>
      <c r="G1591" s="252"/>
      <c r="H1591" s="253"/>
      <c r="I1591" s="254"/>
      <c r="J1591" s="235"/>
      <c r="K1591" s="244"/>
      <c r="L1591" s="244"/>
      <c r="M1591" s="244"/>
      <c r="N1591" s="244"/>
      <c r="O1591" s="244"/>
      <c r="P1591" s="244"/>
    </row>
    <row r="1592" ht="18.75" customHeight="1">
      <c r="A1592" s="246"/>
      <c r="B1592" s="247"/>
      <c r="C1592" s="247"/>
      <c r="D1592" s="247"/>
      <c r="E1592" s="247"/>
      <c r="F1592" s="247"/>
      <c r="G1592" s="248"/>
      <c r="H1592" s="249"/>
      <c r="I1592" s="250"/>
      <c r="J1592" s="234"/>
      <c r="K1592" s="244"/>
      <c r="L1592" s="244"/>
      <c r="M1592" s="244"/>
      <c r="N1592" s="244"/>
      <c r="O1592" s="244"/>
      <c r="P1592" s="244"/>
    </row>
  </sheetData>
  <autoFilter ref="$A$2:$P$623"/>
  <mergeCells count="1">
    <mergeCell ref="A1:B1"/>
  </mergeCells>
  <conditionalFormatting sqref="A1:A1592 B112 B114 B117 B119:B120">
    <cfRule type="expression" dxfId="11" priority="1">
      <formula>#REF!="OPEN"</formula>
    </cfRule>
  </conditionalFormatting>
  <conditionalFormatting sqref="A1:A1592 B112 B114 B117 B119:B120">
    <cfRule type="expression" dxfId="7" priority="2">
      <formula>$S1="OPEN"</formula>
    </cfRule>
  </conditionalFormatting>
  <conditionalFormatting sqref="A1:A1592 B112 B114 B117 B119:B120">
    <cfRule type="expression" dxfId="8" priority="3">
      <formula>$S1="CLOSED"</formula>
    </cfRule>
  </conditionalFormatting>
  <conditionalFormatting sqref="A1:A1592 B112 B114 B117 B119:B120">
    <cfRule type="expression" dxfId="5" priority="4">
      <formula>$R1="CLOSED"</formula>
    </cfRule>
  </conditionalFormatting>
  <conditionalFormatting sqref="A1:A1592 B112 B114 B117 B119:B120">
    <cfRule type="expression" dxfId="6" priority="5">
      <formula>$R1="OPEN"</formula>
    </cfRule>
  </conditionalFormatting>
  <conditionalFormatting sqref="A1:A1592 B112 B114 B117 B119:B120">
    <cfRule type="expression" dxfId="9" priority="6">
      <formula>$S1="OPEN"</formula>
    </cfRule>
  </conditionalFormatting>
  <conditionalFormatting sqref="A1:A1592 B112 B114 B117 B119:B120">
    <cfRule type="expression" dxfId="10" priority="7">
      <formula>$S1="CLOSED"</formula>
    </cfRule>
  </conditionalFormatting>
  <conditionalFormatting sqref="A72:A1592">
    <cfRule type="expression" dxfId="9" priority="8">
      <formula>$S72="OPEN"</formula>
    </cfRule>
  </conditionalFormatting>
  <conditionalFormatting sqref="A72:A1592">
    <cfRule type="expression" dxfId="10" priority="9">
      <formula>$S72="CLOSED"</formula>
    </cfRule>
  </conditionalFormatting>
  <conditionalFormatting sqref="A1:A1592 B112 B114 B117 B119:B120">
    <cfRule type="expression" dxfId="10" priority="10">
      <formula>$L1="CLOSED"</formula>
    </cfRule>
  </conditionalFormatting>
  <conditionalFormatting sqref="A1:A1592 B112 B114 B117 B119:B120">
    <cfRule type="expression" dxfId="11" priority="11">
      <formula>$L1="OPEN"</formula>
    </cfRule>
  </conditionalFormatting>
  <conditionalFormatting sqref="A72:A1592">
    <cfRule type="expression" dxfId="10" priority="12">
      <formula>$L72="CLOSED"</formula>
    </cfRule>
  </conditionalFormatting>
  <conditionalFormatting sqref="A72:A1592">
    <cfRule type="expression" dxfId="11" priority="13">
      <formula>$L72="OPEN"</formula>
    </cfRule>
  </conditionalFormatting>
  <conditionalFormatting sqref="A1:A1592 B112 B114 B117 B119:B120">
    <cfRule type="expression" dxfId="7" priority="14">
      <formula>$R1="OPEN"</formula>
    </cfRule>
  </conditionalFormatting>
  <conditionalFormatting sqref="A1:A1592 B112 B114 B117 B119:B120">
    <cfRule type="expression" dxfId="8" priority="15">
      <formula>$R1="CLOSED"</formula>
    </cfRule>
  </conditionalFormatting>
  <conditionalFormatting sqref="A1:A1592 B112 B114 B117 B119:B120">
    <cfRule type="expression" dxfId="5" priority="16">
      <formula>$Q1="CLOSED"</formula>
    </cfRule>
  </conditionalFormatting>
  <conditionalFormatting sqref="A1:A1592 B112 B114 B117 B119:B120">
    <cfRule type="expression" dxfId="6" priority="17">
      <formula>$Q1="OPEN"</formula>
    </cfRule>
  </conditionalFormatting>
  <conditionalFormatting sqref="A1:A1592 B112 B114 B117 B119:B120">
    <cfRule type="expression" dxfId="9" priority="18">
      <formula>$R1="OPEN"</formula>
    </cfRule>
  </conditionalFormatting>
  <conditionalFormatting sqref="A1:A1592 B112 B114 B117 B119:B120">
    <cfRule type="expression" dxfId="10" priority="19">
      <formula>$R1="CLOSED"</formula>
    </cfRule>
  </conditionalFormatting>
  <conditionalFormatting sqref="A72:A1592">
    <cfRule type="expression" dxfId="9" priority="20">
      <formula>$R72="OPEN"</formula>
    </cfRule>
  </conditionalFormatting>
  <conditionalFormatting sqref="A72:A1592">
    <cfRule type="expression" dxfId="10" priority="21">
      <formula>$R72="CLOSED"</formula>
    </cfRule>
  </conditionalFormatting>
  <conditionalFormatting sqref="A1:A1592 B112 B114 B117 B119:B120">
    <cfRule type="expression" dxfId="10" priority="22">
      <formula>$K1="CLOSED"</formula>
    </cfRule>
  </conditionalFormatting>
  <conditionalFormatting sqref="A1:A1592 B112 B114 B117 B119:B120">
    <cfRule type="expression" dxfId="11" priority="23">
      <formula>$K1="OPEN"</formula>
    </cfRule>
  </conditionalFormatting>
  <conditionalFormatting sqref="A72:A1592">
    <cfRule type="expression" dxfId="10" priority="24">
      <formula>$K72="CLOSED"</formula>
    </cfRule>
  </conditionalFormatting>
  <conditionalFormatting sqref="A72:A1592">
    <cfRule type="expression" dxfId="11" priority="25">
      <formula>$K72="OPEN"</formula>
    </cfRule>
  </conditionalFormatting>
  <conditionalFormatting sqref="A1:A1592 B112 B114 B117 B119:B120">
    <cfRule type="expression" dxfId="11" priority="26">
      <formula>$I1="OPEN"</formula>
    </cfRule>
  </conditionalFormatting>
  <conditionalFormatting sqref="A1:A1592 B112 B114 B117 B119:B120">
    <cfRule type="expression" dxfId="7" priority="27">
      <formula>$Q1="OPEN"</formula>
    </cfRule>
  </conditionalFormatting>
  <conditionalFormatting sqref="A1:A1592 B112 B114 B117 B119:B120">
    <cfRule type="expression" dxfId="8" priority="28">
      <formula>$Q1="CLOSED"</formula>
    </cfRule>
  </conditionalFormatting>
  <conditionalFormatting sqref="A1:A1592 B112 B114 B117 B119:B120">
    <cfRule type="expression" dxfId="5" priority="29">
      <formula>$P1="CLOSED"</formula>
    </cfRule>
  </conditionalFormatting>
  <conditionalFormatting sqref="A1:A1592 B112 B114 B117 B119:B120">
    <cfRule type="expression" dxfId="6" priority="30">
      <formula>$P1="OPEN"</formula>
    </cfRule>
  </conditionalFormatting>
  <conditionalFormatting sqref="A1:A1592 B112 B114 B117 B119:B120">
    <cfRule type="expression" dxfId="9" priority="31">
      <formula>$Q1="OPEN"</formula>
    </cfRule>
  </conditionalFormatting>
  <conditionalFormatting sqref="A1:A1592 B112 B114 B117 B119:B120">
    <cfRule type="expression" dxfId="10" priority="32">
      <formula>$Q1="CLOSED"</formula>
    </cfRule>
  </conditionalFormatting>
  <conditionalFormatting sqref="A72:A1592">
    <cfRule type="expression" dxfId="9" priority="33">
      <formula>$Q72="OPEN"</formula>
    </cfRule>
  </conditionalFormatting>
  <conditionalFormatting sqref="A72:A1592">
    <cfRule type="expression" dxfId="10" priority="34">
      <formula>$Q72="CLOSED"</formula>
    </cfRule>
  </conditionalFormatting>
  <conditionalFormatting sqref="A1:A1592 B112 B114 B117 B119:B120">
    <cfRule type="expression" dxfId="10" priority="35">
      <formula>$J1="CLOSED"</formula>
    </cfRule>
  </conditionalFormatting>
  <conditionalFormatting sqref="A1:A1592 B112 B114 B117 B119:B120">
    <cfRule type="expression" dxfId="11" priority="36">
      <formula>$J1="OPEN"</formula>
    </cfRule>
  </conditionalFormatting>
  <conditionalFormatting sqref="A72:A1592">
    <cfRule type="expression" dxfId="10" priority="37">
      <formula>$J72="CLOSED"</formula>
    </cfRule>
  </conditionalFormatting>
  <conditionalFormatting sqref="A72:A1592">
    <cfRule type="expression" dxfId="11" priority="38">
      <formula>$J72="OPEN"</formula>
    </cfRule>
  </conditionalFormatting>
  <conditionalFormatting sqref="A1:A1592 B112 B114 B117 B119:B120">
    <cfRule type="expression" dxfId="7" priority="39">
      <formula>$P1="OPEN"</formula>
    </cfRule>
  </conditionalFormatting>
  <conditionalFormatting sqref="A1:A1592 B112 B114 B117 B119:B120">
    <cfRule type="expression" dxfId="8" priority="40">
      <formula>$P1="CLOSED"</formula>
    </cfRule>
  </conditionalFormatting>
  <conditionalFormatting sqref="A1:A1592 B112 B114 B117 B119:B120">
    <cfRule type="expression" dxfId="5" priority="41">
      <formula>$O1="CLOSED"</formula>
    </cfRule>
  </conditionalFormatting>
  <conditionalFormatting sqref="A1:A1592 B112 B114 B117 B119:B120">
    <cfRule type="expression" dxfId="6" priority="42">
      <formula>$O1="OPEN"</formula>
    </cfRule>
  </conditionalFormatting>
  <conditionalFormatting sqref="A1:A1592 B112 B114 B117 B119:B120">
    <cfRule type="expression" dxfId="9" priority="43">
      <formula>$P1="OPEN"</formula>
    </cfRule>
  </conditionalFormatting>
  <conditionalFormatting sqref="A1:A1592 B112 B114 B117 B119:B120">
    <cfRule type="expression" dxfId="10" priority="44">
      <formula>$P1="CLOSED"</formula>
    </cfRule>
  </conditionalFormatting>
  <conditionalFormatting sqref="A72:A1592">
    <cfRule type="expression" dxfId="9" priority="45">
      <formula>$P72="OPEN"</formula>
    </cfRule>
  </conditionalFormatting>
  <conditionalFormatting sqref="A72:A1592">
    <cfRule type="expression" dxfId="10" priority="46">
      <formula>$P72="CLOSED"</formula>
    </cfRule>
  </conditionalFormatting>
  <conditionalFormatting sqref="A1:A1592 B112 B114 B117 B119:B120">
    <cfRule type="expression" dxfId="10" priority="47">
      <formula>#REF!="CLOSED"</formula>
    </cfRule>
  </conditionalFormatting>
  <conditionalFormatting sqref="A1:A1592 B112 B114 B117 B119:B120">
    <cfRule type="expression" dxfId="11" priority="48">
      <formula>#REF!="OPEN"</formula>
    </cfRule>
  </conditionalFormatting>
  <conditionalFormatting sqref="A1:A1592 B112 B114 B117 B119:B120">
    <cfRule type="expression" dxfId="9" priority="49">
      <formula>#REF!="OPEN"</formula>
    </cfRule>
  </conditionalFormatting>
  <conditionalFormatting sqref="A1:A1592 B112 B114 B117 B119:B120">
    <cfRule type="expression" dxfId="10" priority="50">
      <formula>#REF!="CLOSED"</formula>
    </cfRule>
  </conditionalFormatting>
  <conditionalFormatting sqref="A72:A1592">
    <cfRule type="expression" dxfId="9" priority="51">
      <formula>#REF!="OPEN"</formula>
    </cfRule>
  </conditionalFormatting>
  <conditionalFormatting sqref="A72:A1592">
    <cfRule type="expression" dxfId="10" priority="52">
      <formula>#REF!="CLOSED"</formula>
    </cfRule>
  </conditionalFormatting>
  <conditionalFormatting sqref="A72:A1592">
    <cfRule type="expression" dxfId="9" priority="53">
      <formula>#REF!="OPEN"</formula>
    </cfRule>
  </conditionalFormatting>
  <conditionalFormatting sqref="A72:A1592">
    <cfRule type="expression" dxfId="10" priority="54">
      <formula>#REF!="CLOSED"</formula>
    </cfRule>
  </conditionalFormatting>
  <conditionalFormatting sqref="A72:A1592">
    <cfRule type="expression" dxfId="5" priority="55">
      <formula>$J72="CLOSED"</formula>
    </cfRule>
  </conditionalFormatting>
  <conditionalFormatting sqref="A72:A1592">
    <cfRule type="expression" dxfId="6" priority="56">
      <formula>$J72="OPEN"</formula>
    </cfRule>
  </conditionalFormatting>
  <conditionalFormatting sqref="A1:A1592 B112 B114 B117 B119:B120">
    <cfRule type="expression" dxfId="9" priority="57">
      <formula>$K1="OPEN"</formula>
    </cfRule>
  </conditionalFormatting>
  <conditionalFormatting sqref="A1:A1592 B112 B114 B117 B119:B120">
    <cfRule type="expression" dxfId="10" priority="58">
      <formula>$K1="CLOSED"</formula>
    </cfRule>
  </conditionalFormatting>
  <conditionalFormatting sqref="A72:A1592">
    <cfRule type="expression" dxfId="7" priority="59">
      <formula>$L72="OPEN"</formula>
    </cfRule>
  </conditionalFormatting>
  <conditionalFormatting sqref="A72:A1592">
    <cfRule type="expression" dxfId="8" priority="60">
      <formula>$L72="CLOSED"</formula>
    </cfRule>
  </conditionalFormatting>
  <conditionalFormatting sqref="A72:A1592">
    <cfRule type="expression" dxfId="10" priority="61">
      <formula>#REF!="CLOSED"</formula>
    </cfRule>
  </conditionalFormatting>
  <conditionalFormatting sqref="A72:A1592">
    <cfRule type="expression" dxfId="11" priority="62">
      <formula>#REF!="OPEN"</formula>
    </cfRule>
  </conditionalFormatting>
  <conditionalFormatting sqref="A72:A1592">
    <cfRule type="expression" dxfId="10" priority="63">
      <formula>#REF!="CLOSED"</formula>
    </cfRule>
  </conditionalFormatting>
  <conditionalFormatting sqref="A72:A1592">
    <cfRule type="expression" dxfId="11" priority="64">
      <formula>#REF!="OPEN"</formula>
    </cfRule>
  </conditionalFormatting>
  <conditionalFormatting sqref="A1:A1592 B112 B114 B117 B119:B120">
    <cfRule type="expression" dxfId="7" priority="65">
      <formula>$O1="OPEN"</formula>
    </cfRule>
  </conditionalFormatting>
  <conditionalFormatting sqref="A1:A1592 B112 B114 B117 B119:B120">
    <cfRule type="expression" dxfId="8" priority="66">
      <formula>$O1="CLOSED"</formula>
    </cfRule>
  </conditionalFormatting>
  <conditionalFormatting sqref="A1:A1592 B112 B114 B117 B119:B120">
    <cfRule type="expression" dxfId="5" priority="67">
      <formula>$N1="CLOSED"</formula>
    </cfRule>
  </conditionalFormatting>
  <conditionalFormatting sqref="A1:A1592 B112 B114 B117 B119:B120">
    <cfRule type="expression" dxfId="6" priority="68">
      <formula>$N1="OPEN"</formula>
    </cfRule>
  </conditionalFormatting>
  <conditionalFormatting sqref="A1:A1592 B112 B114 B117 B119:B120">
    <cfRule type="expression" dxfId="9" priority="69">
      <formula>$O1="OPEN"</formula>
    </cfRule>
  </conditionalFormatting>
  <conditionalFormatting sqref="A1:A1592 B112 B114 B117 B119:B120">
    <cfRule type="expression" dxfId="10" priority="70">
      <formula>$O1="CLOSED"</formula>
    </cfRule>
  </conditionalFormatting>
  <conditionalFormatting sqref="A1:A1592 B112 B114 B117 B119:B120">
    <cfRule type="expression" dxfId="9" priority="71">
      <formula>$J1="OPEN"</formula>
    </cfRule>
  </conditionalFormatting>
  <conditionalFormatting sqref="A1:A1592 B112 B114 B117 B119:B120">
    <cfRule type="expression" dxfId="10" priority="72">
      <formula>$J1="CLOSED"</formula>
    </cfRule>
  </conditionalFormatting>
  <conditionalFormatting sqref="A1:A1592 B112 B114 B117 B119:B120">
    <cfRule type="expression" dxfId="5" priority="73">
      <formula>$K1="CLOSED"</formula>
    </cfRule>
  </conditionalFormatting>
  <conditionalFormatting sqref="A1:A1592 B112 B114 B117 B119:B120">
    <cfRule type="expression" dxfId="6" priority="74">
      <formula>$K1="OPEN"</formula>
    </cfRule>
  </conditionalFormatting>
  <conditionalFormatting sqref="A1:A1592 B112 B114 B117 B119:B120">
    <cfRule type="expression" dxfId="9" priority="75">
      <formula>$L1="OPEN"</formula>
    </cfRule>
  </conditionalFormatting>
  <conditionalFormatting sqref="A1:A1592 B112 B114 B117 B119:B120">
    <cfRule type="expression" dxfId="10" priority="76">
      <formula>$L1="CLOSED"</formula>
    </cfRule>
  </conditionalFormatting>
  <conditionalFormatting sqref="A1:A1592 B112 B114 B117 B119:B120">
    <cfRule type="expression" dxfId="7" priority="77">
      <formula>$M1="OPEN"</formula>
    </cfRule>
  </conditionalFormatting>
  <conditionalFormatting sqref="A1:A1592 B112 B114 B117 B119:B120">
    <cfRule type="expression" dxfId="8" priority="78">
      <formula>$M1="CLOSED"</formula>
    </cfRule>
  </conditionalFormatting>
  <conditionalFormatting sqref="A1:A1592 B112 B114 B117 B119:B120">
    <cfRule type="expression" dxfId="7" priority="79">
      <formula>$N1="OPEN"</formula>
    </cfRule>
  </conditionalFormatting>
  <conditionalFormatting sqref="A1:A1592 B112 B114 B117 B119:B120">
    <cfRule type="expression" dxfId="8" priority="80">
      <formula>$N1="CLOSED"</formula>
    </cfRule>
  </conditionalFormatting>
  <conditionalFormatting sqref="A1:A1592 B112 B114 B117 B119:B120">
    <cfRule type="expression" dxfId="5" priority="81">
      <formula>$L1="CLOSED"</formula>
    </cfRule>
  </conditionalFormatting>
  <conditionalFormatting sqref="A1:A1592 B112 B114 B117 B119:B120">
    <cfRule type="expression" dxfId="6" priority="82">
      <formula>$L1="OPEN"</formula>
    </cfRule>
  </conditionalFormatting>
  <conditionalFormatting sqref="A1:A1592 B112 B114 B117 B119:B120">
    <cfRule type="expression" dxfId="9" priority="83">
      <formula>$M1="OPEN"</formula>
    </cfRule>
  </conditionalFormatting>
  <conditionalFormatting sqref="A1:A1592 B112 B114 B117 B119:B120">
    <cfRule type="expression" dxfId="10" priority="84">
      <formula>$M1="CLOSED"</formula>
    </cfRule>
  </conditionalFormatting>
  <conditionalFormatting sqref="A1:A1592 B112 B114 B117 B119:B120">
    <cfRule type="expression" dxfId="9" priority="85">
      <formula>$N1="OPEN"</formula>
    </cfRule>
  </conditionalFormatting>
  <conditionalFormatting sqref="A1:A1592 B112 B114 B117 B119:B120">
    <cfRule type="expression" dxfId="10" priority="86">
      <formula>$N1="CLOSED"</formula>
    </cfRule>
  </conditionalFormatting>
  <conditionalFormatting sqref="A1:A1592 B112 B114 B117 B119:B120">
    <cfRule type="expression" dxfId="5" priority="87">
      <formula>$M1="CLOSED"</formula>
    </cfRule>
  </conditionalFormatting>
  <conditionalFormatting sqref="A1:A1592 B112 B114 B117 B119:B120">
    <cfRule type="expression" dxfId="6" priority="88">
      <formula>$M1="OPEN"</formula>
    </cfRule>
  </conditionalFormatting>
  <conditionalFormatting sqref="A1:A1592 B112 B114 B117 B119:B120">
    <cfRule type="expression" dxfId="5" priority="89">
      <formula>#REF!="CLOSED"</formula>
    </cfRule>
  </conditionalFormatting>
  <conditionalFormatting sqref="A1:A1592 B112 B114 B117 B119:B120">
    <cfRule type="expression" dxfId="6" priority="90">
      <formula>#REF!="OPEN"</formula>
    </cfRule>
  </conditionalFormatting>
  <conditionalFormatting sqref="A72:A1592">
    <cfRule type="expression" dxfId="9" priority="91">
      <formula>#REF!="OPEN"</formula>
    </cfRule>
  </conditionalFormatting>
  <conditionalFormatting sqref="A72:A1592">
    <cfRule type="expression" dxfId="10" priority="92">
      <formula>#REF!="CLOSED"</formula>
    </cfRule>
  </conditionalFormatting>
  <conditionalFormatting sqref="A1:A1592 B112 B114 B117 B119:B120">
    <cfRule type="expression" dxfId="7" priority="93">
      <formula>#REF!="OPEN"</formula>
    </cfRule>
  </conditionalFormatting>
  <conditionalFormatting sqref="A1:A1592 B112 B114 B117 B119:B120">
    <cfRule type="expression" dxfId="8" priority="94">
      <formula>#REF!="CLOSED"</formula>
    </cfRule>
  </conditionalFormatting>
  <conditionalFormatting sqref="A1:A1592 B112 B114 B117 B119:B120">
    <cfRule type="expression" dxfId="12" priority="95">
      <formula>#REF!="OPEN"</formula>
    </cfRule>
  </conditionalFormatting>
  <conditionalFormatting sqref="A1:A1592 B112 B114 B117 B119:B120">
    <cfRule type="expression" dxfId="13" priority="96">
      <formula>#REF!="CLOSED"</formula>
    </cfRule>
  </conditionalFormatting>
  <conditionalFormatting sqref="A1:A1592 B112 B114 B117 B119:B120">
    <cfRule type="expression" dxfId="11" priority="97">
      <formula>$I1="OPEN"</formula>
    </cfRule>
  </conditionalFormatting>
  <conditionalFormatting sqref="A1:A1592 B112 B114 B117 B119:B120">
    <cfRule type="expression" dxfId="7" priority="98">
      <formula>#REF!="OPEN"</formula>
    </cfRule>
  </conditionalFormatting>
  <conditionalFormatting sqref="A1:A1592 B112 B114 B117 B119:B120">
    <cfRule type="expression" dxfId="9" priority="99">
      <formula>$H1="OPEN"</formula>
    </cfRule>
  </conditionalFormatting>
  <conditionalFormatting sqref="A1:A1592 B112 B114 B117 B119:B120">
    <cfRule type="expression" dxfId="10" priority="100">
      <formula>$H1="CLOSED"</formula>
    </cfRule>
  </conditionalFormatting>
  <conditionalFormatting sqref="A1:I1592">
    <cfRule type="expression" dxfId="9" priority="101">
      <formula>$I1="OPEN"</formula>
    </cfRule>
  </conditionalFormatting>
  <conditionalFormatting sqref="A1:I1592">
    <cfRule type="expression" dxfId="10" priority="102">
      <formula>$I1="CLOSED"</formula>
    </cfRule>
  </conditionalFormatting>
  <conditionalFormatting sqref="A1:A1592 B112 B114 B117 B119:B120">
    <cfRule type="expression" dxfId="10" priority="103">
      <formula>$I1="CLOSED"</formula>
    </cfRule>
  </conditionalFormatting>
  <drawing r:id="rId1"/>
</worksheet>
</file>