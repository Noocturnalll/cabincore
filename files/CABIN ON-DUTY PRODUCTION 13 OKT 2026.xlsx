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145323\Downloads\"/>
    </mc:Choice>
  </mc:AlternateContent>
  <bookViews>
    <workbookView xWindow="0" yWindow="0" windowWidth="28800" windowHeight="11910" activeTab="8"/>
  </bookViews>
  <sheets>
    <sheet name="WO" sheetId="1" r:id="rId1"/>
    <sheet name="DMI CBM" sheetId="2" r:id="rId2"/>
    <sheet name="Sheet47" sheetId="3" r:id="rId3"/>
    <sheet name="DJA AOC NSRDIL R01" sheetId="4" r:id="rId4"/>
    <sheet name="ALL FINDING" sheetId="5" r:id="rId5"/>
    <sheet name="UNPLANNED WO" sheetId="6" r:id="rId6"/>
    <sheet name="UNPLANNED NSRDI" sheetId="7" r:id="rId7"/>
    <sheet name="DAILY REPORT" sheetId="8" r:id="rId8"/>
    <sheet name="SUMMARY COD" sheetId="9" r:id="rId9"/>
    <sheet name="SUMMARY NSRDI" sheetId="10" r:id="rId10"/>
    <sheet name="UNSCHED" sheetId="11" state="hidden" r:id="rId11"/>
  </sheets>
  <externalReferences>
    <externalReference r:id="rId12"/>
  </externalReferences>
  <definedNames>
    <definedName name="_xlnm._FilterDatabase" localSheetId="4" hidden="1">'ALL FINDING'!$A$2:$L$52</definedName>
    <definedName name="_xlnm._FilterDatabase" localSheetId="7" hidden="1">'DAILY REPORT'!$A$1:$V$923</definedName>
    <definedName name="_xlnm._FilterDatabase" localSheetId="3" hidden="1">'DJA AOC NSRDIL R01'!$A$2:$U$62</definedName>
    <definedName name="_xlnm._FilterDatabase" localSheetId="6" hidden="1">'UNPLANNED NSRDI'!$A$1:$U$335</definedName>
    <definedName name="_xlnm._FilterDatabase" localSheetId="5" hidden="1">'UNPLANNED WO'!$A$2:$J$2</definedName>
    <definedName name="_xlnm._FilterDatabase" localSheetId="10" hidden="1">UNSCHED!$A$2:$P$623</definedName>
    <definedName name="_xlnm._FilterDatabase" localSheetId="0" hidden="1">WO!$A$2:$P$22</definedName>
    <definedName name="RentangBernama1">#REF!</definedName>
    <definedName name="Z_7364E64E_FF78_49A8_821B_ED95AB03628D_.wvu.FilterData" localSheetId="4" hidden="1">'ALL FINDING'!$A$1:$B$2</definedName>
    <definedName name="Z_7364E64E_FF78_49A8_821B_ED95AB03628D_.wvu.FilterData" localSheetId="0" hidden="1">WO!$A$1:$O$39</definedName>
    <definedName name="Z_801E430E_9E75_4FEE_8878_7517E5659F26_.wvu.FilterData" localSheetId="4" hidden="1">'ALL FINDING'!$A$2:$K$2</definedName>
    <definedName name="Z_A6D78304_069F_43D9_89AC_C0406D0D2F21_.wvu.FilterData" localSheetId="4" hidden="1">'ALL FINDING'!$A$1:$K$2</definedName>
    <definedName name="Z_A6D78304_069F_43D9_89AC_C0406D0D2F21_.wvu.FilterData" localSheetId="1" hidden="1">'DMI CBM'!$A$1:$K$17</definedName>
    <definedName name="Z_A6D78304_069F_43D9_89AC_C0406D0D2F21_.wvu.FilterData" localSheetId="0" hidden="1">WO!$A$1:$O$39</definedName>
    <definedName name="Z_F83E585A_69F9_47AC_86EE_2BDA3B9CB35E_.wvu.FilterData" localSheetId="4" hidden="1">'ALL FINDING'!$A$1:$K$2</definedName>
  </definedNames>
  <calcPr calcId="162913"/>
  <customWorkbookViews>
    <customWorkbookView name="Filter 3" guid="{F83E585A-69F9-47AC-86EE-2BDA3B9CB35E}" maximized="1" windowWidth="0" windowHeight="0" activeSheetId="0"/>
    <customWorkbookView name="Filter 4" guid="{801E430E-9E75-4FEE-8878-7517E5659F26}" maximized="1" windowWidth="0" windowHeight="0" activeSheetId="0"/>
    <customWorkbookView name="Filter 2" guid="{A6D78304-069F-43D9-89AC-C0406D0D2F21}" maximized="1" windowWidth="0" windowHeight="0" activeSheetId="0"/>
    <customWorkbookView name="Filter 1" guid="{7364E64E-FF78-49A8-821B-ED95AB03628D}" maximized="1" windowWidth="0" windowHeight="0" activeSheetId="0"/>
  </customWorkbookViews>
  <fileRecoveryPr repairLoad="1"/>
</workbook>
</file>

<file path=xl/calcChain.xml><?xml version="1.0" encoding="utf-8"?>
<calcChain xmlns="http://schemas.openxmlformats.org/spreadsheetml/2006/main">
  <c r="N21" i="10" l="1"/>
  <c r="M21" i="10"/>
  <c r="L21" i="10"/>
  <c r="K21" i="10"/>
  <c r="F21" i="10"/>
  <c r="E21" i="10"/>
  <c r="D21" i="10"/>
  <c r="C21" i="10"/>
  <c r="O20" i="10"/>
  <c r="G20" i="10"/>
  <c r="O19" i="10"/>
  <c r="G19" i="10"/>
  <c r="O18" i="10"/>
  <c r="G18" i="10"/>
  <c r="O17" i="10"/>
  <c r="G17" i="10"/>
  <c r="O16" i="10"/>
  <c r="G16" i="10"/>
  <c r="O15" i="10"/>
  <c r="G15" i="10"/>
  <c r="O14" i="10"/>
  <c r="G14" i="10"/>
  <c r="AG13" i="10"/>
  <c r="AF13" i="10"/>
  <c r="AE13" i="10"/>
  <c r="AD13" i="10"/>
  <c r="AC13" i="10"/>
  <c r="AB13" i="10"/>
  <c r="AA13" i="10"/>
  <c r="Z13" i="10"/>
  <c r="Y13" i="10"/>
  <c r="X13" i="10"/>
  <c r="W13" i="10"/>
  <c r="V13" i="10"/>
  <c r="U13" i="10"/>
  <c r="T13" i="10"/>
  <c r="O13" i="10"/>
  <c r="G13" i="10"/>
  <c r="O12" i="10"/>
  <c r="G12" i="10"/>
  <c r="AI11" i="10"/>
  <c r="AH11" i="10"/>
  <c r="O11" i="10"/>
  <c r="G11" i="10"/>
  <c r="O10" i="10"/>
  <c r="G10" i="10"/>
  <c r="AI9" i="10"/>
  <c r="AH9" i="10"/>
  <c r="O9" i="10"/>
  <c r="G9" i="10"/>
  <c r="O8" i="10"/>
  <c r="G8" i="10"/>
  <c r="AI7" i="10"/>
  <c r="AI13" i="10" s="1"/>
  <c r="AH7" i="10"/>
  <c r="AH13" i="10" s="1"/>
  <c r="O7" i="10"/>
  <c r="G7" i="10"/>
  <c r="O6" i="10"/>
  <c r="G6" i="10"/>
  <c r="AI5" i="10"/>
  <c r="AH5" i="10"/>
  <c r="O5" i="10"/>
  <c r="G5" i="10"/>
  <c r="O4" i="10"/>
  <c r="G4" i="10"/>
  <c r="O3" i="10"/>
  <c r="O21" i="10" s="1"/>
  <c r="G3" i="10"/>
  <c r="G21" i="10" s="1"/>
  <c r="P30" i="9"/>
  <c r="O30" i="9"/>
  <c r="N30" i="9"/>
  <c r="M30" i="9"/>
  <c r="L29" i="9"/>
  <c r="K29" i="9"/>
  <c r="J29" i="9"/>
  <c r="I29" i="9"/>
  <c r="H29" i="9"/>
  <c r="G29" i="9"/>
  <c r="F29" i="9"/>
  <c r="E29" i="9"/>
  <c r="D29" i="9"/>
  <c r="Q29" i="9" s="1"/>
  <c r="C29" i="9"/>
  <c r="L28" i="9"/>
  <c r="K28" i="9"/>
  <c r="J28" i="9"/>
  <c r="I28" i="9"/>
  <c r="H28" i="9"/>
  <c r="G28" i="9"/>
  <c r="Q28" i="9" s="1"/>
  <c r="F28" i="9"/>
  <c r="E28" i="9"/>
  <c r="D28" i="9"/>
  <c r="C28" i="9"/>
  <c r="L27" i="9"/>
  <c r="K27" i="9"/>
  <c r="J27" i="9"/>
  <c r="I27" i="9"/>
  <c r="H27" i="9"/>
  <c r="G27" i="9"/>
  <c r="F27" i="9"/>
  <c r="E27" i="9"/>
  <c r="D27" i="9"/>
  <c r="C27" i="9"/>
  <c r="L26" i="9"/>
  <c r="L30" i="9" s="1"/>
  <c r="K26" i="9"/>
  <c r="K30" i="9" s="1"/>
  <c r="J26" i="9"/>
  <c r="J30" i="9" s="1"/>
  <c r="I26" i="9"/>
  <c r="I30" i="9" s="1"/>
  <c r="H26" i="9"/>
  <c r="G26" i="9"/>
  <c r="F26" i="9"/>
  <c r="E26" i="9"/>
  <c r="E30" i="9" s="1"/>
  <c r="D26" i="9"/>
  <c r="D30" i="9" s="1"/>
  <c r="C26" i="9"/>
  <c r="C30" i="9" s="1"/>
  <c r="P22" i="9"/>
  <c r="O22" i="9"/>
  <c r="N22" i="9"/>
  <c r="L22" i="9"/>
  <c r="K22" i="9"/>
  <c r="J22" i="9"/>
  <c r="I22" i="9"/>
  <c r="G22" i="9"/>
  <c r="F22" i="9"/>
  <c r="E22" i="9"/>
  <c r="D22" i="9"/>
  <c r="C22" i="9"/>
  <c r="A1" i="9"/>
  <c r="S63" i="7"/>
  <c r="S29" i="7"/>
  <c r="S62" i="7"/>
  <c r="S60" i="7"/>
  <c r="S31" i="7"/>
  <c r="S59" i="7"/>
  <c r="S35" i="7"/>
  <c r="S65" i="7"/>
  <c r="S30" i="7"/>
  <c r="S64" i="7"/>
  <c r="H22" i="9" l="1"/>
  <c r="F30" i="9"/>
  <c r="Q27" i="9"/>
  <c r="G30" i="9"/>
  <c r="H30" i="9"/>
  <c r="M22" i="9"/>
  <c r="Q26" i="9"/>
  <c r="Q30" i="9" l="1"/>
  <c r="Q22" i="9"/>
</calcChain>
</file>

<file path=xl/comments1.xml><?xml version="1.0" encoding="utf-8"?>
<comments xmlns="http://schemas.openxmlformats.org/spreadsheetml/2006/main">
  <authors>
    <author>tc={3d41e555-7034-4875-83ab-1d3aceefb35d}</author>
  </authors>
  <commentList>
    <comment ref="A1" authorId="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NSAJ 027216
</t>
        </r>
      </text>
    </comment>
  </commentList>
</comments>
</file>

<file path=xl/sharedStrings.xml><?xml version="1.0" encoding="utf-8"?>
<sst xmlns="http://schemas.openxmlformats.org/spreadsheetml/2006/main" count="16421" uniqueCount="3336">
  <si>
    <t>INPUT DATE</t>
  </si>
  <si>
    <t>ALL GROUP LEADER CABIN MAINTENANCE PLEASE REMARKS JIKA OPEN ATAU CLOSE</t>
  </si>
  <si>
    <t>WG</t>
  </si>
  <si>
    <t>REG</t>
  </si>
  <si>
    <t>DMI NO</t>
  </si>
  <si>
    <t>DMI CAT</t>
  </si>
  <si>
    <t> ALL GROUP LEADER CABIN MAINTENANCE PLEASE REMARKS JIKA OPEN ATAU CLOSE</t>
  </si>
  <si>
    <t>DEFER TYPE</t>
  </si>
  <si>
    <t>STATUS DMI</t>
  </si>
  <si>
    <t>WO</t>
  </si>
  <si>
    <t>DMI DESCRIPTION</t>
  </si>
  <si>
    <t>ATA CHAPTER</t>
  </si>
  <si>
    <t>DUE DATE DMI</t>
  </si>
  <si>
    <t>PN REQUIRED</t>
  </si>
  <si>
    <t>PICKLIST NUMBER</t>
  </si>
  <si>
    <t>AOC</t>
  </si>
  <si>
    <t>TYPE</t>
  </si>
  <si>
    <t>PLAN STA</t>
  </si>
  <si>
    <t>PLAN DATE</t>
  </si>
  <si>
    <t>REMARKS</t>
  </si>
  <si>
    <t>STATUS WO</t>
  </si>
  <si>
    <t>CLOSE DATE</t>
  </si>
  <si>
    <t>ACT STA</t>
  </si>
  <si>
    <t>REASON OPEN</t>
  </si>
  <si>
    <t>DATE</t>
  </si>
  <si>
    <t>CODE OPEN</t>
  </si>
  <si>
    <t>HIGHLIGHT</t>
  </si>
  <si>
    <t>REFRESH DATE</t>
  </si>
  <si>
    <t>WG 06</t>
  </si>
  <si>
    <t>PK-BKF</t>
  </si>
  <si>
    <t>ID031878</t>
  </si>
  <si>
    <t>D</t>
  </si>
  <si>
    <t>WO CAT</t>
  </si>
  <si>
    <t>WTG INST</t>
  </si>
  <si>
    <t>CLOSED</t>
  </si>
  <si>
    <t>AC REG</t>
  </si>
  <si>
    <t>WO DESCRIPTION</t>
  </si>
  <si>
    <t>SEAT 1F INOP (RECLINE CANT BE SET TO UP POSITION)</t>
  </si>
  <si>
    <t>NSRDI</t>
  </si>
  <si>
    <t>PN PICKLIST (NO. PICKLIST)</t>
  </si>
  <si>
    <t>FINDING DESCRIPTION</t>
  </si>
  <si>
    <t>CATEGORY</t>
  </si>
  <si>
    <t>MAN HOURS</t>
  </si>
  <si>
    <t>REPORT DATE</t>
  </si>
  <si>
    <t>DUE DATE</t>
  </si>
  <si>
    <t>NEED BOLT PN : NAS6603-16 (2EA) AVAIL K1
SEAT MUST BE REMOVED AND BRING TO DELTA FOR INSTALLATION BOLT
NEED REPAIRMAN</t>
  </si>
  <si>
    <t>PART NUMBER</t>
  </si>
  <si>
    <t>OPERATOR</t>
  </si>
  <si>
    <t>PART DESCRIPTION</t>
  </si>
  <si>
    <t>CAT</t>
  </si>
  <si>
    <t>DEFER</t>
  </si>
  <si>
    <t>STATUS</t>
  </si>
  <si>
    <t>ID</t>
  </si>
  <si>
    <t>A320</t>
  </si>
  <si>
    <t>REMARK</t>
  </si>
  <si>
    <t>CGK</t>
  </si>
  <si>
    <t>NEED REPAIRMAN</t>
  </si>
  <si>
    <t>REMARKS PPC WG TO LM</t>
  </si>
  <si>
    <t>DJA DMI</t>
  </si>
  <si>
    <t>WG 07</t>
  </si>
  <si>
    <t>PK-LAM</t>
  </si>
  <si>
    <t>019199</t>
  </si>
  <si>
    <t>C</t>
  </si>
  <si>
    <t>INVESTIG</t>
  </si>
  <si>
    <t>CAPTAIN SEAT CANT RECLINE / ADJUST RECLINE</t>
  </si>
  <si>
    <t>NEED T/S</t>
  </si>
  <si>
    <t>SOC</t>
  </si>
  <si>
    <t>NEED BOLT PN : NAS6603-16 (2EA) AVAIL K1
 SEAT MUST BE REMOVED AND BRING TO DELTA FOR INSTALLATION BOLT
 NEED REPAIRMAN</t>
  </si>
  <si>
    <t>WG 11</t>
  </si>
  <si>
    <t>WG 03</t>
  </si>
  <si>
    <t>WG 01</t>
  </si>
  <si>
    <t>PK-WJV</t>
  </si>
  <si>
    <t>PK-LKH</t>
  </si>
  <si>
    <t>017690</t>
  </si>
  <si>
    <t>DJA DMI R01</t>
  </si>
  <si>
    <t>PK-LQT</t>
  </si>
  <si>
    <t>OPEN</t>
  </si>
  <si>
    <t>OP</t>
  </si>
  <si>
    <t>WINDOW LIGHTS NO 18ABC-25ABC NOT ILLUMINATE</t>
  </si>
  <si>
    <t>CLEANING OF FWD, AFT, AND LAV SMOKE DETECTOR</t>
  </si>
  <si>
    <t>NLA087294</t>
  </si>
  <si>
    <t>---</t>
  </si>
  <si>
    <t xml:space="preserve">NEED PART PN : 9701-14-0000 1EA AVAIL K4 PL 593326
PN 9651-35-0002 1EA  AVAIL K171 </t>
  </si>
  <si>
    <t>2,00</t>
  </si>
  <si>
    <t>DAILY RON CHECK OVERHEAD BIN AT SEAT NO 1BC AND 39ABCDEF NOT PROPER</t>
  </si>
  <si>
    <t>IW</t>
  </si>
  <si>
    <t>JT</t>
  </si>
  <si>
    <t>ATR72</t>
  </si>
  <si>
    <t>CBM</t>
  </si>
  <si>
    <t>BTH</t>
  </si>
  <si>
    <t>B737</t>
  </si>
  <si>
    <t>REQ PIC</t>
  </si>
  <si>
    <t>SP23988</t>
  </si>
  <si>
    <t>CONTROL</t>
  </si>
  <si>
    <t>SUB</t>
  </si>
  <si>
    <t>WAITING PERFORM</t>
  </si>
  <si>
    <t>PART PN : 9701-14-0000 1EA AVAIL K4 PL 593326
TP.2626766//S1
SEND VIA JT-707/ETD 14.25
PN 9651-35-0002 1EA (PLEASE SWAP INTERNAL)</t>
  </si>
  <si>
    <t>KOE</t>
  </si>
  <si>
    <t>NOT COMPLETE SPARE  9651-35-0002</t>
  </si>
  <si>
    <t>NS</t>
  </si>
  <si>
    <t>WG 08</t>
  </si>
  <si>
    <t>PK-SGD</t>
  </si>
  <si>
    <t>SAJ025633</t>
  </si>
  <si>
    <t>AVAIL K1  TP.2626615 // K126</t>
  </si>
  <si>
    <t>C1</t>
  </si>
  <si>
    <t>CEILING LIGHT SN 16DEF AND 29DEF NOT ILLUMINATE</t>
  </si>
  <si>
    <t>33-20-01A</t>
  </si>
  <si>
    <t>NEED PART LAMP PN: ABS1238-26-30B 2EA
AVAIL AT K1, PL#596045</t>
  </si>
  <si>
    <t>IU</t>
  </si>
  <si>
    <t>SRG</t>
  </si>
  <si>
    <t>REF TP.2627033 &amp; TP.2627037</t>
  </si>
  <si>
    <t>UPG</t>
  </si>
  <si>
    <t>WG 09</t>
  </si>
  <si>
    <t>PK-STI</t>
  </si>
  <si>
    <t>D/T NOT RON KOE</t>
  </si>
  <si>
    <t>2333487</t>
  </si>
  <si>
    <t>IRR</t>
  </si>
  <si>
    <t>VACUUM TOILET SYSTEM .
  CLEANING OF VACUUM CLEANING OF VACUUM WASTE LINES WITH CHEMICAL CLEANING AGENT.</t>
  </si>
  <si>
    <t>1,00</t>
  </si>
  <si>
    <t>WG 12</t>
  </si>
  <si>
    <t>PK-WHK</t>
  </si>
  <si>
    <t>NWA033029</t>
  </si>
  <si>
    <t>WORD "EXIT " KELUAR" AT EMERGENCY EXIT WINDOW ARE NOT CLEAR (TORN)</t>
  </si>
  <si>
    <t>SPARE NOT AVAILABLE AT S1</t>
  </si>
  <si>
    <t>PK-SJG</t>
  </si>
  <si>
    <t>SAJ-039572</t>
  </si>
  <si>
    <t>PK-BKR</t>
  </si>
  <si>
    <t>LT11-11-PLC-0025</t>
  </si>
  <si>
    <t>POTABLE WATER SYSTEM
 STERILIZATION OF POTABLE WATER SYSTEM AND DISCARD OF WATER FILTER ELEMENTS.</t>
  </si>
  <si>
    <t>EXIT / KELUAR PLACARD</t>
  </si>
  <si>
    <t>PN: EV949000 (594700) @ S1</t>
  </si>
  <si>
    <t>3,00</t>
  </si>
  <si>
    <t>BDJ</t>
  </si>
  <si>
    <t>PART AVAIL B1</t>
  </si>
  <si>
    <t>WO OVER DUE
 PN: EV949000 AVAIL K1</t>
  </si>
  <si>
    <t>NEED PART PN : 9701-14-0000 1EA AVAIL K4 PL 593326
 PN 9651-35-0002 1EA AVAIL K171</t>
  </si>
  <si>
    <t>CEILING LIGHT AT 18 DEF, 25 DEF NOT ILL</t>
  </si>
  <si>
    <t>RON SUB</t>
  </si>
  <si>
    <t>NEED PART 
FLUORESCENT TUBE  QTY : 2EA PN : F30WT8-840 AVAIL AT S1, PL#596351</t>
  </si>
  <si>
    <t>WTG TP. 2627274</t>
  </si>
  <si>
    <t>NEED PART LAMP PN: ABS1238-26-30B 2EA
 AVAIL AT K1, PL#596045</t>
  </si>
  <si>
    <t>CLEANING OF VACUUM WASTE LINES WITH CHEMICAL CLEANING AGENT.</t>
  </si>
  <si>
    <t xml:space="preserve">PK-STF
</t>
  </si>
  <si>
    <t>SAJ008401</t>
  </si>
  <si>
    <t>PK-LUI</t>
  </si>
  <si>
    <t>NID002111</t>
  </si>
  <si>
    <t>FLAPER DOOR WASTE BIN AT LAV E NOT FULLY CLOSED
(DEACTIVATED OF FLAPPER DOOR WASTE COMPARTMENT C/O)</t>
  </si>
  <si>
    <t>REFF NSRDI NO NBA048520, CARGO NET FWD AND AFT BAD CONDITION</t>
  </si>
  <si>
    <t>25-40-01A</t>
  </si>
  <si>
    <t>NEED DAMPER PN : 9855DV AVAIL AT K5, PL#594545</t>
  </si>
  <si>
    <t>INVESTIGATE</t>
  </si>
  <si>
    <t>DMI DUE TODAY
REF TP.2626869</t>
  </si>
  <si>
    <t>FACING OVERDUE. PLEASE INVESTIGATE/RE-INSPECT. JIKA SUDAH ADA PERBAIKAN, PLEASE CLOSED EMRO. JIKA BELUM PLEASE CLOSED DEFECT LAMA DAN REOPEN DEFECT BARU SESUAI HASIL INSPECT</t>
  </si>
  <si>
    <t>PK-STZ</t>
  </si>
  <si>
    <t>SAJ-025905</t>
  </si>
  <si>
    <t>PK-BKM</t>
  </si>
  <si>
    <t>PK-STF</t>
  </si>
  <si>
    <t>CEILING LIGHT 16ABC,28DEF,32ABC NOT ILLUMINATE</t>
  </si>
  <si>
    <t>HT</t>
  </si>
  <si>
    <t>FLAPER DOOR WASTE BIN AT LAV E NOT FULLY CLOSED
 (DEACTIVATED OF FLAPPER DOOR WASTE COMPARTMENT C/O)</t>
  </si>
  <si>
    <t>RESTORATION OF MEDICAL KITNOTE:P/N EMK-1000 S/N OFF: LAEMK-338</t>
  </si>
  <si>
    <t>NEED PART LAMP  PN : F30WT8-840 (3EA)
AVAIL AT K1 PL#596037</t>
  </si>
  <si>
    <t>PDG</t>
  </si>
  <si>
    <t xml:space="preserve">ALREADY ACTUAL DMI CLOSED AT KNO </t>
  </si>
  <si>
    <t>PK-SJA</t>
  </si>
  <si>
    <t>SAJ017272</t>
  </si>
  <si>
    <t>sn off: LAEMK-338
 used spare feee</t>
  </si>
  <si>
    <t>FOOT REST CAPTAIN SIDE LOOSE (SECURE STOWED POSITION)</t>
  </si>
  <si>
    <t>PK-BDF</t>
  </si>
  <si>
    <t xml:space="preserve">NEED BUFFER PN : ASNA2151-02 QTY : 1EA
</t>
  </si>
  <si>
    <t>NBA007488</t>
  </si>
  <si>
    <t>REF K1, PL#596514</t>
  </si>
  <si>
    <t>NEED PART LAMP PN : F30WT8-840 (3EA)
 AVAIL AT K7, PL#596037</t>
  </si>
  <si>
    <t>WG 02</t>
  </si>
  <si>
    <t>REF NSRDI NO.NBA007487 IFE AT SEAT NO.15ABC-29ABC, 7DEF-29DEF RDU OFFLINE</t>
  </si>
  <si>
    <t>PK-LSJ</t>
  </si>
  <si>
    <t>RON PDG</t>
  </si>
  <si>
    <t>RESTORE THE FIRST AID KITS</t>
  </si>
  <si>
    <t>PN: LA-FAK / SN: MLI-N132 (595545) @ K1</t>
  </si>
  <si>
    <t>NEED BUFFER PN : ASNA2151-02 QTY : 1EA
 REF PL#596422</t>
  </si>
  <si>
    <t>NEW FINDING. PLEASE INVESTIGATE</t>
  </si>
  <si>
    <t>PN OFF: LA-FAK
 SN OFF: MLI-N174 
 PL#595545 // SN: MLI-N132 @K1</t>
  </si>
  <si>
    <t>PK-SJO</t>
  </si>
  <si>
    <t>SAJ013156</t>
  </si>
  <si>
    <t>ONE OF ENTRY LIGHT 4R (AFT) NOT ILLUMINATE</t>
  </si>
  <si>
    <t>NEED PART 
 FLUORESCENT TUBE QTY : 2EA PN : F30WT8-840 AVAIL AT S1, PL#596351</t>
  </si>
  <si>
    <t>NEED LAMP PN : F30WT8-840 AVAIL AT L2, PL#596109 
BALLAS UNIT PN : 3250-81 PO#2581763 PAYMENT PROCESS CIA</t>
  </si>
  <si>
    <t>PK-BKG</t>
  </si>
  <si>
    <t>NID014191</t>
  </si>
  <si>
    <t>REFF FINDING QAA 19425 SEAT BELT NO.21BCDE TORN</t>
  </si>
  <si>
    <t>LAMP REF TP.2626623
BALLAS UNIT PN : 3250-81 ref wo : 2353023 FROM PK-SAP</t>
  </si>
  <si>
    <t>PK-WFS</t>
  </si>
  <si>
    <t>CBMS</t>
  </si>
  <si>
    <t>AIRCRAFT PEST CONTROL APPLICATION GUIDE FOR ATR</t>
  </si>
  <si>
    <t>SAJ025634</t>
  </si>
  <si>
    <t>L/H FWD ENTRY LIGHT NOT ILLUMINATE</t>
  </si>
  <si>
    <t>NEED PART LAMP PN: ABS1238-26-30B 1EA AVAIL AT K1, PL#596045
BALLAST UNIT PN 4197-20-04 1EA AVAIL AT K1 SN 298819 PL 594200</t>
  </si>
  <si>
    <t>REQ PIC
 MAXFORCE FORTE GEL PN M00023 SEND FROM SUB</t>
  </si>
  <si>
    <t>PK-BKL</t>
  </si>
  <si>
    <t>NID008262</t>
  </si>
  <si>
    <t>BACKREST 30BF,26D,24D,23A,19D,16E,8CD,6D,31B BAD CONDITION</t>
  </si>
  <si>
    <t>PK-BKP</t>
  </si>
  <si>
    <t>LAVATORY WASTE SYSTEM LINE CLEANING</t>
  </si>
  <si>
    <t>ID026356</t>
  </si>
  <si>
    <t>NID008265</t>
  </si>
  <si>
    <t>REFF NSRDIL NID014077 ALL BACKREST COVER Y-CLASS BAD CONDITION</t>
  </si>
  <si>
    <t>REF CML B143800 CEILING LIGHT S/N 17DEF ,18ABC,21ABC,25ABC,26DEF,29ABC,29DEF NOT ILLUMINATE</t>
  </si>
  <si>
    <t>L/H FWD ENTRY LIGHT NOT ILLUMINATE NOT ILLUMINATE</t>
  </si>
  <si>
    <t>LAMP PN:ABS1238-26-30B, BALLAST UNIT PN:4197-20-04</t>
  </si>
  <si>
    <t>SAJ-025634</t>
  </si>
  <si>
    <t>PK-WJL</t>
  </si>
  <si>
    <t>NBA051338</t>
  </si>
  <si>
    <t>REFF NSRDIL NBA051310 ARMCAP ASSY 4D BROKEN</t>
  </si>
  <si>
    <t>UNPLANNED DMI</t>
  </si>
  <si>
    <t>LOP</t>
  </si>
  <si>
    <t>REQ PIC
 BAIT STATION PN BAIT STATION SEND FROM DPS</t>
  </si>
  <si>
    <t xml:space="preserve">FACING OVERDUE. PLEASE INVESTIGATE/RE-INSPECT. JIKA SUDAH ADA PERBAIKAN, PLEASE CLOSED EMRO. JIKA BELUM PLEASE CLOSED DEFECT LAMA DAN REOPEN DEFECT BARU SESUAI HASIL INSPECT
</t>
  </si>
  <si>
    <t>PK-SAG</t>
  </si>
  <si>
    <t>AD</t>
  </si>
  <si>
    <t>DETAILED INSPECTION OF WASTE COMPARTMENT FOR FIRE CONTAINMENT CAPABILITY &amp; INSPECTION OF ASHTRAYS ON LAVATORY</t>
  </si>
  <si>
    <t>NID012421</t>
  </si>
  <si>
    <t>AISLE CARPET FOUND BAD CONDITION</t>
  </si>
  <si>
    <t>PLEASE INVESTIGATE FINDING OVERDUE. JIKA SUDAH ADA PERBAIKAN, PLEASE CLOSED EMRO. JIKA BELUM PLEASE CLOSED DEFECT LAMA DAN REOPEN DEFECT BARU SESUAI HASIL INSPECT</t>
  </si>
  <si>
    <t>PK-BKT</t>
  </si>
  <si>
    <t>NID012422</t>
  </si>
  <si>
    <t>ARM CAP 25D FLACKING</t>
  </si>
  <si>
    <t>AIRCRAFT PEST CONTROL APPLICATION GUIDE</t>
  </si>
  <si>
    <t>PK-BLB</t>
  </si>
  <si>
    <t>NID012424</t>
  </si>
  <si>
    <t>COVER  LIFEVEST AT SEAT 2DF BROKEN</t>
  </si>
  <si>
    <t>PK-BLC</t>
  </si>
  <si>
    <t>NBA048839</t>
  </si>
  <si>
    <t>PK-LFY</t>
  </si>
  <si>
    <t>MIRROR LE FOUND FADDED</t>
  </si>
  <si>
    <t>RESTORE THE RIGHT MID-EXIT DOOR EMERGENCY ESCAPE SLIDE</t>
  </si>
  <si>
    <t>PN: 65520-102 / SN: 65520-0182 (594723) @ K1</t>
  </si>
  <si>
    <t>PN OFF: 65520-102
 SN OFF: 65520-0166
 PL#594723 // SN: 65520-0182 @K1
 SEND VIA ID-6406/ETD 13.30
 TO.2626700 // S1</t>
  </si>
  <si>
    <t>NBA048841</t>
  </si>
  <si>
    <t>SEAT CUSHION AT NO.29A BAD CONDITION</t>
  </si>
  <si>
    <t>EO</t>
  </si>
  <si>
    <t>PINNACLE® / INSPECTION OF SEAT BEAMS / GENERIC / ALL AIRCRAFT TYPES</t>
  </si>
  <si>
    <t>NBA054876</t>
  </si>
  <si>
    <t>REFF NBA048577 NET AFT CARGO BAD CONDITION</t>
  </si>
  <si>
    <t>PN : AC40-0217000</t>
  </si>
  <si>
    <t>NET DOOR TYPE A</t>
  </si>
  <si>
    <t>INSPECTION FOR INVENTORY EMERGENCY EQUIPMENT ON THE AIRCRAFT</t>
  </si>
  <si>
    <t>PK-LAW</t>
  </si>
  <si>
    <t>NBA051940</t>
  </si>
  <si>
    <t>REFF NSRDI PAGE NBA051936, OVEN NO 104 FWD GALLEY INOP, AFTER REPLACE STEAM OVEN TROUBLE STILL EXIST, CANNOT CONTINOUSE TROUBLESHOOT D/T CANNOT REMOVE OVEN NO 103 SCREW STUCK</t>
  </si>
  <si>
    <t>PK-WFU</t>
  </si>
  <si>
    <t>PK-LAY</t>
  </si>
  <si>
    <t>NID006138</t>
  </si>
  <si>
    <t>REF FINDING SRV10755 CARPET UNDER SEAT 18DE 22DF BAD CONDITION</t>
  </si>
  <si>
    <t>PK-LFO</t>
  </si>
  <si>
    <t>NEW FINDING. PLEASE INVESTIGATE AND RECTIFICATION. IF NEED SPARE PARTS, PLEASE CREATE RQ IN EMRO</t>
  </si>
  <si>
    <t>LIFE VEST REPLACEMENT</t>
  </si>
  <si>
    <t>PLEASE REPLACED AND RECORD LIFE VEST UNDERSEAT NO: 27E QTY: 1EA D/T EXPIRE</t>
  </si>
  <si>
    <t>NID006143</t>
  </si>
  <si>
    <t>FINDING SRV : 10755 CARPET UNDERSEAT NO 18DE &amp; 22DF FOUND BAD CONDITION</t>
  </si>
  <si>
    <t>0,25</t>
  </si>
  <si>
    <t>WG 05</t>
  </si>
  <si>
    <t>PK-LBS</t>
  </si>
  <si>
    <t>NID008054</t>
  </si>
  <si>
    <t>REF ICT 18962 BACKREST SEAT 4-29 CD BAD CONDITION</t>
  </si>
  <si>
    <t>PK-LJI</t>
  </si>
  <si>
    <t>NID008055</t>
  </si>
  <si>
    <t>REF ICT 18961 SEAT POCKET 12A 12C NOT PROPER</t>
  </si>
  <si>
    <t>DISCARD THE CHEMICAL OXYGEN GENERATORS.</t>
  </si>
  <si>
    <t>PLIERS - FIRING PIN RETRACTION, OXYGEN GENERATOR
 PN : E71516-00 AVAIL S1
 SPARE PN: E71740-00 AVAIL @S1
 TOOL PN: E71401-00 AVAIL @S1</t>
  </si>
  <si>
    <t>NID008056</t>
  </si>
  <si>
    <t>REF ICT 18960 BACKREST SEAT 28C 8C NOT PROPER</t>
  </si>
  <si>
    <t>A/C NOT RON SUB</t>
  </si>
  <si>
    <t>PK-LUK</t>
  </si>
  <si>
    <t>NID008061</t>
  </si>
  <si>
    <t>REF ICT 18953 HEADREST PILOT CO-PILOT BAD CONDITION</t>
  </si>
  <si>
    <t>CLEANING OF THE SYSTEM CONTROL UNIT 3 (SCU3) IFE RAVE SYSTEM A320</t>
  </si>
  <si>
    <t>NID014570</t>
  </si>
  <si>
    <t>ARMCAP SEAT NO 11F, 12ABCDEF, 16BC, 17ABCDEF, 18ABCDEF, 19ABCDEF,  20ABCDEF, 21ABCDEF, 22ABCDEF, 23ABCDEF, 24ABCDEF, 25ABCDEF, 26ABCDEF, 27ABCDEF, 28ABCDEF, 29ABCDEF, 30ABCDEF</t>
  </si>
  <si>
    <t>D/T OVER CAPACITY MH</t>
  </si>
  <si>
    <t>PK-LDK</t>
  </si>
  <si>
    <t>NID008314</t>
  </si>
  <si>
    <t>FRAME WINDOW SEAT NO 30ABC CRACK</t>
  </si>
  <si>
    <t>NLA094712</t>
  </si>
  <si>
    <t>REFF FINDING ICT19431 RECLINE NO38C 37C 29C 27D 22C 3CD 2C NOT FUNTION</t>
  </si>
  <si>
    <t>NLA094714</t>
  </si>
  <si>
    <t>PK-LUV</t>
  </si>
  <si>
    <t>NID008808</t>
  </si>
  <si>
    <t>REFF FINDING SRV14031,CARPET NTF AT FWD GALLEY BAD CONDITION</t>
  </si>
  <si>
    <t>500H6484</t>
  </si>
  <si>
    <t>BATIFLEX AVM 282 OPUS MIAMI</t>
  </si>
  <si>
    <t>DJB</t>
  </si>
  <si>
    <t>A/C NOT RON AS PLAN_NO SPARE at DJB TO PERFORM</t>
  </si>
  <si>
    <t>PK-LUW</t>
  </si>
  <si>
    <t>NID021845</t>
  </si>
  <si>
    <t>FINDING QAA 18784 THE SCRSCTED ON THE UPPERFUSLAGE PAINTING</t>
  </si>
  <si>
    <t>PAINTING</t>
  </si>
  <si>
    <t>PK-SAA</t>
  </si>
  <si>
    <t>NSAJ016789</t>
  </si>
  <si>
    <t>DAILY RON CHECK FAIRING SEAT NO. 2BF, 3AF, 4AF FOUND CRACK</t>
  </si>
  <si>
    <t>F0432709</t>
  </si>
  <si>
    <t>CENTRAL SPREADER FAIRING, NO RECLINE</t>
  </si>
  <si>
    <t>AVAIL K1</t>
  </si>
  <si>
    <t>PK-SAI</t>
  </si>
  <si>
    <t>NSAJ006021</t>
  </si>
  <si>
    <t>REF FINDING ICT 19713 HEADTRACK PEEL OFF NO. 2 ABC</t>
  </si>
  <si>
    <t xml:space="preserve">AIRCRAFT NOT RON AS PLAN DJA </t>
  </si>
  <si>
    <t>PK-SJH</t>
  </si>
  <si>
    <t>NSAJ021413</t>
  </si>
  <si>
    <t>TOILET SEAT LAV "A" CRACK</t>
  </si>
  <si>
    <t>A425400461-600</t>
  </si>
  <si>
    <t>SEAT ASSY</t>
  </si>
  <si>
    <t>AVAIL AT S1</t>
  </si>
  <si>
    <t>PK-LOQ</t>
  </si>
  <si>
    <t>NLA070784</t>
  </si>
  <si>
    <t>INSPECTION NO 18905 FOUND WINDOW R/H SUNVISOR MISSING</t>
  </si>
  <si>
    <t>170-14460-990</t>
  </si>
  <si>
    <t>SUNSHADE ASSY NO. 2 WINDOW R/H SIDE</t>
  </si>
  <si>
    <t>DPS</t>
  </si>
  <si>
    <t>AVAIL K5</t>
  </si>
  <si>
    <t>PK-LUP</t>
  </si>
  <si>
    <t>NID007366</t>
  </si>
  <si>
    <t>WATER AND WASTE SYSTEM ERROR</t>
  </si>
  <si>
    <t>HLP</t>
  </si>
  <si>
    <t>NLA081718</t>
  </si>
  <si>
    <t>REFF NSRDIL NO NLA081718 ESCUTCHION ARMCAP AND SCREW S/N 38A AND 39DF FOUND MISSING</t>
  </si>
  <si>
    <t>1010206-301BHU</t>
  </si>
  <si>
    <t>ESCUTCHEON, BLANK</t>
  </si>
  <si>
    <t>AVAIL S1</t>
  </si>
  <si>
    <t>KNO</t>
  </si>
  <si>
    <t>AC NOT RON AS PLAN DJA</t>
  </si>
  <si>
    <t>PK-LJQ</t>
  </si>
  <si>
    <t>NLA074512</t>
  </si>
  <si>
    <t>DURING DAILY RON CHECK SEAT NUMBERING 1-3ABC, 3DEF FOUND BAD CONDITION</t>
  </si>
  <si>
    <t>LT11-11-PLC-0307</t>
  </si>
  <si>
    <t>SEAT NUMBERING NO. 2 ABC</t>
  </si>
  <si>
    <t xml:space="preserve">AVAIL K22 </t>
  </si>
  <si>
    <t>LT11-11-PLC-0308</t>
  </si>
  <si>
    <t>SEAT NUMBERING NO. 3 ABC</t>
  </si>
  <si>
    <t>AVAIL S1 TO.2627002 K22</t>
  </si>
  <si>
    <t>LT11-11-PLC-0371</t>
  </si>
  <si>
    <t>SEAT NUMBERING NO. 3 DEF</t>
  </si>
  <si>
    <t>NLA074518</t>
  </si>
  <si>
    <t>PLACARD ARROW DIRECTION STATION 4R BAD CONDITION</t>
  </si>
  <si>
    <t>LT11-11-PLC-01421</t>
  </si>
  <si>
    <t>PLACARD EMERGENCY USED ONLY (HANYA DIPAKAI DALAM KEADAAN DARURAT)</t>
  </si>
  <si>
    <t>PLACARD NOT COMPLETED I NEED THIS TOO PN:LT11-11-PLC-01422 1EA</t>
  </si>
  <si>
    <t>WTP</t>
  </si>
  <si>
    <t>NLA087489</t>
  </si>
  <si>
    <t>PLACARD SEAT NUMBER 3ABCDEF, 1 ABC,2 ABC BAD CONDITION</t>
  </si>
  <si>
    <t>PK-LUZ</t>
  </si>
  <si>
    <t>NBA004979</t>
  </si>
  <si>
    <t>REFF FINDING SRV N0.12168, PLACARD "CLOSE &amp; DOOR " AT PARTITION  FTRONT SEAT 1C BAD CONDITION</t>
  </si>
  <si>
    <t>NEW 1210</t>
  </si>
  <si>
    <t>PK-SAL</t>
  </si>
  <si>
    <t>NSAJ013039</t>
  </si>
  <si>
    <t>REPLACE ALL BRIEFING GUIDE FOR FA @ALL FA SEATS D/T ALL THE CARDS IN BAD CONDITION</t>
  </si>
  <si>
    <t>SAJ-DO-03-DCOC-18-R0</t>
  </si>
  <si>
    <t>BRIEFING GUIDE FOR FA ISSUED 01, REVISION 0</t>
  </si>
  <si>
    <t>TO.2626743</t>
  </si>
  <si>
    <t>PK-LHY</t>
  </si>
  <si>
    <t>NLA075267</t>
  </si>
  <si>
    <t>DURING DAILY SNUBBER HEADRACK 1BC 4-5ABC 15-16DEF FOUND NOT FUNCTION</t>
  </si>
  <si>
    <t>AVAIL K1 TP 2626674 // K7:</t>
  </si>
  <si>
    <t>NOT RON KNO</t>
  </si>
  <si>
    <t>PK-STG</t>
  </si>
  <si>
    <t>NSAJ001440</t>
  </si>
  <si>
    <t>PLACARD HOW TO USE TO OPEN OVERWING TRAY TABLE 15 F NOT AVAILABLE</t>
  </si>
  <si>
    <t>LT11-11-PLC-01731</t>
  </si>
  <si>
    <t>EMERGENCY OPENING R</t>
  </si>
  <si>
    <t xml:space="preserve">TO.2626672/L2
</t>
  </si>
  <si>
    <t>PK-SAV</t>
  </si>
  <si>
    <t>NSAJ013182</t>
  </si>
  <si>
    <t>PLEASE INSTALL PLACARD JANGAN MEMBAWA BARANG BAWA'AN /PLEASE DO NOT BRING YOUR BELONGINGS</t>
  </si>
  <si>
    <t>LT11-11-PLC-02904</t>
  </si>
  <si>
    <t>DILARANG MEMBAWA BARANG BAWAAN</t>
  </si>
  <si>
    <t>BPN</t>
  </si>
  <si>
    <t>TO.2626682/b9</t>
  </si>
  <si>
    <t>PK-SJS</t>
  </si>
  <si>
    <t>NSAJ036961</t>
  </si>
  <si>
    <t>PART OF TOILET BOWL BROKEN</t>
  </si>
  <si>
    <t>A425400461-712</t>
  </si>
  <si>
    <t>TOILET SEATER</t>
  </si>
  <si>
    <t>PK-SJT</t>
  </si>
  <si>
    <t>NSAJ017140</t>
  </si>
  <si>
    <t>RON CHECK SHROUD ASSY LAV LD FOUND CRACK</t>
  </si>
  <si>
    <t>D2547090000400</t>
  </si>
  <si>
    <t>SHROUD ASSY-TOILET</t>
  </si>
  <si>
    <t>SPART AVAIL EX REPAIR DI DELTA IRREG</t>
  </si>
  <si>
    <t>PKU</t>
  </si>
  <si>
    <t>RON PKU</t>
  </si>
  <si>
    <t>PK-LUG</t>
  </si>
  <si>
    <t>NBA032141</t>
  </si>
  <si>
    <t>AIP AT FWD FA STATION IS BAD CONDITION</t>
  </si>
  <si>
    <t>REOPEN TO NSRDIL NID016227</t>
  </si>
  <si>
    <t>PK-LBW</t>
  </si>
  <si>
    <t>NID008538</t>
  </si>
  <si>
    <t>CARPET AISLE ROW 20 UNTIL 23 BAD CONDITION</t>
  </si>
  <si>
    <t>REOPEN TO NSRDI NID008546</t>
  </si>
  <si>
    <t>WG 13</t>
  </si>
  <si>
    <t>PK-LES</t>
  </si>
  <si>
    <t>NLA081873</t>
  </si>
  <si>
    <t>REF NSRDIL NO. NLA081871 WATER TAP AT G1A FOUND INOP</t>
  </si>
  <si>
    <t>GLS25-013-0000</t>
  </si>
  <si>
    <t>SPIGOT</t>
  </si>
  <si>
    <t>A330</t>
  </si>
  <si>
    <t>AVAIL S1 : 1 EA</t>
  </si>
  <si>
    <t>PK-LUF</t>
  </si>
  <si>
    <t>NID008695</t>
  </si>
  <si>
    <t>OVEN NO. 512 ERROR</t>
  </si>
  <si>
    <t>PLM</t>
  </si>
  <si>
    <t>PK-SJI</t>
  </si>
  <si>
    <t>NSAJ037463</t>
  </si>
  <si>
    <t>REFF FINDING INSPECTION 19692 LAVATORY E CLOSET NO PLACARD PLEASE SIT &amp; DONT SQUAT ON TOILET BOWL</t>
  </si>
  <si>
    <t>LT11-11-PLC-0635</t>
  </si>
  <si>
    <t>PLACARD "PLEASE SIT AND DON'T SQUAT ON THE TOILET BOWL"</t>
  </si>
  <si>
    <t>reff TO 2626697</t>
  </si>
  <si>
    <t>NSAJ037464</t>
  </si>
  <si>
    <t>REFF FINDING INSPECTION 14691 LAVATORY A CLOSET NO PLACARD PLEASE SIT &amp; DONT SQUAD ON TOILET BOWL</t>
  </si>
  <si>
    <t>PK-LKQ</t>
  </si>
  <si>
    <t>NLA076598</t>
  </si>
  <si>
    <t>DURING RON CHECK SNUBBER OVHD BIN NO 9DEF, 18-19DEF, 22-23DEF, 28-29DEF &amp; 30-31ABC FOUND BROKEN</t>
  </si>
  <si>
    <t>AVAIL K1 TP 2626702 // S1</t>
  </si>
  <si>
    <t>PK-LAJ</t>
  </si>
  <si>
    <t>NID004502</t>
  </si>
  <si>
    <t>DRESS COVER JUMP SEAT FA 3 BAD CONDITION</t>
  </si>
  <si>
    <t>NID004508</t>
  </si>
  <si>
    <t>NLA082638</t>
  </si>
  <si>
    <t>LATCH COMPARTMENT L/V FA 4 HARD TO OPEN</t>
  </si>
  <si>
    <t>SAM222-18</t>
  </si>
  <si>
    <t>LATCH ASSY</t>
  </si>
  <si>
    <t>AVAIL K1 TO 2626573 // S1</t>
  </si>
  <si>
    <t>WG 10</t>
  </si>
  <si>
    <t>PK-WGT</t>
  </si>
  <si>
    <t>NWA0005215</t>
  </si>
  <si>
    <t>SRV 12374 BOTTOM COVER FA JUMPSEAT FWD BAD CONDITION</t>
  </si>
  <si>
    <t>DJJ</t>
  </si>
  <si>
    <t>PLEASE INVESTIGATE AND RECTIFICATION. IF NEED SPARE PARTS, PLEASE CREATE RQ IN EMRO</t>
  </si>
  <si>
    <t>NBX</t>
  </si>
  <si>
    <t>PK-WGO</t>
  </si>
  <si>
    <t>NWA015627</t>
  </si>
  <si>
    <t>DURING DBI FOUND ARMREST S/N 5C,7C,9D BAD CONDITION</t>
  </si>
  <si>
    <t>ASP07851A281</t>
  </si>
  <si>
    <t>ARMCAP ARMREST</t>
  </si>
  <si>
    <t>PART AVAIL AT N2</t>
  </si>
  <si>
    <t>PK-WJR</t>
  </si>
  <si>
    <t>NWA010365</t>
  </si>
  <si>
    <t>REF FIND ING ICT 19245 BACKREST COVER JUMPSEAT AT FA1 BAD CONDITION</t>
  </si>
  <si>
    <t>BT-F0436480,
BT-F0436506,
BT-F0436475,
BT-F0436473,
BT-F0436479,</t>
  </si>
  <si>
    <t>BOTTOM COVER REAR,
BACKREST LOWER COVER REAR,
BOTTOM COVER FWD,
BACKREST LOWER COVER FWD,
BACKREST UPPER COVER,</t>
  </si>
  <si>
    <t>SOQ</t>
  </si>
  <si>
    <t>AVAIL AT S4</t>
  </si>
  <si>
    <t>PK-WHS</t>
  </si>
  <si>
    <t>NWA038489</t>
  </si>
  <si>
    <t>REFF FINDING ICT18419. COVER PHOTOLUMINESCHENT NO.1 LH FOUND CRACK</t>
  </si>
  <si>
    <t>MOF</t>
  </si>
  <si>
    <t> ALL GROUP LEADER CABIN MAINTENANCE PLEASE CANTUMKAN REFF DOC NUMBER DI KOLOM REMARKS</t>
  </si>
  <si>
    <t>DOC TYPE</t>
  </si>
  <si>
    <t>FINDING NO</t>
  </si>
  <si>
    <t>DEFECT DESCRIPTION</t>
  </si>
  <si>
    <t>ACTION TAKEN</t>
  </si>
  <si>
    <t>STATION</t>
  </si>
  <si>
    <t>STATUS FINDING</t>
  </si>
  <si>
    <t>STATUS DOC</t>
  </si>
  <si>
    <t>REMARKS
REF NO CML/NSRDI/DMI/AFML</t>
  </si>
  <si>
    <t>PICTURES</t>
  </si>
  <si>
    <t>INSPECTION</t>
  </si>
  <si>
    <t>PK-LUK  Seat Track Cover: 6F, 27F, 28C, 28D, Found missing. Inserted NSRDI No. NID016995</t>
  </si>
  <si>
    <t>QAA</t>
  </si>
  <si>
    <t>(A01-G) FO Aft window shade missing</t>
  </si>
  <si>
    <t>(A01-18) Capt side seat in poor condition</t>
  </si>
  <si>
    <t>PK-LHR</t>
  </si>
  <si>
    <t>Ceilling cover by tape at row 28</t>
  </si>
  <si>
    <t>LD lavatory toilet seat crack.</t>
  </si>
  <si>
    <t>Over head bin hydrolock inop</t>
  </si>
  <si>
    <t>PK-LKV</t>
  </si>
  <si>
    <t>PK-LKV FOUND FWD AND AFT LAVATORY SIGN NOT ILLUMINATE</t>
  </si>
  <si>
    <t>FOUND POT COFFE MAKER AT FWD GALEY NOT INSTALLED</t>
  </si>
  <si>
    <t>BACKREST COVER TORN AT OBSERVER SEAT</t>
  </si>
  <si>
    <t>PANEL COVER BROKEN AT SEAT NO 4C</t>
  </si>
  <si>
    <t>PANEL COVER SEAT UNPROPER AT SEAT NO 4D</t>
  </si>
  <si>
    <t>SEAT CANT RECLINE AT SEAT NO 26 C &amp; D</t>
  </si>
  <si>
    <t>COVER SEAT MISSING AT SEAT NO 27D</t>
  </si>
  <si>
    <t>ARM CUP UNPROPER AT SEAT NO 27 DF</t>
  </si>
  <si>
    <t>ARM CUP MISSING AT SEAT NO 28 F, 28 DEF</t>
  </si>
  <si>
    <t>CUP HOLDER MISSING AT SEAT NO 23 F, 27E &amp; 28 B</t>
  </si>
  <si>
    <t>POCKET MAGAZINE UNPROPER INSTALLATION AT SEAT NO 9F 11B&amp; 16F</t>
  </si>
  <si>
    <t>LATCH CANT LOCK AT DOOR SINK UNIT LAVATORY A</t>
  </si>
  <si>
    <t>HANDREST UNPROPER AT ATTENDANT SEAT AFT</t>
  </si>
  <si>
    <t>PK-LET</t>
  </si>
  <si>
    <t>PLACARD DO NOT SEAT USE POWERBANK AT SEAT 24C NOT INSTALLED PROPERLY</t>
  </si>
  <si>
    <t>ACCESS PANEL AT LAVATORY L11,L53 NOT PROPERLY INSTALLED</t>
  </si>
  <si>
    <t>PARTITION L1 FWD CABIN FOUND DIRTY</t>
  </si>
  <si>
    <t>FLOOR CARPET UNDER SEAT 21ABC,22DFG,25ABCDFG,26ABCDFG,27ABC,39HJK,40ABCHJK,41ABCHJK,42ABCHJK,44HJK,45HJK,46HJK APPEARS DISCOLORED,VISIBLE DIRT OR STAINS.</t>
  </si>
  <si>
    <t>FLOOR AISLE CARPET 31ABCDFG WITH GAPS</t>
  </si>
  <si>
    <t>SEAT 7C,8C,15D,16D,17C,19D,20D,ARM REST HINGE COVERS FOUND MISSING</t>
  </si>
  <si>
    <t>AFT CABIN EMERGENCY EXIT LT COVER LENS WITH LETTER "T" FOUND MISSING</t>
  </si>
  <si>
    <t>A/C EXTERIOR FOUND DIRTY</t>
  </si>
  <si>
    <t>HINGE TOILET SEAT BROKEN AT LAVATORY A</t>
  </si>
  <si>
    <t>B141632/NID014243</t>
  </si>
  <si>
    <t>FILTER WASHBESIN MISSING AT LAVATORY D&amp;E</t>
  </si>
  <si>
    <t>CLOSED LAV D B141628 / OPEN NSRDIL LAV E NID021496</t>
  </si>
  <si>
    <t>SPRING BUCKLE SEAT BROKEN AT SEAT NO 12E</t>
  </si>
  <si>
    <t>NID021497</t>
  </si>
  <si>
    <t>SEAT COVER BOTTOM BROKEN AT CAPTAIN SEAT</t>
  </si>
  <si>
    <t>NID021498</t>
  </si>
  <si>
    <t>SEAT COVER BOTTOM BROKEN AT OBSERVER SEAT</t>
  </si>
  <si>
    <t>NID021499</t>
  </si>
  <si>
    <t>BACKREST BROKEN AT SEAT NO 20E</t>
  </si>
  <si>
    <t>NID021500</t>
  </si>
  <si>
    <t>A01-18 (HARNESS FO SIDE WAS BAD CONDITION</t>
  </si>
  <si>
    <t>NSAJ016987</t>
  </si>
  <si>
    <t>LOWER MIRROR ERRODED IN LAVATORY D</t>
  </si>
  <si>
    <t>NSAJ017144</t>
  </si>
  <si>
    <t>COVER WATER FILTER WASH BASIN MISSING IN LAVATORY A</t>
  </si>
  <si>
    <t>NSAJ017145</t>
  </si>
  <si>
    <t>NO PLACARD "PLEASE SEAT &amp; DON'T SQUAT ON TOILET BOWL IN TOILET D &amp; E</t>
  </si>
  <si>
    <t>NSAJ017146</t>
  </si>
  <si>
    <t>A01-M-G FO aft window shade missing~~~~~~~~~~~~~~~~~</t>
  </si>
  <si>
    <t>NSAJ024327</t>
  </si>
  <si>
    <t>A01-M-G (SUN VISOR CAPTAIN SIDE WAS BAD CONDITION)</t>
  </si>
  <si>
    <t>NSAJ024328</t>
  </si>
  <si>
    <t>HANDSET FA2 IS BAD CONDITION(TEMPORARY REPAIR CONDITION)</t>
  </si>
  <si>
    <t>NSAJ037465</t>
  </si>
  <si>
    <t>HANDLE COVER EMERGENCY EXIT DOOR IS TEAR(TEMPORARY REPAIR CONDITION)</t>
  </si>
  <si>
    <t>NSAJ037466</t>
  </si>
  <si>
    <t>CARPET FLOOR SEAT NO : 10C IS BAD CONDITION</t>
  </si>
  <si>
    <t>NSAJ037467</t>
  </si>
  <si>
    <t>PK-STC</t>
  </si>
  <si>
    <t>PK-STC LA lavatory mirror bad condition</t>
  </si>
  <si>
    <t>S124701</t>
  </si>
  <si>
    <t>PK-STC LD lavatory mirror bad condition</t>
  </si>
  <si>
    <t>S124702</t>
  </si>
  <si>
    <t>SEAT BOTTOM CUSHION 8A,32AE FOUND DIRTY</t>
  </si>
  <si>
    <t>S124703</t>
  </si>
  <si>
    <t>PLACARD "UU" SEAT 25B FOUND BROKEN</t>
  </si>
  <si>
    <t>S124704</t>
  </si>
  <si>
    <t>SEAT TRACKCOVER 31 F AND 31 C IS MISSING.</t>
  </si>
  <si>
    <t>S125073</t>
  </si>
  <si>
    <t>A03-M-G (FLASHLIGHT BATTERY IS RUNNING OUT)</t>
  </si>
  <si>
    <t>S125123</t>
  </si>
  <si>
    <t>COVER SEAT TRACK MISSING AT ROW 31FED</t>
  </si>
  <si>
    <t>S126555</t>
  </si>
  <si>
    <t>TAIL SECTION IS DIRTY</t>
  </si>
  <si>
    <t>NO. DOC</t>
  </si>
  <si>
    <t>DEFFECT DESCRIPTION</t>
  </si>
  <si>
    <t>STATUS MATERIAL</t>
  </si>
  <si>
    <t>STA</t>
  </si>
  <si>
    <t>BATIK AIR</t>
  </si>
  <si>
    <t>ALL BUSINESS SEAT DRESS COVER</t>
  </si>
  <si>
    <t>LION AIR</t>
  </si>
  <si>
    <t>PK-LSO</t>
  </si>
  <si>
    <t>NSRDIL</t>
  </si>
  <si>
    <t>NLA085962</t>
  </si>
  <si>
    <t>SPARE SAFETY CARD NEW REVISION NOT AVAILABLE</t>
  </si>
  <si>
    <t>NLA080275</t>
  </si>
  <si>
    <t>PLEASE ADD SPARE SAFETY CARD AND PLACARD INOP</t>
  </si>
  <si>
    <t>WINGS AIR</t>
  </si>
  <si>
    <t>NWA008801</t>
  </si>
  <si>
    <t>CONTROL COLUMN RUBBER GRIP CAPT SIDE (LH) AND FO SIDE (RH) MISSING.</t>
  </si>
  <si>
    <t>PK-WJJ</t>
  </si>
  <si>
    <t>NWA 007750</t>
  </si>
  <si>
    <t>HOT JUG NO.2 INOP</t>
  </si>
  <si>
    <t>WATER AND WASTE SYSTEM EROR</t>
  </si>
  <si>
    <t>SUPER AIR JET</t>
  </si>
  <si>
    <t>PK-SAO</t>
  </si>
  <si>
    <t>NSAJ021308</t>
  </si>
  <si>
    <t>BEVERAGE MAKER AT G1 LOW WATER</t>
  </si>
  <si>
    <t>NSAJ021310</t>
  </si>
  <si>
    <t>SRV NO. 10234 DURING PERFORMED WO INTERIOR CABIN INSPECTION , ROLLER BLIND AT (AFT LH &amp;RH) MISSING</t>
  </si>
  <si>
    <t>NID016225</t>
  </si>
  <si>
    <t>PLACARD LAW STEATMENT AT 2F,3DF FOND MISSING</t>
  </si>
  <si>
    <t>RE OPEN TO NSRDIL NID016227</t>
  </si>
  <si>
    <t>NWA023500</t>
  </si>
  <si>
    <t>ACCESS TO CARGO DOOR AT FWD IS LIKELY TO FALL WHENEVER IMPACT</t>
  </si>
  <si>
    <t>PK-SAP</t>
  </si>
  <si>
    <t>PLEASE REMOVE BALLAST UNIT PN 3250-81 QTY 1EA FOR SUPPORT PK-SJO DMI DUE C1</t>
  </si>
  <si>
    <t>REMOVE PART LAMP</t>
  </si>
  <si>
    <t>PK-LRI</t>
  </si>
  <si>
    <t>NLA094757</t>
  </si>
  <si>
    <t>ONE OF O2 MASK FOR SAFETY DEMO WITH NO RESERVOIR BAG</t>
  </si>
  <si>
    <t>NSAJ013064</t>
  </si>
  <si>
    <t>ENTRY LIGHT AT AFT STATION ( 4R ) FOUND NOT ILLUMINATE</t>
  </si>
  <si>
    <t>NID014243</t>
  </si>
  <si>
    <t>DURING DAILY CHECK COVER TOILET AT LAV A FOUND CRACK</t>
  </si>
  <si>
    <t>PK-SJZ</t>
  </si>
  <si>
    <t>NSAJ013298</t>
  </si>
  <si>
    <t>ONE OF HANDLE PBE AT FWD  STATION NOT AVAILABLE</t>
  </si>
  <si>
    <t>REFF AMM 25-62-21 PERFOMED RECTIFIED ONE OF HANDLE PBE AT FWD STATION D/T NOT AVAILABLE HAS BEEN C/O, RESULT GOOD &amp; SECURE</t>
  </si>
  <si>
    <t>PK-SAW</t>
  </si>
  <si>
    <t>NSAJ006240</t>
  </si>
  <si>
    <t>PLACARD LAW STATEMENT AT SEAT NO : 12ABC,DEF  NOT AVAILABLE</t>
  </si>
  <si>
    <t>PERFORMED INSTALL PLACARD LAW STATEMENT AT SEAT NO : 12ABC,DEF D/T NOT AVAILABLE</t>
  </si>
  <si>
    <t xml:space="preserve">PK-LEU
</t>
  </si>
  <si>
    <t xml:space="preserve">NLA090060
</t>
  </si>
  <si>
    <t>WATER HEATER FWD G1A NO.2 AND FWD GIF NO.2  CAN'T OPERATE AND WATER NOT HOT</t>
  </si>
  <si>
    <t xml:space="preserve">PERFORMED REPLACED WATER HEATER FWD G1A NO.2 AND FWD GIF NO.2 D/T CAN'T OPERATE AND WATER NOT HOT , RESULT GOOD AND WATER HEATER G1F NO.1 ACTUAL ON GROUND NORMAL 
</t>
  </si>
  <si>
    <t>PK-STH</t>
  </si>
  <si>
    <t>NSAJ015475</t>
  </si>
  <si>
    <t xml:space="preserve">EXTENSION SEAT BELT NOT MATCH WITH LOPA (-2EA) </t>
  </si>
  <si>
    <t>I.A.W AMM ATA 25-21-00 PERFORM COMPLETED EXTENSION SEAT BELT DUE TO NOT MATCH WITH LOPA ( MINUS 2 EA )</t>
  </si>
  <si>
    <t>NSAJ015484</t>
  </si>
  <si>
    <t>TOTAL QUANTITY OF EXTENSION SEAT BELT ON AIRCRAFT NOT MATCH ACCORDING TO THE LOPA 4EA ACTUAL 2EA</t>
  </si>
  <si>
    <t>O1-Oct-26</t>
  </si>
  <si>
    <t>NLA016220</t>
  </si>
  <si>
    <t>PLEASE ADDE PLACARD INOP</t>
  </si>
  <si>
    <t>PERFORM ADDED PLACARD INOP AT BOOK CML QT,5EA</t>
  </si>
  <si>
    <t>NWA026272</t>
  </si>
  <si>
    <t>LOCK LATCH ASSY ACCES DOOR TO CARGO</t>
  </si>
  <si>
    <t>PERFORMED RECTIFIED LOCK LATCH ASSY ACCES DOOR TO CARGO C/O OPS TEST RESULT GOOD</t>
  </si>
  <si>
    <t>NWA008446</t>
  </si>
  <si>
    <t>NWA026275</t>
  </si>
  <si>
    <t>COVER BACKREST JUMPSEAT FA 1 BAD CONDITON</t>
  </si>
  <si>
    <t>PERFORMED REPLACED COVER BACKREST JUMPSEAT FA 1 D/T BAD CONDITON C/O</t>
  </si>
  <si>
    <t>PK-WGR</t>
  </si>
  <si>
    <t>NWA038896</t>
  </si>
  <si>
    <t>CARGO NET AFT D/T BAD CONDITION ( DIRTY )</t>
  </si>
  <si>
    <t>PERFORMED CLEAN UP CARGO NET AFT D/T BAD CONDITION ( DIRTY ) HAS BEEN C/O</t>
  </si>
  <si>
    <t>NLA081701</t>
  </si>
  <si>
    <t>WINDOW SHUTER SEAT 20-21ABC D/T BAD CONDITION</t>
  </si>
  <si>
    <t>B737NG</t>
  </si>
  <si>
    <t>PERFORMED ADSJUSMENT AND CLEAN UP WINDOW SHUTER SEAT 20-21ABC D/T BAD CONDITION C/O RESULT GOOD AND NORMALY</t>
  </si>
  <si>
    <t>NSAJ013166</t>
  </si>
  <si>
    <t>BONDING CABLE AT RH &amp; LH NLG D/T BROKEN</t>
  </si>
  <si>
    <t>PERFORMED CHECK ACTUAL FOUND BONDING CABLE AT RH &amp; LH NLG D/T BROKEN C/O RESULT NEWS AND GOOD CONDITION</t>
  </si>
  <si>
    <t>NLA082613</t>
  </si>
  <si>
    <t>PK-LSY SRV 12440 SEATER LE BAD CONDITION</t>
  </si>
  <si>
    <t>B739</t>
  </si>
  <si>
    <t>PERFORMED REPLACED SEATER LAVATORY LE D/T BAD CONDITION</t>
  </si>
  <si>
    <t>PK-LOJ</t>
  </si>
  <si>
    <t>NLA084116</t>
  </si>
  <si>
    <t>PERFROMED RECTIFIED SPRING AT LATCH COMPARTMENT NO406 AFT GALLEY DUE TO CANT LOCK HAS BEEN DONE</t>
  </si>
  <si>
    <t>B738</t>
  </si>
  <si>
    <t>PERFORMED RECTIFIED SPRING AT LATCH COMPARTMENT NO 406 AFT GALLEY D/T CANT LOCK</t>
  </si>
  <si>
    <t>NSAJ017107</t>
  </si>
  <si>
    <t>REFF TO NSDRIL NSAJ017106 LATCH WASTE COMPARTMENT AT G1 MISSING</t>
  </si>
  <si>
    <t>REOPEN TO PAGE NO NSAJ017142</t>
  </si>
  <si>
    <t>PK-SAS</t>
  </si>
  <si>
    <t>NSAJ007109</t>
  </si>
  <si>
    <t>REF FINDING ICT 18258AND 18259 SEATER TOILET LAV AT LD LE FOUND CRACK</t>
  </si>
  <si>
    <t>PERFORMED REPLACED SEATER LAVATORY LD,LE DUE TO CRACK. RESULT GOOD CONDITION</t>
  </si>
  <si>
    <t>NSAJ021351</t>
  </si>
  <si>
    <t>OXYGEN MASK FOR DEMO KIT AT FWD CABIN FOUND BAD CONDITION</t>
  </si>
  <si>
    <t>PERFORMED REPLACED OXYGEN MASK FOR DEMO KIT AT FWD CABIN DUE TO BAD CONDITION. RESULT GOOD CONDITION</t>
  </si>
  <si>
    <t>NSAJ037458</t>
  </si>
  <si>
    <t>PERFORMED COMPLATED VACANT OCCUPIED SING AT LAVATORY LD HAS BEEN CLOSED RESULT GOOD</t>
  </si>
  <si>
    <t>PERFORMED REPLACED COVER ESCUTCHION VACANT/OCCUPIED AT LAVATORY LD</t>
  </si>
  <si>
    <t>PK-WFT</t>
  </si>
  <si>
    <t>NWA 006459</t>
  </si>
  <si>
    <t>REFF FINDING ICT NO. 15010 : HYD ACCUMULATOR SIGHT GLASS FOUND BLUR.</t>
  </si>
  <si>
    <t>REF AMM:25-00-00 RE OPEN NSRDIL NWA006478 HYD ACCUMULATOR SIGHT GLASS FOUND BLUR</t>
  </si>
  <si>
    <t>PK-SGC</t>
  </si>
  <si>
    <t>NSAJ008176</t>
  </si>
  <si>
    <t>DURING DAILY CHECK AIRFI AT AFT STATION NOT AVAILABLE</t>
  </si>
  <si>
    <t>DSD.IU.999.0819</t>
  </si>
  <si>
    <t>AIRFI BOX FOR SUPER AIR JET</t>
  </si>
  <si>
    <t>PERFORMED COMPLETED AIRFI BOX AT AFT STATION HAS BEEN CARRIED OUT</t>
  </si>
  <si>
    <t>PK-LAO</t>
  </si>
  <si>
    <t>NBA047692</t>
  </si>
  <si>
    <t>CARPET BATIFLEX AT LAV A &amp; LAV E BAD CONDITION</t>
  </si>
  <si>
    <t>497B6490</t>
  </si>
  <si>
    <t>CARPET BATIFLEX</t>
  </si>
  <si>
    <t>REOPEN TO NSRDI NID012356</t>
  </si>
  <si>
    <t>NBA047695</t>
  </si>
  <si>
    <t>PEEL OFF ON VERSTAB AND FUSELAGE (NEED PAINTING)</t>
  </si>
  <si>
    <t>REOPEN TO NSRDI NID012357</t>
  </si>
  <si>
    <t>NID012351</t>
  </si>
  <si>
    <t>PLACARD CREW L/V FO FOUND MISSING</t>
  </si>
  <si>
    <t>LT11-11-PLC-0078</t>
  </si>
  <si>
    <t>PLACARD CREW LIFE VEST</t>
  </si>
  <si>
    <t>PERFORMED INSTALL PLACARD CREW LIFE VEST FO HAS BEEN CARRIED OUT</t>
  </si>
  <si>
    <t>NID007357</t>
  </si>
  <si>
    <t>1 RED TAB LIFE VEST DEMO KIT NOT AVAIL</t>
  </si>
  <si>
    <t>PERFORMED REPLACED DEMO LIFE VEST AT AFT HAS BEEN C/O</t>
  </si>
  <si>
    <t>WG10</t>
  </si>
  <si>
    <t>PK-WGH</t>
  </si>
  <si>
    <t>NWA023013</t>
  </si>
  <si>
    <t>MIRROR AT LAVATORY FOUND BAD CONDITION</t>
  </si>
  <si>
    <t>AMQ</t>
  </si>
  <si>
    <t>PERFORMED REOPEN TO NSRDI PAGE NO.NWA023029</t>
  </si>
  <si>
    <t>NWA023019</t>
  </si>
  <si>
    <t>LATCH LOCK-UNLOCK LAVATORY DOOR IS MISSING AND HARD TO CLOSING AND OPENING THE DOOR</t>
  </si>
  <si>
    <t>PERFORMED RECTIFICATION LATCH LOCK-UNLOCK AND TRACK LAVATORY DOOR ,HAS BEEN C/O</t>
  </si>
  <si>
    <t>NWA023020</t>
  </si>
  <si>
    <t>SMOKE BARIER CUTAIN VELCRO IN BAD CONDITION</t>
  </si>
  <si>
    <t>PERFORMED REPLACE VELCRO CURTAIN ANTI SMOKE D/T BAD CONDITION, HAS BEEN C/O</t>
  </si>
  <si>
    <t>PK-WFK</t>
  </si>
  <si>
    <t>NWA003363</t>
  </si>
  <si>
    <t>HEADRACK SEAT NO. 10AC IS BROKEN</t>
  </si>
  <si>
    <t>TRANSFER TO NSRDI NO NWA003381</t>
  </si>
  <si>
    <t>A/C TYPE</t>
  </si>
  <si>
    <t>A/C REG</t>
  </si>
  <si>
    <t>A/C Status</t>
  </si>
  <si>
    <t>SHIFT</t>
  </si>
  <si>
    <t>TASK TYPE</t>
  </si>
  <si>
    <t>NO.DOC</t>
  </si>
  <si>
    <t>ACTION TAKEN / REASON</t>
  </si>
  <si>
    <t>START PERFORM</t>
  </si>
  <si>
    <t>FINISH PERFORM</t>
  </si>
  <si>
    <t>MP 1</t>
  </si>
  <si>
    <t>MP 2</t>
  </si>
  <si>
    <t>MP 3</t>
  </si>
  <si>
    <t>MP 4</t>
  </si>
  <si>
    <t>MP 5</t>
  </si>
  <si>
    <t>Total MP</t>
  </si>
  <si>
    <t>Individual MHRS</t>
  </si>
  <si>
    <t>Actual MHRS</t>
  </si>
  <si>
    <t>ATR-72</t>
  </si>
  <si>
    <t>RON</t>
  </si>
  <si>
    <t>MALAM</t>
  </si>
  <si>
    <t>DBI</t>
  </si>
  <si>
    <t>CML</t>
  </si>
  <si>
    <t>C036366</t>
  </si>
  <si>
    <t>BEAUTIFICATION  INSPECTION  DAILY HAS BEEN PERFORMED</t>
  </si>
  <si>
    <t>TERA KANAF</t>
  </si>
  <si>
    <t>HAMSAH RIADI</t>
  </si>
  <si>
    <t>C036367</t>
  </si>
  <si>
    <t>PERFORMED RECTIFICATION COVER SIDE SEAT 1C D/T BAD CONDITION,RESULT GOOD</t>
  </si>
  <si>
    <t>C036368</t>
  </si>
  <si>
    <t>PERFORMED INSTALL ODOUR HAS BEEN CO</t>
  </si>
  <si>
    <t>C036369</t>
  </si>
  <si>
    <t>PERFORMED RECTIFICATION LATCH AT COMPARTMENT GALLEY,OPT TEST RESULT GOOD</t>
  </si>
  <si>
    <t>BOIENG</t>
  </si>
  <si>
    <t>E0428021</t>
  </si>
  <si>
    <t>PERFORMED DAILY CHECK BEAUTIFICATION INSPECTION  HAS BEEN PERFORMED</t>
  </si>
  <si>
    <t>NO</t>
  </si>
  <si>
    <t>DJA R01</t>
  </si>
  <si>
    <t>B143671</t>
  </si>
  <si>
    <t>DJA AOC ( NSRDI R01 )</t>
  </si>
  <si>
    <t>DMI</t>
  </si>
  <si>
    <t>ALL FINDINGS CLOSED</t>
  </si>
  <si>
    <t>UNPLANNED
WO CLOSED</t>
  </si>
  <si>
    <t>B143670</t>
  </si>
  <si>
    <t>ALREADY TRANSFER TO NSRDIL NO 032845</t>
  </si>
  <si>
    <t>UNPLANNED
NSRDI CLOSED</t>
  </si>
  <si>
    <t>UNPLANNED DMI CLOSED</t>
  </si>
  <si>
    <t>CML CLOSED</t>
  </si>
  <si>
    <t>TOTAL CLOSED</t>
  </si>
  <si>
    <t>Start</t>
  </si>
  <si>
    <t>B737-900</t>
  </si>
  <si>
    <t>PK-LGL</t>
  </si>
  <si>
    <t>UNSCHEDULE</t>
  </si>
  <si>
    <t>E0461238</t>
  </si>
  <si>
    <t>REF T/C DBI PERFORMED DAILY BEAUTIFICATION INSP CHECK HAS DONE</t>
  </si>
  <si>
    <t>DEPLOY</t>
  </si>
  <si>
    <t>JEFRI SArsa</t>
  </si>
  <si>
    <t>End</t>
  </si>
  <si>
    <t>B737-800</t>
  </si>
  <si>
    <t>PK-LOI</t>
  </si>
  <si>
    <t>E0433249</t>
  </si>
  <si>
    <t>REFF AMM 25-00-00 PERFORMED ADD NEW CML BOOK HAS DONE</t>
  </si>
  <si>
    <t>NLA089304</t>
  </si>
  <si>
    <t>PART OF FA SEAT IR N 1L BROKEN</t>
  </si>
  <si>
    <t>PERFORM REPAIR PART OF FA SEAT IR N 1L HAS BEEN DONE</t>
  </si>
  <si>
    <t>E0433250</t>
  </si>
  <si>
    <t>B131146</t>
  </si>
  <si>
    <t>REFF AMM 25-00-00 PERFORMED REPOSATION BATTERY AND CLEAN UP  FLASHLIGHT HAS BEEN C/O OP'S TEST GOOD</t>
  </si>
  <si>
    <t>B131148</t>
  </si>
  <si>
    <t>REFF AMM 25-00-00 PERFORMED INSTALATION AIRFI BOX AT AFT CABIN HAS DONE</t>
  </si>
  <si>
    <t>B131149</t>
  </si>
  <si>
    <t>PK-LQY</t>
  </si>
  <si>
    <t>PK-BKO</t>
  </si>
  <si>
    <t>NLA084197</t>
  </si>
  <si>
    <t>LONG TRANSIT</t>
  </si>
  <si>
    <t>FAUCET LAVATORY LD CONT FLOW</t>
  </si>
  <si>
    <t>PAGI</t>
  </si>
  <si>
    <t>PERFORM RECTIFICATION FAUCET LAVATORY LD C/O, OPS TEST RESULT GOOD</t>
  </si>
  <si>
    <t>B146672</t>
  </si>
  <si>
    <t>PERFORMED REINSTALL SEAT TRACK COVER SN 6A-220 HAS BEEN CO</t>
  </si>
  <si>
    <t>ANDI RAHMAN</t>
  </si>
  <si>
    <t>B146673</t>
  </si>
  <si>
    <t>PERFORMED REPOSITION AND RECTIFIED VELCRO SEAT POCKET SN 5C,10C, RESULT GOOD</t>
  </si>
  <si>
    <t>TRI CAHYO</t>
  </si>
  <si>
    <t>B146674</t>
  </si>
  <si>
    <t>PERFORMED RECTIFIED VELCRO BACKREST COVER FO RESULT GOOD</t>
  </si>
  <si>
    <t>B146675</t>
  </si>
  <si>
    <t>PERFORMED ADJUSMENT SPRING FLAPPER DOOR WASTE LAVATORY D OPS TEST RESULT GOOD</t>
  </si>
  <si>
    <t>PK-SJD</t>
  </si>
  <si>
    <t>NSAJ022632</t>
  </si>
  <si>
    <t>CAUTION ON FAP DRAINMAST FAIL, CHECK WASTE WATER OVER FLOW AFT</t>
  </si>
  <si>
    <t>PERFORM THE CIDS 1 TEST DRAINMAST SYSTEM RESULT TEST NO FAULTS AND DRAINMAST SYSTEM OK</t>
  </si>
  <si>
    <t>PK-WGP</t>
  </si>
  <si>
    <t>S125114</t>
  </si>
  <si>
    <t>NWA020862</t>
  </si>
  <si>
    <t>PERFORMED RECTIFIED ( RESERVOIR BAG ) O2 MASK FOR DEMO KIT AFT STATION RESULT GOOD</t>
  </si>
  <si>
    <t>SEAT NO. 9F,17C AND 19C ALWAYS RECLINE.</t>
  </si>
  <si>
    <t>AFTER ADJUSTMENT JACK RECLINE SEAT NO. 9F,17C,19C STILL ALWAYS RECLINE, TRANSFERRED TO NSRDI NO: NWA020869</t>
  </si>
  <si>
    <t>NWA020866</t>
  </si>
  <si>
    <t>FOUND TRAYTABLE SEAT NO 6C BROKEN</t>
  </si>
  <si>
    <t>AFTER ADJUSTMENT JACK RECLINE SEAT NO. 1C STILL ALWAYS RECLINE, TRANSFERRED TO NSRDI NO: NWA020869</t>
  </si>
  <si>
    <t>PK-LQZ</t>
  </si>
  <si>
    <t>S125115</t>
  </si>
  <si>
    <t>NLA083796</t>
  </si>
  <si>
    <t>PERFORM CLEAN UP FILTER WASH BASIN ALL LAVATORY HAS BEEN CO</t>
  </si>
  <si>
    <t>LAMP MIRROR LIGHT LAVATORY LD NOT ILL</t>
  </si>
  <si>
    <t>PERFORM CHECK REPOSITION TUBE LAMP MIRROR LIGHT LAVATORY LD IS DONE RESULT GOOD</t>
  </si>
  <si>
    <t>S125116</t>
  </si>
  <si>
    <t>PERFORM REPOSITION AND RETIGHTENED SCREW ARMCAP SN 7F RESULT GOOD</t>
  </si>
  <si>
    <t>S125117</t>
  </si>
  <si>
    <t>PERFORMED DAILY CHECK BEAUTIFICATION INSPECTION HAS BEEN C/O</t>
  </si>
  <si>
    <t>S121473</t>
  </si>
  <si>
    <t>PERFORMED REPOSITION PUSH BUTTON READING LIGHT S/N:10A OPS TEST RESULT NORMALLY</t>
  </si>
  <si>
    <t>S121474</t>
  </si>
  <si>
    <t>PERFORMED RECONECT FCU LAVATORY E OPS TEST RESULT NORMALLY</t>
  </si>
  <si>
    <t>S121476</t>
  </si>
  <si>
    <t>PERFORMED REMOVE AND RECHARGING AIRFI POS FWD AND AFT CABIN HAS BEEN C/O SN: 193,187</t>
  </si>
  <si>
    <t>S121475</t>
  </si>
  <si>
    <t>PK-BKV</t>
  </si>
  <si>
    <t>B141702</t>
  </si>
  <si>
    <t>PERFORMED REMOVED AND RECHARGING AIRFI AT FWD CABIN SN 644</t>
  </si>
  <si>
    <t>B141703</t>
  </si>
  <si>
    <t>PERFORMED CLEAN UP FILTER OF WASHBASIN ALL LAVATORY HAS BEEN C/O</t>
  </si>
  <si>
    <t>B141704</t>
  </si>
  <si>
    <t>PERFORMED COMPLETED VAIDITY TAG ADULT LIFE VEST AT AFT CABIN D/T MISSING</t>
  </si>
  <si>
    <t>B141705</t>
  </si>
  <si>
    <t>B737-900ER</t>
  </si>
  <si>
    <t>TRANSIT</t>
  </si>
  <si>
    <t>UNSCEDULE</t>
  </si>
  <si>
    <t>E0433318</t>
  </si>
  <si>
    <t>IAW AMM 25-00-00 PERFORMED COMPLATED CABIN SPRAY FOR FLIGHT INTER</t>
  </si>
  <si>
    <t>AFRI WENDI</t>
  </si>
  <si>
    <t>PK-LEF</t>
  </si>
  <si>
    <t>E0464141</t>
  </si>
  <si>
    <t>S126701</t>
  </si>
  <si>
    <t>IAW AMM 33-22-00 PERFORMED REPOSITION LAMP CEILLING LIGHT NO 29ABC DUE TO NOT ILLUMINATE, RESULT TEST ILLUMINATE</t>
  </si>
  <si>
    <t>S126702</t>
  </si>
  <si>
    <t>IAW AMM 25-00-00 PERFORMED REFILL BATRE AIRFI BOX AT AFT STATION DUE TO LOW BAT, SN : 025</t>
  </si>
  <si>
    <t>S126703</t>
  </si>
  <si>
    <t>IAW AMM 25-00-00 PERFORMED DAILY CHECKED BEAUTIFICATION INSPECTION HAS BEEN C/O</t>
  </si>
  <si>
    <t>E0433319</t>
  </si>
  <si>
    <t>TRANSFER TO NSRDIL NLA082185</t>
  </si>
  <si>
    <t>E0433320</t>
  </si>
  <si>
    <t>IAW AMM 33-21-00 PERFORMED REPOSITION CONNECTOR PLUG WINDOW LIGHT 2ABC DUE TO BLINKING, RESULT TEST NORMAL</t>
  </si>
  <si>
    <t>E0433321</t>
  </si>
  <si>
    <t>IAW AMM 25-25-00 PERFORMED ADJUSTMENT SPRING FLAPPER DOOR AT AFT R/H DUE TO NOT FULLY CLOSED, RESULT GOOD</t>
  </si>
  <si>
    <t>E0433322</t>
  </si>
  <si>
    <t>ATR72-600</t>
  </si>
  <si>
    <t>PK-WHR</t>
  </si>
  <si>
    <t>EX RON</t>
  </si>
  <si>
    <t>UNSHCEDULE</t>
  </si>
  <si>
    <t>PK-LSK</t>
  </si>
  <si>
    <t>C036164</t>
  </si>
  <si>
    <t>NLA075933</t>
  </si>
  <si>
    <t>PERFORMED INSTALL CARGO NETT AT FWD COMPARTMENT FOR SUPPORT CHARTER FLIGHT DPS-TQQ HAS BEEN C/O</t>
  </si>
  <si>
    <t>REF NSRDI NLA075933 PLEASE ADD SAFETY CARD DUE TO SPARE. PERFORMED COMPLETED SAFETY CARD QTY: 20EA FOR SPARE. C/O</t>
  </si>
  <si>
    <t>DEWA AGUS</t>
  </si>
  <si>
    <t>NLA071337</t>
  </si>
  <si>
    <t>PERFORM RECTIFIED FAUCET LAVATORY LA, RESULT TEST GOOD NOT LEAKING</t>
  </si>
  <si>
    <t>B143667</t>
  </si>
  <si>
    <t>PERFORMED INSTALL LIFE RAFT FOR SUPPORT FLIGHT DPS-PER AT COMPARTMENT ( 3ABC, 3DEF, 24 DEF ) HAS BEEN C/O</t>
  </si>
  <si>
    <t>NSAJ013397</t>
  </si>
  <si>
    <t>PERFORMED INSTALL PLACARD AT ENG #1 LH SIDE DUE TO MISSING</t>
  </si>
  <si>
    <t>NID008309</t>
  </si>
  <si>
    <t>PERFORMED REPLACEMENT SEAT BELT PAX NO.15ABC. DUE TO TORN. HASBEEN DONE</t>
  </si>
  <si>
    <t>PERFORMED REPLACEMENT SEAT BELT NO 15ABC D/T TORN ,RESULT GOOD</t>
  </si>
  <si>
    <t>B143668</t>
  </si>
  <si>
    <t>PERFORMED PREPARED , SPRAYING CARGO &amp; COMPARTMENT FOR SUPPORT FLIGHT INTER  HAS BEEN C/O</t>
  </si>
  <si>
    <t>NBA032840</t>
  </si>
  <si>
    <t>COVER PRESSURE GAUGE SLIDERAFT AT DOOR 4R IS MISSING</t>
  </si>
  <si>
    <t>REOPEN TO NSRDI NO NBA032843</t>
  </si>
  <si>
    <t>PK-BGZ</t>
  </si>
  <si>
    <t>NID014934</t>
  </si>
  <si>
    <t>REFF NSRDI: NID014906, WINDOW SHADE AT SEAT ROW NO.4A, 6A, 9A, 10F, 11F &amp; 24F OS FOUND BAD CONDITION/CRACK.</t>
  </si>
  <si>
    <t>B143669</t>
  </si>
  <si>
    <t>REOPEN TO NSRDI NO NSRDI NO NID014937</t>
  </si>
  <si>
    <t>PERFORMED COMPLITED AIRFI  AT AFT &amp; FWD STATION HAS BEEN C/O</t>
  </si>
  <si>
    <t>NLA075289</t>
  </si>
  <si>
    <t>LAVATORY LA NOT ILL</t>
  </si>
  <si>
    <t>PERFORMED REPLACED TL MIRRORLIGHT AT LAV LA D/T NOT ILLUMINATE</t>
  </si>
  <si>
    <t>NLA082166</t>
  </si>
  <si>
    <t>PLACARD OPEN BUKA AT 1R,5R BAD CONDITION</t>
  </si>
  <si>
    <t>S122834</t>
  </si>
  <si>
    <t>ALREADY INSERT TO NSRDIL NO : S122843</t>
  </si>
  <si>
    <t>PERFORMED REPLACED PLACARD OPEN AT DOOR 1R &amp; 5R D/T BAD CONDITION</t>
  </si>
  <si>
    <t>NLA075292</t>
  </si>
  <si>
    <t>MIRROR LIGHT AT LD &amp; LE STILL NOT ILLUMINATE</t>
  </si>
  <si>
    <t>PERFORMED REPLACED TL MIRRORLIGHT AT LAV LD &amp; LE D/T NOT ILLUMINATE</t>
  </si>
  <si>
    <t>S121478</t>
  </si>
  <si>
    <t>PK-SJF</t>
  </si>
  <si>
    <t>TRANSFER TO AFML NO : S339491</t>
  </si>
  <si>
    <t>NSAJ035950</t>
  </si>
  <si>
    <t>PERFORMED REOPEN TO NSRDIL NO. NSAJ026799. WAITING PART PN:VE64-10-126-50</t>
  </si>
  <si>
    <t>PERFORMED REOPEN TO NSRDIL NO. NSAJ026799.
NEED PN: VE64-10-126-50 LATCH ASSY .</t>
  </si>
  <si>
    <t>PK-STQ</t>
  </si>
  <si>
    <t>NSAJ004347</t>
  </si>
  <si>
    <t>DURING DAILY CHECK AIRFI BOX AFT STATION NOT AVAILABLE</t>
  </si>
  <si>
    <t>S121479</t>
  </si>
  <si>
    <t>PERFORMED INSTALL AIRFI BOX POST AFT STATION. HASBEEN DONE</t>
  </si>
  <si>
    <t>NSAJ037475</t>
  </si>
  <si>
    <t>COVER ARM REST FOUND CRACK @ NO. 32B</t>
  </si>
  <si>
    <t>PERFROMED REPLACED COVER ARMREST AT SEAT NO 32B DUE TO CRACK HAS BEEN GOOD</t>
  </si>
  <si>
    <t>NSAJ012523</t>
  </si>
  <si>
    <t>FINDING NO.SRV11485 RUBBER PEDESTAL CAPTAIN AND COPILOT BAD CONDITION</t>
  </si>
  <si>
    <t>S121477</t>
  </si>
  <si>
    <t>PERFORMED COMPLITED GREEN SEAL HAS BEEN C/O</t>
  </si>
  <si>
    <t>REOPEN TO NSRDI NO NSAJ021317</t>
  </si>
  <si>
    <t>LGT</t>
  </si>
  <si>
    <t>NSAJ012518</t>
  </si>
  <si>
    <t>WATER TAP AT G5 LEAKING</t>
  </si>
  <si>
    <t>B123459</t>
  </si>
  <si>
    <t>PERFORMED COMPLITED PLACARD INOP HAS BEEN C/O</t>
  </si>
  <si>
    <t>REOPEN TO NSRDI NO NSAJ021318</t>
  </si>
  <si>
    <t>PK-SGA</t>
  </si>
  <si>
    <t>NSAJ007415</t>
  </si>
  <si>
    <t>REFF NSAJ007480 FINDING SRV NO. 7794 BUTTON AT ARMREST R/H PILOT SEAT MISSING</t>
  </si>
  <si>
    <t>REOPEN TO NSRD NO NSAJ007445</t>
  </si>
  <si>
    <t>B123461</t>
  </si>
  <si>
    <t>PERFORMED COMPLITED AIRFI AT FWD SECTION HAS BEEN C/O</t>
  </si>
  <si>
    <t>NSAJ007416</t>
  </si>
  <si>
    <t>REFF NSAJ007482 FINDING SRV 7818 SPRING SEAT POCKET NO. 32A, 28E, 23E, 10B &amp; 9C BROKEN</t>
  </si>
  <si>
    <t>REOPEN TO NSRDI NO NSAJ007444</t>
  </si>
  <si>
    <t>NSAJ004303</t>
  </si>
  <si>
    <t>LENSTRANPARANT ON STEERING ELETRIC BOX MISSING</t>
  </si>
  <si>
    <t>REOPEN TO NSRDI NO NSAJ020549</t>
  </si>
  <si>
    <t>B123462</t>
  </si>
  <si>
    <t>PERFORMED RECTIVICATION BOX SURVIVAL KIT HAS BEEN C/O, OP'S TEST RESULT NORMAL</t>
  </si>
  <si>
    <t>NSAJ004323</t>
  </si>
  <si>
    <t>REFF FINDING SRV 10123 INFANT LV BAG FWD &amp; AFT TORN</t>
  </si>
  <si>
    <t>REOPEN TO NSRDI NO NSAJ020548</t>
  </si>
  <si>
    <t>NSAJ004329</t>
  </si>
  <si>
    <t>ALL FAK NO BRAKET</t>
  </si>
  <si>
    <t>REOPEN TO NSRDI NO NSAJ020547</t>
  </si>
  <si>
    <t>C036163</t>
  </si>
  <si>
    <t>TRANSFER TO NSRDIL NO : NWA033547</t>
  </si>
  <si>
    <t>NSAJ004328</t>
  </si>
  <si>
    <t>LAV LD LEAKING FROM PRESSURE RELIEF VALVE AND FLOODING</t>
  </si>
  <si>
    <t>REOPEN TO NSRDI NO NSAJ020546</t>
  </si>
  <si>
    <t>PK-SJJ</t>
  </si>
  <si>
    <t>NSAJ017033</t>
  </si>
  <si>
    <t>REF NSRDIL NO. NSAJ010196 SRV 7674 " LIST BUTTON TOILET FLUSH FOUND BROKEN AT LE "</t>
  </si>
  <si>
    <t>REOPEN TO NSRDI NO NSAJ024416</t>
  </si>
  <si>
    <t>NSAJ013803</t>
  </si>
  <si>
    <t xml:space="preserve">COVER EXIT IDENTIFIER 4L MISSING </t>
  </si>
  <si>
    <t>COVER EXIT</t>
  </si>
  <si>
    <t>NID012358</t>
  </si>
  <si>
    <t>REFF.FINDING ICT 18586 FWD CARPET GALLEY BATIFLEX FOUND THIN</t>
  </si>
  <si>
    <t>PERFORMED REMOVE CARGO NET A/C CONTINUE REGULER FLIGHT HAS BEEN C/O</t>
  </si>
  <si>
    <t>PERFORMED REINSTALL AND REPOSITION FWD CARPET GALLEY BATIFLEX HAS BEEN CARRIED OUT</t>
  </si>
  <si>
    <t>NLA084187</t>
  </si>
  <si>
    <t>REF SRV 12683 1EA DEMO SEATBELT FWD FOUND BAD CONDITION</t>
  </si>
  <si>
    <t>2006-6-011-8011</t>
  </si>
  <si>
    <t>SEAT BELT EXTENSION</t>
  </si>
  <si>
    <t>B137579</t>
  </si>
  <si>
    <t>TRANSFER TO NSRDIL NO : NID016359</t>
  </si>
  <si>
    <t>MEIDY RAFLES SUEK</t>
  </si>
  <si>
    <t>PK-WFI</t>
  </si>
  <si>
    <t>C043931</t>
  </si>
  <si>
    <t>PERFORMED CHECK DAILY BEAUTIFICATION INSPECTION HAS BEEN C/O</t>
  </si>
  <si>
    <t>C043932</t>
  </si>
  <si>
    <t>PERFORMED RECTIFICATION COVER LAVATORY D/T LOOSE RESULT GOOD</t>
  </si>
  <si>
    <t>E0452719</t>
  </si>
  <si>
    <t>PERFORMED RECTIFICATION COVER WASTE CONTAINER AT G1 NOT FULLY RETRACT RESULT CLOSED PROPERLY</t>
  </si>
  <si>
    <t>E0452717</t>
  </si>
  <si>
    <t>PERFORMED ACTUAL CHECK AND OPT TEST BY FAP WINDOW LIGTH S/N 5-34ABC D/T ALWASY ILLUMINATE HAS BEEN NORMALY ILLUMINATE</t>
  </si>
  <si>
    <t>E0452720</t>
  </si>
  <si>
    <t>PERFORMED REPAIR AND RECTITEN CARPET SEAT ROW 15DEF WITH DOUBLE TAPE RESULT GOOD</t>
  </si>
  <si>
    <t>E0452721</t>
  </si>
  <si>
    <t>PERFORMED RECTIFICATION THE METAL FRAME OF THE SEAT POCKET S/N 15C PROTUDING FROM ITS COVER RESULT PROPERLY</t>
  </si>
  <si>
    <t>S126908</t>
  </si>
  <si>
    <t>MDC</t>
  </si>
  <si>
    <t>S126905</t>
  </si>
  <si>
    <t>PERFORMED RECTIFICATION WIRE RECLINE D/T LOOSE OPERATIONAL TEST CONTROL RECLINE S/N 19A, 28F RESULT NORMALY</t>
  </si>
  <si>
    <t>S126906</t>
  </si>
  <si>
    <t>TRANSFER TO NSRDIL NO : NSAJ021321</t>
  </si>
  <si>
    <t>S126907</t>
  </si>
  <si>
    <t>PERFORMED CLEANING OF VACUUM WASTE LINES WITH CHEMICAL CLEANING AGENT HAS BEEN C/O</t>
  </si>
  <si>
    <t>PK-LUY</t>
  </si>
  <si>
    <t>B138091</t>
  </si>
  <si>
    <t>B138090</t>
  </si>
  <si>
    <t>INSERT TO NSRDL NO NBA 033583</t>
  </si>
  <si>
    <t>B138089</t>
  </si>
  <si>
    <t>INSERT TO NSRDL NO NBA 033582</t>
  </si>
  <si>
    <t>PK-LAZ</t>
  </si>
  <si>
    <t>UN-SCHED</t>
  </si>
  <si>
    <t>B147347</t>
  </si>
  <si>
    <t>Performed Clean Up Filter Smoke Detector At Lavatory "LD" d/t Dirty.Has Been c/o</t>
  </si>
  <si>
    <t>FERDINAND  LELAPARY</t>
  </si>
  <si>
    <t>YANDRY PAPILAYA</t>
  </si>
  <si>
    <t>B147348</t>
  </si>
  <si>
    <t>Performed Refill Handsoap At Lavatory "LE" d/t Empty. Has Been c/o</t>
  </si>
  <si>
    <t>PK-WHV</t>
  </si>
  <si>
    <t>C035778</t>
  </si>
  <si>
    <t>Performed Completed Callington Spray At Aircraft d/t Empty. Has Been c/o</t>
  </si>
  <si>
    <t>C035779</t>
  </si>
  <si>
    <t>Performed Reposition And Rectified Cable Jack Recline At Seat No.19A d/t Can't Recline. Has Been c/o</t>
  </si>
  <si>
    <t>PK-SGB</t>
  </si>
  <si>
    <t>SAJ020577</t>
  </si>
  <si>
    <t>SPEAKER FWD GALLEY NOT WORKING</t>
  </si>
  <si>
    <t>REFF NSRDIL SAJ020577 PERFORM RECTIFIED SPEAKER FWD GALLEY D/T NOT WORKING C/O, OPS TEST RESULT GOOD</t>
  </si>
  <si>
    <t>C035780</t>
  </si>
  <si>
    <t>Performed Clean Up Cover Emergency Light At Entrance Door d/t Dirty. Has Been c/o</t>
  </si>
  <si>
    <t>C035781</t>
  </si>
  <si>
    <t>Performed Daily Check Beautification Inspection. c/o</t>
  </si>
  <si>
    <t>PK-WJY</t>
  </si>
  <si>
    <t>C035932</t>
  </si>
  <si>
    <t>Performed Install Placard " Latch Closing Order " At Cover ENG #1 L/H, Has Been c/o</t>
  </si>
  <si>
    <t>C035933</t>
  </si>
  <si>
    <t>Performed Rectification Mid Armrest Seat No.10AC d/t Bad Condition. Has Been c/o</t>
  </si>
  <si>
    <t>NID014925</t>
  </si>
  <si>
    <t>ALL LAV LIGHT CAN'T BRIGHT</t>
  </si>
  <si>
    <t>5113 CW</t>
  </si>
  <si>
    <t>PERFORMED REPLACED ALL LAMP LAVATORY HAS BEEN C/O. RESULT ILLUMINATE</t>
  </si>
  <si>
    <t>C035934</t>
  </si>
  <si>
    <t>Transfer To NSRDI Page No NWA.009792</t>
  </si>
  <si>
    <t>NWA003378</t>
  </si>
  <si>
    <t>STRAP MEGAPHONE MISSING</t>
  </si>
  <si>
    <t>PERFORM COMPLETED STRAP MEGAPHONE C/O</t>
  </si>
  <si>
    <t>C035935</t>
  </si>
  <si>
    <t>PK-LSW</t>
  </si>
  <si>
    <t>PREFLIGHT</t>
  </si>
  <si>
    <t>E0449151</t>
  </si>
  <si>
    <t>I.A.W EI B739-EI-25-080R2. THERE IS FALSE INDICATION, CAN BE USED &amp; SERVICEABLE</t>
  </si>
  <si>
    <t>GINANJAR YUSUF</t>
  </si>
  <si>
    <t>S126003</t>
  </si>
  <si>
    <t>PERFORM RECTIFIED SEAT COVER NO 1C,3C,28D,30D,30F,31D HAS BEEN C/O</t>
  </si>
  <si>
    <t>S126004</t>
  </si>
  <si>
    <t>PERFORM DAILY BEAUTIFICATION INSPECTION</t>
  </si>
  <si>
    <t>PK-LFW</t>
  </si>
  <si>
    <t>E0454437</t>
  </si>
  <si>
    <t>MUSLIADI MALIKI</t>
  </si>
  <si>
    <t>ISRAN PATAMANI</t>
  </si>
  <si>
    <t>E0454436</t>
  </si>
  <si>
    <t>PERFORMED REPOSITION LAMP ENTRY LIGHT G1 D/T NOT ILLUMINATE C.O,RESULT ILLUMINATE</t>
  </si>
  <si>
    <t>E0454426</t>
  </si>
  <si>
    <t>ALREADY INSERT TO NSRDIL PAGE NO NLA 082504</t>
  </si>
  <si>
    <t>E0454428</t>
  </si>
  <si>
    <t>ALREADY INSERT TO NSRDIL PAGE NO NLA 076920</t>
  </si>
  <si>
    <t>E0454429</t>
  </si>
  <si>
    <t>ALREADY INSERT TO NSRDIL PAGE NO NLA 076921</t>
  </si>
  <si>
    <t>E0454430</t>
  </si>
  <si>
    <t>ALREADY INSERT TO NSRDIL PAGE NO NLA 082517</t>
  </si>
  <si>
    <t>E0454431</t>
  </si>
  <si>
    <t>ALREADY INSERT TO NSRDIL PAGE NO NLA 076938</t>
  </si>
  <si>
    <t>E0454433</t>
  </si>
  <si>
    <t>PERFORMED REPOSITION CEILING LIGHT S/N 32-34 DEF C/O,OPT RESULT ILLUMINATE</t>
  </si>
  <si>
    <t>E0454435</t>
  </si>
  <si>
    <t>ALREADY INSERT TO NSRDIL PAGE NO NLA 082508</t>
  </si>
  <si>
    <t>E0454432</t>
  </si>
  <si>
    <t>PERFORMED REPLACED BULB BREW BOTTOM INDICATOR COFFEE MAKER 407 AFT CABIN C/O,RESULT ILLUMINATE</t>
  </si>
  <si>
    <t>E0454434</t>
  </si>
  <si>
    <t>PERFORM REPLACED RECLINE BUTTOM S/N 36C D/T BROKEN C/O</t>
  </si>
  <si>
    <t>E0454427</t>
  </si>
  <si>
    <t>TRANSFER TO NSRDIL PAGE NO NLA 082523</t>
  </si>
  <si>
    <t>PK-WJS</t>
  </si>
  <si>
    <t>C039141</t>
  </si>
  <si>
    <t>C039142</t>
  </si>
  <si>
    <t>PERFORM CLEAN UP STATIC PORTS RH/LH D/T DIRTY</t>
  </si>
  <si>
    <t>E0449154</t>
  </si>
  <si>
    <t>E0449152</t>
  </si>
  <si>
    <t>PERFORMED REPOSITION ENTRY LIGHT @G4B D/T CAN'T BRIGHT POSITION C/O,RESULT FOUND NORMAL</t>
  </si>
  <si>
    <t>E0449153</t>
  </si>
  <si>
    <t>TRANSFER TO NSRDIL PAGE NO NLA 087687</t>
  </si>
  <si>
    <t>B126482</t>
  </si>
  <si>
    <t>REFF IAW AMM:25-26-00 .PERFORMED RECTIFIED AND COMPLETED STOPPER CURTAIN AFT STATION .DUE TO NOT PROPERLY .OP'S TEST RESULT GOOD</t>
  </si>
  <si>
    <t>PK-WKF</t>
  </si>
  <si>
    <t>NWA010097</t>
  </si>
  <si>
    <t>DURING A-CHECK FOUND BACKSHELL AT SN 4F,8D,10D,15D,16D BROKEN (CRACK)</t>
  </si>
  <si>
    <t>REOPEN TO NSRDI NO NWA015907</t>
  </si>
  <si>
    <t>B126483</t>
  </si>
  <si>
    <t>REFF IAW AMM:25-21-00 .PERFORMED RETIGHTENED SPRING HINGE AT OVHC SEAT NO 26DEF .DUE  TO CAN'T FULLY OPEN .OP'S TEST RESULT NORMALLY</t>
  </si>
  <si>
    <t>B126484</t>
  </si>
  <si>
    <t>REFF IAW AMM:25-43-00 .PERFORMED RETIGHTEND BOLT NOZZLE HAND SOAP AT LAVATORY E AND D .DUE TO NOT PROPERLY .OP'S TEST RESULT NORMALLY</t>
  </si>
  <si>
    <t>B147232</t>
  </si>
  <si>
    <t>PERFORMED RECTIFIED OXYGEN MASK DEMO  AT AFT STATION D/T NOT PROPPERLY RESULT C/O</t>
  </si>
  <si>
    <t>B147233</t>
  </si>
  <si>
    <t>PERFORMED RECTIFIED DOOR WASTE COMPARTEMENT AT LAV L/D D/T NOT PROPPERLY RESULT C/O</t>
  </si>
  <si>
    <t>B147234</t>
  </si>
  <si>
    <t>PERFORMED ADJUSTMENT SPRING PLATE JUMP SEAT FA 4 D/T NOT FULLY  RETRACT . OP'S TEST JUMPSEAT FA4 RESULT NORMALLY RETRACT</t>
  </si>
  <si>
    <t>B147777</t>
  </si>
  <si>
    <t>PERFORMED REPOSITION RED ARMED STICKER DOOR 1R D/T NOT AVAILIBLE  RESULT C/O</t>
  </si>
  <si>
    <t>NWA010095</t>
  </si>
  <si>
    <t>REFF NSRDIL NO.NWA010071 EMER ROTATION PLATE ON DOOR CALL PANEL IS MISSING</t>
  </si>
  <si>
    <t>B147778</t>
  </si>
  <si>
    <t>AMM 44-21-00 PERFORMED REMOVE AIRFI AT FWD FOR CHARGING D/T AC RON (SN. 563 )</t>
  </si>
  <si>
    <t>REOPEN TO NSRDI NO NWA015905</t>
  </si>
  <si>
    <t>B126485</t>
  </si>
  <si>
    <t>PERFORM RECONNECT CABLE CONNECTOR HANDSET 4R D/T INTERPHONE NO SOUND. DO OPERATIONAL TEST INTERPHONE RESULT OPS TEST NORMALLY</t>
  </si>
  <si>
    <t>B126486</t>
  </si>
  <si>
    <t>AMM 44-21-00 PERFORMED REMOVE &amp;  INSTALL AIRFI FWDT ON AIRCRAFT REMOVE : (560), INSTALL : ( SN. 600 )</t>
  </si>
  <si>
    <t>B126487</t>
  </si>
  <si>
    <t>PERFORMED RECTIFIED HEAD REST COVER  S/N 3D  D/T NOT PROPPERLY  RESULT GOOD</t>
  </si>
  <si>
    <t>B147779</t>
  </si>
  <si>
    <t>REFF AMM 25, PERFORMED REPOSITION SEAT COVER AT COCKPIT AREA</t>
  </si>
  <si>
    <t>B147780</t>
  </si>
  <si>
    <t>REFF AMM 25, PERFORMED REINSTALL SEAT TRACK COVER AT SEAT  16 ABC</t>
  </si>
  <si>
    <t>NWA010096</t>
  </si>
  <si>
    <t>DURING A-CHECK FOUND SEAT 5C,11F,12D NOT RECLINE</t>
  </si>
  <si>
    <t>B147781</t>
  </si>
  <si>
    <t>REFF AMM 25, PERFORMMED REPOSITION RUBBER LIST AT AFT GALLEY</t>
  </si>
  <si>
    <t>REOPEN TO NSRDI NON NWA010096</t>
  </si>
  <si>
    <t>B147782</t>
  </si>
  <si>
    <t>REFF AMM 25, PERFORMED REINSTALL RUBBER SEAL AT AFT GALLEY</t>
  </si>
  <si>
    <t>B147783</t>
  </si>
  <si>
    <t>REFF AMM 25, PERFORMED REPOSITION LIST LOWER SIDEWALL AT ROW 3AC AND 4 DEF</t>
  </si>
  <si>
    <t>B147784</t>
  </si>
  <si>
    <t>REFF AMM 25, PERFORMED  RECTIFIED AND REINSTALL DOOR TISSUE BOX FOR LAVATORY LE</t>
  </si>
  <si>
    <t>B147786</t>
  </si>
  <si>
    <t>AMM 25-31-00 PERFORMED CLEAN UP FILTER WATER DRAIN HOLE AT ICE STOWAGE BOX FWD GALLEY D/T CLOGGED.HAS BEEN C/O</t>
  </si>
  <si>
    <t>PK-STS</t>
  </si>
  <si>
    <t>NSAJ017404</t>
  </si>
  <si>
    <t>PANEL ASSY CLAMPING NO 32ABC MISSING</t>
  </si>
  <si>
    <t>B147787</t>
  </si>
  <si>
    <t>AMM 25-26-00 PERFORMED COMPLETED SLIDER AND HOOK CURTAIN AT MIDDLE PARTITION C-CLASS D/T NOT PROPER.HAS BEEN C/O</t>
  </si>
  <si>
    <t>27-Sept-26</t>
  </si>
  <si>
    <t>I.A.W AMM ATA : 25-13-00 PERFORM COMPLETED PANEL PSU ASSY CLAMPING SN. 32ABC DUE TO MISSING HAS BEEN C/O. RESULT GOOD CONDITION</t>
  </si>
  <si>
    <t>NWA020871</t>
  </si>
  <si>
    <t>B147788</t>
  </si>
  <si>
    <t>AMM 11-32-00 PERFORMED COMPLETED PLACARD POB AT AFT CABIN L/H DUE TO NOT AVAILABLE.HAS BEEN C/O</t>
  </si>
  <si>
    <t>MISSING ONE INFANT SEAT BELT</t>
  </si>
  <si>
    <t>PERFORM COMPLETED ONE SPARE SEAT BELT D/T MISSING</t>
  </si>
  <si>
    <t>NWA003106</t>
  </si>
  <si>
    <t>BACK SEAL AT SEAT NO.1C,4A,5A,6AC,2C,16C,15D,17AC,12DF,8C,8F,7A FOUND CRACK</t>
  </si>
  <si>
    <t>B123463</t>
  </si>
  <si>
    <t>AMM 44-21-00 PERFORMED REMOVE AIRFI AT FWD FOR CHARGING D/T AC RON (SN. 590 / 531 )</t>
  </si>
  <si>
    <t>PERFORMED REOPEN TO NSRDI PAGE NO.NWA003111</t>
  </si>
  <si>
    <t>NWA003109</t>
  </si>
  <si>
    <t>DURING ACHECK BACK SEAL S/N 3F,16DF,18DF,19DF FOUND CRACK</t>
  </si>
  <si>
    <t>B123464</t>
  </si>
  <si>
    <t>AMM 52-00-00 PERFORMED COMPLETED COVER GLASS ARM DISARMED AT DOOR 4L AND 1R D/T MISSING.HAS BEEN C/O</t>
  </si>
  <si>
    <t>NLA081713</t>
  </si>
  <si>
    <t>REFF NSRDI NO. NLA070819 ESCUTCHION ARMCAP S/N36E , 37A , 39ADF MISSING. NEED PN : 101206-301BHU &amp; MS35206-226</t>
  </si>
  <si>
    <t>ACTUAL CHECK ESCUTCHION AND S/N 36E COMPLETED, PERFORM INSTALL ESCUTHION AND SCREW ARMCAP S/N 37A AND 39A C/O, ESCUTHION ARMCAP AND CREW 38A 39DF TRANSFER O NSRDIL NO NLA081718</t>
  </si>
  <si>
    <t>B123465</t>
  </si>
  <si>
    <t>AMM 25-28-00 PERFORMED REINSTALL COVER SEAT TRACK AT 25A D/T LOOSE.HAS BEEN C/O</t>
  </si>
  <si>
    <t>NLA070770</t>
  </si>
  <si>
    <t>REFF FINDING QAA 17785 DO NOT HAVE PLACARD POWER BANK ALL SEATS</t>
  </si>
  <si>
    <t>PERFORM INSTALLATION PLACARD DO NOT USE POWERBANK AT ALL SEAT TABLE QTY 189EA, RESULT GOOD</t>
  </si>
  <si>
    <t>NLA076911</t>
  </si>
  <si>
    <t>PLEASE ADD SPARE SAFETY CARD</t>
  </si>
  <si>
    <t>REOPEN TO NSRDIL NLA082508</t>
  </si>
  <si>
    <t>B123466</t>
  </si>
  <si>
    <t>AMM 52-00-00 PERFORMED RECTIFIED DOOR ASSIST HANDLE AT 4L AND 1R D/T NOT PROPER.HAS BEEN C/O</t>
  </si>
  <si>
    <t>NWA003383</t>
  </si>
  <si>
    <t>REOPEN TO NSRDI NO NWA003385</t>
  </si>
  <si>
    <t>B123467</t>
  </si>
  <si>
    <t>AMM 25-21-00 PERFORMED REINSTALL COVER ANTI MACCASAR SEAT 29F D/T LOOSE.HAS BEEN C/O</t>
  </si>
  <si>
    <t>NWA006475</t>
  </si>
  <si>
    <t>PERFORMED REPLACEMENT HOOK HEADRACK S/N 12 AC DUE TO BROKEN OPS RESULT GOOD</t>
  </si>
  <si>
    <t>PK-LQS</t>
  </si>
  <si>
    <t>NLA071283</t>
  </si>
  <si>
    <t>B123468</t>
  </si>
  <si>
    <t>CARPET FLOOR AT FWD GALLEY BAD CONDITION &amp; SLIPPERY</t>
  </si>
  <si>
    <t>AMM 11-32-00 PERFORMED REPLACED PLACARD LAW STATEMENT SEAT 21A D/T BAD CONDITION.HAS BEEN C/O</t>
  </si>
  <si>
    <t>NSAJ008211</t>
  </si>
  <si>
    <t>WINDOW SHUTTER 12DEF MISSING</t>
  </si>
  <si>
    <t>B123469</t>
  </si>
  <si>
    <t>AMM 25-21-00 PERFORMED REPOSITION SPRING SEAT POCKET AT 7E D/T NOT PROPER.HAS BEEN C/O</t>
  </si>
  <si>
    <t>PEROFRMED COMPLETED WINDOW SHUTTER 12DEF HAS BEEN CARRIED OUT</t>
  </si>
  <si>
    <t>WG 04</t>
  </si>
  <si>
    <t>PK-LHS</t>
  </si>
  <si>
    <t>NLA088412</t>
  </si>
  <si>
    <t>AISLE CARPET NO 18ABCDEF TORN</t>
  </si>
  <si>
    <t>B123470</t>
  </si>
  <si>
    <t>AMM 52-11-00 PERFORMED COMPLETED COVER LENS DOOR LOCKING INDICATION  AT 1L AND 1R D/T NOT AVAILABLE.HAS BEEN C/O</t>
  </si>
  <si>
    <t>PERFORMED REOPEN NSRDIL NO : NLA074201 RQ 1125313</t>
  </si>
  <si>
    <t>NWA003104</t>
  </si>
  <si>
    <t>PLEASE PROVIDE " RED COVER " FOR TAIL PROP</t>
  </si>
  <si>
    <t>B123471</t>
  </si>
  <si>
    <t>REFF IAW AMM 25-00-00 PERFORMED DAILY BEAUTIFICATION INSPECTION CHECK  , HAS BEEN DONE</t>
  </si>
  <si>
    <t>PERFORMED INSTAL " RED COVER" FOR TAIL PROP. HAS BEEN C/O</t>
  </si>
  <si>
    <t>NLA091198</t>
  </si>
  <si>
    <t>BATTERY FOR LIF VEST DEMO MISSING AT FWD</t>
  </si>
  <si>
    <t>PERFORMED INSTALL BATTRE LIFE VEST FOR DEMO AT FWD CABIN D/T MISSING, RESULT GOOD</t>
  </si>
  <si>
    <t>NSAJ026800</t>
  </si>
  <si>
    <t>B123472</t>
  </si>
  <si>
    <t>EXTENSION SEATBELT SPARE NOT MATCH WITH INFANT SEATBELT</t>
  </si>
  <si>
    <t>AMM 44-21-00 PERFORMED PREFLIGHT AND INSTALL AIRFI FWD AFT ON AIRCRAFT (SN. 590 / 531 )</t>
  </si>
  <si>
    <t>PERFORMED INSPECTION CHECK SPARE EXTENSION SEAT BELT FOUND MATCH WITH SEAT BELT ON PASSENGER SEAT</t>
  </si>
  <si>
    <t>NSAJ006241</t>
  </si>
  <si>
    <t>PLACARD LAW STATEMENT TRAY TABLE SEAT NO : 15ABCDEF (OVERWING) NOT AVAILABLE</t>
  </si>
  <si>
    <t>PK-LJG</t>
  </si>
  <si>
    <t>PERFORMED COMPLETED PLACARD LAW STATEMENT AT SEAT 15ABCDEF DUE TO NOT AVAILABLE , RESULT GOOD</t>
  </si>
  <si>
    <t>E0445692</t>
  </si>
  <si>
    <t>PERFORMED INSTAL PLACARD SEAT NUMBERINGF 2 DEF, 3DEF HAS BEEN C/O</t>
  </si>
  <si>
    <t>LALU HIPZUZZIKRI</t>
  </si>
  <si>
    <t>NSJA013816</t>
  </si>
  <si>
    <t>INSTAL PLACARD ENGINE FIREX DORECTION #1</t>
  </si>
  <si>
    <t>SCHEDULE</t>
  </si>
  <si>
    <t>NLA090215</t>
  </si>
  <si>
    <t>PK-SJM</t>
  </si>
  <si>
    <t>NSAJ030936</t>
  </si>
  <si>
    <t>COVER EMERGENCY LIGHT SIGN AT MID EXIT 12DEF BAD CONDITION</t>
  </si>
  <si>
    <t>E0445693</t>
  </si>
  <si>
    <t>PERFORM REPLACED COVER EMERGENCY EXIT LIGHT AT MID EXIT 12DEF DT BAD. RESULT OK</t>
  </si>
  <si>
    <t>PERFORMED DAILY CHECK BEAUTIFICATION INSPECTION CARRIED OUT</t>
  </si>
  <si>
    <t>NID024107</t>
  </si>
  <si>
    <t>AMM 52-70-00 ACTUAL CHECKED COVER GLASS ARM DISARMED AT DOOR 1R, 1L, 4L ALREADY COMPLETED D/T MISSING, HAS BEEN C/O</t>
  </si>
  <si>
    <t>S114998</t>
  </si>
  <si>
    <t>PERFORMED REPOSITION HALF ENTRY LIGHT AT AFT STATION C/O RESULT ILLUMINATE</t>
  </si>
  <si>
    <t>NID024124</t>
  </si>
  <si>
    <t>AMM 52-70-00 PERFORMED COMPLETED COVER GLASS DOOR LOCKING INDICATION AT DOOR 1L D/T MISSING. HAS BEEN C/O</t>
  </si>
  <si>
    <t>S114999</t>
  </si>
  <si>
    <t>PERFORMED RECTIFIED COVER WATER FAUCET LE C/O RESULT GOOD</t>
  </si>
  <si>
    <t>PK-LUQ</t>
  </si>
  <si>
    <t>NBA050891</t>
  </si>
  <si>
    <t>ADD PLACARD INOP</t>
  </si>
  <si>
    <t>PERFORM ADD PLACARD INOP 5 EA</t>
  </si>
  <si>
    <t>S115000</t>
  </si>
  <si>
    <t>ONE SCREW AT TISSU COMPARTMENT LAVATORY IS MISSING PLEASE CHECK AND REPAIR</t>
  </si>
  <si>
    <t>PERFORMED ACTUAL CHECK ALL ENTRY LIGHT FWD &amp; AFT STATION &amp; ALL LAVATORY LIGHT C/O RESULT NORMALLY, PLEASE MONITOR NEXT FLIGHT</t>
  </si>
  <si>
    <t>DURING ACHECK BACKSHELL S/N 3F,16DF,18DF,19DF FOUND CRACK</t>
  </si>
  <si>
    <t>S125201</t>
  </si>
  <si>
    <t>DURING DAILY, PERFORMED ADD FORM CML BOOK HAS BEEN C/O</t>
  </si>
  <si>
    <t>NID012357</t>
  </si>
  <si>
    <t>REFF NDSRI NBA047695 PPO ON VERSTAB AND FUSELAGE (NEED PAINTING)</t>
  </si>
  <si>
    <t>REOPEN TO NSRDI NID012359 PAINT PEEL OFF ON VERSTAB AND FUSELAGE ( NEED PAINTING )</t>
  </si>
  <si>
    <t>S125202</t>
  </si>
  <si>
    <t>PK-WFV</t>
  </si>
  <si>
    <t>NWA006357</t>
  </si>
  <si>
    <t>MISSING COVER EMER PUSH BUTTON AT COCKPIT DOOR PANEL</t>
  </si>
  <si>
    <t>PERFORMED CHECK ACTUAL ROPE CURTAIN AT ENTERANCE DOOR AVAILABLE</t>
  </si>
  <si>
    <t>S110745</t>
  </si>
  <si>
    <t>PERFORMED ADJUSTMENT BALLAST CEILING LIGHT 31 ABC C/O RESULT ILLUMINATE</t>
  </si>
  <si>
    <t>NSAJ008210</t>
  </si>
  <si>
    <t>CURTAIN POS FWD GALLEY BAD CONDITION</t>
  </si>
  <si>
    <t>S110747</t>
  </si>
  <si>
    <t>PERFORMED ACTUAL CHECK BEVERAGE MAKER AT G1 C/O RESULT GOOD</t>
  </si>
  <si>
    <t>PERFORM REPLACE CURTAIN AT FWD GALLEY D/T DIRTY AND TORN, HAS BEEN C/O</t>
  </si>
  <si>
    <t>NID008686</t>
  </si>
  <si>
    <t>FOUND RED WARNING FLAG 4L NOT AVAILABLE</t>
  </si>
  <si>
    <t>S110748</t>
  </si>
  <si>
    <t>PERFORMED RECTIFIED LATCH WASTE COMPARTMENT LAV A C/O RESULT GOOD</t>
  </si>
  <si>
    <t>PK-LUJ</t>
  </si>
  <si>
    <t>NID016968</t>
  </si>
  <si>
    <t>REFF NARDI NID002020 C-CLASS ARMCAP SEAT NO 1ACDF,2ACD,3ACD BAD CONDITION</t>
  </si>
  <si>
    <t>S110749</t>
  </si>
  <si>
    <t>NID021260</t>
  </si>
  <si>
    <t>COVER DOOR LOCKING INDICATOR 1R MISSING</t>
  </si>
  <si>
    <t>S126602</t>
  </si>
  <si>
    <t>PERFORMED REPOSITION CEILING LIGHT S/N 25 DEF, 28 ABC C/O RESULT ILLUMINATE</t>
  </si>
  <si>
    <t>NID016996</t>
  </si>
  <si>
    <t>HAZARD AREA PLACARD RH SIDE ENG #2 FOUND BAD CONDITION</t>
  </si>
  <si>
    <t>S126603</t>
  </si>
  <si>
    <t>PERFORMED RECTIFIED BRACKET MEGAPHONE C/O RESULT GOOD</t>
  </si>
  <si>
    <t>NID008254</t>
  </si>
  <si>
    <t>SEAT EMERGENCY LIGHT NO 20,24,25,1C NOT ILLUMINATE</t>
  </si>
  <si>
    <t>S126604</t>
  </si>
  <si>
    <t>ATR</t>
  </si>
  <si>
    <t>NID008255</t>
  </si>
  <si>
    <t>MIRROR LIGHT AT LAVATORY LD AND LE BAD CONDITION</t>
  </si>
  <si>
    <t>C036165</t>
  </si>
  <si>
    <t>PERFORMED INSTAL SCREW &amp; BUSHING TRAY TABLE SN 3C HAS BEEN C/O</t>
  </si>
  <si>
    <t>PK-LOR</t>
  </si>
  <si>
    <t>NLA087223</t>
  </si>
  <si>
    <t>COVER PANEL AT LAV-D IS CRACK</t>
  </si>
  <si>
    <t>NWA033546</t>
  </si>
  <si>
    <t>NLA087222</t>
  </si>
  <si>
    <t>SEAT TRACK COVER NO.3A,16ABC,19D,20D,21A,23A,29AF,32F,33F FOUND MISSING</t>
  </si>
  <si>
    <t>C036166</t>
  </si>
  <si>
    <t>NLA087221</t>
  </si>
  <si>
    <t>SEAT TRACK COVER NO.17CDE,18CD FOUND BROKEN</t>
  </si>
  <si>
    <t>PK-WFW</t>
  </si>
  <si>
    <t>C044405</t>
  </si>
  <si>
    <t>PERFORMED RECTIFIED COVER CEILING LIGHT AT SEAT NO 1AC 12AC 19DF C/O RESULT GOOD</t>
  </si>
  <si>
    <t>PK-WHF</t>
  </si>
  <si>
    <t>NWA015888</t>
  </si>
  <si>
    <t>DURING DAILY CHECK INSPECTION FOUND PROTECTION EQUIPMENT MISSING</t>
  </si>
  <si>
    <t>ATR 72 600</t>
  </si>
  <si>
    <t>RE OPEN NSRDIL PAGE NO.NWA006264</t>
  </si>
  <si>
    <t>C044406</t>
  </si>
  <si>
    <t>PERFORMED RESET EXIT LIGHT AT EMERGENCY EXIT WINDOW AREA C/O RESULT NORMALLY, PLEASE MONITOR NEXT FLIGHT</t>
  </si>
  <si>
    <t>NWA015892</t>
  </si>
  <si>
    <t>PLEASE CHANGE OXY MASK AT FA 1 &amp; FA 2</t>
  </si>
  <si>
    <t>RE OPEN NSRDIL PAGE NO.NWA006266</t>
  </si>
  <si>
    <t xml:space="preserve">CLOSED </t>
  </si>
  <si>
    <t>NWA015889</t>
  </si>
  <si>
    <t>C044407</t>
  </si>
  <si>
    <t>LETTER VACANT &amp; OCCOPIED AT LAVATORY NOT CLEAR</t>
  </si>
  <si>
    <t xml:space="preserve">CBM </t>
  </si>
  <si>
    <t>RE OPEN NSRDIL PAGE NO.NWA006265</t>
  </si>
  <si>
    <t>Closed</t>
  </si>
  <si>
    <t>PK-LRF</t>
  </si>
  <si>
    <t>NLA084480</t>
  </si>
  <si>
    <t>REF FINDING ICT NO.19355 PLACARD UU PENERBANGAN BAD CONDITION NO.6ABD,7BDF,8AF,9BF,10AEF,11ABE,12ABCF,15BCD,16EG,17ABEF,18ABCDEF,22DE,23ABCDE,24ABF,25ABCE,26BEF,27A,28BF,29ACEF,30A,33C,34AABCF35B,36E,37E</t>
  </si>
  <si>
    <t>B737 9 M</t>
  </si>
  <si>
    <t>REPLACED PLACARAD UU PENERBANGAN QTU 68 EA D/T BAD CONDITION</t>
  </si>
  <si>
    <t xml:space="preserve">CGK </t>
  </si>
  <si>
    <t>S110746</t>
  </si>
  <si>
    <t>PERFORMED RECTIFIED DOOR COMPARTMENT FA1 D/T NOT PROPER, RESULT GOOD CONDITION</t>
  </si>
  <si>
    <t>NSAJ021410</t>
  </si>
  <si>
    <t>ONE OF OXYGEN MASK DEMO KIT AFT STATION BAD CONDITION</t>
  </si>
  <si>
    <t>PERFORM REPLACE ONE OXYGEN MASK DEMO KIT AT AFT STATION HAS BEEN C/O</t>
  </si>
  <si>
    <t>NSAJ021411</t>
  </si>
  <si>
    <t>SEAT TRACK COVER NOP 16F,25C,25D FOUND MISSING</t>
  </si>
  <si>
    <t>B139254</t>
  </si>
  <si>
    <t>PERFORM COMPLETED SEAT TRACK COVER NO 16F,25C,25D HAS BEEN C/O</t>
  </si>
  <si>
    <t>PERFORMED REPOSITION LIST COVER AIRGRIL NO 2F,8A,10F D/T NOT PROPER, RESULT GOOD CONDITION</t>
  </si>
  <si>
    <t>NWA020854</t>
  </si>
  <si>
    <t>WINDOW SHUTTER SEAT 2DF BAD CONDITION</t>
  </si>
  <si>
    <t>REOPEN TO NSRDI NWA020873</t>
  </si>
  <si>
    <t>NWA020868</t>
  </si>
  <si>
    <t>REFF NSRDI NWA020851. WINDOW SHUTTER SEAT 10F MISSING</t>
  </si>
  <si>
    <t>B138220</t>
  </si>
  <si>
    <t>PERFORMED CLEAN UP FILTER WASH BASIN AT LAV D D/T CLOGGED</t>
  </si>
  <si>
    <t>NWA0006360</t>
  </si>
  <si>
    <t>BRACKET POB FA1 IS BAD CONDITION</t>
  </si>
  <si>
    <t>B136825</t>
  </si>
  <si>
    <t>PERFORMED CLEAN UP FILTER SMOKE DITECTOR ALL LAVATORY D/T DIRT</t>
  </si>
  <si>
    <t>REOPEN TO NSRDI NWA006373</t>
  </si>
  <si>
    <t>PK-WGV</t>
  </si>
  <si>
    <t>NWA 006138</t>
  </si>
  <si>
    <t>SEAT NO. 4C ALWAYS RECLINE</t>
  </si>
  <si>
    <t>S124553</t>
  </si>
  <si>
    <t>REOPEN TO NSRDI NWA006138</t>
  </si>
  <si>
    <t>PERFORMED RECTIFIED PSU O2 GENERATOR AT SEAT 6ABC D/T NOT PROPERLY, RESULT PROPERLY</t>
  </si>
  <si>
    <t>PK-WJU</t>
  </si>
  <si>
    <t>NWA001552</t>
  </si>
  <si>
    <t>REF NSRDI NWA011991 DURING A-CHECK SEAT NO 1A,8D,10A17D CANT RECLINE</t>
  </si>
  <si>
    <t>REOPEN TO NSRDI NWA001575</t>
  </si>
  <si>
    <t>S125191</t>
  </si>
  <si>
    <t>PERFORMED RECTIFIED SUN SHIELD DOOR 4L D/T CAN'T FULLY CLOSED</t>
  </si>
  <si>
    <t>NWA001553</t>
  </si>
  <si>
    <t>BACKSHELL SEAT 1ACDF,2CD,3ADF,4CDF,5ADF,6ACF,7ACDF,8ACDF,9ACDF,10ACF,11ACF,15A,16AF,17D,19ACF FOUND CRACK</t>
  </si>
  <si>
    <t>REOPEN TO NSRDI NWA001576</t>
  </si>
  <si>
    <t>B132916</t>
  </si>
  <si>
    <t>PERFORMED RECCONEC CABLE J1,J2 IFE SEAT NO 17DEF AND RESET TO ACP D/T IFE SCREEN BLANK RESULT TEST NORMALLY</t>
  </si>
  <si>
    <t>NWA001557</t>
  </si>
  <si>
    <t>REFF NSRDIL PAGE NO.001556 "COVER CUSHION BACK AT PILOT L/H TORN</t>
  </si>
  <si>
    <t>REOPEN TO NSRDI NWA001577</t>
  </si>
  <si>
    <t>B141829</t>
  </si>
  <si>
    <t>PERFORMED REPLACEMANT VELCRO TAPE SEAT POCKET AT NO 2C D/T NOT PROPERLLY</t>
  </si>
  <si>
    <t>PK-LJS</t>
  </si>
  <si>
    <t>NLA091602</t>
  </si>
  <si>
    <t>REFF FINDING ICT 18072 PLACARD LAW STATEMENT AT FWD PARTITION LH BAD CONDITION</t>
  </si>
  <si>
    <t>PK-STD</t>
  </si>
  <si>
    <t>PERFORM REPLACED PLACARD LAW STATEMENT AT FW PARTITION LH C/O</t>
  </si>
  <si>
    <t>S111144</t>
  </si>
  <si>
    <t>PERFORMED REPOSITION TUBE LAMP CEILING LIGHT S/N 17ABC DUE TO NOT ILLUMINATE</t>
  </si>
  <si>
    <t>NSAJ036959</t>
  </si>
  <si>
    <t>REFF FINDING ICT 19142 ROLLER BLIND SEAT COPILOT MISSING</t>
  </si>
  <si>
    <t>IAW AMM 25-00-00 PERFORMED DEFECT ICT 19142 ROLLER BLIND SEAT COPILOT MISSING RQ : 1125832</t>
  </si>
  <si>
    <t>PK-STA</t>
  </si>
  <si>
    <t>S125328</t>
  </si>
  <si>
    <t>PERFORMED REPLACED MASK DEMO AT FWD AND AFT STATION D/T BAD CONDITION</t>
  </si>
  <si>
    <t>NSAJ017042</t>
  </si>
  <si>
    <t>FAIRING BUMPER 6C BROKEN</t>
  </si>
  <si>
    <t>REOPEN TO NSRDI : NSAJ024418</t>
  </si>
  <si>
    <t>B136829</t>
  </si>
  <si>
    <t>PERFORMED REPLACEMENT BUTTOM COVER RECLINE AT S/N 28 B AUTO RECLINE</t>
  </si>
  <si>
    <t>REOPEN TO NSRDI NLA080170</t>
  </si>
  <si>
    <t>B136827</t>
  </si>
  <si>
    <t>PERFORMED REPLACEMENT ADJUSMENT LOCKPIN SWEVELING AT AFT STATION D/T BAD CONDITION</t>
  </si>
  <si>
    <t>REOPEN TO NSRDI NLA080169</t>
  </si>
  <si>
    <t>REOPEN TO NSRDI NLA080168</t>
  </si>
  <si>
    <t>E0428067</t>
  </si>
  <si>
    <t>PERFORM RESET FOR ACP AND RECONNECT CONNECTOR PLUG WINDOW LIGHT  SEAT 24 DEF 38 ABC BLINKING</t>
  </si>
  <si>
    <t>RELACED PLACARD LAW STATEMENT AT TRAY TABLE SEAT QTY:68EA. HASBEEN DONE</t>
  </si>
  <si>
    <t>PERFORMED REPLACED PLACARD LAW STATMENT ON AIRCRAFT D/T BAD CONDITION (QTY: 68ea)</t>
  </si>
  <si>
    <t>NLA077047</t>
  </si>
  <si>
    <t>REFF FINDING SRV NO. 8376 . REFF NLA077038 ALL UNDER SEAT CARPET BAD CONDITION</t>
  </si>
  <si>
    <t>S110238</t>
  </si>
  <si>
    <t>PERFORMED REPOSITION TUBE LAMP WINDOW LIGHT AT SEAT NO.2DEF D/T NOT ILLUMINATE</t>
  </si>
  <si>
    <t>REOPEN TO NSRDI NO NLA080097</t>
  </si>
  <si>
    <t>PK-LEU</t>
  </si>
  <si>
    <t>NLA090082</t>
  </si>
  <si>
    <t>REFF NSRDI NLA090081, LAVATORY L61 CAN'T LOCK PROPERLY</t>
  </si>
  <si>
    <t>E0428069</t>
  </si>
  <si>
    <t>PERFORM RESET FOR ACP L RUS  CEILING LIGHT 20 ABC TURN OFF RESULT TEST NORMALLY</t>
  </si>
  <si>
    <t>LAVATORY L61 CAN'T LOCK PROPERLY,NEED PN: L2-254-0015-100, LOCK ASSY</t>
  </si>
  <si>
    <t>NWA009788</t>
  </si>
  <si>
    <t>REFF WO# 2320936, CABIN INTERIOR INSPECTIONDURING A CHECK - ANTI SMOKE CURTAIN AFT CARGO DIRTY</t>
  </si>
  <si>
    <t>S255178400200</t>
  </si>
  <si>
    <t>CLOTH ASSY</t>
  </si>
  <si>
    <t>S114847</t>
  </si>
  <si>
    <t>FINDING ICT NO.18696
PERFORMED COMPLETED GUIDE AND SPRING S/N 31B DUE TO BUTTON RECLINE MISSING</t>
  </si>
  <si>
    <t>NSAJ008202</t>
  </si>
  <si>
    <t>WATER FAUCET LAV E UNSERVICEABLE</t>
  </si>
  <si>
    <t>S114848</t>
  </si>
  <si>
    <t>FINDING ICT NO.18695
PERFORMED ADJUSTMENT CONTROL ASSY S/N 30C,31A,31C DUE TO RECLINE NOT FUNCTION OPS TEST RESULT NORMALLY</t>
  </si>
  <si>
    <t>PERFORMED ADJUSTMENT SPRING WATER FAUCET LAV E D/T UNSERVICEABLE HAS BENN C/O OPT RESULT GOOD OPERATE</t>
  </si>
  <si>
    <t>NSAJ021412</t>
  </si>
  <si>
    <t>COVER WALL SEPARATOR SEAT NO 21ABC FOUND MISSING</t>
  </si>
  <si>
    <t>B131145</t>
  </si>
  <si>
    <t>PERFORMED RECTIEFIED HINGE AND INSTALL RUBBER SEAL COVER PSU POS MID RH D/T NOT PROPERLLY</t>
  </si>
  <si>
    <t>PERFORM REINSTALL COVER WALL SEPARATOR AT SEAT NO 21ABC HAS BEEN C/O</t>
  </si>
  <si>
    <t>PK-SJL</t>
  </si>
  <si>
    <t>NSAJ021014</t>
  </si>
  <si>
    <t>NOZZLE HANDSOAP LAVATORY A NOT PROPERLY</t>
  </si>
  <si>
    <t>(ITEM RESOLVE UNDER MDDR: NSAJ021014) REFF AMM 25-45-00 PERFORMED THE RECTIFIED OF NOZZLE HANDSOAP AT LAVATORY A DUE TO NOT PROPERLY HAS BEEN C/O RESULT PROPERLY</t>
  </si>
  <si>
    <t>PK-STR</t>
  </si>
  <si>
    <t>NSAJ007080</t>
  </si>
  <si>
    <t>MIRROR LAVATORY LA, LD AND LE PEEL OFF</t>
  </si>
  <si>
    <t>S117790</t>
  </si>
  <si>
    <t>PERFORMED DAILY BAUTIFICATION INSPECTION</t>
  </si>
  <si>
    <t>REOPEN TO NSRDI NSAJ021015. NEED PN: A2-254-006-01 (1EA), A2-254-006-03 (2EA)</t>
  </si>
  <si>
    <t>NLA087470</t>
  </si>
  <si>
    <t>DURING DAILY CHECK FOUND CABIN COMPARTMENT OF FWD CABIN FOUND MISSING (BASE RUBE STRIP AND END CAP- END)</t>
  </si>
  <si>
    <t>REF NSRDI NLA087470 DURING DAILY CHECK FOUND CABIN COMPARTMENT OF CABIN FWD FOUND MISSING (BASE RUBE STRIP AND END CAP END). TRANSFER TO (REOPEN) NSRDI NO. NLA074517</t>
  </si>
  <si>
    <t>S117788</t>
  </si>
  <si>
    <t>PERFORMED REPOSITION TL CEILLING LIGHT NO 18ABC, 29DEF DT NOT ILLUMINATE OPS TEST ILLUMINATE</t>
  </si>
  <si>
    <t>NLA071338</t>
  </si>
  <si>
    <t>ICT 19146 NOSE RADOME FOUND  PAINT PEELED OFF</t>
  </si>
  <si>
    <t>PERFORMED REPAINTING NOSE RADOME DUE TO PAINT PEELED OFF</t>
  </si>
  <si>
    <t>PK-LZV</t>
  </si>
  <si>
    <t>NWA023021</t>
  </si>
  <si>
    <t xml:space="preserve">REF FINDING ICT NO 16227-D03-02 NET DOOR SIDE FWD CARGO CONPARTMENT BAD CONDITION </t>
  </si>
  <si>
    <t>PERFORMED REOPEN TO NSRDI NWA 033032 NEED PART NET DOOR SIDE P/N AS 33-23</t>
  </si>
  <si>
    <t>B140134</t>
  </si>
  <si>
    <t>PK-BGF</t>
  </si>
  <si>
    <t>NID014879</t>
  </si>
  <si>
    <t>PERFORMED RECTIFIED COVER LENS LIGHT NO.8DEF. DUE TO BROKEN. RESULT FOUND GOOD</t>
  </si>
  <si>
    <t>PERFORMED RECTIFIED COVER LENS LIGHT AT NO.8DEF DUE TO BROKEN. RESULT FOUND GOOD</t>
  </si>
  <si>
    <t>B131294</t>
  </si>
  <si>
    <t>PERFORMED RESET CB COFFEE MAKER DT COFFEE MAKER NO 105 AT FWD GALLEY WAS FOUND AUTO BREW WHEN POWER BUTTON IS ON OPS TEST NORMALLY</t>
  </si>
  <si>
    <t>NID012428</t>
  </si>
  <si>
    <t>PLEASE ADD PLACRD INOP</t>
  </si>
  <si>
    <t>PERFORMED COMPLETED PLACARD INOP QTY 103E AT BOOK CML</t>
  </si>
  <si>
    <t>PK-LAI</t>
  </si>
  <si>
    <t>NID008694</t>
  </si>
  <si>
    <t>INSTAL PLACARD AIRFI BOX AT AFT CABIN NOT AVALABLE</t>
  </si>
  <si>
    <t>B144357</t>
  </si>
  <si>
    <t>PERFORMED RESET CB COFFEE MAKER DT COFFEE MAKER NO 106 AT FWD GALLEY WAS FOUND AUTO BREW WHEN POWER BUTTON IS ON OPS TEST NORMALLY</t>
  </si>
  <si>
    <t>PERFORMED INSTALL PLACARD AIRFI BOX AT AFT CABIN</t>
  </si>
  <si>
    <t>NLA087225</t>
  </si>
  <si>
    <t>CARPET AFT AND FWD GALLEY BAD CONDITION</t>
  </si>
  <si>
    <t>REOPEN TO NEW PAGE NO. NLA080174 D/T WAITING PART CARPET BATTIFLEX</t>
  </si>
  <si>
    <t>B138380</t>
  </si>
  <si>
    <t>PERFORM BEUTIFICATION INSPECTION DAILY CHECK HAS BEEN C/O</t>
  </si>
  <si>
    <t>NLA087228</t>
  </si>
  <si>
    <t>FINDING SACA 215 LAVATORY AT FWD CABIN LA MIRROR FWD PPO</t>
  </si>
  <si>
    <t>REOPEN TO NEW PAGE NO. NLA087228 D/T WAITING PART MIRROR ASSY</t>
  </si>
  <si>
    <t>NLA072380</t>
  </si>
  <si>
    <t>REFF FINFDING SRV 11600 DMI COVER BAD CONDITION REFF FINDING SRV 11601 AFML COVER BAD CONDITION</t>
  </si>
  <si>
    <t>B136735</t>
  </si>
  <si>
    <t>PERFORMED REPLACED COVER AFML AT COCKPIT</t>
  </si>
  <si>
    <t>NWA006372</t>
  </si>
  <si>
    <t>PLACARD LAW STATEMENT AT 17A BAD CONDITION</t>
  </si>
  <si>
    <t>PK-SAH</t>
  </si>
  <si>
    <t>PERFORMED REPLACE PACARD LAW STATMENT AT SEAT 17 A C/O</t>
  </si>
  <si>
    <t>NID006134</t>
  </si>
  <si>
    <t>S124653</t>
  </si>
  <si>
    <t>HINGE COVER LAVATORY LE BROKEN</t>
  </si>
  <si>
    <t>PERFORMED REPLACEMENT COVER TOILET LAVATORY LE D/T BROKEN</t>
  </si>
  <si>
    <t>NBA049563</t>
  </si>
  <si>
    <t>PERFORMED REOPEN TO NSRDIL PAGE NO. NBA032842 NEED PN: A2-254-0006-03</t>
  </si>
  <si>
    <t>S110992</t>
  </si>
  <si>
    <t>PERFORM ADJUSTMEN CABLE RECLINE SEAT NO 30C D/T AUTO RECLINE, OP'S TEST NORMAL</t>
  </si>
  <si>
    <t>RE-OPEN TO NSRDIL PAGE NO NBA032842</t>
  </si>
  <si>
    <t>NBA032821</t>
  </si>
  <si>
    <t>ROLLER BLIND FWD AND AFT FO SIDE MISSING</t>
  </si>
  <si>
    <t>PERFORMED COMPLETED ROLLER BLIND FWD AND AFT FO SIDE</t>
  </si>
  <si>
    <t>NID016999</t>
  </si>
  <si>
    <t>S110993</t>
  </si>
  <si>
    <t>PERFORMED REPLACED PLACARD PLACARD CREW LIFE VEST AT JUMPSEAT FA3 DUE TO BAD CONDITIONS HAS BEEN DONE</t>
  </si>
  <si>
    <t>PERFORMED REPLACED PLACARD CREW LIFE VEST AT JUMPSEAT FA3 D/T BAD CONDITION. HAS BEEN GOOD</t>
  </si>
  <si>
    <t>PK-LUH</t>
  </si>
  <si>
    <t>NBA003076</t>
  </si>
  <si>
    <t>REF NSRDIL NO. NBA003073 NOZZLE HANDSOAP LAVATORY D FOUND MISSING</t>
  </si>
  <si>
    <t>PK-BLA</t>
  </si>
  <si>
    <t>PERFORMED COMPLETED NOZLE HANDSOAP LAVATORY D AND A D/T MISSING , OP'S TEST RESULT NORMALLY</t>
  </si>
  <si>
    <t>B125101</t>
  </si>
  <si>
    <t>PERFORM BEUTIFICATION INSPECTION DAILY CHECK</t>
  </si>
  <si>
    <t>PK-WJT</t>
  </si>
  <si>
    <t>NWA0005696</t>
  </si>
  <si>
    <t>BLOWER AT LAVATORY BAD CONDITION</t>
  </si>
  <si>
    <t>PERFORMED CHECKED AND OPERATIONAL TEST OF BLOWER AT LAVATORY RESULT FOUND NORMALY CONDITION</t>
  </si>
  <si>
    <t>NSAJ013396</t>
  </si>
  <si>
    <t>DURING DAILY CHECK HEADRACK STOWAGE MINI 32DEF LATCH FOUND BROKEN</t>
  </si>
  <si>
    <t>B144173</t>
  </si>
  <si>
    <t>PERFORM DAILY BEUTIFICATION INSPECTION CHECK</t>
  </si>
  <si>
    <t>PERFORMED RECTIFIED &amp; ADJUSTMENT SPRING LATCH ASSY AY HEADRACK STOWAGE MINI 32DEF HAS BEEN C/O OPT GOOD AND NORMAL</t>
  </si>
  <si>
    <t>PK-LSL</t>
  </si>
  <si>
    <t>NLA003388</t>
  </si>
  <si>
    <t>NEED SPARE SAFETY CARD &amp; BRIEFING CARD</t>
  </si>
  <si>
    <t xml:space="preserve">REOPEN TO NEW PAGE NO. NLA082068 D/T WAITING SPARE SAFETY CARD &amp; BRIEFING CARD PN: SAFETY-CARD-B739ER-R8 &amp; PN: BRIEF CARD LR4 RQ NO. 1126816, 1126817
</t>
  </si>
  <si>
    <t>B136898</t>
  </si>
  <si>
    <t>PERFORM REPLACEMENT FAK D/T USED BY PAX PN OFF : LA-FAK SN OFF : MLI-N364 PN ON : LA-FAK  SN ON : MLI-N114 TAG : 26091682 EXP : SEP 8 2027</t>
  </si>
  <si>
    <t>NWA 006478</t>
  </si>
  <si>
    <t xml:space="preserve">HYD ACCUMULATOR SIGHT GLASS FOUND BLUR </t>
  </si>
  <si>
    <t>REOPEN TO NSRDIL PAGE NO. NWA0006479 NEED PART GLASS  
PN: S5397430420001
RQ: 1124320</t>
  </si>
  <si>
    <t>NSAJ007110</t>
  </si>
  <si>
    <t>ARM REST SEAT NO 31C NOT PROPER</t>
  </si>
  <si>
    <t>F0449413</t>
  </si>
  <si>
    <t>B136900</t>
  </si>
  <si>
    <t>ARM REST ASSY</t>
  </si>
  <si>
    <t>PERFORM REPLACEMENT MEDKIT D/T USED BY PAX  PN OFF : EMK-1000 SN OFF : LAEMK-236 PN ON : EMK-1000 SN ON : LAEMK-242 TAG : 26093492 EXP : SEP 21 2027</t>
  </si>
  <si>
    <t xml:space="preserve">PERFORM REPLACE ARM REST ASSY SEAT NO 31C D/T BROKEN </t>
  </si>
  <si>
    <t>NLA082174</t>
  </si>
  <si>
    <t>PLACARD EXTERIOR TAIL SKID BAD CONDITION</t>
  </si>
  <si>
    <t>PERFORMED REPLACED PLACARD TAIL SKID DUE TO BAD CONDITION</t>
  </si>
  <si>
    <t>NSAJ007070</t>
  </si>
  <si>
    <t>WATER SYSTEM CAN'T SUPPLAY ON GROUND</t>
  </si>
  <si>
    <t>B136899</t>
  </si>
  <si>
    <t>PERFORM REPLACEMENT POCA D/T  USED BY PAX  PN OFF : 3552AAADACXCD SN OFF : P22101751 PN ON : 3552AAADACXCD SN ON : P20040818 TAG : 26094356 EXP : JAN 24 2030</t>
  </si>
  <si>
    <t>PERFORM REPOSITION WATER OUTFLOW VALVE TO CLOSE POSITION C/O, OPS TEST RESULT GOOD ON GROUND</t>
  </si>
  <si>
    <t>NLA076873</t>
  </si>
  <si>
    <t>VIEWING WINDOW 4R &amp; 4L IS UNCLEAR</t>
  </si>
  <si>
    <t>VIEWING WINDOW 4L AND 4R BLUR CHECKED DEFECT ALREADY ON NSRDI NLA076881</t>
  </si>
  <si>
    <t>YIA</t>
  </si>
  <si>
    <t>NLA076863</t>
  </si>
  <si>
    <t>TABLE 20E BROKEN</t>
  </si>
  <si>
    <t>B139255</t>
  </si>
  <si>
    <t>PERFORMED BEAUTIFICATION INSPECTION DAILY CHECK HAS BEEN C/0</t>
  </si>
  <si>
    <t>TABLE 20 E BROKEN CHECKED DEFEDT ALREADY ON NSRDI NLA076870 (DOUBLE DEFECT)</t>
  </si>
  <si>
    <t>NLA076885</t>
  </si>
  <si>
    <t>REF NSRDI NLA076885 BRIEFING CSRD NOT AVAILABLE</t>
  </si>
  <si>
    <t>BRIEFING CSRD NOT AVAILABLE CHECKED DEFECT ALREADY ON NSRDI NLA076888 (DOUBLE DEFECT)</t>
  </si>
  <si>
    <t>B131428</t>
  </si>
  <si>
    <t>NLA076867</t>
  </si>
  <si>
    <t>HYDROLOCK OVERHEAD STOWAGE COMPARTEMENT NO.15-16DEF AND 37-38ABC NOT SECURE</t>
  </si>
  <si>
    <t>HYDROLOCK OVERHEAD STOWAGE COMPARTMENT NO 15-16 DEF, 37-38 ABC NOT SECURE CHECKED DEFECT ALREADY ON NSRDI NLA076887 (DOUBLE DEFECT)</t>
  </si>
  <si>
    <t>NLA082175</t>
  </si>
  <si>
    <t>MIRROR LIGHT LAV LA&amp;LE NOT ILL</t>
  </si>
  <si>
    <t>MIRROR LIGHT LA RECCONECT TUBE LAMP,OPS TEST RESULT ILLUMINATE,LE STILL ILLUMINATE DEFECT ALREADY INSERT NSRDI NO NLA082180</t>
  </si>
  <si>
    <t>B137223</t>
  </si>
  <si>
    <t>NLA082154</t>
  </si>
  <si>
    <t>GASPER AIR OUTLET SEAT NUMBER 36F MISSING</t>
  </si>
  <si>
    <t>REFF NSRDI NO NLA082154,GASPER OUTLET SN 36DEF MISSING,DEFECT TRANSFER TO NSRDI NO NLA082182 NEED PN 70651-32</t>
  </si>
  <si>
    <t>PK-LUT</t>
  </si>
  <si>
    <t>NID014126</t>
  </si>
  <si>
    <t>BLIND ROLLER FO SIDE FWD MISSING</t>
  </si>
  <si>
    <t>B123206</t>
  </si>
  <si>
    <t>NWA006478</t>
  </si>
  <si>
    <t>PK-WHQ</t>
  </si>
  <si>
    <t>NWA013437</t>
  </si>
  <si>
    <t>DURING DBIFOUND SEAT 6C CAN NOT RDCLINE</t>
  </si>
  <si>
    <t>B146677</t>
  </si>
  <si>
    <t>REOPEN TO NSRDIL NWA013440</t>
  </si>
  <si>
    <t>NWA013435</t>
  </si>
  <si>
    <t>SEAT 10D CAN NOT RDCLINE</t>
  </si>
  <si>
    <t>B131380</t>
  </si>
  <si>
    <t>NSAJ024322</t>
  </si>
  <si>
    <t>REF FINDING ICT HEADREST COVER CAPT FOUND DIRTY</t>
  </si>
  <si>
    <t>PK-SJC</t>
  </si>
  <si>
    <t>NSAJ031266</t>
  </si>
  <si>
    <t>EMERGENCY EXIT WINDOW S/N 12 AND 15 ABC-DEF FOUND NO PLACARD NO BAGGAGE</t>
  </si>
  <si>
    <t>S122278</t>
  </si>
  <si>
    <t>PERFORMED INSPECTION DAILY CHECK</t>
  </si>
  <si>
    <t>NID008312</t>
  </si>
  <si>
    <t>WARNING FLAG 4R NOT PROPER</t>
  </si>
  <si>
    <t>NLA083659</t>
  </si>
  <si>
    <t>REFF SRV 11361,COVER LOG BOOK DMI BAD CONDITION</t>
  </si>
  <si>
    <t>B139167</t>
  </si>
  <si>
    <t>NLA083660</t>
  </si>
  <si>
    <t>REFF SRV 11362,COVER LOG BOOK AFML BAD CONDITION</t>
  </si>
  <si>
    <t>S126525</t>
  </si>
  <si>
    <t>NSAJ015325</t>
  </si>
  <si>
    <t>FAK AT FWD STATION NO BRACKET</t>
  </si>
  <si>
    <t>PK-LSU</t>
  </si>
  <si>
    <t>NLA070627</t>
  </si>
  <si>
    <t>MIRROR LIGHT LAVATORY E NOT ILLUMINATE</t>
  </si>
  <si>
    <t>S128898</t>
  </si>
  <si>
    <t>PERFORMED CLEANED FILTER WASH BASIN LAVATORY A DUE TO SLOWLY DRAINED.OPS TEST RESULT GOOD AND NORMALLY</t>
  </si>
  <si>
    <t>NLA063995</t>
  </si>
  <si>
    <t>FINDING SRV 5075, 5073, 50313, 5314,5321</t>
  </si>
  <si>
    <t>S128899</t>
  </si>
  <si>
    <t>PERFORMED BEAUTIFICATION INSPECTION DAILY CHECK HAS BEEN C/O</t>
  </si>
  <si>
    <t>NLA094998</t>
  </si>
  <si>
    <t>FINDING QUALITY HANDLE LAV LE AND HANDLE LAV LD FOUND BROKEN</t>
  </si>
  <si>
    <t>S122246</t>
  </si>
  <si>
    <t>PERFORMED REPOSITION FLUORESCENT LAMP CEILING LIGHT AT PANEL SN:32ABC DUE TO NOT ILLUMINATE.OPS TEST RESULT ILLUMINATE</t>
  </si>
  <si>
    <t>PK-LJY</t>
  </si>
  <si>
    <t>NLA080864</t>
  </si>
  <si>
    <t>FAUCET LA FOUND STILL CONTINOUS FLOW / LEAKING</t>
  </si>
  <si>
    <t>NSAJ017092</t>
  </si>
  <si>
    <t>FINDING SRV 11990 BOTTOM SEAT CUSHION PILOT FOUND BAD CONDITION</t>
  </si>
  <si>
    <t>PERFORMED REPOSITION BOTTOM SEAT CUSHION PILOT HAS BEEN CARRIED OUT</t>
  </si>
  <si>
    <t>S122247</t>
  </si>
  <si>
    <t>NID007147</t>
  </si>
  <si>
    <t>NEED PLACARD MANUAL ( SEP ) AT AFT CABIN</t>
  </si>
  <si>
    <t xml:space="preserve">PERFORM COMPLETED PLACARD MANUAL ( SEP ) AT AFT CABIN HAS BEEN C/O </t>
  </si>
  <si>
    <t>NID021844</t>
  </si>
  <si>
    <t>FOUND  RUB STRIP BUSSINES CLASS NO 3AD BROKEN</t>
  </si>
  <si>
    <t>PK-BKQ</t>
  </si>
  <si>
    <t xml:space="preserve">PERFORM REPLACEMENT RUB STRIP AT SEAT BUSINESS CLASS HAS BEEN C/O </t>
  </si>
  <si>
    <t>B144340</t>
  </si>
  <si>
    <t>NID021824</t>
  </si>
  <si>
    <t>REFF FINDING FA SEAT CUSHION AT FA 6 BAD CONDITION</t>
  </si>
  <si>
    <t>PERFORM TRANSFER TO NSRDIL NO : NID021841 DUE TO DOUBLE DEFECT</t>
  </si>
  <si>
    <t>NSAJ027049</t>
  </si>
  <si>
    <t>BOTTOM SEAT COVER NO : 32DE, 31BCD, 30C, 29BE, 28CD, 27C, 26BE, 25E, 22C, 21A, 20DE, 11BC, 10C, 8BC, 7D BAD CONDITION</t>
  </si>
  <si>
    <t>PERFORMED REOPEN NSRDIL NO : NSAJ001439 RQ 1127510</t>
  </si>
  <si>
    <t>B144336</t>
  </si>
  <si>
    <t>PERFORMED REPOSITION FLUORESCENT LAMP WINDOW LIGHT AT PANEL SN:18DEF DUE TO NOT ILLUMINATE.OPS TEST RESULT ILLUMINATE</t>
  </si>
  <si>
    <t>NSAJ027048</t>
  </si>
  <si>
    <t>DURING DAILY CHECK ALL BACKREST FOUND BAD CONDITION</t>
  </si>
  <si>
    <t>PERFORMED REOPEN NSRDIL NO : NSAJ001438 RQ 1127515 RQ 1127516</t>
  </si>
  <si>
    <t>NSAJ001433</t>
  </si>
  <si>
    <t>DURING DAILY CHECK BACKREST NO 32BD, 31A, 30A, 27D, 26C, 24DC, 23C, 22D, 20D, 19D, 18D, 16D, 15C, 2D, 9D, 4C, 1D BAD CONDITION</t>
  </si>
  <si>
    <t>S125375</t>
  </si>
  <si>
    <t>PERFORM TRANSFER TO NSRDIL NO : NSAJ001438 DUE TO DOUBLE DEFECT</t>
  </si>
  <si>
    <t>NSAJ001436</t>
  </si>
  <si>
    <t xml:space="preserve">SEAT COVER 31C TEAR OFF </t>
  </si>
  <si>
    <t>S125376</t>
  </si>
  <si>
    <t>PERFORMED ADD MORE PLACARD INOP TO CML BOOK</t>
  </si>
  <si>
    <t>NID014637</t>
  </si>
  <si>
    <t>REOPEN TO NSRDI NID024130 NEED PART PN: HFA-2000-10</t>
  </si>
  <si>
    <t>B147105</t>
  </si>
  <si>
    <t>NID014644</t>
  </si>
  <si>
    <t>PERFORM BEAUTIFICATION INSPECTION DAILY CHECK HAS BEEN C/O</t>
  </si>
  <si>
    <t>REOPEN TO NSRDI NID024133 NEED PART PN: 139-00-317-64NN</t>
  </si>
  <si>
    <t>NID014645</t>
  </si>
  <si>
    <t>REOPEN TO NSRDI NID024134 NEED PART PN: 139-00-112-00</t>
  </si>
  <si>
    <t>B147349</t>
  </si>
  <si>
    <t>TOTAL</t>
  </si>
  <si>
    <t>NID014647</t>
  </si>
  <si>
    <t>REOPEN TO NSRDI NID024135 NEED PART PN: SP9063E</t>
  </si>
  <si>
    <t>PK-BKY</t>
  </si>
  <si>
    <t>B139127</t>
  </si>
  <si>
    <t>NID016992</t>
  </si>
  <si>
    <t>PERFORMED REPLACE PLACARD HYDRAULICALLY OPERTAE AFT CARGO DUE TO PEEL OFF HAS BEEN C/O</t>
  </si>
  <si>
    <t>B136684</t>
  </si>
  <si>
    <t>NID024128</t>
  </si>
  <si>
    <t>REFF FINDING ICT 18971 PERFORMED REPAINTING SHROUD LAVATORY "D" DUE TO PPO HAS BEEN C/O</t>
  </si>
  <si>
    <t>B136683</t>
  </si>
  <si>
    <t>PERFORM REPLACEMENT SEATBELT S/N 19F &amp; 29A D/T TORN</t>
  </si>
  <si>
    <t>NID021296</t>
  </si>
  <si>
    <t>ALREADY INSERT TO NSRDI PAGE NO NBA033097 COVER FAIRING SEAT NO 8D,12D,23D,25D,29CD IS MISSING NEED PN:ASPO4357C151</t>
  </si>
  <si>
    <t>PK-BLD</t>
  </si>
  <si>
    <t>NLA085977</t>
  </si>
  <si>
    <t>B138286</t>
  </si>
  <si>
    <t>PERFORMED REPLACED TUBE LAMP LAVATORY LIGHT LD &amp; LE D/T NOT ILLUMINATE , TEST RESULT ILLUMINATE</t>
  </si>
  <si>
    <t>PK-LBK</t>
  </si>
  <si>
    <t>NLA076857</t>
  </si>
  <si>
    <t>RE OPENTO NSRDI PAGE NO.NLA076890 NEED SPARE P/N : 2006-1-511-8011 QTY : 8 EA RQ :</t>
  </si>
  <si>
    <t>B141830</t>
  </si>
  <si>
    <t>PK-WJM</t>
  </si>
  <si>
    <t>MALINDO</t>
  </si>
  <si>
    <t>NWA014075</t>
  </si>
  <si>
    <t>9M-LNZ</t>
  </si>
  <si>
    <t>PERFORMED RE-OPEN TO NSRDI NO NWA014075. RQ.1127530</t>
  </si>
  <si>
    <t>NEED PART PN : ASP05225PL07 RQ :</t>
  </si>
  <si>
    <t>NID008257</t>
  </si>
  <si>
    <t>BACKREST 30BF 26D 24D 23A 19D 16E 8CD 6D 31B BAD CONDITION</t>
  </si>
  <si>
    <t>REOPEN TO NSRDIL NO NID008262</t>
  </si>
  <si>
    <t>PERFORMED REPLACED AMREST C-BISNIS S/N 1 CF, 2 F, AND 3 F D/T BAD CONDITION</t>
  </si>
  <si>
    <t>NID008258</t>
  </si>
  <si>
    <t>INDICATOR OCCUPIED SIGN AT LAVATORY LE NOT ILLUMNATE</t>
  </si>
  <si>
    <t>PK-LSH</t>
  </si>
  <si>
    <t>REOPEN TO NSRDIL NID008263</t>
  </si>
  <si>
    <t>E0461505</t>
  </si>
  <si>
    <t>PK-LAF</t>
  </si>
  <si>
    <t>NID006943</t>
  </si>
  <si>
    <t>CARPET AISLE FOUND DIRTY</t>
  </si>
  <si>
    <t>TF NSRDIL NO NID006946</t>
  </si>
  <si>
    <t>E0461503</t>
  </si>
  <si>
    <t>NID006944</t>
  </si>
  <si>
    <t>PERFORMED REINSTALL GALLEY SINK AT G1 D/T MISSING</t>
  </si>
  <si>
    <t>ALLMOST ARMCAP AND ESCUTCHEON BROKEN (ESCUTCHEON 5A 6F 6E 6A 7ABC 8ABC 10DE 11BCF 15ABC 16BC 17ABCD 20DEF 22C 25BDE 27BCEF) (ARMCAP 6F 10ABCDE 15C 16B 29B 20E 24ABC 25B 27AB 28B)</t>
  </si>
  <si>
    <t>TF REOPEN TO NSRDIL NO NID006947</t>
  </si>
  <si>
    <t>S125194</t>
  </si>
  <si>
    <t>NID022678</t>
  </si>
  <si>
    <t>PLACARD WARNING ENSURE YOU AT FWD CARGO DOOR FOUND BAD CONDITION</t>
  </si>
  <si>
    <t>S114780</t>
  </si>
  <si>
    <t xml:space="preserve">REPLACED PLACARD WARNING ENSURE  YOU AT FWD CARGO DOOR </t>
  </si>
  <si>
    <t>NID022675</t>
  </si>
  <si>
    <t>ICT NO18379 AREA ENTRY DOOR PPO</t>
  </si>
  <si>
    <t>S125329</t>
  </si>
  <si>
    <t>REPAINT  AREA ENTRY DOOR</t>
  </si>
  <si>
    <t>NSAJ001437</t>
  </si>
  <si>
    <t xml:space="preserve">RON CHECK PLACARD UUD S/N 29A, 28C, 27E, 18C, 10B, 6C, FOUND BAD CONDITION </t>
  </si>
  <si>
    <t>PERFORMED REPLACEMENT PLACARD UNDANG UNDANG S/N 29A, 28C, 27F, 18C, 10B, 6C D/T BAD CONDITION</t>
  </si>
  <si>
    <t>PK-LOP</t>
  </si>
  <si>
    <t>NLA082766</t>
  </si>
  <si>
    <t>E0474757</t>
  </si>
  <si>
    <t>PERFORM DAILY CHECK BEAUTIFICATION INSPECTION HAS BEEN C/O</t>
  </si>
  <si>
    <t>PEROFRM ADDED SPARE SAFETY CARD C/O</t>
  </si>
  <si>
    <t>NLA070929</t>
  </si>
  <si>
    <t>PRAM BOARDING ANNOUNCEMENT AND SAFETY DEMO FOR B737-900ER</t>
  </si>
  <si>
    <t>DO OP'S CHECK PRAM ANNOUNCEMENT AND SAFETY DEMO HAS BEEN UPDATE</t>
  </si>
  <si>
    <t>E0474758</t>
  </si>
  <si>
    <t>NLA082781</t>
  </si>
  <si>
    <t>PERFORM RECTIFIED SEAT BELT S/N 8A, 9B, 24AF, 38B D/T TEAR</t>
  </si>
  <si>
    <t xml:space="preserve">BEVERAGE MAKER AT G1 NO WATER </t>
  </si>
  <si>
    <t>PERFORM RE-INSTALL BEVERAGE MAKER G1,OP'S TEST RESULT NORMAL</t>
  </si>
  <si>
    <t>NID016221</t>
  </si>
  <si>
    <t>PERFORM REPLACEMENT DEMO MASK AT AFT D/T BAD CONDITION RESULT GOOD</t>
  </si>
  <si>
    <t>NSAJ006223</t>
  </si>
  <si>
    <t>PERFORMED REPLACEMENT COVER SHROUD AT LAV A D/T CRACK</t>
  </si>
  <si>
    <t>E0461343</t>
  </si>
  <si>
    <t>NSAJ007680</t>
  </si>
  <si>
    <t>PERFORMED REPLACEMENT LED READING LIGHT SN:10A DUE TO NOT ILLUMINATE PN:2LA455962-00 QTY 1EA</t>
  </si>
  <si>
    <t>NLA084126</t>
  </si>
  <si>
    <t>PERFORMED DRAIND &amp; RINCE WASTE TANK HAS BEEN C/O, OP'STEST RESULT NORMAL WASTE TANK INDICATOR</t>
  </si>
  <si>
    <t>E0431342</t>
  </si>
  <si>
    <t>ERFORM DAILY CHECK BEAUTIFICATION INSPECTION HAS BEEN C/O</t>
  </si>
  <si>
    <t>NWA014063</t>
  </si>
  <si>
    <t>PERFORMED RE-OPEN TO NSRDI NO NWA014074</t>
  </si>
  <si>
    <t>NLA070785</t>
  </si>
  <si>
    <t>FINDING ICT 18601 : CURTAIN GALLEY FWD UNTIDY</t>
  </si>
  <si>
    <t>REFF FINDING ICT 18601 CURTAIN GALLEY FWD UNTIDY</t>
  </si>
  <si>
    <t>NWA015908</t>
  </si>
  <si>
    <t>PUSHLOCK PUSH BUTTON NOT SERVICEABLE</t>
  </si>
  <si>
    <t>E0431343</t>
  </si>
  <si>
    <t>PERFORMED REPLACED SPRING TORSION AT SERVICE DOOR HAS BEEN C/O</t>
  </si>
  <si>
    <t>PERFORM REPLACEMENT PLACARD LAW STATEMENT S/N 2E, 4D, 5B, 6A, 7E, 8A, 9BF, 10AE, 12ABC, 17B, 18ABCE, 23ABCDE, 24ABF, 25AB, 26EF, 34ABC, 36E, 37E</t>
  </si>
  <si>
    <t>NSAJ015387</t>
  </si>
  <si>
    <t>COVER SEAT PAN TOILET BOWL LAV D BROKEN</t>
  </si>
  <si>
    <t xml:space="preserve"> REOPEN TO NSRDI NSAJ015392</t>
  </si>
  <si>
    <t>NSAJ015371</t>
  </si>
  <si>
    <t>WATER SPIGOT G1 LEAKING</t>
  </si>
  <si>
    <t xml:space="preserve"> REOPEN TO NSRDI NSAJ015393</t>
  </si>
  <si>
    <t>NBA006411</t>
  </si>
  <si>
    <t>B131381</t>
  </si>
  <si>
    <t>PERFORMED REPLACED SEATBELT S/N 7BD,17DE,18F,22C AND 28A. DUE TO TORN, HASBEEN DONE</t>
  </si>
  <si>
    <t>PERFORMED REPLACED SEAT BELT S/N 7BD,17DE,18F,22C,28A D/T TORN</t>
  </si>
  <si>
    <t>PERFORM REPLACEMENT BACKREST COVER AT S/N 22ABC, 23ABCDEF, 24BCDEF 29A  D/T BAD CONDITION</t>
  </si>
  <si>
    <t>NBA006409</t>
  </si>
  <si>
    <t>PERFORMED REPLACED SEATBELT S/N 28A. DUE TO TORN. HASBEEN DONE</t>
  </si>
  <si>
    <t>PERFORMED REPLACED SEAT BELT S/N 28A D/T TORN</t>
  </si>
  <si>
    <t>NID014929</t>
  </si>
  <si>
    <t>ALLREADY INSTER TO NSRDIL AND REOPEN TO PAGE NID014936</t>
  </si>
  <si>
    <t>REOPEN TO NSRDI NO NID014936</t>
  </si>
  <si>
    <t>NID014939</t>
  </si>
  <si>
    <t>B138222</t>
  </si>
  <si>
    <t>PERFROMED COMPLATED PLACARD INOP AT BOOK CML HAS BEEN CLOSED</t>
  </si>
  <si>
    <t>PERFORMED DAILY CHECK BAEUTIFICATION INSPECTION HAS BEEN C/O</t>
  </si>
  <si>
    <t>PERFORMED COMPLETED PLACARD INOP QTY 10EA</t>
  </si>
  <si>
    <t>NID021829</t>
  </si>
  <si>
    <t>PROTECTIVE PANEL AT FWD CARGO BROKEN (131DW)</t>
  </si>
  <si>
    <t>REOPEN TO NSRDIL NID021849</t>
  </si>
  <si>
    <t>NID021828</t>
  </si>
  <si>
    <t>DURING DAULY ONE SLEEVE GROUND LOCK BROKEN</t>
  </si>
  <si>
    <t>REOPEN TO NSRDIL NID021848</t>
  </si>
  <si>
    <t>B138221</t>
  </si>
  <si>
    <t>PERFORMED RESET CB 103 AT PANEL FWD GALLEY D/T OVEN ERROR.</t>
  </si>
  <si>
    <t>NID016222</t>
  </si>
  <si>
    <t>REFF TO NSRDIL NO NBA032139 SRV 12583 STRAP REMOVE BEFORE FLIGHT 1R &amp; 1L FADED</t>
  </si>
  <si>
    <t>REOPEN TO NSRDI NID016224 SRV 12583 STRAP REMOVE BEFORE FLIGHT 1R &amp; 1L FADED</t>
  </si>
  <si>
    <t>NLA080268</t>
  </si>
  <si>
    <t>PERFORMED CLEAN UP COFFE MAKER AND CHECK OPERATIONAL TEST NORMALLY</t>
  </si>
  <si>
    <t>PERFORMED CLEAN UP COFFE MAKER G1 OPS TEST RESULT NORMALLY</t>
  </si>
  <si>
    <t>NLA080259</t>
  </si>
  <si>
    <t>PERFORMED REPLACED COVER LOG BOOK AFML AND DMI. DUE TO BAD CONDITION</t>
  </si>
  <si>
    <t>B144358</t>
  </si>
  <si>
    <t>PERFORMED REPLACED COVER LOG BOOK AFML AND DMI D/T BAD CONDITION</t>
  </si>
  <si>
    <t>NLA080273</t>
  </si>
  <si>
    <t>PERFORMED REOPEN TO NSRDIL NO:080284 NEED BUTTON RECLINE PN:SP23996B.</t>
  </si>
  <si>
    <t>RE-OPEN TO NSRDIL PAGE NO NLA080274</t>
  </si>
  <si>
    <t>NID008306</t>
  </si>
  <si>
    <t>FRAME WINDOW SEAT NO 30ABC FOUND CRACK</t>
  </si>
  <si>
    <t>REOPEN TO NSRDI NO NID008314</t>
  </si>
  <si>
    <t>NSAJ021202</t>
  </si>
  <si>
    <t>B128436</t>
  </si>
  <si>
    <t xml:space="preserve">PERFROMED REPLACEMENT TOILET COVER </t>
  </si>
  <si>
    <t>PERFORMED REPLACED TOILET SEATER AT ALAVATORY LE D/T BROKEN</t>
  </si>
  <si>
    <t>NSAJ015289</t>
  </si>
  <si>
    <t>REF FINDING SRV NO 10007 MIRROR LAVATORY LD BAD CONDITION</t>
  </si>
  <si>
    <t>REOPEN TO NSRDIL015296</t>
  </si>
  <si>
    <t>NBA003091</t>
  </si>
  <si>
    <t>B131295</t>
  </si>
  <si>
    <t>NO AURAL AT FWD WHEN INTERPHONE FROM AFT CABIN AND COCKPIT</t>
  </si>
  <si>
    <t>PERFORMED REPLACEMENT LOUDE SPEAKER FWD &amp; AFT STATION D/T NO AURAL WHEN INTERPHONE FROM AFT &amp; COCKPIT OP'S TEST RESULT NORMALLY</t>
  </si>
  <si>
    <t>NSAJ017109</t>
  </si>
  <si>
    <t>SRV 11223 ROLLER BLIND AT CAPT AND FO SIDE FOUND MISSING</t>
  </si>
  <si>
    <t>REOPEN DEFFECT TO NSRDIL NSAJ017143</t>
  </si>
  <si>
    <t>B146426</t>
  </si>
  <si>
    <t>NSAJ017116</t>
  </si>
  <si>
    <t>SRV 11223 SUNSHADE R1 MISSING</t>
  </si>
  <si>
    <t>REOPEN TO NSRDIL NSAJ017143</t>
  </si>
  <si>
    <t>NSAJ015488</t>
  </si>
  <si>
    <t>REF NSRDIL PAGE NO: NSAJ015454, WINDOW SHUTTER AT SEAT NO.31A NOT AVAILABLE</t>
  </si>
  <si>
    <t>B146949</t>
  </si>
  <si>
    <t>NID006054</t>
  </si>
  <si>
    <t>REFF.FINDING SRV 8359 SEAT POCKET MAGAZINE 5B, 6AE, 7A, 8ABF, 9DE, 10C, 11CE, 12DB, 19F, 20C NOT PROPERLY</t>
  </si>
  <si>
    <t>GPM05012C000</t>
  </si>
  <si>
    <t>SPRING, LITERATURE POCKET</t>
  </si>
  <si>
    <t>B143622</t>
  </si>
  <si>
    <t>REOPEN TO NSRDI PAGE NID006078</t>
  </si>
  <si>
    <t>NWA015022</t>
  </si>
  <si>
    <t>TOOLS ON SPARE BOX FOUND MISSING</t>
  </si>
  <si>
    <t>REOPEN TO NSRDI NWA014758. WAITING SPARE</t>
  </si>
  <si>
    <t>UNSCEDHULE</t>
  </si>
  <si>
    <t>NWA008355</t>
  </si>
  <si>
    <t>LIST UPPER OVERHEAD BIN AT 12AC D/T MISSING</t>
  </si>
  <si>
    <t>S126561</t>
  </si>
  <si>
    <t>ACTUAL CHECK AND OPT ALL ENTRY LIGHT AND ALL LAV LIGHT ON GROUND FOUND NORMAL.REF AMM : 33-29-00</t>
  </si>
  <si>
    <t>RE OPEN NSRDI NO NWA008356</t>
  </si>
  <si>
    <t>YUDI ARIS MUSTAQIM</t>
  </si>
  <si>
    <t>NLA090052</t>
  </si>
  <si>
    <t>PRAM NOT UPDATE</t>
  </si>
  <si>
    <t>SCEDHULE</t>
  </si>
  <si>
    <t>PRAM NOT UPDATE. PRAM HAS BEEN UPDATE REF WO. 2277967. REF T/C A330-INT-23-019-IDN</t>
  </si>
  <si>
    <t>S126563</t>
  </si>
  <si>
    <t>REF TO WO NO. 2336034. PERFORM VACUUM TOILET SYSTEM .CLEANING OF VACUUM CLEANING OF VACUUM WASTE LINES WITH CHEMICAL CLEANING AGENT. REF T/C A320-38-31-00-06-1-SJV-IDN</t>
  </si>
  <si>
    <t>NLA027642</t>
  </si>
  <si>
    <t>REF NSRDIL NLA 027632
PLEASE ADD SPARE SAFETY CARD</t>
  </si>
  <si>
    <t>ADDED SPARE SAFETY CARD C/O</t>
  </si>
  <si>
    <t>NLA082301</t>
  </si>
  <si>
    <t xml:space="preserve">REF NSRDI NLA082301 PLEASE ADD SPARE SAFETY CARD AND BRIEFING CARD </t>
  </si>
  <si>
    <t>S126564</t>
  </si>
  <si>
    <t>PERFORM CLEAN UP FILTER WASH BASIN LAV D D/T SLOWLY DRAIN. RESULT TEST GOOD. REF AMM : 25-40-00</t>
  </si>
  <si>
    <t>PLEASE ADD SPARE SAFETY CARD AND BRIEFING CARD. PERFORMED COMPLETED SAFETY CARD AND BRIEFING CARD BY AIEC TEAM. C/O</t>
  </si>
  <si>
    <t>NLA074203</t>
  </si>
  <si>
    <t>ADD SPARE SAFETY CARD D/T MANY SEAT POCKET HAVEN'T SAFETY CARD</t>
  </si>
  <si>
    <t>NLA083672</t>
  </si>
  <si>
    <t>S126565</t>
  </si>
  <si>
    <t>SAFETY CARD SAPARE NOT AVAILABLE</t>
  </si>
  <si>
    <t>PERFORM RECTIFIED COVER CEILLING LIGHT DUE TO NOT PROPERLY/ NOT SECURE. RESULT GOOD AND PROPER. REF AMM : 25-00-00</t>
  </si>
  <si>
    <t>SAFETY CARD SPARE NOT AVAILABLE. PERFORMED COMPLETED SAFETY CARD D/T NOT AVAILABLE. RESULT GOOD</t>
  </si>
  <si>
    <t>PK-LHQ</t>
  </si>
  <si>
    <t>NLA070363</t>
  </si>
  <si>
    <t xml:space="preserve">PLEASE ADD SPARE SAFETY CARD </t>
  </si>
  <si>
    <t>PERFORMED ADDED SPARE SAFETY CARD HAS BEEN C/O</t>
  </si>
  <si>
    <t>S126566</t>
  </si>
  <si>
    <t>PERFORM RECTIFIED DOOR COMPARTMENT AT LAV A D/T NOT PROPER. RESULT GOOD AND PROPER. REF AMM : 25-40-00</t>
  </si>
  <si>
    <t>NBA033075</t>
  </si>
  <si>
    <t>PLEASE INSTALL SEAL FLASH LIGHT @FWD STATION (FA4)</t>
  </si>
  <si>
    <t>PERFORMED REINSTALL PLACARD EMERGENCY USE ONLY AT FLASH LIGHT FA 4 FWD STATION, HAS BEEN CARRIED OUT</t>
  </si>
  <si>
    <t>NLA074519</t>
  </si>
  <si>
    <t xml:space="preserve">FINDNIG ICT19615 COVER LAMP UNDER SIGN EXIT DOOR SERVICE AFT LH FOUND CRACK </t>
  </si>
  <si>
    <t>S126567</t>
  </si>
  <si>
    <t>PERFORM RECTIFIED DOOR COMPARTMENT L/V AT FA4 D/T NOT PROPER. RESULT GOOD AND PROPER. REF AMM : 25-22-00</t>
  </si>
  <si>
    <t>PERFORMED ACTUAL CHECK OF COVER LAMP UNDER SIGN EXIT DOOR SERVICE AFT LH FOUND PROPER &amp; GOOD CONDITION</t>
  </si>
  <si>
    <t>NBA033552</t>
  </si>
  <si>
    <t xml:space="preserve">HEADREST COVER C-CLASS NO.1ACDF,2ED AND 3CD IS BAD CONDITION </t>
  </si>
  <si>
    <t>NSRDI NBA033552 REOPEN TO NSRDI NBA033560</t>
  </si>
  <si>
    <t>NID008535</t>
  </si>
  <si>
    <t>FINDING ICT 19214 PLACRD C CLASS RECLINE,LEG REST,LUMBAR,FOOTREST AT S/N : 2A,2F BAD CONDITION,</t>
  </si>
  <si>
    <t>S126568</t>
  </si>
  <si>
    <t>PERFORM DAILY BEAUTIFICATION  INSPECTION CHECK C/O REF AMM : 25-00-00</t>
  </si>
  <si>
    <t>PERFORM THE REPLACED OF PLACARD C CLASS RECLINE,LEG REST,LUMBAR,FOOTREST AT SEAT NO 2F DUE TO BAD CONDITION HAS BEEN C/O RESULT GOOD AND PLACARD C CLASS RECLINE,LEG REST,LUMBAR,FOOTREST AT SEAT NO 2A TRANSFER TO NSRDI NO NID00844 NEED SPARE PN:LT11-11-PLC-02291</t>
  </si>
  <si>
    <t>NSAJ015297</t>
  </si>
  <si>
    <t>REF NSRDI NO NSAJ015297 
REF FINDING ICT 19059 SEAT BOTTOM CUSHION 8A AND 32AE IS BAD CONDITION</t>
  </si>
  <si>
    <t>REF FINDING ICT NO 19059 PERFORM THE REPLACED OF SEAT BOTTOM CUSHION AT SEAT NO 8A AND 32AE DUE TO BAD CONDITION HAS BEEN C/O RESULT GOOD</t>
  </si>
  <si>
    <t>S126569</t>
  </si>
  <si>
    <t>NWA 006303</t>
  </si>
  <si>
    <t>PERFORM REPOSITION "TL" WINDOW LIGHT . OP'S TEST RESULT ILL. REF AMM : 33-21-00</t>
  </si>
  <si>
    <t>PERFORMED REPLACEMENT BACKSHELL SEAT S/N 15 D DUE TO BROKEN</t>
  </si>
  <si>
    <t>SAFETY PIN ENTRANCE DOOR VERY HARD TO MOVE AFTER CLOSING AND PLEASE PUT "INSTALL BEFORE OPENING", PLEASE CHECK THANK YOU.</t>
  </si>
  <si>
    <t>B126488</t>
  </si>
  <si>
    <t>REFF NSRDIL NO : NID008692 PERFORMED TRANSFER TO NSRDIL NO : NID008685 DUE TO DOUBLE DEFECT</t>
  </si>
  <si>
    <t>JEPRI GULTOM</t>
  </si>
  <si>
    <t>SATRIA NOVIANDRI</t>
  </si>
  <si>
    <t>KRISNA SETIAWAN</t>
  </si>
  <si>
    <t>REFF NSRDI PAGE NO.NWA033794 TOOLS ON SPARE BOX FOUND MISSING</t>
  </si>
  <si>
    <t>NID024066</t>
  </si>
  <si>
    <t>PERFORMED REPLACED COVER TOILET LAVATORY E. DUE TO BAD CONDITION.</t>
  </si>
  <si>
    <t>B126491</t>
  </si>
  <si>
    <t>I.A.W. AMM : 25-00-00 PERFORMED BEAUTIFICATION INSPECTION DAILY CHECK HAS BEEN C/O.</t>
  </si>
  <si>
    <t>NID014938</t>
  </si>
  <si>
    <t>PERFROMED REPLACED WARNING FLAG AT DOOR 4R HAS BEEN CLOSED</t>
  </si>
  <si>
    <t>B126492</t>
  </si>
  <si>
    <t>REFF FINDING ICT NO : 19856 PERFORM REPLACEMENT SEAT COVER TRACK SEAT NO 20A DUE TO CRACK</t>
  </si>
  <si>
    <t>NID014257</t>
  </si>
  <si>
    <t>PERFROMED REPLACED LIFE VEST FOR SAFETY DEMO AT FWD AND AFT DUE TO BAD CONDITIONS HAS BEEN DONE</t>
  </si>
  <si>
    <t>NID002138</t>
  </si>
  <si>
    <t xml:space="preserve">PERFROMED REPLACED SPARE OXYGEN MASK AT FWD CABIN DUE TO EXP 20 SEP 2026 HAS BEEN DONE REPLACED </t>
  </si>
  <si>
    <t>B126493</t>
  </si>
  <si>
    <t>REFF FINDING ICT NO : 19859 PERFORM REECTIFIED PLACARD PLACARD FOR FLIGHT SAFETY NO 1A DUE TO STICKING WELL</t>
  </si>
  <si>
    <t>NBA047672</t>
  </si>
  <si>
    <t>REFF FINDING CBM SRV 11010 RUBBER PEDESTAL PILOT &amp; COPILOT BAD CONDITION</t>
  </si>
  <si>
    <t>DEFECT RELATED/ SAME WITH PAGE NO. NBA047694 D/T WAITING SPARE PAD PN:D2721010320000</t>
  </si>
  <si>
    <t>B126494</t>
  </si>
  <si>
    <t>NBA047667</t>
  </si>
  <si>
    <t>COVER TOTAL TEMP SENSOR (TAT COVER) WERE MISSING 2EA.</t>
  </si>
  <si>
    <t>DEFECT RELATED/ SAME WITH PAGE NO. NBA047691 D/T WAITING SPARE TAT COVER PN: 98A10001013000</t>
  </si>
  <si>
    <t>B7379ER</t>
  </si>
  <si>
    <t>NID008057</t>
  </si>
  <si>
    <t>REF ICT 18957 PLACARD SLIDE INSIDE AT ENTRY DOOR FWD BAD CONDITION</t>
  </si>
  <si>
    <t>E0441502</t>
  </si>
  <si>
    <t>IAW AMM ATA : 33-21-00 PERFORMED REPOSITION LED WINDOW LIGHT NO 9DEF, 19-21ABC, 24DEF, 28ABC DUE TO NOT ILLUMINATED. 31-33DEF DMI NO : 024761</t>
  </si>
  <si>
    <t>PERFORMED REPLACED PLACARD SLIDE INSIDE AT ENTRY DOOR D/T BAD CONDITION</t>
  </si>
  <si>
    <t>NSAJ021468</t>
  </si>
  <si>
    <t>PERFORMED REPLACED COVER SEATER TOILET LAVATORY A. HASBEEN DONE</t>
  </si>
  <si>
    <t>E0441503</t>
  </si>
  <si>
    <t>PERFORMED INSPECTION &amp; CHECK SAFETY CARD ALREADY NSRDIL NO : NLA082068</t>
  </si>
  <si>
    <t>NSAJ016756</t>
  </si>
  <si>
    <t>PERFORMED RESET CB OVERHEAT OF BEVERAGE MAKER POST AFT GALLEY. DUE TO, CB POP OUT. OPS TEST NORMALLY</t>
  </si>
  <si>
    <t>NSJ006010</t>
  </si>
  <si>
    <t xml:space="preserve">PERFROMED COMPLATED STRAP CURTAIN AT FWD CABIN HAS BEEN DONE </t>
  </si>
  <si>
    <t>E0441504</t>
  </si>
  <si>
    <t>PERFORMED INSPECTION &amp; CHECK WARNING FLIGHT 1R ALREADY NSRDIL NO : NLA082066</t>
  </si>
  <si>
    <t>NSAJ007643</t>
  </si>
  <si>
    <t>WATER AND WASTE INDICATOR ON FAP ERROR</t>
  </si>
  <si>
    <t>E0441505</t>
  </si>
  <si>
    <t>IAW AMM ATA : 33-21-00 PERFORMED REPOSITION LED WINDOW LIGHT NO 29-30ABC DUE TO NOT BLINKING</t>
  </si>
  <si>
    <t>NWA009791</t>
  </si>
  <si>
    <t>DURING DBI, ARMCAP SEAT NO.16AC FOUND BAD CONDITION</t>
  </si>
  <si>
    <t>PERFORMED REPLACE ARMCAP SEAT NP.16AC D/T BAD CONDITION, HAS BEEN C/O</t>
  </si>
  <si>
    <t>NID016204</t>
  </si>
  <si>
    <t xml:space="preserve">SEAT POCKET AT SEAT NO : 1ACDF FOUND DIRTY </t>
  </si>
  <si>
    <t>E0441506</t>
  </si>
  <si>
    <t>IAW AMM ATA : 33-21-00 PERFORMED REPOSITION LED WINDOW LIGHT NO 19-28ABC DUE TO ALWAYS ILLUMINATE</t>
  </si>
  <si>
    <t>PERFORMED CLEAN UP SEAT POCKET AT SEAT NO : 1ACDF FOUND DIRTY HAS BEEN C/O</t>
  </si>
  <si>
    <t>NID012479</t>
  </si>
  <si>
    <t xml:space="preserve">PLACARD BILINGUAL NO SMOKING &amp; FASTEN SEATBELT WHILE SEATED IN FRONT SEAT NO 1ACDF &amp; 4ABCDEF FOUND BAD CONDITION
</t>
  </si>
  <si>
    <t xml:space="preserve">REPLACED PLACARD BILINGUAL NO SMOKING &amp; FASTEN SEATBELT WHILE SEATED IN FRONT SEAT NO 1ACDF &amp; 4ABCDEF FOUND BAD CONDITION
</t>
  </si>
  <si>
    <t>E0441507</t>
  </si>
  <si>
    <t>IAW AMM ATA : 25-21-00 PERFORM INSTALLED COVER POWER ON WATER BOILER AT 415 DUE TO MISSING</t>
  </si>
  <si>
    <t>NID014397</t>
  </si>
  <si>
    <t>REFF NSRDIL NID014396 ARM REST SEAT NO 30A BAD CONDITION</t>
  </si>
  <si>
    <t>COMPLETED COVER ARM REST SEAT NO 30A BAD CONDITION</t>
  </si>
  <si>
    <t>E0441508</t>
  </si>
  <si>
    <t>NSAJ020550</t>
  </si>
  <si>
    <t>AIRFI AT FWD &amp; AFT STATION NOT AVAILABLE</t>
  </si>
  <si>
    <t>PERFORM INSTALL AIRFI AT FWD &amp; AFT STATION NOT AVAILABLE</t>
  </si>
  <si>
    <t>TARGET CLOSED PER HARI</t>
  </si>
  <si>
    <t>PK-SJE</t>
  </si>
  <si>
    <t>NSAJ016790</t>
  </si>
  <si>
    <t>DAILY RON CHECK SEAT POCKET AT SEAT NO.1ABCDEF FOUND DIRTY</t>
  </si>
  <si>
    <t>SUMMARY CLOSED DAILY</t>
  </si>
  <si>
    <t>S110027</t>
  </si>
  <si>
    <t>CLEAN UP SEAT POCKET AT SEAT NO.1ABCDEF FOUND DIRTY</t>
  </si>
  <si>
    <t>IAW AMM ATA : 33-21-00 PERFORMED REPOSITION LAMP CEILLING LIGHT NO 20-21ABC DUE TO NOT ILLUMINATE</t>
  </si>
  <si>
    <t>NSAJ016787</t>
  </si>
  <si>
    <t>DAILY RON CHECK PLACARD "UNDANG-UNDANG" S/N 5C, 8B, 30C FOUND BAD CONDITION</t>
  </si>
  <si>
    <t>REPLACED PLACARD "UNDANG-UNDANG" S/N 5C, 8B, 30C FOUND BAD CONDITION</t>
  </si>
  <si>
    <t>GRAND TOTAL</t>
  </si>
  <si>
    <t>S110028</t>
  </si>
  <si>
    <t>NSAJ016786</t>
  </si>
  <si>
    <t>DAILY RON CHECK PLACARD NO CIGARETTE DISPOSAL AT ALL LAVATORY FOUND MISSING</t>
  </si>
  <si>
    <t>INSTALL PLACARD NO CIGARETTE DISPOSAL AT ALL LAVATORY FOUND MISSING</t>
  </si>
  <si>
    <t>NSRDIL AOC - CBM   |   PERIODE 2 - 8 OKTOBER 2026</t>
  </si>
  <si>
    <t>NSAJ017406</t>
  </si>
  <si>
    <t>PK-SJQ</t>
  </si>
  <si>
    <t>LATCH LOCK LAVATORY D FOUND MISSING</t>
  </si>
  <si>
    <t>PERFORM THE CHECKED OF KNOB LOCK DOOR AT LAVATORY D ALREADY COMPLETED AND OPERATIONAL TEST WORKING NORMALY</t>
  </si>
  <si>
    <t>S126664</t>
  </si>
  <si>
    <t>IAW AMM ATA : 23-32-00 PERFORMED RESET CB LED INDICATOR FAP AT COCKPIT RESULT NORMALLY</t>
  </si>
  <si>
    <t>NLA082639</t>
  </si>
  <si>
    <t xml:space="preserve">HANDLE LAVATORY LD &amp; LE FOUND NOT PROPERLY </t>
  </si>
  <si>
    <t xml:space="preserve"> PERFORMED RETIGHTENED SCREW HANDLE LAVATORY LD &amp; LE D/T NOT PROPERLY RESULT FUNCTION NORMAL</t>
  </si>
  <si>
    <t>NLA075601</t>
  </si>
  <si>
    <t>SIGN VALIDITY TAG DATE AT 5L NOT AVAILABLE</t>
  </si>
  <si>
    <t>S126665</t>
  </si>
  <si>
    <t>IAW AMM ATA : 25-45-00 PERFORM REPOSITION TOILET BOWL LAVATORY D DUE TO NOT PROPER</t>
  </si>
  <si>
    <t xml:space="preserve"> PERFORMED VERIFICATION CHECK STAMP AND SIGN VALIDITY TAG AT 5L FOUND GOOD CONDITION AND INSPETOR DECAL NEW REV 10 JULY</t>
  </si>
  <si>
    <t>NLA071331</t>
  </si>
  <si>
    <t xml:space="preserve">SHOULDER HARNESS FA 2 BAD CONDITION </t>
  </si>
  <si>
    <t xml:space="preserve">11 JULI 26 </t>
  </si>
  <si>
    <t>CAPACITY PER DAY</t>
  </si>
  <si>
    <t>CML E0433247 REF AMM 25-21-00 PERFORMED REPLACE SHOULDER HARNESS FA2 D/T BAD CONDITION RESULT GOOD</t>
  </si>
  <si>
    <t>S126666</t>
  </si>
  <si>
    <t>NLA052742</t>
  </si>
  <si>
    <t>CONNECTING ROD COVER AT COCKPIT DOOR BROKEN</t>
  </si>
  <si>
    <t xml:space="preserve">HAS BEEN REPLACE </t>
  </si>
  <si>
    <t>PERFORMED REPLACEMANT PLACARD CLOSED AND SECURE POS PARTITION SEAT NO 1C D/T BAD CONDITIO</t>
  </si>
  <si>
    <t>NID006948</t>
  </si>
  <si>
    <t>MINI TRAY TABLE S/N 1 DF FOUND NOT PROPERLY</t>
  </si>
  <si>
    <t>S117344</t>
  </si>
  <si>
    <t>IAW AMM ATA : 33-21-00 PERFORMED REPOSITION LAMP CEILLING LIGHT NO 2ABC DUE TO NOT ILLUMINATE. NO 23ABC INSERT AFML NO : S330134</t>
  </si>
  <si>
    <t>TOTAL DEPLOY</t>
  </si>
  <si>
    <t>PK-LAT</t>
  </si>
  <si>
    <t>NID014982</t>
  </si>
  <si>
    <t>PLACARD NO CAMERA TABLE AT OVERWING 2L, 3L, 3R FOUND BAD CONDITION</t>
  </si>
  <si>
    <t>PERFORMED COMPLETED PLACARD NO CAMERA 2L, 3L, 3R DUE TO BAD CONDITION HAS BEEN C/O</t>
  </si>
  <si>
    <t>S117345</t>
  </si>
  <si>
    <t>NID021288</t>
  </si>
  <si>
    <t>PERFORMED INSERT TO AFML NO : S330134 CEILLING LIGHT NO 29DEF NOT ILLUMINATE</t>
  </si>
  <si>
    <t>NSRDI NID021288 REOPEN TO NSRDI NBA033099</t>
  </si>
  <si>
    <t>NWA001546</t>
  </si>
  <si>
    <t>Performed Replaced Safety Walk At Entrance Door d/t Bad Condition. Has Been c/o</t>
  </si>
  <si>
    <t>S117346</t>
  </si>
  <si>
    <t>PERFORMED INSERT TO AFML NO : S330134 CEILLING LIGHT NO 3ABC NOT ILLUMINATE</t>
  </si>
  <si>
    <t>10 (70)</t>
  </si>
  <si>
    <t>NWA020872</t>
  </si>
  <si>
    <t>PERFORMED REPLACEMENT SEAT POCKET NO 3F,6C,7D,9D,9A D/T BAD CONDITION C/O RESULT NORMAL</t>
  </si>
  <si>
    <t>NWA020870</t>
  </si>
  <si>
    <t>PERFORM CLOSING NSRDI NO NWA020870 BLOWER AT LAVATORY IS BROKEN)</t>
  </si>
  <si>
    <t>S117347</t>
  </si>
  <si>
    <t>PK-WJP</t>
  </si>
  <si>
    <t>NWA007661</t>
  </si>
  <si>
    <t>TRANSFER TO NSRDIL PAGE NO.NWA007661 NEED PART DOOR AFT P/N125-620 QTY: 1EA RQ: ( 1128524 )</t>
  </si>
  <si>
    <t>S117348</t>
  </si>
  <si>
    <t>I.A.W AMM ATA 44-21-00 PERFORMED RECHARGE AIRFI AT AFT STATION FOUND DUE TO LOW BATTERY (SN : 190)</t>
  </si>
  <si>
    <t>PK-SJP</t>
  </si>
  <si>
    <t>NSAJ015764</t>
  </si>
  <si>
    <t>PERFORMED COMPLETED SEVERAL FASTENER AT BELLY FAIRING PANEL 192AT CARRIED OUT</t>
  </si>
  <si>
    <t>NSAJ017405</t>
  </si>
  <si>
    <t>DURING DAILY CHECK COVER DOOR 2L FOUND BAD CONDITION</t>
  </si>
  <si>
    <t>S122938</t>
  </si>
  <si>
    <t>PERFORM THE CHECKED OF COVER DOOR 2L ALREADY HAS BEEN REPAINTING DUE TO BAD CONDITION AND CONDITION GOOD</t>
  </si>
  <si>
    <t>PERFORMED RECTIFIED FRAME HANDLE ASSIST &amp; DOOR ASSIST HANDLE AT 4R DOOR NOT PROPER CONDITION HAS BEEN CARRIED OUT</t>
  </si>
  <si>
    <t>DOMINICUS SUPRAYOGI</t>
  </si>
  <si>
    <t>DODIK WAHYU</t>
  </si>
  <si>
    <t>15 (105)</t>
  </si>
  <si>
    <t>B.FAJAR BUDIARTO</t>
  </si>
  <si>
    <t>NSAJ006020</t>
  </si>
  <si>
    <t>REF NSRDIL NSAJ006011 PLACARD DO NOT SIT SLIDE 4R NOT AVAILABLE</t>
  </si>
  <si>
    <t>PERFORMED COMPLETED PLACARD DO NOT SIT AT SLIDE 4R PN:LT11-11-PLC-0181R1 QTY 1ea</t>
  </si>
  <si>
    <t>NSAJ024417</t>
  </si>
  <si>
    <t>S122939</t>
  </si>
  <si>
    <t>REFF ICT 18702 BACKREST COVER FA2 TORN CONDITION</t>
  </si>
  <si>
    <t>PERFORMED REPOSITION TUBE LAMP &amp; RECONNECT PLUG CEILLING LIGHT 32ABC D/T NOT ILLUMINATE HAS BEEN CARRIED OUT, OPT RESULT ILLUMINATE</t>
  </si>
  <si>
    <t>REOPEN TO NSAJ024421 ICT 18702 BACKREST COVER FA2 BAD CONDITION NEED PN:2E7002-11ASN COVER ASSY-BACK RQ : 1128556 REF IPC 25-22-41-02Y ITEM 40</t>
  </si>
  <si>
    <t>NSAJ024416</t>
  </si>
  <si>
    <t>REFF FINDING 7679 LIST BUTTON TOILET FLUSH FOUND BROKEN AT LE</t>
  </si>
  <si>
    <t>REOPEN TO NSAJ024420 FINDING 7679 LIST BOTTOM TOILET FLUSH LAVATORY E BROKEN NEED A3-929-0001-01 SWTICH ASSY-FLUSH RQ:1079630</t>
  </si>
  <si>
    <t>S122941</t>
  </si>
  <si>
    <t>ALREADY EXIST NSRDI PAGE NSAJ008209 D/T READING LIGHT FORWARD STATION DIM</t>
  </si>
  <si>
    <t>GFBFB</t>
  </si>
  <si>
    <t>NLA075551</t>
  </si>
  <si>
    <t>SAFETY CARD AND BRIFING CARD BAD CONDITION</t>
  </si>
  <si>
    <t>REPLACED SAFETY CARD AND BRIFING CARD REV 12</t>
  </si>
  <si>
    <t>18 (126)</t>
  </si>
  <si>
    <t>NLA080274</t>
  </si>
  <si>
    <t xml:space="preserve"> RECLINE BUTTON S/N 21E MISSING</t>
  </si>
  <si>
    <t>S122942</t>
  </si>
  <si>
    <t>DURING DAILY CHECK PERFORMED RECHARGING BATTERY AIRFI AT FWD AND AFT STATION D/T LOW BATT HAS BEEN C/O.SN : DSD.IU.999.0819.130 AND SDS.IU.999.0819.122</t>
  </si>
  <si>
    <t>BFBF</t>
  </si>
  <si>
    <t xml:space="preserve">PERFORMED COMPLETED  RECLINE BUTTON S/N 21E  D/T MISSING, RESULT GOOD </t>
  </si>
  <si>
    <t>NID008692</t>
  </si>
  <si>
    <t>REFF FINDING SRV 7694 ESCUTHEON NO 28F, 27E, 26ABC, 24AF, 23ABC, 22ACE, 21ABCEF, 20CEF, 19BCDE, 18ABC, 17DEF, 16ABC, 15BCE, 11CDE, 8E, 7ABC, 6DF, 5AD CRACK</t>
  </si>
  <si>
    <t>PERFORMED TRANSFER TO NSRDIL NO : NID008685 DUE TO DOUBLE DEFECT</t>
  </si>
  <si>
    <t>S122943</t>
  </si>
  <si>
    <t>DURING DAILY CHECK PERFORMED REPOSITION AND RETIGHTEN FRAME DOOR HANDLE AT 4L D/T NOT PROPER HAS BEEN CARRIED OUT</t>
  </si>
  <si>
    <t>NSAJ016762</t>
  </si>
  <si>
    <t>REFF FINDING SRV : 10016 FAIRING SEAT NO 10A, 11A, 17D, 18D, 32D CRACK</t>
  </si>
  <si>
    <t>PERFORMED REOPEN NSRDIL NO : NSAJ016791 RQ 1128984</t>
  </si>
  <si>
    <t>NSAJ015771</t>
  </si>
  <si>
    <t>S122944</t>
  </si>
  <si>
    <t>SAFETY PIN AT 4L CAN NOT INTACT LOCK</t>
  </si>
  <si>
    <t>DURING DAILY CHECK PERFORMED CLEAN UP FILTER WASH BASIN AT ALL LAVATORY D/T DIRTY HAS BEEN C/O</t>
  </si>
  <si>
    <t>PERFORMED RECTIFIED SAFETY IN AT 4L</t>
  </si>
  <si>
    <t>12 (84)</t>
  </si>
  <si>
    <t>NBA004992</t>
  </si>
  <si>
    <t>AIRFI AT AFT CABIN NOT AVALAIBLE</t>
  </si>
  <si>
    <t>S122945</t>
  </si>
  <si>
    <t>PERFORMED DAILY BEAUTIFICATION INSPECTION CARRIED OUT</t>
  </si>
  <si>
    <t>NSAJ012623</t>
  </si>
  <si>
    <t>COVER LAVATORY E BROKEN</t>
  </si>
  <si>
    <t>PERFORMED REPLACED COVER TOILET AT LAVATORY E D/T BROKEN</t>
  </si>
  <si>
    <t>NSAJ007420</t>
  </si>
  <si>
    <t>B132917</t>
  </si>
  <si>
    <t>REFF NSRDI PAGE NBA017489 COVER PLATE TISSUE BOX LAVATORY E MISSING, REOPEN TO NSRDI PAGE NID008817</t>
  </si>
  <si>
    <t>TRIM HEADRACK AT 12DEF BAD CONDITION</t>
  </si>
  <si>
    <t>TRANSFER TO NSAJ007420</t>
  </si>
  <si>
    <t>B132918</t>
  </si>
  <si>
    <t>DURING DAILY CHECK PERFORMED RECHARGING BATTERY AIRFI AT FWD AND AFT CABIN D/T LOWBAT HAS BEEN C/O. SN : DSD.ID.999.0619.595 &amp; DSD.ID.999.0619.650</t>
  </si>
  <si>
    <t>REF FINDING SRV 7694 COVER ARMREST 28F, 27E, 26ABCE, 24CF, 23ABC, 22ACE, 21ABCEF,20CE, 19BCDE, 18ABC, 17DEF, 16ABCD, 15ABCD, 12ABCDE, 11CDE. 8E, 7AB, 6DF, 5AD, FOUND CRACK"</t>
  </si>
  <si>
    <t>PERFORMED TRANSFER TO NSRDIL NID008685 DUE TO DOUBLE DEFFECT</t>
  </si>
  <si>
    <t>B132919</t>
  </si>
  <si>
    <t>DURING DAILY CHECK PERFORMED REFILL HAND SOAP AT ALL LAVATORY D/T EMPTY HAS BEEN C/O</t>
  </si>
  <si>
    <t>REF FINDING SRV 10016 " FAIRING SEAT NO : 10 A, 11A, 17D, 18D, 32 D CRACK "</t>
  </si>
  <si>
    <t>PERFORMED REOPEN NSRDIL NSAJ016791</t>
  </si>
  <si>
    <t>B132920</t>
  </si>
  <si>
    <t>RECLINE BUTTON S/N 21E MISSING</t>
  </si>
  <si>
    <t>PERFORMED COMPLETED RECLINE BUTTON S/N 21E D/T MISSING, RESULT GOOD</t>
  </si>
  <si>
    <t>B132921</t>
  </si>
  <si>
    <t>TRANSFER TO NSRDI PAGE NID008818 D/T REFF FINDING ICT #19002 BACKREST SEAT COVER OBSERVER BAD CONDITION</t>
  </si>
  <si>
    <t>PK-BKJ</t>
  </si>
  <si>
    <t>NID004606</t>
  </si>
  <si>
    <t>SEAT PAN/ SEATER LAVATORY LA FOUND BROKEN</t>
  </si>
  <si>
    <t>PERFORM REPLACEMENT SEAT PAN SEATER LAVATORY LA RESULT GOOD</t>
  </si>
  <si>
    <t>B132922</t>
  </si>
  <si>
    <t>TRANSFER TO NSRDI PAGE NID008819 D/T REFF FINDING ICT #19003 BACKREST COVER 1A, 1C, 3C BAD CONDITION</t>
  </si>
  <si>
    <t>NLA080798</t>
  </si>
  <si>
    <t>PLACARD LAW STATEMENT AT FWD PARTITION LH BAD CONDITION</t>
  </si>
  <si>
    <t>AFTER CHECKED CORELATED TO NSRDIL PAGE NLA091602</t>
  </si>
  <si>
    <t>B132923</t>
  </si>
  <si>
    <t>TRANSFER TO NSRDI PAGE NID008820 D/T REFF FINDING ICT #19008 HASRNESS FA4 BAD CONDITION</t>
  </si>
  <si>
    <t>NLA091601</t>
  </si>
  <si>
    <t>LAVATORY LE TOILET ONLY FAUCET CONTINOUS FLOW</t>
  </si>
  <si>
    <t>PERFORM CLEAN UP FILTER CATRIDGE FAUCET LE,TEST RESULT NORMAL</t>
  </si>
  <si>
    <t>B132924</t>
  </si>
  <si>
    <t>TRANSFER TO NSRDI PAGE NID008821 D/T REFF FINDING ICT #19929 STRAP AT BRACKET MEGAPHONE RH AFT FOUND NOT PROPER</t>
  </si>
  <si>
    <t>PK-WJZ</t>
  </si>
  <si>
    <t>NWA008880</t>
  </si>
  <si>
    <t>PLACARD INOP NOT AVAILABLE</t>
  </si>
  <si>
    <t>PERFORM COMPLETED PLACARD INOP</t>
  </si>
  <si>
    <t>B132925</t>
  </si>
  <si>
    <t>PERFORMED REPLACEMENT PLACARD UU PENERBANGAN AT SEAT S/N : 16A D/T BAD CONDITION HAS BEEN CARRIED OUT</t>
  </si>
  <si>
    <t>B132926</t>
  </si>
  <si>
    <t>PERFORMED RECTIFIED AND CLEAN UP COVER POCKET MAGAZINE AT SN 4A (AT PARTITION) D/T BAD CONDITION HAS BEEN CARRIED OUT</t>
  </si>
  <si>
    <t>NID024129</t>
  </si>
  <si>
    <t>PLACARD FUEL DRAIN VENT &amp;APU BAD</t>
  </si>
  <si>
    <t>B132927</t>
  </si>
  <si>
    <t>DURING DAILY CHECK PERFORMED COMPLETED ANTI MACCASAR AT SEAT 3A D/T MISSING HAS BEEN CARRIED OUT</t>
  </si>
  <si>
    <t>PERFOMED INSTALD PLACARD FUEL DRAIN VENT &amp;APU</t>
  </si>
  <si>
    <t>B132928</t>
  </si>
  <si>
    <t>NSAJ022640</t>
  </si>
  <si>
    <t>DURING DAILY CHECK SPEADER FAIRING LH SEAT 2C AND 9C FOUND CRACK</t>
  </si>
  <si>
    <t>REFF AMM 25-21-11 PERFORMED REPLACEMENT SPEADER FAIRING LH SEAT 2C AND 9C D/T CRACK HAS BEEN CARRIED OUT</t>
  </si>
  <si>
    <t>B138486</t>
  </si>
  <si>
    <t>PERFORMED RECHARGER AIRFI AT FWD DUE TO LOW BATTERY. RESULT GOOD</t>
  </si>
  <si>
    <t>NSAJ008150</t>
  </si>
  <si>
    <t>REFF NSRDI PAGE NSAJ008121, FINDING INSPECTION 11342 AFT CARGO NET THE STICTCHING BROKEN</t>
  </si>
  <si>
    <t>IBNU HAYAN</t>
  </si>
  <si>
    <t>ARI PURNOMO</t>
  </si>
  <si>
    <t>NANDA</t>
  </si>
  <si>
    <t>REOPEN TO NSRDI PAGE NSAJ007683</t>
  </si>
  <si>
    <t>NSAJ022623</t>
  </si>
  <si>
    <t>REFF FINDING SRV 11809 SPRING SEAT POCKET 31A, 30A, 30F, 26F, 25F, 22F BROKEN</t>
  </si>
  <si>
    <t>REOPEN TO NSRDI PAGE NSAJ007684</t>
  </si>
  <si>
    <t>B138485</t>
  </si>
  <si>
    <t>PERFORMED RETIGHTENED SCREW AT LEG SEAT NO 11DEF DUE TO NOT PROPERLY. OP'S TEST RESULT GOOD</t>
  </si>
  <si>
    <t>NSAJ022626</t>
  </si>
  <si>
    <t>BEVERAGE MAKER AT G5 INOP</t>
  </si>
  <si>
    <t>REOPEN TO NSRDI PAGE NSAJ007685</t>
  </si>
  <si>
    <t>NSAJ022628</t>
  </si>
  <si>
    <t>REFF FINDING SRV 10921 BACKREST SEAT COVER 1CD UNTIL 32CD BAD CONDITION</t>
  </si>
  <si>
    <t>B138484</t>
  </si>
  <si>
    <t>PERFORMED CLEAN UP FILTER WASH BASIN AT ALL LAVATORY DUE TO DIRTY. HAS BEEN C/O</t>
  </si>
  <si>
    <t>REOPEN TO NSRDI PAGE NSAJ007686</t>
  </si>
  <si>
    <t>NLA003378</t>
  </si>
  <si>
    <t>ONE OF BRACKET MEGAPHONE AT AFT CABIN MISSING</t>
  </si>
  <si>
    <t>PERFORMED REOPEN NSRDIL NO : NLA082070 RQ 1129456</t>
  </si>
  <si>
    <t>E0461502</t>
  </si>
  <si>
    <t>REF NSRDIL NO: NLA027648 PERFORMED REPLACED DEMO LIFEVEST AT AFT DUE TO BAD CONDITION. RESULT GOOD CONDITION</t>
  </si>
  <si>
    <t>NSRDI PAGE NBA006415 D/T NET AFT CARGO BAD CONDITION</t>
  </si>
  <si>
    <t>REOPEN NSRDI PAGE NBA006415</t>
  </si>
  <si>
    <t>REFF NSRDIL NO. NSAJ012510
SRV NO. 10234 "DURING PERFORMED WO INTERIOR CABIN INSPECTION , ROLLER BLIND AT (AFT LH &amp;RH) MISSING "</t>
  </si>
  <si>
    <t>E0458807</t>
  </si>
  <si>
    <t>PERFORMED TOP UP PRESSURE DOOR DAMPER AT DOOR 4R DUE TO YELLOW BAND. RESULT GOOD</t>
  </si>
  <si>
    <t>SRV NO. 10234 DURING PERFORMED WO INTERIOR CABIN INSPECTION , ROLLER BLIND AT (AFT LH &amp;RH) MISSING , DEFECT NSAJ021310 TRANSFER TO NSAJ021320 DOUBLE DEFECT</t>
  </si>
  <si>
    <t>BEVERAGE MAKET AT G1 LOW WATER</t>
  </si>
  <si>
    <t>PERFORMED RECTIFIED BEVERAGE MAKER AT G1 DUE TO LOW WATER TEST ON GROUND RESULT NORMAL AND WATER HOT</t>
  </si>
  <si>
    <t>E0458808</t>
  </si>
  <si>
    <t>REF AMM 25-00-00 PERFORM DAILY BEAUTIFICATION INSPECTION CHECK.</t>
  </si>
  <si>
    <t>REFF AMM 23 , PERFORMED TEST BITE CABIN SYSTEM ON FAP, WATER AND WASTE INDICATOR NORMALLY</t>
  </si>
  <si>
    <t>AMM 11-32-00 PERFORMED COMPLETED PLACARD LAW STATEMENT AT 2F AND 3DF D/T MISSING. HAS BEEN C/O</t>
  </si>
  <si>
    <t>E0458809</t>
  </si>
  <si>
    <t>REF WO NO: 2334019 PERFORMED AIRCRAFT PEST CONTROL APPLICATION GUIDE</t>
  </si>
  <si>
    <t>REOPEN TO NSRDIL NID016227 D/T NEED PART PN. Z111H0037131,NSRDIL CLOSED</t>
  </si>
  <si>
    <t>B139745</t>
  </si>
  <si>
    <t>PERFORM REPLACED COVER TOILET AT LAVATORY A HAS BEEN CLOSED</t>
  </si>
  <si>
    <t>PERFORM ADDED SPARE SAFETY CARD QTY.20EA NEW REVISION</t>
  </si>
  <si>
    <t>B139746</t>
  </si>
  <si>
    <t>TRANSFER TO NSRDI NO NID014985 REFF FINDING SRV 9488 1 PEDESTAL RUBBER AT CO-PILOT FOUND BAD CONDITION NEED PN: D2721010320000 QTY: 1EA NO RQ: 1128888</t>
  </si>
  <si>
    <t>PERFORM COMPLETED SAFETY CARD, BRIEFING CARD &amp; PLACARD INOP HAS BEEN C/O</t>
  </si>
  <si>
    <t>B138127</t>
  </si>
  <si>
    <t>SURIANTON</t>
  </si>
  <si>
    <t>B739-MAX</t>
  </si>
  <si>
    <t>PERFORM REPLACED ONE OF O2 MASK FOR SAFETY DEMO D/T NOT RESERVOIR BAG RESULT GOOD</t>
  </si>
  <si>
    <t>B139747</t>
  </si>
  <si>
    <t>REF AMM:38-31-00 WO:2348994,PERFORM CLEANING OF VACUUM WASTE LINES WITH CHEMICAL CLEANING AGENT C/O</t>
  </si>
  <si>
    <t>S122833</t>
  </si>
  <si>
    <t>REF AMM:25-35-00 PERFORM CLEAN UP VALVE OF GALLEY SINK AT AFT D/T FLOODING,RESULT NORMALLY</t>
  </si>
  <si>
    <t>DEDE YUSUF RANGKUTI</t>
  </si>
  <si>
    <t>PERFORM REPLACED TUBE LAMP OF ENTRY LIGHT AT AFT STATION DOOR 4R DUE TO NOT ILL</t>
  </si>
  <si>
    <t>S122838</t>
  </si>
  <si>
    <t>PERFORM COMPLETED RUBBER GRIP CAPT (LH) AND FO SIDE (RH) AT CONTROL COLUMN D/T MISSING</t>
  </si>
  <si>
    <t>S122837</t>
  </si>
  <si>
    <t>REF AMM:25-65-00 PERFORM REPLACE BATTERY OF FLASH LIGHT AT FA 3 D/T NOT ILLUMINATE,RESULT ILLUMINATE</t>
  </si>
  <si>
    <t>PERFORM RECTIFIED HOT JUG NO.2 OPT TEST RESULT GOOD &amp; NORMAL FUNCTIONAL</t>
  </si>
  <si>
    <t>S122835</t>
  </si>
  <si>
    <t>REF AMM:25-35-00 PERFORM REPOSITION CLAMP OF WATER FILTER VISUAL CHECK FOUND WATER FILTER LEAK,OP'S TEST RESULT GOOD</t>
  </si>
  <si>
    <t>DEFECT REOPEN TO NSRDIL NWA008802 NEED PART DOOR ASSY PN : S2522910100100 AND FRAME ASSY P/N S2522912000000</t>
  </si>
  <si>
    <t>S111145</t>
  </si>
  <si>
    <t>REF AMM:38-31-00 WO:2330275,PERFORM CLEANING OF VACUUM WASTE LINES WITH CHEMICAL CLEANING AGENT C/O</t>
  </si>
  <si>
    <t>RIKI</t>
  </si>
  <si>
    <t>NID008256</t>
  </si>
  <si>
    <t>OVEN NO 2 AT AFT INOPERATIVE</t>
  </si>
  <si>
    <t>REOPEN TO NSRDIL NO NID008261</t>
  </si>
  <si>
    <t>S111146</t>
  </si>
  <si>
    <t>REF AMM:25-00-00 WO:1985943,PERFORM INTERIOR CABIN INSPECTION C/O</t>
  </si>
  <si>
    <t>NBA051946</t>
  </si>
  <si>
    <t>VOLUME CONTOL MEGAPHONE AT AFT CABIN NOT AVAILABLE</t>
  </si>
  <si>
    <t>PERFORMED COMPLETED KNOB VOLUME CONTROL
MEGAPHONE AT AFT CABIN HASBEEN C/O, OPRATIONAL TEST GOOD AND NORMALLY.</t>
  </si>
  <si>
    <t>NLA072372</t>
  </si>
  <si>
    <t>REF FINDING NO. 15004 "COVER LENS WHEEL WELL LT WAS MISSING"</t>
  </si>
  <si>
    <t>S111147</t>
  </si>
  <si>
    <t>NEED PART
RE OPEN NSRDIL NO : 082324</t>
  </si>
  <si>
    <t>NLA072371</t>
  </si>
  <si>
    <t>REF FINDING QAA 15034 AND 15035 ALMOST SEAT POCKET COVER AND SEAT COVER PK-LQS IS TORN (BAD CONDITION) FOUND BACKREST (SEAT POCKET) AT SEAT NO 1C, 2CD, 3CD, 4CD, 5BCD, 6CD, 7ACDEF, 8ABCD, 9BCDF, 10BCD, 11CD, 12BCD, 15ABCD, 16ACD, 17CD, 18BCD, 19CD, 20CD, 21CD, 22ABCDE, 23CDEF, 24BCD, 25CDE, 26BCDEF, 27CD, 28CDE, 29CD, 30CD, 31CD, 32ACD, 33ABCD, 34ABCD, 35CD, 36ABCD, 37CD, 38CD ARE BAD CONDITION</t>
  </si>
  <si>
    <t>E0428464</t>
  </si>
  <si>
    <t>NEED PART 
RE OPEN TRANSFER TO NSRDIL NO :NLA082325</t>
  </si>
  <si>
    <t>REF AMM:33-21-00 PERFORM RECONNECT CONECTOR PLUG WINDOW LIGHT S/N 7-8ABC,9DEF,30ABC,39DEF D/T NOT ILLUMINATE,RESULT ILLUMINATE</t>
  </si>
  <si>
    <t>AHYARUDDIN</t>
  </si>
  <si>
    <t>AIP RUSIDY</t>
  </si>
  <si>
    <t>PK-LAL</t>
  </si>
  <si>
    <t>NID021746</t>
  </si>
  <si>
    <t>REF NSRDIL NID021701 SEAT BUSINESS NO. 1ACDF AND 2ACDF QUICK LOCK BROKEN</t>
  </si>
  <si>
    <t>PERFORMED RECTIFIED SPRING QUICK LOCK SEAT BUSSINESS NO 1 ACDF AND 2ACDF , OP'S TEST RESULT NORMALLY</t>
  </si>
  <si>
    <t>NLA075537</t>
  </si>
  <si>
    <t>E0428465</t>
  </si>
  <si>
    <t>CURTAIN @G4B BAD CONDITION</t>
  </si>
  <si>
    <t>REF AMM:33-21-00 PERFORM RECONNECT CONECTOR PLUG WINDOW LIGHT S/N 4DEF,21ABC,38-39ABC D/T ALWAYS ILLUMINATE,RESULT NORMALLY ILLUMINATE</t>
  </si>
  <si>
    <t>REOPEN TRANSFER TO NSRDIL PAGE NO.NLA075539</t>
  </si>
  <si>
    <t>PK-LER</t>
  </si>
  <si>
    <t>NLA085249</t>
  </si>
  <si>
    <t>REF NSRDI NO NLA085247 SEAT 53KH ARMREST COVER DAMAGE</t>
  </si>
  <si>
    <t>TRANSFER (RE OPEN) NSRDI NO NLA070772</t>
  </si>
  <si>
    <t>E0428466</t>
  </si>
  <si>
    <t>REF AMM:25-64-00 WO:2283730,PERFORM REPLACEMENT FIRST AID KIT D/T EXPIRED 30 OCT 2026</t>
  </si>
  <si>
    <t>NID006136</t>
  </si>
  <si>
    <t>REFF NSRDI NO NID006136 CARPET UNDER SEAT NO 6DEF, 8E, 18DE, 22DF BAD CONDITION</t>
  </si>
  <si>
    <t>PERFORM REPLACED CARPET UNDER SEAT NO 6DEF, 8E, RESULT GOOD AND REOPEN TO NSRDI NO NID006137</t>
  </si>
  <si>
    <t>PK-WGM</t>
  </si>
  <si>
    <t>NWA008870</t>
  </si>
  <si>
    <t>E0428467</t>
  </si>
  <si>
    <t>DURING WALK AROUND I FOUND RH PROP SPINER HUB MISSING ONE BOLT</t>
  </si>
  <si>
    <t>REOPEN TO NSRDI NO NWA008876</t>
  </si>
  <si>
    <t>NID002040</t>
  </si>
  <si>
    <t>SRV NO.13395 SEAT POCKET AT NO,4C BAD CONDITION</t>
  </si>
  <si>
    <t>PERFORMED REPLACED BACKREST COVER AT NO.4C. DUE TO BAD CONDITION</t>
  </si>
  <si>
    <t>E0449056</t>
  </si>
  <si>
    <t>REF AMM:33-29-00 PERFORM RESET FROM ACP ENTRY LIGHT RESULT NORMALLY</t>
  </si>
  <si>
    <t>NID021833</t>
  </si>
  <si>
    <t>DURING DAILY INSPECTION COVER LENS GLASS ARM / DISARMED DOOR 4R AND 4L MISSING</t>
  </si>
  <si>
    <t>PERFORMED COMPLETED COVER LENS GLASS ARM DISARMED AT DOOR 4R AND 4L DUE TO MISSING</t>
  </si>
  <si>
    <t>NID021837</t>
  </si>
  <si>
    <t>REFF NSRDI PAGE NO: NID021801 BACKREST COVER AT SEAT NO.1AC, 2AC IS FOUND BAD CONDITION.</t>
  </si>
  <si>
    <t>E0449062</t>
  </si>
  <si>
    <t>REF AMM:25-64-00 WO:2284235,PERFORM REPLACE BATTERY MEGAPHONE D/T EXPIRED 29 OCT 2026</t>
  </si>
  <si>
    <t>PERFORMED REPLACED BACKREST COVER SEAT 1AC AND 2AC DUE TO BAD CONDITION</t>
  </si>
  <si>
    <t>NID021840</t>
  </si>
  <si>
    <t>REFF NSRDIL NO. NID021811 SRV 11949 BOTTOM COVER 1ACDF,2ACDF,3ACDF BAD CONDITION</t>
  </si>
  <si>
    <t>SRV. 11949, PERFORMED REPLACED BOTTOM COVER SEAT 1ACDF, 2ACDF, 3ACDF DUE TO BAD CONDITION</t>
  </si>
  <si>
    <t>E0449063</t>
  </si>
  <si>
    <t>NBA047693</t>
  </si>
  <si>
    <t>REFF NSRDI NBA047675, REFF FINDING CBM SRV 10250 BOTTOM SEAT FA2 NOT PROPER</t>
  </si>
  <si>
    <t>PERFORMED REPOSITION BOTTOM SEAT FA2 D/T NOT PROPER HAS BEEN CARRIED OUT</t>
  </si>
  <si>
    <t>B138488</t>
  </si>
  <si>
    <t>REF AMM:25-22-00 WO:2352590,PERFORM REPLACEMENT HYDROLOCK SEAT 1CF D/T CAN'T RESCLINE,RESULT GOOD FUNCTION</t>
  </si>
  <si>
    <t>NBA047675</t>
  </si>
  <si>
    <t>REFF FINDING CBM SRV 10250 BOTTOM SEAT FA2 NOT PROPER</t>
  </si>
  <si>
    <t>NSRDI NBA047675 REOPEN TO NSRDI NBA047693 (NEED PART PN : 2E7020-1APX)</t>
  </si>
  <si>
    <t>B138487</t>
  </si>
  <si>
    <t>NBA007489</t>
  </si>
  <si>
    <t>REFF NSRDIL NBA007488 IFE AT SEAT NO. 15ABC, 29ABC, 7DEF, 29DEF RDU OFFLINE. PLEASE T/S INVESTIGATION</t>
  </si>
  <si>
    <t>TRANSFER TO NSRDIL NO NBA007491
DUE TO NEED PART PN : 00-5024-51</t>
  </si>
  <si>
    <t>C039464</t>
  </si>
  <si>
    <t>REF AMM:25-00-00 WO:1941959,PERFORM REMOVE HALON FIREX FOR RESTORE C/O</t>
  </si>
  <si>
    <t>NBA003089</t>
  </si>
  <si>
    <t>DURING CHECK FOUND SEAT TRACK COVER S/N 28D /26D MISSING</t>
  </si>
  <si>
    <t xml:space="preserve">PERFORMED REPLACED SEAT TRACK COVER NO 26D,28D HAS BEEN DONE </t>
  </si>
  <si>
    <t>C039463</t>
  </si>
  <si>
    <t>REF AMM:25-00-00 WO:1745129,PERFORM REMOVE HALON FIREX FOR RESTORE C/O</t>
  </si>
  <si>
    <t>NSAJ020653</t>
  </si>
  <si>
    <t>REFF NSDRIL NSAJ020653 INDICATOR BEVERAGE MAKER NOT WORKNG</t>
  </si>
  <si>
    <t>IAW AMM 25-00-00 PERFORMED RESET CB AND REACTIFIED BERAVEGE MAKER FWD G1 OPS TEST NORMALLY</t>
  </si>
  <si>
    <t>E0431389</t>
  </si>
  <si>
    <t>REF AMM:33-21-00 PERFORM RESET CABIN LIGHTING FROM ACP FOR MAINTENANCE RESULT TEST WINDOW LIGHT 10ABC,22DEF AND 25DEF ILLUMINATE</t>
  </si>
  <si>
    <t>E0431390</t>
  </si>
  <si>
    <t>REF AMM:33-21-00 PERFORM RECONNECT CONECTOR PLUG WINDOW LIGHT 8 AND 31DEF D/T NOT ILLUMINATE,RESULT TEST ILLUMINATE</t>
  </si>
  <si>
    <t>E0431391</t>
  </si>
  <si>
    <t>REF AMM:11-32-00 ALREADY INSERT TO NSRDIL NLA087498[PLACARD S/N 31ABC IS MISSING]</t>
  </si>
  <si>
    <t>E0431392</t>
  </si>
  <si>
    <t>E0441668</t>
  </si>
  <si>
    <t>PERFORMED RECONNECT PLUG WINDOW LIGHT  CHECK RESULT NORMALLY DUE TO WINDOW LIGHT 30,DEF,35,ABC,39,ABC IS BLINKING</t>
  </si>
  <si>
    <t>WARYONO</t>
  </si>
  <si>
    <t>E0441670</t>
  </si>
  <si>
    <t>PERFORMED COMPLATED SPARE BRIFING CARD   C/O</t>
  </si>
  <si>
    <t>E0441673</t>
  </si>
  <si>
    <t>PERFORMED RECTIFIED COVER VIEWING WINDOW 4R RESULT CHECK GOOD</t>
  </si>
  <si>
    <t>E0441674</t>
  </si>
  <si>
    <t>PERFORMED RECTIFIED HEADREST NO 23D RESULT CHECK GOOD</t>
  </si>
  <si>
    <t>E0441675</t>
  </si>
  <si>
    <t>PERFORMED RECONNEC CONNECTOR PLUG WINDOW LIGHT RESULT CHECK  WINDOW LIGHT 31DEF  ILLUMINATE</t>
  </si>
  <si>
    <t>E0441667</t>
  </si>
  <si>
    <t>PERFORMED RECONNEC CONNECTOR PLUG WINDOW LIGHT RESULT CHECK  WINDOW LIGHT ILLUMINATE</t>
  </si>
  <si>
    <t>B137533</t>
  </si>
  <si>
    <t>PERFORMED RECTIIFED (WITH DOUBLE TAPE) PLACARD "DON'T USE POWERBANK" S/N 19C  AND PLACARD "FASTEN SEAT BELT , SWITCH OFF MOBILE PHONE , LIFEVEST UNDERSEAT AT S.N 22C D/T BAD CONDITION. RESULT CHECK GOOD</t>
  </si>
  <si>
    <t>M. ADHIM</t>
  </si>
  <si>
    <t>B137534</t>
  </si>
  <si>
    <t>PERFORMED RETIGHTEN SCREW ARM CAP S/N 11D D/T LOOSEN . RESULT CHECK PROPER CONDITION</t>
  </si>
  <si>
    <t>E0449122</t>
  </si>
  <si>
    <t>PERFORMED REPLACED TL (PN : 5113WW) OF LAV A D/T NOT ILLUMINATE. RESULT OPS TEST ILLUMINATE</t>
  </si>
  <si>
    <t>E0449125</t>
  </si>
  <si>
    <t>PERFORMED RETIGHTEN ScREW OF HANDLE DOOR LAV E D/T LOOSEN. RESULT PROPERLY</t>
  </si>
  <si>
    <t>B136894</t>
  </si>
  <si>
    <t>PERFORMED ADD PLACARD INOP D/T EMPTY. HAS BEEN C/O</t>
  </si>
  <si>
    <t>B136895</t>
  </si>
  <si>
    <t>PERFORMED REINSTALL COVER SEAT TRACK SN 24E D/T LOOSEN . RESULT CHECK GOOD</t>
  </si>
  <si>
    <t>A/C STATUS</t>
  </si>
  <si>
    <t>NO DOC</t>
  </si>
  <si>
    <t>B136896</t>
  </si>
  <si>
    <t>PERFORMED REINSTALL HOOK OF CURTAIN AFT STA D/T NOT PROPERLY. RESULT CHECK PROPERLY</t>
  </si>
  <si>
    <t>B136897</t>
  </si>
  <si>
    <t>PERFORMED ADD NEW CML BOOK D/T EMPTY . HAS BEEN COMPLETED</t>
  </si>
  <si>
    <t>E0441669</t>
  </si>
  <si>
    <t>PERFORMD RECCONNECT PLUG  ENTRY LIGHT CHECK RESULT NORMAL DUE T ENTRY LIGHT AT EFT FOUND ALWAYS ILLUMINATE</t>
  </si>
  <si>
    <t>PKLSK</t>
  </si>
  <si>
    <t>E0441671</t>
  </si>
  <si>
    <t>PERFORMED  RECTIFIED WARNING FLAG  5,R &amp; 5,L  CHECK RESULT  GOOD  DUE TO NOT PROPER</t>
  </si>
  <si>
    <t>E0441122</t>
  </si>
  <si>
    <t>PERFORMED CLEAN UP FILTER WASH BASIN AT ALL LAVATORY DUE TO  DIRTY</t>
  </si>
  <si>
    <t>RAHMAD EKO</t>
  </si>
  <si>
    <t>E0441123</t>
  </si>
  <si>
    <t>PERFORMED RECTIFIED LOCK TABLE SEAT NO 21K,52G DUE TO LOOSE</t>
  </si>
  <si>
    <t>E0441124</t>
  </si>
  <si>
    <t>PERFORMED CHECKED ALL OVEN AT FWD AND AFT GALLEY RESULT NORMAL</t>
  </si>
  <si>
    <t>E0441125</t>
  </si>
  <si>
    <t>PERFORMED COMPLETED PLACARD DO NOT USE POWER BANK AT SEATNO 46HJ DUE TO  MISSING</t>
  </si>
  <si>
    <t>E0441126</t>
  </si>
  <si>
    <t>PERFORMED BEAUTIFICATION INSPECTION DAILY  HAS BEEN C/O</t>
  </si>
  <si>
    <t>S125952</t>
  </si>
  <si>
    <t>RERFORMED REPLASED LAMP TL CHECK RESULT ILLUMINATE DUE TO CEILINGLIGHT 3D 22D NOT ILLUMINATE</t>
  </si>
  <si>
    <t>B137097</t>
  </si>
  <si>
    <t>PERFORMED REPOSITION LATCH STOWAGE NO.508 AT AFT STATION DUE TO HARD TO MOVE,RESULT NORMAL</t>
  </si>
  <si>
    <t>ATHUR HIDAYATULLOH</t>
  </si>
  <si>
    <t>B137098</t>
  </si>
  <si>
    <t>PERFORMED RESET CIDS AND CHECK ALL HANSEAT ON GROUND RESULT NORMAL</t>
  </si>
  <si>
    <t>B137099</t>
  </si>
  <si>
    <t>DURING DBI PERFORMED RECHARGE AIRFI AT FWD CABIN S/N 505 DUE TO LOW BATT</t>
  </si>
  <si>
    <t>B137800</t>
  </si>
  <si>
    <t>PERFORMED BEAUTIFICATION DAILY INSPECTION HAS BEEN CARRIED OUT</t>
  </si>
  <si>
    <t>B143585</t>
  </si>
  <si>
    <t>REFF NSRDI PAGE NO NID012421 AISLE CARPET FOUND BAD CONDITION, DEFECT RE OPEN TO NSRDI PAGE NO.NID012429 NEED SPARE P/N : A320-25-636-KIT RQ :  1129064</t>
  </si>
  <si>
    <t>B143586</t>
  </si>
  <si>
    <t>AISLE CARPET FOUND BAD CONDITION, TRANSFER TO NSRDI PAGE NO.NID012429 NEED SPARE P/N : A320-25-636-KIT RQ :  1129064</t>
  </si>
  <si>
    <t>B143587</t>
  </si>
  <si>
    <t>REFF NSRDI PAGE NO NID02422 FINDING SRV 10064 ARMCAP 25D FLAKING,DEFECT RE OPEN TO NSRDI PAGE NO.NID012430 NEED SPARE P/N : F0471489 RQ  : 1129068</t>
  </si>
  <si>
    <t>B143588</t>
  </si>
  <si>
    <t>ARMCAP 25D FLAKING,DEFECT TRANSFER TO NSRDI PAGE NO.NID012430 NEED SPARE P/N : F0471489  RQ :  1129068</t>
  </si>
  <si>
    <t>B143589</t>
  </si>
  <si>
    <t>REFF NSRDI PAGE NO.NID 012424 COVER LIFE VEST AT SEAT NO.2DF IS FOUND BROKEN, DEFECT RE OPEN TO NSRDI PAGE NO.NID012431 NEED SPARE P/N : 207-00-870-28RF RQ :  1129069</t>
  </si>
  <si>
    <t>B143590</t>
  </si>
  <si>
    <t>COVER LIFE VEST AT SEAT NO.2DF IS FOUND BROKEN, TRANSFER TO NSRDI PAGE NO.NID012431 NEED SPARE P/N : 207-00-870-28RF RQ :  1129069</t>
  </si>
  <si>
    <t>B143591</t>
  </si>
  <si>
    <t>REFF NSRDI PAGE NO NBA051338 ARMCAP ASSY 4 D BROKEN,DEFECT RE OPEN TO NSRDI PAGE NO NID012432 NEED SPARE P/N : F0471490 RQ : 1129075</t>
  </si>
  <si>
    <t>BI43592</t>
  </si>
  <si>
    <t>ARMCAP ASSY AT SEAT NO.4D BROKEN,DEFECT TRANSFER TO NSRDI PAGE NO NID012432 NEED SPARE P/N : F0471490 RQ : 1129075</t>
  </si>
  <si>
    <t>PK-LUR</t>
  </si>
  <si>
    <t>B143567</t>
  </si>
  <si>
    <t>PERFORMED REPLACED LAP SEAT BELT ASSY AT SEAT NO.29E DUE TO TORN,HAS BEEN C/O RESULT GOOD PN OFF : 2006-1-511-8061, PN ON : 2006-1-511-8061</t>
  </si>
  <si>
    <t>B143568</t>
  </si>
  <si>
    <t>DURING DBI PERFORMED COMPLETED AIRFI AT AFT CABIN DUE TO NOT AVAILABLE,HAS BEEN C/O PN ON : DSD.ID.999.0619 SN ON : DSD.ID.999.0619.597</t>
  </si>
  <si>
    <t>B143569</t>
  </si>
  <si>
    <t>DURING DBI PERFORMED CLEAN UP FILTER WASH BASIN AT LAV E,LAV D DUE TO DIRTY HAS BEEN C/O RESULT GOOD</t>
  </si>
  <si>
    <t>B143570</t>
  </si>
  <si>
    <t>E0438045</t>
  </si>
  <si>
    <t>BEAUTIFICATION DAILY INSPECTION HAS BEEN C/O</t>
  </si>
  <si>
    <t>DIANTORO</t>
  </si>
  <si>
    <t>E0438043</t>
  </si>
  <si>
    <t>NEED SPARE BRIEFING CARD DEFECT TRANSFER TO NSRDI NO. NLA083700</t>
  </si>
  <si>
    <t>E0438041</t>
  </si>
  <si>
    <t>PERFORMED REPOSITION CONNECTOR PLUG WINDOW LIGHT SEAT NO.11ABC, 21DEF, DUE TO NOT ILLUMINATE. OPS TEST RESULT ILLUMINATE</t>
  </si>
  <si>
    <t>E0438044</t>
  </si>
  <si>
    <t>ATTENDANT CALL AT LD UNSERVICEABLE, DEFECT TRANSFER TO NSRDI NO.NLA083669 NEED PN:0206081-101</t>
  </si>
  <si>
    <t>E0438042</t>
  </si>
  <si>
    <t>PERFORMED REPOSITION CONNECTOR PLUG WINDOW LIGHT SEAT NO.10ABC DUE TO BLINKING. RESULT GOOD</t>
  </si>
  <si>
    <t>E0438048</t>
  </si>
  <si>
    <t>PERFORMED RECTIFIED GASPER AIR OUTLET NO.5D DUE TO CAN'T ADJUST RESULT GOOD</t>
  </si>
  <si>
    <t>E0438047</t>
  </si>
  <si>
    <t>PERFORMED RECTIFIED PUSH BUTTON READING LIGHT NO.5D DUE TO INOP. RESULT GOOD</t>
  </si>
  <si>
    <t>E0438046</t>
  </si>
  <si>
    <t>PERFORMED RECTIFIED BUTTON RECLINE SEAT NO.5A, 4E, 3ABCF DUE TO CAN'T RECLINE OPS TEST RESULT GOOD</t>
  </si>
  <si>
    <t>S125954</t>
  </si>
  <si>
    <t>S125953</t>
  </si>
  <si>
    <t>PERFORMED CHARGER AIRFI AT FWD AND AFT CABIN DUE TO BATTERY LOW HAS BEEN C/O SN:173, SN:134</t>
  </si>
  <si>
    <t>PK-SJW</t>
  </si>
  <si>
    <t>PHASE</t>
  </si>
  <si>
    <t>S126208</t>
  </si>
  <si>
    <t>FLASH LIGHT FA3,FA6 NOT ILLUMINATE DEFECT ALREADY INSERT TO DMI:SAJ013419</t>
  </si>
  <si>
    <t>BENI ARISANDI</t>
  </si>
  <si>
    <t>S126209</t>
  </si>
  <si>
    <t>PERFORMED REPOSITION TUBE LAMP CEILLING LIGHT 32ABC D/T NOT ILLUMINATE</t>
  </si>
  <si>
    <t>S126211</t>
  </si>
  <si>
    <t>DURING DBI PERFORMED RECHARGE AIRFI FWD AND AFT CABIN S/N:197,138</t>
  </si>
  <si>
    <t>S126210</t>
  </si>
  <si>
    <t>PK-SAQ</t>
  </si>
  <si>
    <t>S125070</t>
  </si>
  <si>
    <t>DURING DBI PERFORMED RECHARGE AIRFI FWD AND AFT CABIN S/N:016,199</t>
  </si>
  <si>
    <t>S125069</t>
  </si>
  <si>
    <t>S125068</t>
  </si>
  <si>
    <t>PERFORMED REPOSITION TUBE LAMP WINDOW LIGHT 12DEF D/T NOT ILLUMINATE</t>
  </si>
  <si>
    <t>PK-LPK</t>
  </si>
  <si>
    <t>E0461033</t>
  </si>
  <si>
    <t>E0461032</t>
  </si>
  <si>
    <t>WINDOW LIGHT 6DEF,11DEF,6DEF,30ABC NOT ILLUMINATE DEFECT ALREADY INSERT TO DMI:023091</t>
  </si>
  <si>
    <t>E0461031</t>
  </si>
  <si>
    <t>PERFORMED RECONNECT CONNECTOR PLUG WINDOW LIGHT 3DEF D/T BLINKING</t>
  </si>
  <si>
    <t>E0461034</t>
  </si>
  <si>
    <t>PLACARD CAUTION CRITICAL AIRFLOW AT LH AND RH ALPHA VANE AIRFLOW SENSOR MISSING , NEED PLACARD :LT11-11-PLC-02364 {2EA} TRANSFER TO NSRDI NLA080220</t>
  </si>
  <si>
    <t>ABDI FIRMAN</t>
  </si>
  <si>
    <t>M. ADIB</t>
  </si>
  <si>
    <t>E0461035</t>
  </si>
  <si>
    <t>PLACARD FEULING STATION AND DEFEULING STATION AT RH LOWER WING MISSING NEED PLACARD LT11-11-PLC-01078 {1EA} LT11-11-PLC-01079 {1EA} TRANSFER TO NSRDI NLA080221</t>
  </si>
  <si>
    <t>E0461036</t>
  </si>
  <si>
    <t>PERFORM PAINTING PLACARD /MARKING INSTRUCTION OPEN DOOR AT FWD AVIONICS ACCES DOOR DUE TO MISSING HAS BEEN C/O</t>
  </si>
  <si>
    <t>E0461037</t>
  </si>
  <si>
    <t>PERFORM PAINTING PANEL AT RH LH LOWER WING DUE TO PAINT PEEL OFF HAS BEEN C/O</t>
  </si>
  <si>
    <t>E0461038</t>
  </si>
  <si>
    <t>PERFORM REPAINTING AT LOWER FUSELAGE DUE TO PAINT PEEL OFF HAS BEEN C/O</t>
  </si>
  <si>
    <t>E0451826</t>
  </si>
  <si>
    <t>PERFORM REPAINTING UPPER LH RH FUSELAGE DUE TO PAINT PEEL OFF HAS BEEN C/O</t>
  </si>
  <si>
    <t>E0451827</t>
  </si>
  <si>
    <t>PERFORM REPAINTING UPPE RH WING  DUE TO PAINT PEEL OFF C/O</t>
  </si>
  <si>
    <t>E0451828</t>
  </si>
  <si>
    <t>PERFORM REPAINTING MARKING "ENGINE OIL ACCES" AT ENGINE #2 COWLING DUE TO MISSING HAS BEEN C/O</t>
  </si>
  <si>
    <t>E0451829</t>
  </si>
  <si>
    <t>PAINT PEEL OFF AT UPPER LH WING TRANSFER TO NSRDI NLA080278</t>
  </si>
  <si>
    <t>B137535</t>
  </si>
  <si>
    <t>PERFORMED BEAUTIFICATION DAILY INSPECTION HAS BEEN C/O</t>
  </si>
  <si>
    <t>ALI MAKSUM</t>
  </si>
  <si>
    <t>B137536</t>
  </si>
  <si>
    <t>PERFORMED RECHARGING AIRFI AT AFT CABIN DUE TO BATTREY LOW BATT S/N:462</t>
  </si>
  <si>
    <t>S121422</t>
  </si>
  <si>
    <t>S121421</t>
  </si>
  <si>
    <t>PERFORMED OPS TEST ON GROUND FAP SCREEN FOUND NORMALLY</t>
  </si>
  <si>
    <t>S121423</t>
  </si>
  <si>
    <t>PERFORMED RECHARGING AIRFI AT FWD CABIN D/T BATTRAY LOW BATT S/N:141</t>
  </si>
  <si>
    <t>S114668</t>
  </si>
  <si>
    <t>S114671</t>
  </si>
  <si>
    <t>REFF FINDING INSPECTION 19690 PERFORMED COMPLETED SEAT TRACK COVER AT SEAT RAW 31FED D/T NOT AVAILABLE RESULT GOOD</t>
  </si>
  <si>
    <t>S114670</t>
  </si>
  <si>
    <t>TRANSFER TO NSRDI NSAJ037464 REFF FINDING INSPECTION 19691 LAVATORY A CLOSET NO PLACARD PPLEASE SIT &amp; DONT SQUAD ON TOILET BOWL RQ:1129060</t>
  </si>
  <si>
    <t>S114669</t>
  </si>
  <si>
    <t>TRANSFER TO NSRDI NO NSAJ037463 REFF FINDING INSPECTION 19692 LAVATORY E CLOSET NO PLACARD PLEASE SIT &amp; DONT SQUAD ON TOILET BOWL RQ:1129061</t>
  </si>
  <si>
    <t>B137580</t>
  </si>
  <si>
    <t>DURING DBI PERFORMED CHARGING AIRFI AT FWD CABIN D/T LOW BATTERY , SN: 626</t>
  </si>
  <si>
    <t>FARID KURNIAWAN</t>
  </si>
  <si>
    <t>B137581</t>
  </si>
  <si>
    <t>E0451815</t>
  </si>
  <si>
    <t>PERFORMED REPOSITION LED ASSY WINDOW LIGHT S/N 10DEF, 12ABC, 15A, 23ABC, 26ABC D/T NOT ILLUMINATE  , RESULT ILLUMINATE</t>
  </si>
  <si>
    <t>E0451816</t>
  </si>
  <si>
    <t>PERFORMED REPOSITION LED ASSY CEILING LIGHT S/N 26ABC D/T NOT ILLUMINATE , RESULT ILLUMINATE</t>
  </si>
  <si>
    <t>E0451817</t>
  </si>
  <si>
    <t>PERFORMED REPOSITION TUBE LAMP MIRROR LIGHT AT LAVATORY LD AND LE D/T NOT ILLUMINATE , RESULT ILLUMINATE</t>
  </si>
  <si>
    <t>E0451818</t>
  </si>
  <si>
    <t>PLEASE ADD SPARE SAFETY CARD AND PLACARD INOP , TRANSFER TO NSRDI NLA080275 NEED PART PN: LA-DO-03-DFFA-28 (RQ: 1129031)
NEED PART PN: LT11-11-PLC-0938 (RQ: 1129032)</t>
  </si>
  <si>
    <t>E0451819</t>
  </si>
  <si>
    <t>PERFORMED RESET FROM FWD ACP ENTRY LIGHT AT G4B , TEST ON GROUND RESULT NORMAL</t>
  </si>
  <si>
    <t>E0451820</t>
  </si>
  <si>
    <t>PERFORMED REPOSITION COFFEE MAKER AT G1 D/T ALWAYS LEAKIN , TEST ON GROUND RESULT NORMAL AND NO LEAKING</t>
  </si>
  <si>
    <t>E0451821</t>
  </si>
  <si>
    <t>WARNING FLAG AT 1R BAD CONDITION, TRANSFER TO NSRDI NLA080276 NEED PART PN: B739-25-5001006-101 (RQ: 1129035)</t>
  </si>
  <si>
    <t>E0451822</t>
  </si>
  <si>
    <t>STRAP LIFEVEST CREW FA6 FOUND MISSING,  TRANSFER TO NSRDI NLA080277 NEED PART PN: 2D8007-1 (RQ: 1129036)</t>
  </si>
  <si>
    <t>E0451823</t>
  </si>
  <si>
    <t>REFF NSRDI NLA080274 PERFORMED COMPLETED  RECLINE BUTTON S/N 21E  D/T MISSING, RESULT GOOD</t>
  </si>
  <si>
    <t>E0451824</t>
  </si>
  <si>
    <t>REFF NSRDI NLA080268 COFFEE MAKER AT G1 LEAKING , REOPEN NO NSRDI NLA080279 NEED PN: 64753-001-003</t>
  </si>
  <si>
    <t>E0451825</t>
  </si>
  <si>
    <t>E0451830</t>
  </si>
  <si>
    <t>COFFEE MAKER AT G1 LEAKING , TRANSFER TO NSRDI NLA080279 NEED PART PN: 64753-001-003 (RQ: 1129066)</t>
  </si>
  <si>
    <t>E0438075</t>
  </si>
  <si>
    <t>S114733</t>
  </si>
  <si>
    <t>PERFORMED DAILY CHECK BEUTIFICATION INSPECTION CARRIED OUT</t>
  </si>
  <si>
    <t>UNTUNG</t>
  </si>
  <si>
    <t>E0441593</t>
  </si>
  <si>
    <t>E0441588</t>
  </si>
  <si>
    <t>INSERT TO NSRDIL NLA070396</t>
  </si>
  <si>
    <t>E0441592</t>
  </si>
  <si>
    <t>PERFORMED RECTIFIED LED BIN LIGHT 3DEF C/O</t>
  </si>
  <si>
    <t>E0441591</t>
  </si>
  <si>
    <t>PERFORMED RECTIFIED WARNING FLAG 5R C/O</t>
  </si>
  <si>
    <t>E0441589</t>
  </si>
  <si>
    <t>PERFORMED RECTIFIED EMERGENCY USE ONLY 4L C/O</t>
  </si>
  <si>
    <t>PERFORMED RECONNECT CONNECTOR WINDOW LIGHT 27 DEF, 31 ABC, 35DEF, 20ABC C/O</t>
  </si>
  <si>
    <t>S125566</t>
  </si>
  <si>
    <t>LASINO</t>
  </si>
  <si>
    <t>S125563</t>
  </si>
  <si>
    <t>PERFORMED CLEAN UP FILTER WATER TAP AT G1</t>
  </si>
  <si>
    <t>S125564</t>
  </si>
  <si>
    <t>PERFORMED REPOSITION LAMP OF CEILING LIGHT S/N 25ABC,26DEF, 28ABC</t>
  </si>
  <si>
    <t>S125565</t>
  </si>
  <si>
    <t>AREADY INSERT NSRDIL NSAJ015775</t>
  </si>
  <si>
    <t>PK-LHI</t>
  </si>
  <si>
    <t>E0451772</t>
  </si>
  <si>
    <t>E0451773</t>
  </si>
  <si>
    <t>PERFORMED REPLACE BULB EXIT LOCATOR SIGN AT DOOR NO 4</t>
  </si>
  <si>
    <t>E0451774</t>
  </si>
  <si>
    <t>PERFORMED RECONNECT EECTRICAL PLUG OF</t>
  </si>
  <si>
    <t>S128937</t>
  </si>
  <si>
    <t>S128938</t>
  </si>
  <si>
    <t>PERFORMED REINSTALL ARMCAP SEAT 9E AND 11C DT LOSSEN</t>
  </si>
  <si>
    <t>S128935</t>
  </si>
  <si>
    <t>PERFORMED REPOSITION LAMP OF CEILING LIGHT S/N 23ABC, 25DEF, 27ABC AND 28ABC, OPS TEST ILLUMINATE</t>
  </si>
  <si>
    <t>B138189</t>
  </si>
  <si>
    <t>PERFORM RETIGHTEN CABLE HYDROLOCK ACTUATOR SEAT NO. 16C, 4DEF RESULT GOOD</t>
  </si>
  <si>
    <t>MUH RIZAL</t>
  </si>
  <si>
    <t>SYAHRIL</t>
  </si>
  <si>
    <t>B138190</t>
  </si>
  <si>
    <t>PERFORM RETIGHTEN LOCK SEAT 4DEF RESULT GOOD</t>
  </si>
  <si>
    <t>E045743</t>
  </si>
  <si>
    <t>DEFECT ALREADY INSERT NSRDIL NLA088434</t>
  </si>
  <si>
    <t>S114732</t>
  </si>
  <si>
    <t>PERFORM RECTIFIED DOOR HEADRACK AT NO.1DEF,9-ABC DUE TO NOT PROPER</t>
  </si>
  <si>
    <t>B144338</t>
  </si>
  <si>
    <t>PERFORM RECTIFIED RUBBER READING LIGHT AT NO.25ABC DUE TO NOT PROPER</t>
  </si>
  <si>
    <t>B144337</t>
  </si>
  <si>
    <t>PERFORM REMOVE TWO POB FOR SICK 2D D</t>
  </si>
  <si>
    <t>B737-800NG</t>
  </si>
  <si>
    <t>PK-LKP</t>
  </si>
  <si>
    <t>E0451734</t>
  </si>
  <si>
    <t>PERFORM REPLACED PLACARD " VALIDITY TAG " AT LIFE VEST UNDER SEAT NO. 31C</t>
  </si>
  <si>
    <t>E0441676</t>
  </si>
  <si>
    <t>PERFORM COMPLETED PLACARD POWER BANK AT NO.21D</t>
  </si>
  <si>
    <t>B131378</t>
  </si>
  <si>
    <t>PERFORM RECTIFED COVER AT LAVATORY LD RESULT GOOD</t>
  </si>
  <si>
    <t>B131379</t>
  </si>
  <si>
    <t>PERFORM REFILL HAND SOAP AT LAVATORY LD &amp; LE</t>
  </si>
  <si>
    <t>B136734</t>
  </si>
  <si>
    <t>PERFORM INSTALL SCREW FOR ARMCAP AT NO.12D DUE TO NOT PROPER</t>
  </si>
  <si>
    <t>ATR 72-500</t>
  </si>
  <si>
    <t>C025464</t>
  </si>
  <si>
    <t>PERFORM REPLACED PLACARD UU PENERBANGAN AT NO.4A C/O</t>
  </si>
  <si>
    <t>ATR 72-600</t>
  </si>
  <si>
    <t>C027037</t>
  </si>
  <si>
    <t>PERFORM RECTIFIED VELRO ANTI SMOKE CURTAIN AT AFT CARGO RESULT GOOD</t>
  </si>
  <si>
    <t>E0461644</t>
  </si>
  <si>
    <t>PERFORM RE-CONECT PLUG LED WINDOW LIGHT NO.7DEF,12DEF,16DEF OP'TEST FOUND NORMAL</t>
  </si>
  <si>
    <t>IRWANSYAH</t>
  </si>
  <si>
    <t>E0461645</t>
  </si>
  <si>
    <t>E0461646</t>
  </si>
  <si>
    <t>PERFORM  DAILY BEAUTIFICATION INSPECTION HAS BEEN DONE</t>
  </si>
  <si>
    <t>C034612IW</t>
  </si>
  <si>
    <t>PERFORMED RECTIFIED OF HEADRACK SN 4AC RESULT GOOD</t>
  </si>
  <si>
    <t>ARIS WAHYUDI</t>
  </si>
  <si>
    <t>C034613IW</t>
  </si>
  <si>
    <t>PERFORMED BEAUTIFICATION INSPECTION DAILY HAS BEEN C/O</t>
  </si>
  <si>
    <t>C027038IW</t>
  </si>
  <si>
    <t>PERFORMED RECTIFIED OF ARMREST SN 19F RESULT GOOD</t>
  </si>
  <si>
    <t>C027039IW</t>
  </si>
  <si>
    <t>PERFORMED RECTIFIED OF STOWAGE RHS AT GALLEY RESULT GOOD</t>
  </si>
  <si>
    <t>C027040IW</t>
  </si>
  <si>
    <t>C027079IW</t>
  </si>
  <si>
    <t>PK-WHP</t>
  </si>
  <si>
    <t>C037677</t>
  </si>
  <si>
    <t>C025465IW</t>
  </si>
  <si>
    <t>C034538IW</t>
  </si>
  <si>
    <t>C028850IW</t>
  </si>
  <si>
    <t>B147235</t>
  </si>
  <si>
    <t>E0445742</t>
  </si>
  <si>
    <t>PERFORM RECONNEC CONNECTOR &amp; RESET ACP WINDOW LIGHT NO.34ABC,28-39DEF OPT TEST RESULT NORMAL</t>
  </si>
  <si>
    <t>M JUFRI IDRIS</t>
  </si>
  <si>
    <t>E0445744</t>
  </si>
  <si>
    <t>PERFORM RECONNEC ELEC PLUG WINDOW LIGHT NO.6ABC,10-A-F,27DEF C/O</t>
  </si>
  <si>
    <t>E0445745</t>
  </si>
  <si>
    <t>PERFORM RESET ACP ENTRY LIGHT AT AFT CABIN RESULT NORMAL</t>
  </si>
  <si>
    <t>E0445746</t>
  </si>
  <si>
    <t>PERFORM RECTIFIED SEATBELT AT NO.8C RESULT SECURE</t>
  </si>
  <si>
    <t>E0445747</t>
  </si>
  <si>
    <t>PERFORM DAILY BEAUTIFICATION INSPECTION CHECK C/O</t>
  </si>
  <si>
    <t>E0452857</t>
  </si>
  <si>
    <t>E0451733</t>
  </si>
  <si>
    <t>ALREADY INSERT TO NSRDI NO.NLA087833</t>
  </si>
  <si>
    <t>INDRA LESMANA</t>
  </si>
  <si>
    <t>E0451735</t>
  </si>
  <si>
    <t>B138191</t>
  </si>
  <si>
    <t>E0431490</t>
  </si>
  <si>
    <t>ALREADY INSERT TO DMI NO.025905</t>
  </si>
  <si>
    <t>E0431491</t>
  </si>
  <si>
    <t>PERFORM RECTIFIED INTERPHONE 5R OPT TEST RESULT NORMAL</t>
  </si>
  <si>
    <t>E0431492</t>
  </si>
  <si>
    <t>S121861</t>
  </si>
  <si>
    <t>PERFORM DAILY BEAUTY INSPECTION CHECK HAS BEEN C/O</t>
  </si>
  <si>
    <t>S121858</t>
  </si>
  <si>
    <t>PERFORM CLEAN UP POLE AND REPOSITION TUBE LAMP CEILING LIGHT SEAT NO 22ABC,31ABC,32DEF, OPT TEST RESULT ILLUMINATE</t>
  </si>
  <si>
    <t>S121859</t>
  </si>
  <si>
    <t>ALREADY INSERT TO NSRDI NSAJ027259</t>
  </si>
  <si>
    <t>S121860</t>
  </si>
  <si>
    <t>PERFORM RECTIFIED AND COMPLETED SCREW AT JUMPSEAT FA2, OPT TEST RESULT GOOD AND PROPER</t>
  </si>
  <si>
    <t>PK-LAQ</t>
  </si>
  <si>
    <t>B149700</t>
  </si>
  <si>
    <t>PERFORM ADDED NEW CML BOOK AT FWD CABIN HAS BEEN C/O</t>
  </si>
  <si>
    <t>B137701</t>
  </si>
  <si>
    <t>E0448579</t>
  </si>
  <si>
    <t>PERFORM RERECONNECT CONECTOR WINDOW LIGHT  S/N WINDOW LIGHT S/N 8D,15A,32D,26-25A RESULT TEST ILLUMINATE. WINDOW LIGHT S/N 4D,27B INSERT TO DMI NO 024192</t>
  </si>
  <si>
    <t>HARIADI</t>
  </si>
  <si>
    <t>E0448582</t>
  </si>
  <si>
    <t>PERFORM RECTIFIED RECLINE AT S/N 3E,7F RESULT TEST OK</t>
  </si>
  <si>
    <t>E0448580</t>
  </si>
  <si>
    <t>PERFORM REPLACED PLACARD LT11-11-PLC -01418 ,  LT11-11-PLC-0644 IS DONE</t>
  </si>
  <si>
    <t>E0448583</t>
  </si>
  <si>
    <t>E0457830</t>
  </si>
  <si>
    <t>PERFORM CHECK AND TEST FLUSHING LAV D RESULT  NORMAL</t>
  </si>
  <si>
    <t>E0457831</t>
  </si>
  <si>
    <t>PERFORM RECONNECT CONECTOR PLUG WINDOW LIGHT S/N 10 DEF,11ABC,15DEF,16ABC,19DEF,23-25 ABC RESULT TEST NORMAL</t>
  </si>
  <si>
    <t>E0457832</t>
  </si>
  <si>
    <t>E0462440</t>
  </si>
  <si>
    <t>REPAINTED RH UPPER WING</t>
  </si>
  <si>
    <t>E0462439</t>
  </si>
  <si>
    <t>REPAINTED ENGINE PYLON RH</t>
  </si>
  <si>
    <t>E0462438</t>
  </si>
  <si>
    <t>REPAINTED LH AREA FUSELAGE</t>
  </si>
  <si>
    <t>E0462436</t>
  </si>
  <si>
    <t>PERFORM REPAINT ENGINE COWLING LH</t>
  </si>
  <si>
    <t>E0462437</t>
  </si>
  <si>
    <t>PERFORM REPAINT ENGINE COWLING RH</t>
  </si>
  <si>
    <t>TRANSFER TO NSRDI NLA080278</t>
  </si>
  <si>
    <t>S124656</t>
  </si>
  <si>
    <t>PERFOMED REPAINTED RAMP AIR INLET SWING</t>
  </si>
  <si>
    <t>S124658</t>
  </si>
  <si>
    <t>PERFOMED REPAINTED FLAP TRACK FAIRING LH</t>
  </si>
  <si>
    <t>S124655</t>
  </si>
  <si>
    <t>PERFOMED REPAINTED AFT FUSELAGE NEAR CARGO DOOR</t>
  </si>
  <si>
    <t>S128939</t>
  </si>
  <si>
    <t>REFF AMM 33-21-00 PERFORMED REPOSATION LAMP HAS BEEN C/O OP'S TEST ILLUMINATE</t>
  </si>
  <si>
    <t>A330-300</t>
  </si>
  <si>
    <t>E0464142</t>
  </si>
  <si>
    <t>REFF AMM 25-00-00 PERFORMED INSTALATION COVER OXYGEN MASK AT POCA  1R HAS DONE</t>
  </si>
  <si>
    <t>E0464143</t>
  </si>
  <si>
    <t>REFF AMM 25-00-00 PERFORMED RECTIFIED LATCH DOOR COMPARTEMENT LAVATORY L11 D/T CAN'T CLOSE HAS BEEN C/O OP'S TEST GOOD</t>
  </si>
  <si>
    <t>E0464144</t>
  </si>
  <si>
    <t>ALREADY TO NSRDIL NLA081138</t>
  </si>
  <si>
    <t>E0464145</t>
  </si>
  <si>
    <t>REFF AMM 33-21-00 PERFORMED RECONNEC ELECTRICAL PLUG  D/T NOT PROPERLLY HAS BEEN C/O OP'S TEST ILLUMINATE</t>
  </si>
  <si>
    <t>E0464146</t>
  </si>
  <si>
    <t>E0464148</t>
  </si>
  <si>
    <t>ALREADY TRANSFER TO NSRDIL NLA081111</t>
  </si>
  <si>
    <t>E0464149</t>
  </si>
  <si>
    <t>REFF AMM 25-00-00 PERFORMED REPLACEMENT OXYGEN MASK AND CONNECTOR HAS BEEN C/O RESULT GOOD</t>
  </si>
  <si>
    <t>E0464150</t>
  </si>
  <si>
    <t>REFF T/C DBI PERFORMED DAILY BEAUTIFICATION INSPECTION CHECK HAS DONE</t>
  </si>
  <si>
    <t>PK-WHT</t>
  </si>
  <si>
    <t>C039003</t>
  </si>
  <si>
    <t>E0445802</t>
  </si>
  <si>
    <t>B146702</t>
  </si>
  <si>
    <t>REFF AMM 11-32-00 PERFORMED INSTSL PLACARD CLOSE AND DOOR  D/T BAD CONDITION HAS BEEN C/O RESULT GOOD</t>
  </si>
  <si>
    <t>B146703</t>
  </si>
  <si>
    <t>C036242</t>
  </si>
  <si>
    <t>FERDI FALLO</t>
  </si>
  <si>
    <t>MAURITZ H.A LABI</t>
  </si>
  <si>
    <t>C036243</t>
  </si>
  <si>
    <t>PERFORMED LAVATORY WASTE SYSTEM CLEANING HAS BEEN C/O</t>
  </si>
  <si>
    <t>C036244</t>
  </si>
  <si>
    <t>PERFORMED AIRCRAFT PEST CONTROL APPLICATION  GUIDE FOR ATR HAS BEEN C/O</t>
  </si>
  <si>
    <t>C036241</t>
  </si>
  <si>
    <t>PERFORMED REPAIR CABLE INTERPHONE  FA 1 D/T BAD CONDITION RESULT GOOD</t>
  </si>
  <si>
    <t>C036245</t>
  </si>
  <si>
    <t>REF DMI NO 002939 PERFORMED REPLACE FWD ROLLER BLIND AT CAPT SIDE OPT TEST RESULT GOOD</t>
  </si>
  <si>
    <t>B131296</t>
  </si>
  <si>
    <t>E0474803</t>
  </si>
  <si>
    <t>E0474802</t>
  </si>
  <si>
    <t>PERFORMED RECTIFIED GASPER AIR OUTLET SN 2F OPT TEST RESULT GOOD</t>
  </si>
  <si>
    <t>E0438050</t>
  </si>
  <si>
    <t>PERFORMED RECONECT MIRROR LIGHT LAVATORY LA, LE, LD OPT TEST RESULT NORMAL</t>
  </si>
  <si>
    <t>E0438049</t>
  </si>
  <si>
    <t>PERFORMED ACTUAL CHECK SPARE INFANT LIFEVEST COMPLETED</t>
  </si>
  <si>
    <t>B136685</t>
  </si>
  <si>
    <t>PERFORM CLEAN UP FILTER WASH BASIN AT LAVATORY A D/T SLOWLY DRAIN RESULT TEST NORMAL</t>
  </si>
  <si>
    <t>AGUNG SULISTYO</t>
  </si>
  <si>
    <t>B136686</t>
  </si>
  <si>
    <t>PERFORM COMPLETED ONE SLIDER CURTAIN AT FWD GALLEY HAS BEEN C/O RESULT GOOD</t>
  </si>
  <si>
    <t>B136687</t>
  </si>
  <si>
    <t>PERFORM REPLACE PLACARD DO NOT USE POWER BANK AT SEAT NO 6B D/T BAD CONDITION</t>
  </si>
  <si>
    <t>B136688</t>
  </si>
  <si>
    <t>PERFORM COMPLETED SEAT TRACK COVER NO 18F,28F HAS BENEN C/O</t>
  </si>
  <si>
    <t>S110239</t>
  </si>
  <si>
    <t>PERFORMED REPOSITION TUBE LAMP CEILLING LIGHT 31 ABC RESULT ILLUMINATE</t>
  </si>
  <si>
    <t>S110240</t>
  </si>
  <si>
    <t>PERFORMED REPOSITION CABLE RECLINE SN 4B OPS TEST RESULT NORMALLY</t>
  </si>
  <si>
    <t>S110241</t>
  </si>
  <si>
    <t>PERFORMED CLEAN UP FILTER OF WASHBASIN LAVATORY D,E HAS BEEN C/O</t>
  </si>
  <si>
    <t>S110242</t>
  </si>
  <si>
    <t>PERFORMED RECTIFIED VELCRO SEAT COVERP OCKET SN 16C.,18D, RESULT GOOD</t>
  </si>
  <si>
    <t>S110243</t>
  </si>
  <si>
    <t>S122946</t>
  </si>
  <si>
    <t>PERFORMED REPOSITION TUBE LAMP  CEILLING LIGHT 12 DEF RESULT ILLUMINATE</t>
  </si>
  <si>
    <t>S122947</t>
  </si>
  <si>
    <t>PERFORMED REPOSITION KEYPAD HANDSET 4R RESULT NORMALLY</t>
  </si>
  <si>
    <t>S122948</t>
  </si>
  <si>
    <t>PERFORMED REPOSITION AND RECTIFIED WINDOW SHUTTER 12 DEF RESULT GOOD</t>
  </si>
  <si>
    <t>S122949</t>
  </si>
  <si>
    <t>PERFORM CLEAN UP FILTER OF WASH BASIN ALL LAVATORY HAS BEEN CO</t>
  </si>
  <si>
    <t>S122950</t>
  </si>
  <si>
    <t>B136689</t>
  </si>
  <si>
    <t>PERFORMED REMOVED AND RECHARGING AIRFI AT FWD CABIN SN:638</t>
  </si>
  <si>
    <t>B136690</t>
  </si>
  <si>
    <t>PERFORMED REPOSITION AND RETIGHTENED SCREW ARMCAP SN 18D RESULT GOOD</t>
  </si>
  <si>
    <t>B136691</t>
  </si>
  <si>
    <t>PERFORMED REPOSITION SPRING POCKET SN 21F RESULT GOOD</t>
  </si>
  <si>
    <t>B136692</t>
  </si>
  <si>
    <t>PERFORMED CLEAN UP FILTER WASH BASIN ALL LAVATORY</t>
  </si>
  <si>
    <t>B136693</t>
  </si>
  <si>
    <t>PERFORMED DAILY BEAUTIFICATION INSPECTION HAS BEEN CO</t>
  </si>
  <si>
    <t>PK-LFZ</t>
  </si>
  <si>
    <t>E0415993</t>
  </si>
  <si>
    <t>PERFORM RESET CB AND RECONNECT CONNECTOR PLUG FLUSH VALVE LAVATORY LD. OP'S TEST RESULT NORMALLY. REF AMM : 25-40-00</t>
  </si>
  <si>
    <t>E0415994</t>
  </si>
  <si>
    <t>PERFORM REPOSITION "TL" WINDOW LIGHT S/N 38-39 A-F. OP'S TEST REULST ILL. AND WINDOW LIGHT S/N 28 ABC ALREADY INSERT TO DMI NO. 020603. REF AMM : 33-21-00</t>
  </si>
  <si>
    <t>E0415995</t>
  </si>
  <si>
    <t>PERFORM REPOSITION WATER SUPPLY SELECTOR VALVE. RESULT NORMAL. REF AMM : 25-45-00</t>
  </si>
  <si>
    <t>E0415996</t>
  </si>
  <si>
    <t>ALRADY INSERT TO NSRDIL PAGE NO. NLA010925. NEED PN. 10-1042-10. REF AMM : 25-13-00</t>
  </si>
  <si>
    <t>E0416000</t>
  </si>
  <si>
    <t>S126212</t>
  </si>
  <si>
    <t>PERFORM REPOSITION "TL" CEILLING LIGHT S/N 31 DEF. OP'S TEST RESULT ILL. REF AMM : 33-21-00</t>
  </si>
  <si>
    <t>S126214</t>
  </si>
  <si>
    <t>PERFORM TIDY UP SHOULDER HARNESS AT JUMPSEAT FA2. RESULT GOOD AND STILL WITHIN LIMITS. REF AMM : 25-22-00</t>
  </si>
  <si>
    <t>S126215</t>
  </si>
  <si>
    <t>C037678</t>
  </si>
  <si>
    <t>PERFORM REINSTALL ONE SCREW HEADRACK ROW 18DF HAS BEEN C/O</t>
  </si>
  <si>
    <t>E0452722</t>
  </si>
  <si>
    <t>PERFORM RESET CABIN UTILITY FROM COCKPIT OPERATIONAL TEST RESULT NORMALLY</t>
  </si>
  <si>
    <t>C039143</t>
  </si>
  <si>
    <t>E047461</t>
  </si>
  <si>
    <t>ALREADY INSERT TO NSRDI NO NLA075589</t>
  </si>
  <si>
    <t>E0449157</t>
  </si>
  <si>
    <t>E0449155</t>
  </si>
  <si>
    <t>PERFORMED RESET  C/B WINDOW LIGHT AT EE COMP C/O,OP'T RESULT FOUND NORMAL</t>
  </si>
  <si>
    <t>E0449156</t>
  </si>
  <si>
    <t>PERFORMED CLEAN UP FILTER CARTRIDGE FAUCET @LAVATORY LA C/O,OP'T RESULT FOUND GOOD</t>
  </si>
  <si>
    <t>E0454438</t>
  </si>
  <si>
    <t>S126005</t>
  </si>
  <si>
    <t>C037679</t>
  </si>
  <si>
    <t>C038861</t>
  </si>
  <si>
    <t>S121480</t>
  </si>
  <si>
    <t>PERFORMED RECTIFIED FAUCET WATER TAP AT G1 D/T LEAKING HAS BEEN CARRIED OUT, OPT RESULT GOOD &amp; NORMALLY</t>
  </si>
  <si>
    <t>S121481</t>
  </si>
  <si>
    <t>PERFORMED REPOSITION TUBE LAMP WINDOW LIGHT AT 6DEF D/T NOT ILL HAS BEEN CARRIED OUT OPT RESULT ILLUMINATE</t>
  </si>
  <si>
    <t>S121482</t>
  </si>
  <si>
    <t>DURING DAILY CHECK PERFORMED REPLACEMENT PLACARD NO CIGARETE AT FLAPPER WASTE DOOR LAV D &amp; LAV E D/T BAD CONDITION HAS BEEN CARRIED OUT</t>
  </si>
  <si>
    <t>S121483</t>
  </si>
  <si>
    <t>DURING DAILY CHECK PERFORMED REFILL HAND SOAP AT  LD AND LE D/T EMPTY HAS BEEN CARRIED OUT</t>
  </si>
  <si>
    <t>S121484</t>
  </si>
  <si>
    <t>DURING DAILY CHECK PERFORMED CLEAN UP FILTER WASH BASIN AT ALL LAVATORY HAS BEEN CARRIED OUT</t>
  </si>
  <si>
    <t>S121485</t>
  </si>
  <si>
    <t>REFF NSRDI PAGE NSAJ022640, PERFORMED REPLACEMENT SPEADER FAIRING LH SEAT 2C AND 9C D/T CRACK HAS BEEN CARRIED OUT</t>
  </si>
  <si>
    <t>S121486</t>
  </si>
  <si>
    <t>DURING DAILY CHECK PERFORMED REPOSITION &amp; RECTIFIED VELCRO BACKREST COVER FO SIDE D/T NOT PROPER HAS BEEN CARRIED OUT</t>
  </si>
  <si>
    <t>S121487</t>
  </si>
  <si>
    <t>REFF NSRDI PAGE NSAJ008150, REFF FINDING INSPECTION 11342 AFT CARGO NET THE STICTHINH BROKEN, REOPEN TO NSRDI PAGE NSAJ007683</t>
  </si>
  <si>
    <t>S121488</t>
  </si>
  <si>
    <t>REFF NSRDI PAGE NSAJ022623, REFF FINDING SRV 11809 SPRING SEAT POCKET 31A, 30A, 30F, 26F, 25F, 22F BROKEN, REOPEN TO NSRDI PAGE NSAJ007684</t>
  </si>
  <si>
    <t>S121489</t>
  </si>
  <si>
    <t>REFF NSRDI PAGE NSAJ022626, BEVERAGE MAKER AT G5 INOP, REOPEN TO NSRDI PAGE NSAJ007685</t>
  </si>
  <si>
    <t>S121490</t>
  </si>
  <si>
    <t>REFF NSRDI PAGE NSAJ022628, REFF FINDING SRV 10921 BACKREST SEAT COVER 1CD UNTIL 32CD BAD CONDITION, REOPEN TO NSRDI PAGE NSAJ007686</t>
  </si>
  <si>
    <t>S121491</t>
  </si>
  <si>
    <t>B131429</t>
  </si>
  <si>
    <t>DURING DAILY CHECK PERFORMED RECHARGING BATTERY AIRFI AT FWD CABIN D/T LOW BATT HAS BEEN C/O.SN : DSD.ID.999.0619.441</t>
  </si>
  <si>
    <t>B131430</t>
  </si>
  <si>
    <t>DURING DAILY CHECK PERFORMED REFILL HAND SOAP AT ALL LAVATORY D/T EMPTY HAS BEEN CARRIED OUT</t>
  </si>
  <si>
    <t>B131431</t>
  </si>
  <si>
    <t>B131432</t>
  </si>
  <si>
    <t>REFF NSRDI PAGE NBA054876 NET AFT CARGO BAD CONDITION, REOPEN NSRDI PAGE NBA006415</t>
  </si>
  <si>
    <t>B131433</t>
  </si>
  <si>
    <t>B143673</t>
  </si>
  <si>
    <t>B143674</t>
  </si>
  <si>
    <t>B143675</t>
  </si>
  <si>
    <t>B139128</t>
  </si>
  <si>
    <t>TRANSFER TO DMI ID030916</t>
  </si>
  <si>
    <t>B143571</t>
  </si>
  <si>
    <t>TRANSFER TO NSRDIL NO NID016302</t>
  </si>
  <si>
    <t>B143676</t>
  </si>
  <si>
    <t>PERFORMED REMOVE LIFE RAFT ON THE AIRCRAFT D/T CONTINUE TO FLIGHT DOMESTIK</t>
  </si>
  <si>
    <t>B138092</t>
  </si>
  <si>
    <t>I KADEK ARI</t>
  </si>
  <si>
    <t>C037058</t>
  </si>
  <si>
    <t>PERFORMED RECTIFICATION BUTTON FLASH LIGHT AT FA1 HAS BEEN C/O, OP'S TEST ON-OFF RESULT NORMALY</t>
  </si>
  <si>
    <t>C037059</t>
  </si>
  <si>
    <t>PERFORMED REPOST BULB CARGO AFT HAS BEEN C/O, OP'S TEST RESULT ILLUMINATE</t>
  </si>
  <si>
    <t>C037060</t>
  </si>
  <si>
    <t>B143572</t>
  </si>
  <si>
    <t>PERFORMED RECTIFICATION SPRING BUCKLE FA2 HAS BEEN C/O, OP'S TEST RESULT NORMALY</t>
  </si>
  <si>
    <t>B143573</t>
  </si>
  <si>
    <t>PERFORMED CHECK AND RETIGHTEN SCREW AT TRAY TABLE AT S/N: 1C, 2A. 3D HAS  BEEN C/O, OP'S TEST RESULT  GOOD,</t>
  </si>
  <si>
    <t>B143574</t>
  </si>
  <si>
    <t>PKJ-LOQ</t>
  </si>
  <si>
    <t>E0452723</t>
  </si>
  <si>
    <t>PERFORMED REPOST CONNECTOR PLUG AND RESET ACP TO LRSU AT FAP FWD CABIN HAS BEEN S/O, OP'S TEST RESULT ILLUMINATE</t>
  </si>
  <si>
    <t>E0452724</t>
  </si>
  <si>
    <t>PERFORMED REPOST CONNECTOR PLUG WINDOW LIGHT AT S/N: 34ABC, 11ABC, 26ABC HAS BEEN C/O, OP'S TEST RESULT NORMALY</t>
  </si>
  <si>
    <t>E0452725</t>
  </si>
  <si>
    <t>TRANSFERRED TO AFML PAGE NO: B3963043</t>
  </si>
  <si>
    <t>E0452726</t>
  </si>
  <si>
    <t>PERFORMED COMPLETED WINDOW SHUNVISOR R/H HAS BEEN C/O</t>
  </si>
  <si>
    <t>E0452727</t>
  </si>
  <si>
    <t>S125332</t>
  </si>
  <si>
    <t>PERFORMED RECTIFICATION SPRING LATCH COMPARTMENT NO:519 AT AFT GALLEY HAS BEEN C/O, OP'S TEST RESULT GOOD</t>
  </si>
  <si>
    <t>S125333</t>
  </si>
  <si>
    <t>B137582</t>
  </si>
  <si>
    <t>REFF IAW AMM:25-21-00 .PERFORMED RECTIFIED SEAT BELT S/N 5C .DUE TO FOUND TORN.RESULT C/O</t>
  </si>
  <si>
    <t>B137583</t>
  </si>
  <si>
    <t>REFF IAW AMM:25-21-00 .PERFORMED RECTIFIED ELEXTRICAL SEAT BOX AT SEAT NO 23F .DUE TO FOUND NOT PROPERLY .RESULT C/O</t>
  </si>
  <si>
    <t>B137584</t>
  </si>
  <si>
    <t>REFF IAW AMM;25-21-00 .PERFORMED COMPLETED SEAT TRACK TRAILL COVER AT SEAT NO 22F .DUE TO FOUND MISSING .RESULT C/O</t>
  </si>
  <si>
    <t>B147789</t>
  </si>
  <si>
    <t>REFF IAW AMM:44-21-00 .PERFORMED PRE FLIGHT CHECK AREA CABIN EMERGENCY EQUIPMENT AND INSTALL AIRFI BOX FWD STATION .WITH SN ON :563.RESULT C/O</t>
  </si>
  <si>
    <t>B123473</t>
  </si>
  <si>
    <t>PERFORMED RECONECT CONECTOR CABLE CHORD HANDSET INTERPHONE 4L D/T SOMETIMES ERROR . OP'S TEST RESULT NORMALLY ON GROUND</t>
  </si>
  <si>
    <t>B123474</t>
  </si>
  <si>
    <t>PERFORMED RECTIFIED TABLE  AT S/N 16.D D/T NOT PROPPERLY   RESULT C/O</t>
  </si>
  <si>
    <t>B123475</t>
  </si>
  <si>
    <t>PERFORMED ADJUSTMENT HINGE COVER HEADTRACK AT S/N 4.ABC, 20.ABC D/T NOT PROPPERLY RESULT TEST C/O</t>
  </si>
  <si>
    <t>B123476</t>
  </si>
  <si>
    <t>AMM 44-21-00 PERFORMED REMOVE &amp;  INSTALL AIRFI FWD AFT ON AIRCRAFT REMOVE : (531 &amp; 590), INSTALL : ( SN. 590 / 531 )</t>
  </si>
  <si>
    <t>B139260</t>
  </si>
  <si>
    <t>PERFORMED REMOVE AIRFI BOX  AT FWD  &amp;  AFT STATION  RESULT C/O   (SN: 656 / 576 )</t>
  </si>
  <si>
    <t>B147790</t>
  </si>
  <si>
    <t>REFF AMM 38, PERFORMED CLEAN UP WASHBASIN FILTER AT LAVATORY LE</t>
  </si>
  <si>
    <t>B147791</t>
  </si>
  <si>
    <t>REFF AMM 25, PERFORMED REINSTALL CURTAIN SLIDER AT AFT CABIN</t>
  </si>
  <si>
    <t>B147792</t>
  </si>
  <si>
    <t>REFF AMM 38, PERFORMED CLEAN UP SINKBASIN FILTER AT FWD GALLEY</t>
  </si>
  <si>
    <t>B147793</t>
  </si>
  <si>
    <t>REFF AMM 25, PERFORMED CLEAN UP SMOKE DETECTOR FILTER AT ALL LAVATORY</t>
  </si>
  <si>
    <t>B147794</t>
  </si>
  <si>
    <t>REFF AMM 25, PERFORMED REPOSITION BATTERY FLASHLIGHT AT COKPIT AREA,TEST ILLUMINATE</t>
  </si>
  <si>
    <t>B147796</t>
  </si>
  <si>
    <t>REFF AMM 44, PERFORMED REMOVE AIRFI BOX FOR RECHARGE BATTERY LOW SN; 563</t>
  </si>
  <si>
    <t>B139258</t>
  </si>
  <si>
    <t>AMM 25-26-00 PERFORMED COMPLETED SLIDER AND HOOK CURTAIN AT AFT CABIN D/T SOME MISSING.HAS BEEN C/O</t>
  </si>
  <si>
    <t>B139259</t>
  </si>
  <si>
    <t>AMM 25-45-00 PERFORMED REINSTALL DOOR WASTE COMPARTMENT AT LAVATORY E D/T LOOSE.HAS BEEN C/O</t>
  </si>
  <si>
    <t>B139261</t>
  </si>
  <si>
    <t>AMM 11-32-00 PERFORMED REPLACED PLACARD LIFEVEST AT CAPTAIN SIDE D/T BAD CONDITION. HAS BEEN C/O</t>
  </si>
  <si>
    <t>B139262</t>
  </si>
  <si>
    <t>AMM 11-32-00 PERFORMED REPLACED PLACARD LIFEVEST CREW AT CAPTAIN AND FO SIDE D/T BAD CONDITION.HAS BEEN C/O</t>
  </si>
  <si>
    <t>B139263</t>
  </si>
  <si>
    <t>B139264</t>
  </si>
  <si>
    <t>AMM 25-65-00 PERFORMED COMPLETED VELCRO TAPE D/T RED STRAP LIFE VEST CREW AT FA1 AND FA4 LOOSE.HAS BEEN C/O</t>
  </si>
  <si>
    <t>B139265</t>
  </si>
  <si>
    <t>AMM 25-21-00 PERFORMED ADJUSTMENT SCREW TRAY TABLE  SEAT 4ABC AND 4DEF D/T MISALIGNMENT, HAS BEEN C/O</t>
  </si>
  <si>
    <t>B139266</t>
  </si>
  <si>
    <t>AMM 25-21-00 PERFORMED COMPLETED COVER ANTI MACCASAR SEAT 29F D/T NOT AVAILABLE.HAS BEEN C/O</t>
  </si>
  <si>
    <t>B139267</t>
  </si>
  <si>
    <t>AMM 52-13-00 PERFORMED COMPLETED COVER GLASS ARM DISARMED AT DOOR 4R D/T MISSING.HAS BEEN C/O</t>
  </si>
  <si>
    <t>B139268</t>
  </si>
  <si>
    <t>AMM 52-13-00 PERFORMED RECTIFIED DOOR ASSIST HANDLE AT 4L D/T NOT PROPER.HAS BEEN C/O</t>
  </si>
  <si>
    <t>B139269</t>
  </si>
  <si>
    <t>AMM 25-26-00 PERFORMED COMPLETED SLIDER AND HOOK CURTAIN AT MIDDLE PARTITION C-CLASS D/T SOME MISSING.HAS BEEN C/O</t>
  </si>
  <si>
    <t>B139270</t>
  </si>
  <si>
    <t>AMM 25-21-42 PERFORMED RECTIFIED SEAT BELT AT 8C AND 22C D/T TORN, RESULT STILL WITHIN LIMIT FOR USED.C/O</t>
  </si>
  <si>
    <t>B139272</t>
  </si>
  <si>
    <t>AMM 44-21-00 PERFORMED PREFLIGHT AND INSTALL AIRFI FWD AFT ON AIRCRAFT (SN. 560 / 576 )</t>
  </si>
  <si>
    <t>B139273</t>
  </si>
  <si>
    <t>B139749</t>
  </si>
  <si>
    <t>PERFORMED REINSTALL FILTER WASH BASIN AT LAVATORY E D/T MISSING</t>
  </si>
  <si>
    <t>B139748</t>
  </si>
  <si>
    <t>PERFOPRMED RECTIFIED ARMREST COKPIT D/T BROKEN</t>
  </si>
  <si>
    <t>B132929</t>
  </si>
  <si>
    <t>PERFORMED REINSTALL ANTIMACASAR SEAT 23A D/T MISSING</t>
  </si>
  <si>
    <t>B132930</t>
  </si>
  <si>
    <t>PERFORMED COMPLETED PLCARD FASTEN SEAT BELT AT 15A D/T MISSING</t>
  </si>
  <si>
    <t>S126667</t>
  </si>
  <si>
    <t>PERFORMED REPLACED BATTERAI FLASHLIGHT AT FA5 D/T NOT ILLUMINATE</t>
  </si>
  <si>
    <t>S126668</t>
  </si>
  <si>
    <t>PERFORMED INSTALL AIRFI FWD AND AFT</t>
  </si>
  <si>
    <t>S114849</t>
  </si>
  <si>
    <t>PERFORMED RECTIFIED POUCH LIFE VEST UNDER SEAT NO 11A D/T NOT RPOPERLY</t>
  </si>
  <si>
    <t>S111149</t>
  </si>
  <si>
    <t>PERFORMED REPOSITION TUBE LAMP CEILLING LIGHT AT 16DEF,17ABC,32DEF D/T NOT ILLUMINATE</t>
  </si>
  <si>
    <t>S125331</t>
  </si>
  <si>
    <t>PERFORMED RECTIFIED BUTTON FLUSH AT LAVATORY E D/T AUTO FLUSH RESULT GOOD</t>
  </si>
  <si>
    <t>B132931</t>
  </si>
  <si>
    <t>PERFORMED RECTIFIED SPRING FLAPPER WASTE AT AFT R/H D/T NOT FULLY CLOSED</t>
  </si>
  <si>
    <t>B132932</t>
  </si>
  <si>
    <t>PERFORMED REPLACED ESCUTCHEON SEAT NO 18C D/T BROKEN</t>
  </si>
  <si>
    <t>B147106</t>
  </si>
  <si>
    <t>PERFORMED RECTIFIED ARMREST SEAT NO 17E D/T NOT PROPERLY</t>
  </si>
  <si>
    <t>B147107</t>
  </si>
  <si>
    <t>PERFORMED REPOSITION TUBE LAMP MIRROR LIGHT AT LAVATORY D D/T NOT ILLYUMINATE</t>
  </si>
  <si>
    <t>B136833</t>
  </si>
  <si>
    <t>PERFROEMD RECTIFIED DOOR COMPARTMENT WASTE LAVATORY D D/T BROKEN</t>
  </si>
  <si>
    <t>B136832</t>
  </si>
  <si>
    <t>PERFORMED RECTIFIED LATCH TRAY TABLE SEAT NO 16C D/T BROKEN</t>
  </si>
  <si>
    <t>B128438</t>
  </si>
  <si>
    <t>PERFORMED RECTIFIED SCREW COVER CB SEAT NO 7A D/T NOT PROPERLY</t>
  </si>
  <si>
    <t>B128437</t>
  </si>
  <si>
    <t>PERFORMED RECTIFIED TRAY TABLE SEAT NO 24A D/T BROKEN</t>
  </si>
  <si>
    <t>B146701</t>
  </si>
  <si>
    <t>PERFORMED RECTIFIED LATCH DOOR WASTE LAVATORY A D/T HARD TO CLOSED</t>
  </si>
  <si>
    <t>B131150</t>
  </si>
  <si>
    <t>PERFORMED RECTIFIED SHOURD COVER LAVATORY A D/T NOT PROPERLY</t>
  </si>
  <si>
    <t>B138128</t>
  </si>
  <si>
    <t>REOPEN &amp; TRANSFER TO NSRDIL PAGE NO: NID008266</t>
  </si>
  <si>
    <t>B137702</t>
  </si>
  <si>
    <t>PERFORM DAILY BEAUTIFICATION INSPECTION HAS BEEN DONE</t>
  </si>
  <si>
    <t>B123207</t>
  </si>
  <si>
    <t>B138130</t>
  </si>
  <si>
    <t>S110030</t>
  </si>
  <si>
    <t>PERFORM REPLACED BATTERY FL AT FA4 DUE TO DIMMEST</t>
  </si>
  <si>
    <t>S110031</t>
  </si>
  <si>
    <t>PERFORM RECTIFIED LOCK HINGE FOR TOILET BOWL AT LAV A D/T NOT PROPER</t>
  </si>
  <si>
    <t>S110029</t>
  </si>
  <si>
    <t>PERFORM REPOSITION TUBE LAMP CEILLING LIGHT AT NO 22ABC RESULT NORMAL</t>
  </si>
  <si>
    <t>S110032</t>
  </si>
  <si>
    <t>PERFORM REPOSITION TUBE LAMP WINDOW LIGHT NO 21ABC D/T NOT ILL</t>
  </si>
  <si>
    <t>S110033</t>
  </si>
  <si>
    <t>S126669</t>
  </si>
  <si>
    <t>PERFORM ADJUSMENT GUIDE RECLINE FOR SEAT PAX AT NO 3AB D/T CANT UPRIGHT POSITION</t>
  </si>
  <si>
    <t>S126670</t>
  </si>
  <si>
    <t>B144360</t>
  </si>
  <si>
    <t>E0461344</t>
  </si>
  <si>
    <t>E0461346</t>
  </si>
  <si>
    <t>PERFORM AFTER CHECK COVER ARMREST NO 2D HAS BEEN REPLACED</t>
  </si>
  <si>
    <t>S125203</t>
  </si>
  <si>
    <t>PERFORM REPOSITION TUBE LAMP AT ALL ENTRY LIGHT &amp; ALL LAVATORY DUE TO BLINKING</t>
  </si>
  <si>
    <t>S125204</t>
  </si>
  <si>
    <t>PERFORM REPLACED TUBE LAMP OF ENTRY LIGHT AT AFT STATION DUE TO NOT ILL</t>
  </si>
  <si>
    <t>S125205</t>
  </si>
  <si>
    <t>PERFORM REPOSITION TUBE LAMP CEILLING LIGHT NO 19ABC DUE TO NOT ILL</t>
  </si>
  <si>
    <t>S125214</t>
  </si>
  <si>
    <t>B138287</t>
  </si>
  <si>
    <t>B131384</t>
  </si>
  <si>
    <t>B131383</t>
  </si>
  <si>
    <t>PERFORM REPLACED BACKREST COVER NO 24A 25ABCDEF 26ABCDEF DUE TO BAD CONDITION</t>
  </si>
  <si>
    <t>B138381</t>
  </si>
  <si>
    <t>B137224</t>
  </si>
  <si>
    <t>S126605</t>
  </si>
  <si>
    <t>PERFOM REPOSITION TUBE LAMP OF CEILLING LIGHT NI 22DEF &amp; 29DEF D/T NOT ILL</t>
  </si>
  <si>
    <t>S126606</t>
  </si>
  <si>
    <t>B147237</t>
  </si>
  <si>
    <t>S117350</t>
  </si>
  <si>
    <t>B146679</t>
  </si>
  <si>
    <t>S125121</t>
  </si>
  <si>
    <t>PERFORM REPLACED BATTERY FL AT FA5DUE TO DIM</t>
  </si>
  <si>
    <t>S125120</t>
  </si>
  <si>
    <t>PERFORM REPLACED O2 MASK FOR DEMO KIT AT AFT STATION DUE TO BAD CONDITION</t>
  </si>
  <si>
    <t>S125118</t>
  </si>
  <si>
    <t>PERFORM REPLACED TUBE LAMP OF CEILLING LIGHT NO 25DEF &amp; 28ABC DUE TO NOT ILL</t>
  </si>
  <si>
    <t>B147238</t>
  </si>
  <si>
    <t>REFF DBI PERFORM RECTIFIED CABLE RECLINE SEAT CAPT DUE TO CANT RECLINE RESULT NORMAL</t>
  </si>
  <si>
    <t>B141628</t>
  </si>
  <si>
    <t>REFF FINDING INSPECTION: PERFORM REINSTALL FILTER WASH BASIN AT LAV D DUE TO MISSING</t>
  </si>
  <si>
    <t>NID021496</t>
  </si>
  <si>
    <t>REFF FINDING INSPECTION: 18658 FILTER WASH BASIN LAVATORY E FOUND MISSING NEED PN: 7700525/7750041-113 RQ:1129499</t>
  </si>
  <si>
    <t>REFF FINDING INSPECTION: 18649 SPRING BUCKLE SEAT NO 12E FOUND BROKEN NEED PN: 2006-1-511-8148 RQ: 1129500</t>
  </si>
  <si>
    <t>B136834</t>
  </si>
  <si>
    <t>S126851</t>
  </si>
  <si>
    <t>S122249</t>
  </si>
  <si>
    <t>PERFORM REPOSITION TUBE LAMP CEILLING LIGHT NO 23ABC D/T NOT ILL</t>
  </si>
  <si>
    <t>S122250</t>
  </si>
  <si>
    <t>PERFORM REINSTALL ASHTRAY AT LAVATORY E D/T NOT AVAILABLE</t>
  </si>
  <si>
    <t>B143595</t>
  </si>
  <si>
    <t>B143594</t>
  </si>
  <si>
    <t>PERFORM INSTALLATION ADULT LV NO 23A DUE TO MISSING</t>
  </si>
  <si>
    <t>B138194</t>
  </si>
  <si>
    <t>E0431347</t>
  </si>
  <si>
    <t>PERFORM COMPLETED BATTERY L/V FOR DEMO KIT AT AFT CABIN D/T MISSING</t>
  </si>
  <si>
    <t>E0431349</t>
  </si>
  <si>
    <t>E0431346</t>
  </si>
  <si>
    <t>PERFORM REPLACED BULB FASTEN SEATBELT SIGN AT FRONT OF FA5 DUE TO NOT ILL</t>
  </si>
  <si>
    <t>E0431394</t>
  </si>
  <si>
    <t>PERFORM RECONNECT PLUG OF WINDOW LIGHT NO 31DEF DUE TO ALWAYS ILL</t>
  </si>
  <si>
    <t>E0431395</t>
  </si>
  <si>
    <t>PERFORM RECONNECT PLUG OF WINDOW LIGHT NO 22DEF &amp; 25DEF DUE TO ALWAYS ILL</t>
  </si>
  <si>
    <t>E0431396</t>
  </si>
  <si>
    <t>PERFORM RECONNECT CABLE INTERPHONE AT 4L D/T CANT OPERATE</t>
  </si>
  <si>
    <t>E0431397</t>
  </si>
  <si>
    <t>B137585</t>
  </si>
  <si>
    <t>B139768</t>
  </si>
  <si>
    <t>B134801</t>
  </si>
  <si>
    <t>B139750</t>
  </si>
  <si>
    <t>B141831</t>
  </si>
  <si>
    <t>B138225</t>
  </si>
  <si>
    <t>B139767</t>
  </si>
  <si>
    <t>PERFORM RECTIFIED BOTTOM COVER WITH VELCRO AT NO 22E DUE TO LOOSE</t>
  </si>
  <si>
    <t>B114534</t>
  </si>
  <si>
    <t>PERFORM COMPLETED CONNECTOR POB AT FWD CABIN D/T MISSING</t>
  </si>
  <si>
    <t>B138223</t>
  </si>
  <si>
    <t>PERFORM REPLACED COVER LEATHER AT NO 2D 3DF D/T BAD CONDITION</t>
  </si>
  <si>
    <t>B138224</t>
  </si>
  <si>
    <t>PERFORM REPLACED SHROUD ASSY AT LAV E D/T CRACK</t>
  </si>
  <si>
    <t>B138226</t>
  </si>
  <si>
    <t>PERFORM ADJUSTMENT SCREW LATCH TRAY TABLE NO 3F D/T NOT PROPER</t>
  </si>
  <si>
    <t>S128900</t>
  </si>
  <si>
    <t>S121342</t>
  </si>
  <si>
    <t>E0428065</t>
  </si>
  <si>
    <t>PERFORM RESETED ACP TO LRUS FROM ACP RESULT TEST NORMALLY</t>
  </si>
  <si>
    <t>E0428066</t>
  </si>
  <si>
    <t>PERFORM RESETED ACP TO LRUS FROM WINDOW LIGHT NO 17-31-33, 35-37, 35-39 RESULT TEST NORMALLY</t>
  </si>
  <si>
    <t>E0428073</t>
  </si>
  <si>
    <t>E0428074</t>
  </si>
  <si>
    <t>PERFORM RESETED ACP TO LRUS WINDOW LIGHT FROM ACP RESULT TEST NORMALLY</t>
  </si>
  <si>
    <t>E0428075</t>
  </si>
  <si>
    <t>PERFORM RECONNECT CONNECTOR WINDOW LIGHT NO 24DEF &amp; 38ABC RESULT NORMAL</t>
  </si>
  <si>
    <t>E0428070</t>
  </si>
  <si>
    <t>VIEWING WINDOW AT 4L NOT CLEAR TRANSFER NSRDIL: NLA085981 NEED PN: 140N2035-1 RQ: 1129508</t>
  </si>
  <si>
    <t>B126526</t>
  </si>
  <si>
    <t>PERFORM RESET CB WATER BOILER AT G5 D/T CANT HOT</t>
  </si>
  <si>
    <t>S126528</t>
  </si>
  <si>
    <t>REFF DBI PERFORM REPLACED 3 LIFE VEST AT FWD &amp; AFT CABIN D/T EXPIRED AFML: S341399</t>
  </si>
  <si>
    <t>S126529</t>
  </si>
  <si>
    <t>B141632</t>
  </si>
  <si>
    <t>REFF FINDING INSPECTION PERFORM REPLACED COVER TOILET AT LAVATORY A HAS BEEN CLOSED</t>
  </si>
  <si>
    <t>B141629</t>
  </si>
  <si>
    <t>B147108</t>
  </si>
  <si>
    <t>PERFORM RECONNECT CABLE PLUG OF WINDOW LIGHT NO 20DEF D/T BLINKING</t>
  </si>
  <si>
    <t>B147110</t>
  </si>
  <si>
    <t>PERFORM RECTIFIED SCREW OF MEALTRAY S/N 1F D/T NOT PROPER</t>
  </si>
  <si>
    <t>B147109</t>
  </si>
  <si>
    <t>PERFORM COMPLETED PLACARD NO USE POWERBANK AT S/N 8A HAS BEEN CLOSED</t>
  </si>
  <si>
    <t>B141709</t>
  </si>
  <si>
    <t>PERFORM REPOSITION SEAT TRACK COVER NO 10ABC HAS BEEN CLOSE</t>
  </si>
  <si>
    <t>B141708</t>
  </si>
  <si>
    <t>PERFORM REPOSITION OF POUCH LV NO 25D D/T NOT PROPER</t>
  </si>
  <si>
    <t>B146895</t>
  </si>
  <si>
    <t>B108905</t>
  </si>
  <si>
    <t>C 035782</t>
  </si>
  <si>
    <t>Transfer To NSRDI Page No NWA.001547</t>
  </si>
  <si>
    <t>C 035783</t>
  </si>
  <si>
    <t>Performed Reinstall Validity Tag At Life Vest Crew ( PILOT )  d/t Bad Condition. Has Been c/o</t>
  </si>
  <si>
    <t>C 035784</t>
  </si>
  <si>
    <t>Performed Retighten Screw Footrest Seat No.8DF d/t Loose. Has Been c/o</t>
  </si>
  <si>
    <t>C 035785</t>
  </si>
  <si>
    <t>C 035936</t>
  </si>
  <si>
    <t>Performed Rectification And Reinstall Placard Validity Tag At Cover PBE At AFT Cabin R/H. Has Been c/o</t>
  </si>
  <si>
    <t>C 035937</t>
  </si>
  <si>
    <t>Performed Rectification And Reinstall Strap Cover Tailprop At Under Seat No.20AC. Has Been c/o</t>
  </si>
  <si>
    <t>C 035938</t>
  </si>
  <si>
    <t>Performed Install Placard "ELT FIX " At COver ELT d/t Missing. Has Been c/o</t>
  </si>
  <si>
    <t>C 035939</t>
  </si>
  <si>
    <t>E0441509</t>
  </si>
  <si>
    <t>IAW AMM ATA : 24-22-00 PERFORMED REPOSITION SEAT CUSHION NO 11A, 15E, 10D, 18A, 19E DUE TO NOT PROPERLY INSTALL</t>
  </si>
  <si>
    <t>AGUNG LUHUR PUJIONO</t>
  </si>
  <si>
    <t>E0441510</t>
  </si>
  <si>
    <t>E0441511</t>
  </si>
  <si>
    <t>REFF WO : 2352258 PERFORMED INSPECTION O2 MASK DEMO ON B737-8/900 HAS BEEN C/O RESULT GOOD CONDITION</t>
  </si>
  <si>
    <t>S125377</t>
  </si>
  <si>
    <t>S125378</t>
  </si>
  <si>
    <t>I.A.W AMM ATA 44-21-00 PERFORMED RECHARGE AIRFI AT AFT STATION FOUND DUE TO LOW BATTERY (SN : 184)</t>
  </si>
  <si>
    <t>IAW AMM ATA : 25-31-00 PERFORMED RESET CB OVEN NO 163 DUE TO SOME TIMES ERROR OPS TEST NORMALLY</t>
  </si>
  <si>
    <t>B126495</t>
  </si>
  <si>
    <t>I.A.W AMM ATA 44-21-00 PERFORMED RECHARGE AIRFI AT FWD STATION FOUND DUE TO LOW BATTERY (SN : 600)</t>
  </si>
  <si>
    <t>B126496</t>
  </si>
  <si>
    <t>REFF NSRDIL NO : NID008695 PERFORM OPS TEST OVEN NO 512 RESULT NORMALLY</t>
  </si>
  <si>
    <t>B126497</t>
  </si>
  <si>
    <t>S110994</t>
  </si>
  <si>
    <t>PERFORMED INSPECTION &amp; CHECK CEILLING LIGHT NO 11DEF ALREADY DMI NO : SAJ014133</t>
  </si>
  <si>
    <t>S110995</t>
  </si>
  <si>
    <t>IAW AMM ATA : 33-21-00 PERFORMED REPOSITION LAMP CEILLING LIGHT NO 29ABC DUE TO NOT ILLUMINATE</t>
  </si>
  <si>
    <t>S110996</t>
  </si>
  <si>
    <t>IAW AMM ATA : 25-23-00 PERFORM RECTIFIED TRYA TABLE NO 7C DUE TO NOT PROPER</t>
  </si>
  <si>
    <t>S110997</t>
  </si>
  <si>
    <t>IAW AMM ATA : 25-23-00 PERFORM RECTIFIED HOSE TRYA TABLE NO 18F DUE BROKEN</t>
  </si>
  <si>
    <t>S110998</t>
  </si>
  <si>
    <t>S128350</t>
  </si>
  <si>
    <t>IAW AMM ATA : 33-21-00 PERFORMED REPOSITION LAMP CEILLING LIGHT NO 31DEF DUE TO NOT ILLUMINATE</t>
  </si>
  <si>
    <t>S128351</t>
  </si>
  <si>
    <t>E0448584</t>
  </si>
  <si>
    <t>PEFORM REPOSITION INSTRIP SIDE WALL NO. 2ABC,10ABC,11DEF &amp; 32DEF RESULT GOOD</t>
  </si>
  <si>
    <t>E0451831</t>
  </si>
  <si>
    <t>PERFORM REPLACED PLACARD " UU PENERBANGAN " SEAT NO. 2B C/O</t>
  </si>
  <si>
    <t>B147236</t>
  </si>
  <si>
    <t>PERFORM REPLACED PLACARD VALIDITY TAG FOR LAVATORY FIREX, REF EMRO VALID UNTIL 01 NOV 2027</t>
  </si>
  <si>
    <t>LONG STAY</t>
  </si>
  <si>
    <t>E0452860</t>
  </si>
  <si>
    <t>PEROFRM RESET CB COFFE MAKER AT G1 DUE TO SOMETIMES LEAKING</t>
  </si>
  <si>
    <t>E0452865</t>
  </si>
  <si>
    <t>PERFORM RECTIFIED COMPARTMENT PSU AT NO.23DEF DUE TO NOT PROPER</t>
  </si>
  <si>
    <t>E0428071</t>
  </si>
  <si>
    <t>DEFECT ALREDAY INSERT TO NSRDIL NLA085963</t>
  </si>
  <si>
    <t>E0431286</t>
  </si>
  <si>
    <t>PERFORM CLEAN UP FILTER WASH BASIN AT ALL LAVATORY DUE TO DIRTY</t>
  </si>
  <si>
    <t>E0431281</t>
  </si>
  <si>
    <t>PERFORM INSTALL CALLIGTON &amp; ODOUR BY AIEC</t>
  </si>
  <si>
    <t>E0431280</t>
  </si>
  <si>
    <t>PERFORM INSTALL AIRSICKNESS BAG FOR ALL SEAT POCKET BY AIEC</t>
  </si>
  <si>
    <t>E0431285</t>
  </si>
  <si>
    <t>PERFORM REPOSITION FLASH LIGHT ASSY DUE TO NOT BLINKING</t>
  </si>
  <si>
    <t>E0461647</t>
  </si>
  <si>
    <t>PERFORM CLEAN UP FILTER CATRIDGE FAUCET LD TEST RESULT NORMAL</t>
  </si>
  <si>
    <t>ABD MUIS</t>
  </si>
  <si>
    <t>E0461648</t>
  </si>
  <si>
    <t>PERFORM RECONNEC CONNECTOR WINDOW LIGHT NO.12DEF OPT TEST RESULT NORMAL</t>
  </si>
  <si>
    <t>E0461649</t>
  </si>
  <si>
    <t>PERFORM RESET ACP ENTRY LIGHT AT AFT CABIN C/O</t>
  </si>
  <si>
    <t>E0461650</t>
  </si>
  <si>
    <t>PERFORM RECONNEC ELEC PLUG WINDOW LIGHT NO.10-11DEF,12ABC,16DEF,25A-F C/O</t>
  </si>
  <si>
    <t>E0431498</t>
  </si>
  <si>
    <t>B144341</t>
  </si>
  <si>
    <t>PERFORM REPOSITION LAMP TL WINDOW LIGHT NO.18DEF OPT TEST RESULT ILL</t>
  </si>
  <si>
    <t>B144342</t>
  </si>
  <si>
    <t>E0451736</t>
  </si>
  <si>
    <t>PERFORM REPOSITION LAMP TL AT LAVATORY LD &amp; LE OPT TEST RESULT ILL</t>
  </si>
  <si>
    <t>E0451737</t>
  </si>
  <si>
    <t>E0431493</t>
  </si>
  <si>
    <t>B125102</t>
  </si>
  <si>
    <t>PERFORM CHECK AND OPT TEST RESULT OK</t>
  </si>
  <si>
    <t>B125104</t>
  </si>
  <si>
    <t>E0451832</t>
  </si>
  <si>
    <t>S121864</t>
  </si>
  <si>
    <t>S121862</t>
  </si>
  <si>
    <t>PERFORM REPLACED TUBELAMP CEILING LIGHT SN 17DEF,25DEF AND REPOSITION TUBE LAMP AT SN 20DEF,22DEF, OPT TEST RESULT ILLUMINATE</t>
  </si>
  <si>
    <t>S121863</t>
  </si>
  <si>
    <t>ALREADY INSERT TO NSRDI NSAJ022543</t>
  </si>
  <si>
    <t>S121865</t>
  </si>
  <si>
    <t>PERFORM REPLACE PLACARD VALIDITY DATE POC AT FWD STATION HAS BEEN C/O</t>
  </si>
  <si>
    <t>B737900-ER</t>
  </si>
  <si>
    <t>E0474763</t>
  </si>
  <si>
    <t>E0474762</t>
  </si>
  <si>
    <t>WINDOW LIGHT SN 4-11DEF TRANSFER TO DMI NO. 019236, AND RECONNECT CONNECTOR PLUG WINDOW LIGHT SN 4ABC,8ABC,12ABC,26DEF,37DEF, OPT TEST RESULT ILLUMINATE</t>
  </si>
  <si>
    <t>E0452866</t>
  </si>
  <si>
    <t>E0452858</t>
  </si>
  <si>
    <t>TRANSFER TO DMI 015824</t>
  </si>
  <si>
    <t>E0452861</t>
  </si>
  <si>
    <t>PERFORM RECONNECT CONNECTOR AND REPOSITION LED ASSY WINDOW LIGHT SN 15ABC, OPT TEST WINDOW LIGHT SN 16-34ABC REULT NORMAL</t>
  </si>
  <si>
    <t>E0452863</t>
  </si>
  <si>
    <t>AFTER CHECKED DEFECT RELATED WITH DMI 015824</t>
  </si>
  <si>
    <t>B136736</t>
  </si>
  <si>
    <t>DEFECT  TRANSFER TO NSRDI PAGE NO.NID004508</t>
  </si>
  <si>
    <t>PERFORM DAILY BEATIFICATION INSPECTION CHECK HAS BEEN C/O</t>
  </si>
  <si>
    <t>C027080IW</t>
  </si>
  <si>
    <t>C035001</t>
  </si>
  <si>
    <t>C025468IW</t>
  </si>
  <si>
    <t>PK-WKH</t>
  </si>
  <si>
    <t>C036402</t>
  </si>
  <si>
    <t>C034539IW</t>
  </si>
  <si>
    <t>C034615IW</t>
  </si>
  <si>
    <t>C027041IW</t>
  </si>
  <si>
    <t>S121424</t>
  </si>
  <si>
    <t>PERFORMED INSTALL AIRFI AT FWD (SN : 141) AFTER RECHARGING . HAS BEEN C.O</t>
  </si>
  <si>
    <t>S121425</t>
  </si>
  <si>
    <t>PERFORMED FIXED VELCRO OF SEAT POCKET AT S/N 10AB FOUND NOT PROPER CONDITION. RESULT CHECK PROPERLY</t>
  </si>
  <si>
    <t>B137537</t>
  </si>
  <si>
    <t>PERFORMED INSTALL AIRFI AT AFT STA (SN : 462) AFTER RECHARGING. HAS BEEN CO</t>
  </si>
  <si>
    <t>B137538</t>
  </si>
  <si>
    <t>PERFORMED REINSTALL COVER SEAT TRACK S/N 23AB NOT PROPER CONDITION  / LOOSEN. RESULT CHECK PROPERLY</t>
  </si>
  <si>
    <t>S125955</t>
  </si>
  <si>
    <t>PERFORMED INSTALL AIRFI AT FWD STA (SN : 173) AND AFT (SN : 134) AFTER RECHARGING, HAS BEEN C/O</t>
  </si>
  <si>
    <t>S125956</t>
  </si>
  <si>
    <t>PERFORMED FIXED ANTI MACASSAR AT S/N 4F D/T NOT PROPER CONDITION. RESULT CHECK PROPERLY</t>
  </si>
  <si>
    <t>S125071</t>
  </si>
  <si>
    <t>PERFORMED RECHARGING AIRFI FWD (SN : 199) D/T LOW BATTERY. HAS BEEN C/O</t>
  </si>
  <si>
    <t>E0441127</t>
  </si>
  <si>
    <t>PEFORMED ONBOARD CABIN SPRAY FOR SUPPORT JT102 SUB-JED</t>
  </si>
  <si>
    <t>B139257</t>
  </si>
  <si>
    <t>PERFORMED REPLACED PLACARD VALIDIITY DATE HALON FIREX AT COCPIT AND AFT CABIN REFF DATA EMRO MAINTENANCE VALID UNTIL 28 MAR 2028 AND 27 FEB 2028</t>
  </si>
  <si>
    <t>B143593</t>
  </si>
  <si>
    <t>PRFORMED REINSTALL AIRFI AT FWD CABIN AFTER RECHARGING  HAS BEEN C/O</t>
  </si>
  <si>
    <t>E0444369</t>
  </si>
  <si>
    <t>PERFORMED REPOSITION LAMP TL CHECK RESULTILLUMINATE DUE TO MIRROR LIGHT LAVATORY LA NOT ILLUMINATE</t>
  </si>
  <si>
    <t>E0444372</t>
  </si>
  <si>
    <t>PERFORMED RECONNECT PLUG ENTRY LIGHTCHECK RESULT NORMALLY   D/T ONLY HALF ILLUMINATE.</t>
  </si>
  <si>
    <t>E0444373</t>
  </si>
  <si>
    <t>PERFORMED RECONNECT PLUG WINDOW LIGHT E/T NOT ILLUMINATE. RESULT OPS TEST ILLUMINATE</t>
  </si>
  <si>
    <t>E0444374</t>
  </si>
  <si>
    <t>PERFORMED REPLACEMENT BULB OF NO SMOKING SIGN AT FA3 D/T NOT ILLUMINATE. RESULT ILLUMINATE</t>
  </si>
  <si>
    <t>S125072</t>
  </si>
  <si>
    <t>PERFORMED RECTIDFIED COVER EXIT IDENTIFER DUE TO NOT PROPERLY</t>
  </si>
  <si>
    <t>S126910</t>
  </si>
  <si>
    <t>PERFORMED RECTIFIED BUTTON RECLINE SEAT NO 4C DUE TO NOT PROPERLY OPS TEST RESULT GOOD</t>
  </si>
  <si>
    <t>S126909</t>
  </si>
  <si>
    <t>ALREADY INSERT TO DMI PAGE NO SAJ029630 CEILLING LIGHT 18ABC , 269-27DEF ,32DEF NOT ILLUMINATE   NEED LAMP</t>
  </si>
  <si>
    <t>E0438076</t>
  </si>
  <si>
    <t>PERFORMED BEATIFICATION DAILY INSPECTION HAS BEEN CARRIED OUT</t>
  </si>
  <si>
    <t>B139168</t>
  </si>
  <si>
    <t>E0457833</t>
  </si>
  <si>
    <t>E0428471</t>
  </si>
  <si>
    <t>E0428470</t>
  </si>
  <si>
    <t>PERFORMED RECTIFIED COVER WINDOW LIGHT SEAT NO.32DEF DUE TO NOT PROPER. RESULT GOOD</t>
  </si>
  <si>
    <t>E0428468</t>
  </si>
  <si>
    <t>PERFORMED REPOSITION CONNECTOR PLUG WINDOW LIGHT NO.4DEF, 21ABC, 38-39 ABC DUE TO STILL ALWAYS ILLUMINATE. OPS TEST RESULT GOOD</t>
  </si>
  <si>
    <t>E0438386</t>
  </si>
  <si>
    <t>E0438383</t>
  </si>
  <si>
    <t>PERFORMED RECONECT CONECTOR PLUG WINDOW LIGHT S/N 8DEF D/T NOT ILLUMINATE RESULT GOOD</t>
  </si>
  <si>
    <t>E0438381</t>
  </si>
  <si>
    <t>PERFORMED REPLACED LIFE VEST DEMO KIT AT FWD CABIN D/T NOT AVAILABLE LAMP RESULT GOOD</t>
  </si>
  <si>
    <t>E0438385</t>
  </si>
  <si>
    <t>PERFORMED RECONECT CONECTOR PLUG CEILING LIGHT S/N 32BC D/T BLINKING  RESULT GOOD</t>
  </si>
  <si>
    <t>E0438382</t>
  </si>
  <si>
    <t>PERFORMED RECTIFIED FLAPPER DOOR WASTE CONTAINER AT FWD NO 105 D/T NOT PROPER CLOSED RESULT GOOD</t>
  </si>
  <si>
    <t>S125958</t>
  </si>
  <si>
    <t>S125957</t>
  </si>
  <si>
    <t>PERFORMED REPOSITION TUBE LAMP CEILING LIGHT S/N 32D NOT ILLUMINATE RESULT TEST ILLUMINATE</t>
  </si>
  <si>
    <t>S114672</t>
  </si>
  <si>
    <t>S114673</t>
  </si>
  <si>
    <t>REFF NSRDI NO NSAJ037463 PERFORMED COMPLETED PLACARD PLEASE SIT &amp; DONT SQUAD ON TOILET BOWL AT LAVATORY E HAS BEEN C/O</t>
  </si>
  <si>
    <t>S114674</t>
  </si>
  <si>
    <t>REFF NSRDI NO NSAJ037464 PERFORMED COMPLETED PLACARD PLEASE SIT &amp; DONT SQUAD ON TOILET BOWL AT LAVATORY A HAS BEEN C/O</t>
  </si>
  <si>
    <t>S114675</t>
  </si>
  <si>
    <t>TRANSFER TO NSRDI NO NSAJ037465 REFF FINDING INSPECTION 18926 HANDSET FA2 IS BAD CONDITION</t>
  </si>
  <si>
    <t>S114676</t>
  </si>
  <si>
    <t>TRANSFER TO NSRDI NO NSAJ037466 REFF FINDING INSPECTION 18927 HANDLE COVER EMERGANCY EXIT DOOR IS TEAR</t>
  </si>
  <si>
    <t>S114677</t>
  </si>
  <si>
    <t>TRANSFER TO NSRDI NO NSAJ037467 REFF FINDING INSPECTION 18929 CARPET FLOOR SEAT NO 10C IS BAD CONDITION</t>
  </si>
  <si>
    <t>PERFORMED COMPLETED SEAT TRACK COVER 31F &amp; 31C D/T MISSING RESULT COMPLETED</t>
  </si>
  <si>
    <t>E0428028</t>
  </si>
  <si>
    <t>PERFORMED REPLACED LATCH ASSY DOOR COMPARTMENT FA4 D/T HARD TO OPEN(BROKEN)</t>
  </si>
  <si>
    <t>E0428025</t>
  </si>
  <si>
    <t>PERFORMED REPLACED BULB FASTEN SEAT BELT SIGN IN FROM FA1,FA4</t>
  </si>
  <si>
    <t>E0428022</t>
  </si>
  <si>
    <t>PERFORMED CHECK AFTER DRAIN WASTE SYSTEM INDICATOR FOUND NORMALL</t>
  </si>
  <si>
    <t>E0428023</t>
  </si>
  <si>
    <t>PERFORMED REPOSITION CONNECTOR PLUG WINDOW LIGHT 31BC,37-39DEF RESULT GOOD</t>
  </si>
  <si>
    <t>E0428024</t>
  </si>
  <si>
    <t>PERFORMED REPOSITION CONNECTOR PLUG CEILLING LIGHT 2-4ABC,29DEF,32-33ABC,37-38AF</t>
  </si>
  <si>
    <t>E0428026</t>
  </si>
  <si>
    <t>PERFORMED RETIGHTEN SCREW HANDLE AT LAVATORY LD D/T NOT PROPER</t>
  </si>
  <si>
    <t>E0428027</t>
  </si>
  <si>
    <t>PERFORMED RECTIFIED HINGE DOOR LAVATORY LE D/T HARD TO OPEN</t>
  </si>
  <si>
    <t>E0428030</t>
  </si>
  <si>
    <t>5:11:</t>
  </si>
  <si>
    <t>S125074</t>
  </si>
  <si>
    <t>S125075</t>
  </si>
  <si>
    <t>PERFORMED RECHARGE AIRFI FWD AND AFT CABIN S/N:199,016</t>
  </si>
  <si>
    <t>S126915</t>
  </si>
  <si>
    <t>REFF QAA 19485 THE PAINT PEELING OFF THE RUDDER AREA TRANSFER TO NSRDI NSAJ021323</t>
  </si>
  <si>
    <t>S126916</t>
  </si>
  <si>
    <t>PAINT PEEL OFF AT COWLING ENG #1 &amp; #2  TRANSFER TO NSRDI NSAJ021324</t>
  </si>
  <si>
    <t>S126917</t>
  </si>
  <si>
    <t>PLACARD HAZARD AREA , DO NOT WALK OUTSIDE  AND ENGINE WARNING STRAP AT BOTH ENGINE BAD CONDITION NEED PLACARD  :LT11-11-PLC-0921 {4EA} LT11-11-PLC-0922 {4EA}  TRANSFER TO NSRDI NSAJ02135</t>
  </si>
  <si>
    <t>S126919</t>
  </si>
  <si>
    <t>PERFORM REPLACE PLACARD WARNING STAND CLEAR AT BOTH ENGINE DUE TO BAD CONDITION C/O</t>
  </si>
  <si>
    <t>S126920</t>
  </si>
  <si>
    <t>PERFORM REPLACE PLACARD "STANDBY" AT STATIC PORTS RH FUSELAGE DUE TO BAD CONDITION HAS BEEN C/O</t>
  </si>
  <si>
    <t>S126921</t>
  </si>
  <si>
    <t>PERFORM REPLACE PLACARD OXYGEN DISCHARGE AT LH FUSELAGE DUE TO PEEL OFFC/O</t>
  </si>
  <si>
    <t>S126922</t>
  </si>
  <si>
    <t>PERFORM REPLACE PLACARD CARGO DOOR SELECTOR AT AFT FUSELAGE AND PLACARD WARNING AT FWDAND AFT CARGO DOOR DUE TO PEEL OFF C/O</t>
  </si>
  <si>
    <t>S126923</t>
  </si>
  <si>
    <t>PERFORM REPLACE PLACARD ENGINE OIL SERVICING ACCES AT ENG #2 DUE TO PEEL OFF C/O</t>
  </si>
  <si>
    <t>S126924</t>
  </si>
  <si>
    <t>PERFORM REPLACE PLACARD "EXIT"AT EMERGENCY EXIT DOOR LH &amp; RH FUSELAGE DUE TO BAD CONDITION C/O</t>
  </si>
  <si>
    <t>S126925</t>
  </si>
  <si>
    <t>PERFORM REPAINTING NOSE COWL AT ENG #1 &amp; #2 DUE TO PAINT PEEL OFF C/O</t>
  </si>
  <si>
    <t>S126926</t>
  </si>
  <si>
    <t>PERFORM REPLACE PLACARD ARROW , INSTRUCTION TO OPEN AND PUSH HERE AT FWD ENTRY DOOR AND SERVICE DOOR DUE TO BAD CONTION C/O</t>
  </si>
  <si>
    <t>E0474801</t>
  </si>
  <si>
    <t>PERFORMED INSTAL NEW CML LOG BOOK HAS BEEN C/O</t>
  </si>
  <si>
    <t>B137539</t>
  </si>
  <si>
    <t>REFF NSRDIL PAGE NO.NID008538 CARPET AISLE ROW 20 UNTIL 23 BAD CONDITION, DEFECT RE OPEN TO NSRDI PAGE NO.NID008546 NEED SPARE P/N : B737NG-25-174-AISLE RQ : 1129507</t>
  </si>
  <si>
    <t>B137540</t>
  </si>
  <si>
    <t>CARPET AISLE ROW 20 UNTIL 23 BAD CONDITION, TRANSFER TO NSRDI PAGE NO.NID008546 NEED SPARE P/N : B737NG-25-174-AISLE RQ : 1129507</t>
  </si>
  <si>
    <t>B137541</t>
  </si>
  <si>
    <t>PERFORMED RECHARGE AIRFI AT FWD AND AFT CABIN S/N : 522,462 DUE TO LOW BATT HAS BEEN C/O</t>
  </si>
  <si>
    <t>B137542</t>
  </si>
  <si>
    <t>S110750</t>
  </si>
  <si>
    <t>PERFORMED REPOSITION LAMP CEILING LIGHT AT SEAT NO.31ABC DUE TO NOT ILLUMINATE,OPS TEST RESULT ILLUMINATE</t>
  </si>
  <si>
    <t>S129951</t>
  </si>
  <si>
    <t>DURING DBI PERFORMED ADD NEW CML LOG BOOK HAS BEEN C/O</t>
  </si>
  <si>
    <t>S129952</t>
  </si>
  <si>
    <t>REFF NSRDI PAGE NO.NSAJ021413, PERFORMED REPLACED SEAT ASSY AT LAV "A" DUE TO CRACK HAS BEEN C/O,RESULT GOOD P/N ON : A425400461-600 P/N OFF : A425400461-600</t>
  </si>
  <si>
    <t>S129953</t>
  </si>
  <si>
    <t>S126911</t>
  </si>
  <si>
    <t>HANDLE LOCK COVER AT FAT ENTRY DOOR FOUND BROKEN, TRANSFER TO NSRDI PAGE NO.NSAJ021322 "NEED REPAIR"</t>
  </si>
  <si>
    <t>S126912</t>
  </si>
  <si>
    <t>REFF NSRDIL PAGE NO.NSAJ021310 SRV NO. 10234 DURING PERFORMED WO INTERIOR CABIN INSPECTION , ROLLER BLIND AT (AFT LH &amp;RH) MISSING , DEFECT NSAJ021310 TRANSFER TO NSAJ021320 DOUBLE DEFECT</t>
  </si>
  <si>
    <t>S126913</t>
  </si>
  <si>
    <t>DURING DBI PERFORMED COMPLETED SEAT COVER TRACK AT SEAT NO.18A DUE TO MISSING HAS BEEN C/O,RESULT GOOD</t>
  </si>
  <si>
    <t>S126914</t>
  </si>
  <si>
    <t>S126918</t>
  </si>
  <si>
    <t>REFF NSRDI PAGE NO.NSAJ021308,PERFORMED RECTIFIED BEVERAGE MAKER AT G1 DUE TO LOW WATER TEST ON GROUND RESULT NORMAL AND WATER HOT</t>
  </si>
  <si>
    <t>B143677</t>
  </si>
  <si>
    <t>DURING DBI AIRFI AT FWD AND AFT CABIN NOT AVAILABLE , TRANSFER TO NSRDI PAGE NO.NBA032848 NEED PN: DSD.ID.999.0619 QTY 2EA (RQ:1129509)</t>
  </si>
  <si>
    <t>B143678</t>
  </si>
  <si>
    <t>B123477</t>
  </si>
  <si>
    <t>DURING DBI PERFORMED CHARGING AIRFI AT FWD CABIN D/T LOW BATTERY , SN: 531</t>
  </si>
  <si>
    <t>B123478</t>
  </si>
  <si>
    <t>E0451775</t>
  </si>
  <si>
    <t>S111150</t>
  </si>
  <si>
    <t>S111151</t>
  </si>
  <si>
    <t>PERFORMED ADJUSTMENT ACTUATOR HYDROLOCK SEAT 3C, OS TEST NOMAL RECLINE</t>
  </si>
  <si>
    <t>S114734</t>
  </si>
  <si>
    <t>PERFORMED REOSITION FLASH LIGHT BATTRY AT FA6, OPS TEST RESULT ILLUMINATE</t>
  </si>
  <si>
    <t>S114735</t>
  </si>
  <si>
    <t>PERFORMED REPOSITION VALVE WATER FLOW D/T WATER NOT FLOW</t>
  </si>
  <si>
    <t>S114736</t>
  </si>
  <si>
    <t>PERFORMED CLEAN UP FILTER FAUCE LAV A</t>
  </si>
  <si>
    <t>PK-SJR</t>
  </si>
  <si>
    <t>S115991</t>
  </si>
  <si>
    <t>S115990</t>
  </si>
  <si>
    <t>PERFORMED REPOSITION POUCH OF LIFE VEST AT SEAT 5A AND24E</t>
  </si>
  <si>
    <t>S115989</t>
  </si>
  <si>
    <t>ALREADY INSERT NSRDIL NSAJ021261</t>
  </si>
  <si>
    <t>S115992</t>
  </si>
  <si>
    <t>PERFORMED RETIGHTEN SCREW OF SEATVTRACK SEAT 21ABC</t>
  </si>
  <si>
    <t>E0443206</t>
  </si>
  <si>
    <t>E0443205</t>
  </si>
  <si>
    <t>PERFORMED RECONNECT ELECTRICAL PLUG OF ENTRY LIGHT AT G4B</t>
  </si>
  <si>
    <t>E0443204</t>
  </si>
  <si>
    <t>PERFORMED CHECK AND AFTER DRAIN WASTE SYSTEM ALREADY NORMAL</t>
  </si>
  <si>
    <t>E0443203</t>
  </si>
  <si>
    <t>ALREADY INSERT DMI027160</t>
  </si>
  <si>
    <t>E0443202</t>
  </si>
  <si>
    <t>PERFORMED REPOSITION LAMP OF WINDOW LIGHT S/N 8F AND 30A</t>
  </si>
  <si>
    <t>E0443201</t>
  </si>
  <si>
    <t>PERFORMED RESET CB AND REPOSITION LAMP WINDOW LIGHT S/N 25DEF, 27DEF</t>
  </si>
  <si>
    <t>B138490</t>
  </si>
  <si>
    <t>B138489</t>
  </si>
  <si>
    <t>PERFORMED REPOSITION BATTERY FLASHLIGHT AT FA5 DUE TO DIM . OP'S TEST RESULT NORMALLY BRIGHT</t>
  </si>
  <si>
    <t>B138491</t>
  </si>
  <si>
    <t>PERFORMED RECTIFIED CARPET AT FWD CABIN DUE TO DANGLE ( BAD CONDITION ). RESULT GOOD CONDITION</t>
  </si>
  <si>
    <t>S126704</t>
  </si>
  <si>
    <t>REF DMI NO: SAJ-025905 PERFORMED REPLACEMENT CEILING LIGHT NO 16ABC,28DEF &amp; 32ABC DUE TO NOT ILLUMINATE. RESULT ILLUMINATE</t>
  </si>
  <si>
    <t>B143624</t>
  </si>
  <si>
    <t>REF AMM 25-00-00 PERFORMED DAILY BEAUTIFICATION INSPECTION CHECK.</t>
  </si>
  <si>
    <t>C039466</t>
  </si>
  <si>
    <t>PERFORMED RECTIFIED COVER EMERGENCY EQUIPMENT AT FA1 DUE TO NOT PROPERLY. RESULT GOOD</t>
  </si>
  <si>
    <t>C039465</t>
  </si>
  <si>
    <t>ROTATING PLATE DOOR CALL PANEL MISSING, DEFECT ALREADY INSERT TO NSRDIL NO: NWA006470</t>
  </si>
  <si>
    <t>C039467</t>
  </si>
  <si>
    <t>JIC 25-00-00 PERFORMED DAILY BEAUTIFICATION INSPECTION CHECK.</t>
  </si>
  <si>
    <t>B138492</t>
  </si>
  <si>
    <t>REF AMM:25-64-00 PERFORM REPLACEMENT INFANT LIFE VEST AT FWD CABIN D/T TORN</t>
  </si>
  <si>
    <t>B138493</t>
  </si>
  <si>
    <t>REF AMM:25-22-00 PERFORM ADJUSMENT SEAT NO.7DEF D/T NOT SECURE</t>
  </si>
  <si>
    <t>B138494</t>
  </si>
  <si>
    <t>C039468</t>
  </si>
  <si>
    <t>REF JIC 25-45-00 WO:1735243,PERFORM OPERATIONAL TEST OF TOILET WASTE BIN FLAP FOR PROPER CLOSING,RESULT WASTE FUNCTION NORMALLY</t>
  </si>
  <si>
    <t>B128439</t>
  </si>
  <si>
    <t>C039430</t>
  </si>
  <si>
    <t>REFAMM:25-00-00 WO:2220944 PERFORM CABIN INTERIOR INSPECTION C/O</t>
  </si>
  <si>
    <t>C039431</t>
  </si>
  <si>
    <t>REF JIC:25-22-00 PERFORMED ADJUSMENT CABLE RECLINE SEAT NO 16D D/T CAN'T RECLINE, OP'S TEST RECLINE SEAT NORMALLY</t>
  </si>
  <si>
    <t>C039432</t>
  </si>
  <si>
    <t>REF JIC:25-00-00 WO:220329PERFORM STERILIZATION OF WATER TANK AND DISINFECTION SYSTEM C/O</t>
  </si>
  <si>
    <t>E0441594</t>
  </si>
  <si>
    <t>S122839</t>
  </si>
  <si>
    <t>REF AMM:25-00-00 PERFORM REPLACEMENT AIRFI BOX FWD AND AFT D/T LOW BATTERY</t>
  </si>
  <si>
    <t>E0461039</t>
  </si>
  <si>
    <t>E0449065</t>
  </si>
  <si>
    <t>REF AMM:33-25-00 PERFORM RECONNECT CONECTOR PLUG READING LIGHT S/N 4F D/T NOT ILLUMINATE,RESULT TEST ILLUMINATE</t>
  </si>
  <si>
    <t>B128441</t>
  </si>
  <si>
    <t>REF AMM:25-00-00 PERFORM INSTALLED UPK D/T FOR SUPPORT FLIGHT INTER</t>
  </si>
  <si>
    <t>E0449067</t>
  </si>
  <si>
    <t>REF AMM:25-00-00 PERFORM INSTALLED STRECHER FOR REQUEST PAX SICK</t>
  </si>
  <si>
    <t>E0449066</t>
  </si>
  <si>
    <t>S126705</t>
  </si>
  <si>
    <t>RIDDHY SUVARNA</t>
  </si>
  <si>
    <t>S126706</t>
  </si>
  <si>
    <t>IAW AMM 25-00-00 PERFORMED REPOSITION DOOR ACSES LAVATORY LA</t>
  </si>
  <si>
    <t>S126707</t>
  </si>
  <si>
    <t>IAW AMM 25-00-00 PERFORMED DAILY CHECK BEAUTIFICATION HAS BEEN C/O</t>
  </si>
  <si>
    <t>E0433323</t>
  </si>
  <si>
    <t>IAW AMM 33-21-00 PERFORMED REPOSITION WINDOW LIGHT 30DEF OPS TEST ILLUMINATE</t>
  </si>
  <si>
    <t>E0433324</t>
  </si>
  <si>
    <t>IAW AMM 23-01-00 PERFORMED REPOSITION CORD CABLE PA 2L</t>
  </si>
  <si>
    <t>E0433325</t>
  </si>
  <si>
    <t>IAW AMM 25-00-00 PERFORMED REPOSITION LAMP AND ADJSMENT DOOR LOCK LAVATORY LD OPS TEST ILLUMINATE</t>
  </si>
  <si>
    <t>E0433326</t>
  </si>
  <si>
    <t>E0461506</t>
  </si>
  <si>
    <t>ALREADY INSERT TO NSRDI NO NLA027647</t>
  </si>
  <si>
    <t>E0461507</t>
  </si>
  <si>
    <t>PERFORMED ACTUAL CHECK EXIT SUGN 5R &amp; LED BIN LIGHT AFT ( UPPER ) C/O RESULT GOOD</t>
  </si>
  <si>
    <t>E0461508</t>
  </si>
  <si>
    <t>PERFORMED RECONNECT WINDOW LIGHT S/N 27-28 DEF, 33ABC, 38 ABC C/O RESULT ILLUMINATE</t>
  </si>
  <si>
    <t>E0461509</t>
  </si>
  <si>
    <t>S125195</t>
  </si>
  <si>
    <t>CAN'T PERFORMED D/T NEED BLEED AIR</t>
  </si>
  <si>
    <t>S125196</t>
  </si>
  <si>
    <t>PERFORMED ACTUAL CHECK ALL READING LIGHT AT FWD &amp; AFT STATION C/O RESULT ILLUMINATE</t>
  </si>
  <si>
    <t>S125197</t>
  </si>
  <si>
    <t>PERFORMED ADJUSTMENT MAIN LIGHTING SYSTEM LAVATORY A&amp; E C/O RESULT ILLUMINATE</t>
  </si>
  <si>
    <t>S125198</t>
  </si>
  <si>
    <t>PERFORMED ACTUAL CHECK SOUND/AURAL C/O RESULT NORMALLY</t>
  </si>
  <si>
    <t>S125199</t>
  </si>
  <si>
    <t>S128940</t>
  </si>
  <si>
    <t>PERFORMED REPOSITION CEILING LIGHT 4DEF AND 20 ABC C/O RESULT ILLUMINATE</t>
  </si>
  <si>
    <t>S128941</t>
  </si>
  <si>
    <t>S128942</t>
  </si>
  <si>
    <t>PERFORMED INSTAL  PLACARD HOW TO USE TO OPEN OVERWING AT TRAY TABLE 15F C/O</t>
  </si>
  <si>
    <t>C044408</t>
  </si>
  <si>
    <t>C034581</t>
  </si>
  <si>
    <t>NIGHT</t>
  </si>
  <si>
    <t>B131385</t>
  </si>
  <si>
    <t>PERFOMED REPAINTED FLAG OVER WING</t>
  </si>
  <si>
    <t>B137587</t>
  </si>
  <si>
    <t>PERFOMED REPAINTED COVER ESCAPE SLIDE</t>
  </si>
  <si>
    <t>S125206</t>
  </si>
  <si>
    <t>PERFOMED INSTALLED PLACARD CAUTION MAKE SURE FAN COWLING</t>
  </si>
  <si>
    <t>S125211</t>
  </si>
  <si>
    <t>PERFOMED INSTALD PLACARD PUSH HERE FWD SERVICE DOOR</t>
  </si>
  <si>
    <t>S125210</t>
  </si>
  <si>
    <t>PERFOMED INSTALLED PLACARD INFLATE TYRES MLG DOOR</t>
  </si>
  <si>
    <t>S125212</t>
  </si>
  <si>
    <t>INSTALL PLACARD EXIT AT SERVICE DOOR</t>
  </si>
  <si>
    <t>S125208</t>
  </si>
  <si>
    <t>INSTALL PLACARD DANGER AT FWD SERVICE DOOR</t>
  </si>
  <si>
    <t>S125207</t>
  </si>
  <si>
    <t>REPAINTED RAMP AIR INLET SWING</t>
  </si>
  <si>
    <t>S125213</t>
  </si>
  <si>
    <t>REPAINTED EE COMPARTMENT DOOR RH</t>
  </si>
  <si>
    <t>S125209</t>
  </si>
  <si>
    <t>INSTALL PLACARD ACCESS DOOR EE COMPARTMENT</t>
  </si>
  <si>
    <t>PERFORM REPLACE PLACARD ARROW, INSTRUCTION TO OPEN AND PUSH HERE AT FWD ENTRY DOOR AND SERVICE DOOR DUE TO BAD CONDITION C/O</t>
  </si>
  <si>
    <t>FIRMAN</t>
  </si>
  <si>
    <t>ADIB</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</si>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</sst>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dd&quot;-&quot;mmm&quot;-&quot;yy"/>
    <numFmt numFmtId="165" formatCode="dd&quot; &quot;mmmm&quot; &quot;yy"/>
    <numFmt numFmtId="166" formatCode="d\-mmm\-yy"/>
    <numFmt numFmtId="167" formatCode="d&quot;-&quot;mmm&quot;-&quot;yyyy"/>
    <numFmt numFmtId="168" formatCode="yyyy\-m"/>
    <numFmt numFmtId="169" formatCode="d&quot; &quot;mmmm&quot; &quot;yy"/>
    <numFmt numFmtId="170" formatCode="d\ mmmm\ yyyy"/>
    <numFmt numFmtId="171" formatCode="d\-mmm\-yyyy"/>
    <numFmt numFmtId="172" formatCode="d\ mmm\ yyyy"/>
  </numFmts>
  <fonts count="45">
    <font>
      <sz val="10"/>
      <color rgb="FF000000"/>
      <name val="Arial"/>
      <scheme val="minor"/>
    </font>
    <font>
      <b/>
      <sz val="10"/>
      <color theme="1"/>
      <name val="Calibri"/>
      <family val="2"/>
    </font>
    <font>
      <sz val="10"/>
      <name val="Arial"/>
      <family val="2"/>
    </font>
    <font>
      <b/>
      <sz val="9"/>
      <color theme="1"/>
      <name val="Calibri"/>
      <family val="2"/>
    </font>
    <font>
      <sz val="10"/>
      <color theme="1"/>
      <name val="Calibri"/>
      <family val="2"/>
    </font>
    <font>
      <b/>
      <sz val="10"/>
      <color rgb="FFF8F9FA"/>
      <name val="Calibri"/>
      <family val="2"/>
    </font>
    <font>
      <sz val="10"/>
      <color rgb="FFF8F9FA"/>
      <name val="Calibri"/>
      <family val="2"/>
    </font>
    <font>
      <sz val="9"/>
      <color theme="1"/>
      <name val="Calibri"/>
      <family val="2"/>
    </font>
    <font>
      <sz val="10"/>
      <color rgb="FF000000"/>
      <name val="Calibri"/>
      <family val="2"/>
    </font>
    <font>
      <sz val="9"/>
      <color rgb="FF000000"/>
      <name val="Calibri"/>
      <family val="2"/>
    </font>
    <font>
      <sz val="10"/>
      <color rgb="FF34A853"/>
      <name val="Calibri"/>
      <family val="2"/>
    </font>
    <font>
      <sz val="10"/>
      <color theme="1"/>
      <name val="Arial"/>
      <family val="2"/>
    </font>
    <font>
      <b/>
      <sz val="10"/>
      <color rgb="FF000000"/>
      <name val="Calibri"/>
      <family val="2"/>
    </font>
    <font>
      <b/>
      <sz val="9"/>
      <color rgb="FF000000"/>
      <name val="Calibri"/>
      <family val="2"/>
    </font>
    <font>
      <sz val="10"/>
      <color rgb="FF434343"/>
      <name val="Calibri"/>
      <family val="2"/>
    </font>
    <font>
      <sz val="9"/>
      <color rgb="FF434343"/>
      <name val="Calibri"/>
      <family val="2"/>
    </font>
    <font>
      <sz val="10"/>
      <color theme="1"/>
      <name val="Arial"/>
      <family val="2"/>
      <scheme val="minor"/>
    </font>
    <font>
      <sz val="11"/>
      <color theme="1"/>
      <name val="Calibri"/>
      <family val="2"/>
    </font>
    <font>
      <sz val="9"/>
      <color rgb="FF000000"/>
      <name val="&quot;Source Sans Pro&quot;"/>
    </font>
    <font>
      <sz val="10"/>
      <color rgb="FF000000"/>
      <name val="Calibri"/>
      <family val="2"/>
    </font>
    <font>
      <sz val="10"/>
      <color rgb="FFFFFFFF"/>
      <name val="Calibri"/>
      <family val="2"/>
    </font>
    <font>
      <b/>
      <sz val="10"/>
      <color rgb="FFFFFFFF"/>
      <name val="Calibri"/>
      <family val="2"/>
    </font>
    <font>
      <b/>
      <sz val="13"/>
      <color rgb="FF000000"/>
      <name val="Poppins"/>
    </font>
    <font>
      <sz val="10"/>
      <color rgb="FF000000"/>
      <name val="Arial"/>
      <family val="2"/>
    </font>
    <font>
      <b/>
      <sz val="10"/>
      <color rgb="FFFFFFFF"/>
      <name val="Poppins"/>
    </font>
    <font>
      <sz val="11"/>
      <color rgb="FF000000"/>
      <name val="Poppins"/>
    </font>
    <font>
      <sz val="12"/>
      <color rgb="FF000000"/>
      <name val="Arial"/>
      <family val="2"/>
    </font>
    <font>
      <b/>
      <sz val="12"/>
      <color rgb="FF000000"/>
      <name val="Calibri"/>
      <family val="2"/>
    </font>
    <font>
      <sz val="12"/>
      <color rgb="FF000000"/>
      <name val="Calibri"/>
      <family val="2"/>
    </font>
    <font>
      <b/>
      <sz val="12"/>
      <color theme="1"/>
      <name val="Google Sans"/>
    </font>
    <font>
      <b/>
      <sz val="10"/>
      <color theme="1"/>
      <name val="Google Sans"/>
    </font>
    <font>
      <b/>
      <sz val="10"/>
      <color rgb="FFFFFFFF"/>
      <name val="Google Sans"/>
    </font>
    <font>
      <b/>
      <sz val="13"/>
      <color rgb="FFFFFFFF"/>
      <name val="Calibri"/>
      <family val="2"/>
    </font>
    <font>
      <sz val="10"/>
      <color theme="1"/>
      <name val="Google Sans"/>
    </font>
    <font>
      <b/>
      <sz val="10"/>
      <color rgb="FFFFFFFF"/>
      <name val="Calibri"/>
      <family val="2"/>
    </font>
    <font>
      <b/>
      <sz val="9"/>
      <color rgb="FFFFFFFF"/>
      <name val="Calibri"/>
      <family val="2"/>
    </font>
    <font>
      <b/>
      <sz val="10"/>
      <color theme="1"/>
      <name val="Calibri"/>
      <family val="2"/>
    </font>
    <font>
      <sz val="10"/>
      <color theme="1"/>
      <name val="Calibri"/>
      <family val="2"/>
    </font>
    <font>
      <sz val="10"/>
      <color rgb="FFFFFFFF"/>
      <name val="Calibri"/>
      <family val="2"/>
    </font>
    <font>
      <sz val="10"/>
      <color rgb="FFFFFFFF"/>
      <name val="Google Sans"/>
    </font>
    <font>
      <b/>
      <sz val="14"/>
      <color theme="1"/>
      <name val="Calibri"/>
      <family val="2"/>
    </font>
    <font>
      <sz val="9"/>
      <color theme="1"/>
      <name val="Arial"/>
      <family val="2"/>
    </font>
    <font>
      <sz val="10"/>
      <color rgb="FF000000"/>
      <name val="&quot;Aptos Narrow&quot;"/>
    </font>
    <font>
      <sz val="11"/>
      <color rgb="FF000000"/>
      <name val="Calibri"/>
      <family val="2"/>
    </font>
    <font>
      <b/>
      <sz val="11"/>
      <color theme="1"/>
      <name val="Calibri"/>
      <family val="2"/>
    </font>
  </fonts>
  <fills count="28">
    <fill>
      <patternFill patternType="none"/>
    </fill>
    <fill>
      <patternFill patternType="gray125"/>
    </fill>
    <fill>
      <patternFill patternType="solid">
        <fgColor rgb="FFFFFF00"/>
        <bgColor rgb="FFFFFF00"/>
      </patternFill>
    </fill>
    <fill>
      <patternFill patternType="solid">
        <fgColor rgb="FFF8F9FA"/>
        <bgColor rgb="FFF8F9FA"/>
      </patternFill>
    </fill>
    <fill>
      <patternFill patternType="solid">
        <fgColor rgb="FFFFFFFF"/>
        <bgColor rgb="FFFFFFFF"/>
      </patternFill>
    </fill>
    <fill>
      <patternFill patternType="solid">
        <fgColor rgb="FF999999"/>
        <bgColor rgb="FF999999"/>
      </patternFill>
    </fill>
    <fill>
      <patternFill patternType="solid">
        <fgColor rgb="FFFF0000"/>
        <bgColor rgb="FFFF0000"/>
      </patternFill>
    </fill>
    <fill>
      <patternFill patternType="solid">
        <fgColor rgb="FFCCCCCC"/>
        <bgColor rgb="FFCCCCCC"/>
      </patternFill>
    </fill>
    <fill>
      <patternFill patternType="solid">
        <fgColor rgb="FF99E378"/>
        <bgColor rgb="FF99E378"/>
      </patternFill>
    </fill>
    <fill>
      <patternFill patternType="solid">
        <fgColor rgb="FFD9D9D9"/>
        <bgColor rgb="FFD9D9D9"/>
      </patternFill>
    </fill>
    <fill>
      <patternFill patternType="solid">
        <fgColor rgb="FFB7B7B7"/>
        <bgColor rgb="FFB7B7B7"/>
      </patternFill>
    </fill>
    <fill>
      <patternFill patternType="solid">
        <fgColor rgb="FFF4CCCC"/>
        <bgColor rgb="FFF4CCCC"/>
      </patternFill>
    </fill>
    <fill>
      <patternFill patternType="solid">
        <fgColor rgb="FFE1F3F8"/>
        <bgColor rgb="FFE1F3F8"/>
      </patternFill>
    </fill>
    <fill>
      <patternFill patternType="solid">
        <fgColor rgb="FFDDF2F0"/>
        <bgColor rgb="FFDDF2F0"/>
      </patternFill>
    </fill>
    <fill>
      <patternFill patternType="solid">
        <fgColor rgb="FFF3F3F3"/>
        <bgColor rgb="FFF3F3F3"/>
      </patternFill>
    </fill>
    <fill>
      <patternFill patternType="solid">
        <fgColor rgb="FFF6F8F9"/>
        <bgColor rgb="FFF6F8F9"/>
      </patternFill>
    </fill>
    <fill>
      <patternFill patternType="solid">
        <fgColor rgb="FF674EA7"/>
        <bgColor rgb="FF674EA7"/>
      </patternFill>
    </fill>
    <fill>
      <patternFill patternType="solid">
        <fgColor rgb="FF4A86E8"/>
        <bgColor rgb="FF4A86E8"/>
      </patternFill>
    </fill>
    <fill>
      <patternFill patternType="solid">
        <fgColor rgb="FFC00000"/>
        <bgColor rgb="FFC00000"/>
      </patternFill>
    </fill>
    <fill>
      <patternFill patternType="solid">
        <fgColor theme="0"/>
        <bgColor theme="0"/>
      </patternFill>
    </fill>
    <fill>
      <patternFill patternType="solid">
        <fgColor rgb="FFD9E7FD"/>
        <bgColor rgb="FFD9E7FD"/>
      </patternFill>
    </fill>
    <fill>
      <patternFill patternType="solid">
        <fgColor rgb="FF666666"/>
        <bgColor rgb="FF666666"/>
      </patternFill>
    </fill>
    <fill>
      <patternFill patternType="solid">
        <fgColor rgb="FF4472C4"/>
        <bgColor rgb="FF4472C4"/>
      </patternFill>
    </fill>
    <fill>
      <patternFill patternType="solid">
        <fgColor rgb="FF404040"/>
        <bgColor rgb="FF404040"/>
      </patternFill>
    </fill>
    <fill>
      <patternFill patternType="solid">
        <fgColor rgb="FF808080"/>
        <bgColor rgb="FF808080"/>
      </patternFill>
    </fill>
    <fill>
      <patternFill patternType="solid">
        <fgColor rgb="FF97E075"/>
        <bgColor rgb="FF97E075"/>
      </patternFill>
    </fill>
    <fill>
      <patternFill patternType="solid">
        <fgColor rgb="FFA6A6A6"/>
        <bgColor rgb="FFA6A6A6"/>
      </patternFill>
    </fill>
    <fill>
      <patternFill patternType="solid">
        <fgColor rgb="FFFFFFFF"/>
        <bgColor indexed="64"/>
      </patternFill>
    </fill>
  </fills>
  <borders count="2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top/>
      <bottom/>
      <diagonal/>
    </border>
    <border>
      <left/>
      <right/>
      <top/>
      <bottom/>
      <diagonal/>
    </border>
    <border>
      <left/>
      <right/>
      <top/>
      <bottom/>
      <diagonal/>
    </border>
    <border>
      <left style="thin">
        <color rgb="FF808080"/>
      </left>
      <right style="thin">
        <color rgb="FF808080"/>
      </right>
      <top style="thin">
        <color rgb="FF808080"/>
      </top>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style="thin">
        <color rgb="FF808080"/>
      </right>
      <top/>
      <bottom style="thin">
        <color rgb="FF808080"/>
      </bottom>
      <diagonal/>
    </border>
    <border>
      <left style="thin">
        <color rgb="FFCCCCCC"/>
      </left>
      <right style="thin">
        <color rgb="FFCCCCCC"/>
      </right>
      <top style="thin">
        <color rgb="FFCCCCCC"/>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415">
    <xf numFmtId="0" fontId="0" fillId="0" borderId="0" xfId="0" applyFont="1" applyAlignment="1"/>
    <xf numFmtId="15" fontId="1" fillId="4" borderId="3" xfId="0" applyNumberFormat="1" applyFont="1" applyFill="1" applyBorder="1" applyAlignment="1">
      <alignment horizontal="center" vertical="center" wrapText="1"/>
    </xf>
    <xf numFmtId="0" fontId="4" fillId="5" borderId="0" xfId="0" applyFont="1" applyFill="1" applyAlignment="1">
      <alignment horizontal="center" vertical="center" wrapText="1"/>
    </xf>
    <xf numFmtId="15" fontId="3" fillId="3" borderId="3" xfId="0" applyNumberFormat="1" applyFont="1" applyFill="1" applyBorder="1" applyAlignment="1">
      <alignment horizontal="center" vertical="center" wrapText="1"/>
    </xf>
    <xf numFmtId="0" fontId="6" fillId="5" borderId="0" xfId="0" applyFont="1" applyFill="1" applyAlignment="1">
      <alignment horizontal="center" vertical="center" wrapText="1"/>
    </xf>
    <xf numFmtId="0" fontId="6" fillId="6" borderId="4" xfId="0" applyFont="1" applyFill="1" applyBorder="1" applyAlignment="1">
      <alignment horizontal="center" vertical="center" wrapText="1"/>
    </xf>
    <xf numFmtId="0" fontId="7" fillId="0" borderId="0" xfId="0" applyFont="1" applyAlignment="1">
      <alignment horizontal="center" vertical="center" wrapText="1"/>
    </xf>
    <xf numFmtId="164" fontId="7" fillId="0" borderId="0" xfId="0" applyNumberFormat="1" applyFont="1" applyAlignment="1">
      <alignment horizontal="center" vertical="center" wrapText="1"/>
    </xf>
    <xf numFmtId="0" fontId="8" fillId="5" borderId="0" xfId="0" applyFont="1" applyFill="1" applyAlignment="1">
      <alignment horizontal="center" vertical="center" wrapText="1"/>
    </xf>
    <xf numFmtId="165" fontId="8" fillId="0" borderId="4" xfId="0" applyNumberFormat="1" applyFont="1" applyBorder="1" applyAlignment="1">
      <alignment horizontal="center" vertical="center" wrapText="1"/>
    </xf>
    <xf numFmtId="0" fontId="9" fillId="5" borderId="0" xfId="0" applyFont="1" applyFill="1" applyAlignment="1">
      <alignment horizontal="center" vertical="center" wrapText="1"/>
    </xf>
    <xf numFmtId="165" fontId="10" fillId="0" borderId="4" xfId="0" applyNumberFormat="1" applyFont="1" applyBorder="1" applyAlignment="1">
      <alignment horizontal="center" vertical="center" wrapText="1"/>
    </xf>
    <xf numFmtId="0" fontId="7" fillId="0" borderId="0" xfId="0" applyFont="1" applyAlignment="1">
      <alignment horizontal="center" vertical="center"/>
    </xf>
    <xf numFmtId="165" fontId="8" fillId="0" borderId="1" xfId="0" applyNumberFormat="1" applyFont="1" applyBorder="1" applyAlignment="1">
      <alignment horizontal="center" vertical="center" wrapText="1"/>
    </xf>
    <xf numFmtId="0" fontId="8" fillId="0" borderId="4" xfId="0" applyFont="1" applyBorder="1" applyAlignment="1">
      <alignment horizontal="center" vertical="center" wrapText="1"/>
    </xf>
    <xf numFmtId="165" fontId="8" fillId="0" borderId="0" xfId="0" applyNumberFormat="1" applyFont="1" applyAlignment="1">
      <alignment horizontal="center" vertical="center" wrapText="1"/>
    </xf>
    <xf numFmtId="0" fontId="9" fillId="4" borderId="4" xfId="0" applyFont="1" applyFill="1" applyBorder="1" applyAlignment="1">
      <alignment horizontal="center" vertical="center" wrapText="1"/>
    </xf>
    <xf numFmtId="0" fontId="11" fillId="0" borderId="0" xfId="0" applyFont="1" applyAlignment="1">
      <alignment horizontal="center" vertical="center" wrapText="1"/>
    </xf>
    <xf numFmtId="0" fontId="12" fillId="7" borderId="4" xfId="0" applyFont="1" applyFill="1" applyBorder="1" applyAlignment="1">
      <alignment horizontal="center" vertical="center" wrapText="1"/>
    </xf>
    <xf numFmtId="164" fontId="7" fillId="8" borderId="0" xfId="0" applyNumberFormat="1" applyFont="1" applyFill="1" applyAlignment="1">
      <alignment horizontal="center" vertical="center"/>
    </xf>
    <xf numFmtId="164" fontId="3" fillId="9" borderId="4" xfId="0" applyNumberFormat="1" applyFont="1" applyFill="1" applyBorder="1" applyAlignment="1">
      <alignment horizontal="center" vertical="center" wrapText="1"/>
    </xf>
    <xf numFmtId="0" fontId="12" fillId="9" borderId="4" xfId="0" applyFont="1" applyFill="1" applyBorder="1" applyAlignment="1">
      <alignment horizontal="center" vertical="center" wrapText="1"/>
    </xf>
    <xf numFmtId="0" fontId="7" fillId="8" borderId="0" xfId="0" applyFont="1" applyFill="1" applyAlignment="1">
      <alignment horizontal="center" vertical="center"/>
    </xf>
    <xf numFmtId="0" fontId="4" fillId="10" borderId="4" xfId="0" applyFont="1" applyFill="1" applyBorder="1" applyAlignment="1">
      <alignment horizontal="center" vertical="center" wrapText="1"/>
    </xf>
    <xf numFmtId="0" fontId="3" fillId="9" borderId="4" xfId="0" applyFont="1" applyFill="1" applyBorder="1" applyAlignment="1">
      <alignment horizontal="center" vertical="center" wrapText="1"/>
    </xf>
    <xf numFmtId="0" fontId="8" fillId="9" borderId="4" xfId="0" applyFont="1" applyFill="1" applyBorder="1" applyAlignment="1">
      <alignment horizontal="center" vertical="center" wrapText="1"/>
    </xf>
    <xf numFmtId="0" fontId="8" fillId="10" borderId="4" xfId="0" applyFont="1" applyFill="1" applyBorder="1" applyAlignment="1">
      <alignment horizontal="center" vertical="center" wrapText="1"/>
    </xf>
    <xf numFmtId="0" fontId="7" fillId="8" borderId="0" xfId="0" applyFont="1" applyFill="1" applyAlignment="1">
      <alignment horizontal="center" vertical="center" wrapText="1"/>
    </xf>
    <xf numFmtId="0" fontId="7" fillId="8" borderId="0" xfId="0" applyFont="1" applyFill="1" applyAlignment="1">
      <alignment horizontal="center" vertical="center" wrapText="1"/>
    </xf>
    <xf numFmtId="0" fontId="11" fillId="8" borderId="0" xfId="0" applyFont="1" applyFill="1" applyAlignment="1">
      <alignment vertical="center"/>
    </xf>
    <xf numFmtId="0" fontId="7" fillId="8" borderId="0" xfId="0" applyFont="1" applyFill="1" applyAlignment="1">
      <alignment horizontal="center" vertical="center"/>
    </xf>
    <xf numFmtId="165" fontId="4" fillId="10" borderId="4" xfId="0" applyNumberFormat="1" applyFont="1" applyFill="1" applyBorder="1" applyAlignment="1">
      <alignment horizontal="center" vertical="center" wrapText="1"/>
    </xf>
    <xf numFmtId="164" fontId="7" fillId="8" borderId="0" xfId="0" applyNumberFormat="1" applyFont="1" applyFill="1" applyAlignment="1">
      <alignment horizontal="center" vertical="center"/>
    </xf>
    <xf numFmtId="49" fontId="12" fillId="7" borderId="4" xfId="0" applyNumberFormat="1" applyFont="1" applyFill="1" applyBorder="1" applyAlignment="1">
      <alignment horizontal="center" vertical="center" wrapText="1"/>
    </xf>
    <xf numFmtId="0" fontId="3" fillId="9" borderId="4" xfId="0" applyFont="1" applyFill="1" applyBorder="1" applyAlignment="1">
      <alignment horizontal="center" vertical="center"/>
    </xf>
    <xf numFmtId="0" fontId="13" fillId="4" borderId="4" xfId="0" applyFont="1" applyFill="1" applyBorder="1" applyAlignment="1">
      <alignment horizontal="center" vertical="center" wrapText="1"/>
    </xf>
    <xf numFmtId="0" fontId="7" fillId="8" borderId="0" xfId="0" applyFont="1" applyFill="1" applyAlignment="1">
      <alignment horizontal="center" vertical="center"/>
    </xf>
    <xf numFmtId="49" fontId="3" fillId="9" borderId="4" xfId="0" applyNumberFormat="1" applyFont="1" applyFill="1" applyBorder="1" applyAlignment="1">
      <alignment horizontal="center" vertical="center" wrapText="1"/>
    </xf>
    <xf numFmtId="166" fontId="9" fillId="0" borderId="4" xfId="0" applyNumberFormat="1" applyFont="1" applyBorder="1" applyAlignment="1">
      <alignment horizontal="center" vertical="center" wrapText="1"/>
    </xf>
    <xf numFmtId="49" fontId="3" fillId="9" borderId="0" xfId="0" applyNumberFormat="1" applyFont="1" applyFill="1" applyAlignment="1">
      <alignment horizontal="center" vertical="center" wrapText="1"/>
    </xf>
    <xf numFmtId="49" fontId="1" fillId="9" borderId="4" xfId="0" applyNumberFormat="1" applyFont="1" applyFill="1" applyBorder="1" applyAlignment="1">
      <alignment horizontal="center" vertical="center" wrapText="1"/>
    </xf>
    <xf numFmtId="0" fontId="9" fillId="0" borderId="4" xfId="0" applyFont="1" applyBorder="1" applyAlignment="1">
      <alignment horizontal="center" vertical="center"/>
    </xf>
    <xf numFmtId="164" fontId="7" fillId="11" borderId="4" xfId="0" applyNumberFormat="1" applyFont="1" applyFill="1" applyBorder="1" applyAlignment="1">
      <alignment horizontal="center" vertical="center"/>
    </xf>
    <xf numFmtId="164" fontId="8" fillId="4" borderId="4" xfId="0" applyNumberFormat="1" applyFont="1" applyFill="1" applyBorder="1" applyAlignment="1">
      <alignment horizontal="center" vertical="center" wrapText="1"/>
    </xf>
    <xf numFmtId="0" fontId="9" fillId="0" borderId="4" xfId="0" applyFont="1" applyBorder="1" applyAlignment="1">
      <alignment horizontal="center" vertical="center"/>
    </xf>
    <xf numFmtId="164" fontId="7" fillId="0" borderId="0" xfId="0" applyNumberFormat="1" applyFont="1" applyAlignment="1">
      <alignment horizontal="center" vertical="center"/>
    </xf>
    <xf numFmtId="0" fontId="7" fillId="0" borderId="0" xfId="0" applyFont="1" applyAlignment="1">
      <alignment horizontal="center" vertical="center"/>
    </xf>
    <xf numFmtId="0" fontId="8" fillId="4" borderId="4" xfId="0" applyFont="1" applyFill="1" applyBorder="1" applyAlignment="1">
      <alignment horizontal="center" vertical="center" wrapText="1"/>
    </xf>
    <xf numFmtId="0" fontId="7" fillId="11" borderId="4" xfId="0" applyFont="1" applyFill="1" applyBorder="1" applyAlignment="1">
      <alignment horizontal="center" vertical="center"/>
    </xf>
    <xf numFmtId="0" fontId="7" fillId="11" borderId="4" xfId="0" applyFont="1" applyFill="1" applyBorder="1" applyAlignment="1">
      <alignment horizontal="center" vertical="center"/>
    </xf>
    <xf numFmtId="0" fontId="7" fillId="0" borderId="0" xfId="0" applyFont="1" applyAlignment="1">
      <alignment horizontal="center" vertical="center" wrapText="1"/>
    </xf>
    <xf numFmtId="0" fontId="11" fillId="0" borderId="0" xfId="0" applyFont="1" applyAlignment="1">
      <alignment vertical="center"/>
    </xf>
    <xf numFmtId="0" fontId="7" fillId="11" borderId="4" xfId="0" applyFont="1" applyFill="1" applyBorder="1" applyAlignment="1">
      <alignment horizontal="center" vertical="center" wrapText="1"/>
    </xf>
    <xf numFmtId="0" fontId="7" fillId="0" borderId="0" xfId="0" applyFont="1" applyAlignment="1">
      <alignment horizontal="center" vertical="center"/>
    </xf>
    <xf numFmtId="164" fontId="7" fillId="0" borderId="0" xfId="0" applyNumberFormat="1" applyFont="1" applyAlignment="1">
      <alignment horizontal="center" vertical="center"/>
    </xf>
    <xf numFmtId="0" fontId="7" fillId="0" borderId="0" xfId="0" applyFont="1" applyAlignment="1">
      <alignment horizontal="center" vertical="center" wrapText="1"/>
    </xf>
    <xf numFmtId="0" fontId="14" fillId="4" borderId="4" xfId="0" applyFont="1" applyFill="1" applyBorder="1" applyAlignment="1">
      <alignment horizontal="center" vertical="center" wrapText="1"/>
    </xf>
    <xf numFmtId="164" fontId="11" fillId="0" borderId="0" xfId="0" applyNumberFormat="1" applyFont="1" applyAlignment="1">
      <alignment vertical="center"/>
    </xf>
    <xf numFmtId="0" fontId="7" fillId="0" borderId="4" xfId="0" applyFont="1" applyBorder="1" applyAlignment="1">
      <alignment horizontal="center" vertical="center" wrapText="1"/>
    </xf>
    <xf numFmtId="0" fontId="7" fillId="0" borderId="0" xfId="0" applyFont="1" applyAlignment="1">
      <alignment horizontal="center" vertical="center"/>
    </xf>
    <xf numFmtId="0" fontId="14" fillId="4" borderId="4" xfId="0" applyFont="1" applyFill="1" applyBorder="1" applyAlignment="1">
      <alignment horizontal="center" vertical="center" wrapText="1"/>
    </xf>
    <xf numFmtId="0" fontId="7" fillId="11" borderId="4" xfId="0" applyFont="1" applyFill="1" applyBorder="1" applyAlignment="1">
      <alignment horizontal="center" vertical="center"/>
    </xf>
    <xf numFmtId="0" fontId="4" fillId="4" borderId="4" xfId="0" applyFont="1" applyFill="1" applyBorder="1" applyAlignment="1">
      <alignment horizontal="center" vertical="center" wrapText="1"/>
    </xf>
    <xf numFmtId="0" fontId="4" fillId="4" borderId="4" xfId="0" applyFont="1" applyFill="1" applyBorder="1" applyAlignment="1">
      <alignment horizontal="center" vertical="center" wrapText="1"/>
    </xf>
    <xf numFmtId="164" fontId="11" fillId="11" borderId="4" xfId="0" applyNumberFormat="1" applyFont="1" applyFill="1" applyBorder="1" applyAlignment="1">
      <alignment vertical="center"/>
    </xf>
    <xf numFmtId="0" fontId="9" fillId="0" borderId="4" xfId="0" quotePrefix="1" applyFont="1" applyBorder="1" applyAlignment="1">
      <alignment horizontal="center" vertical="center"/>
    </xf>
    <xf numFmtId="0" fontId="7" fillId="11" borderId="4" xfId="0" applyFont="1" applyFill="1" applyBorder="1" applyAlignment="1">
      <alignment horizontal="center" vertical="center"/>
    </xf>
    <xf numFmtId="0" fontId="4" fillId="0" borderId="4" xfId="0" applyFont="1" applyBorder="1" applyAlignment="1">
      <alignment horizontal="center" vertical="center" wrapText="1"/>
    </xf>
    <xf numFmtId="49" fontId="8" fillId="4" borderId="4" xfId="0" applyNumberFormat="1" applyFont="1" applyFill="1" applyBorder="1" applyAlignment="1">
      <alignment horizontal="center" vertical="center" wrapText="1"/>
    </xf>
    <xf numFmtId="0" fontId="11" fillId="4" borderId="0" xfId="0" applyFont="1" applyFill="1" applyAlignment="1">
      <alignment horizontal="center" vertical="center" wrapText="1"/>
    </xf>
    <xf numFmtId="0" fontId="15" fillId="4" borderId="4" xfId="0" applyFont="1" applyFill="1" applyBorder="1" applyAlignment="1">
      <alignment horizontal="center" vertical="center" wrapText="1"/>
    </xf>
    <xf numFmtId="164" fontId="7" fillId="8" borderId="4" xfId="0" applyNumberFormat="1" applyFont="1" applyFill="1" applyBorder="1" applyAlignment="1">
      <alignment horizontal="center" vertical="center"/>
    </xf>
    <xf numFmtId="0" fontId="7" fillId="4" borderId="4" xfId="0" applyFont="1" applyFill="1" applyBorder="1" applyAlignment="1">
      <alignment horizontal="center" vertical="center" wrapText="1"/>
    </xf>
    <xf numFmtId="0" fontId="7" fillId="8" borderId="4" xfId="0" applyFont="1" applyFill="1" applyBorder="1" applyAlignment="1">
      <alignment horizontal="center" vertical="center"/>
    </xf>
    <xf numFmtId="0" fontId="8" fillId="4" borderId="4" xfId="0" applyFont="1" applyFill="1" applyBorder="1" applyAlignment="1">
      <alignment horizontal="center" vertical="center" wrapText="1"/>
    </xf>
    <xf numFmtId="0" fontId="7" fillId="8" borderId="4" xfId="0" applyFont="1" applyFill="1" applyBorder="1" applyAlignment="1">
      <alignment horizontal="center" vertical="center" wrapText="1"/>
    </xf>
    <xf numFmtId="0" fontId="15" fillId="4" borderId="4" xfId="0" applyFont="1" applyFill="1" applyBorder="1" applyAlignment="1">
      <alignment horizontal="center" vertical="center" wrapText="1"/>
    </xf>
    <xf numFmtId="164" fontId="11" fillId="8" borderId="4" xfId="0" applyNumberFormat="1" applyFont="1" applyFill="1" applyBorder="1" applyAlignment="1">
      <alignment vertical="center"/>
    </xf>
    <xf numFmtId="49" fontId="7" fillId="8" borderId="4" xfId="0" applyNumberFormat="1" applyFont="1" applyFill="1" applyBorder="1" applyAlignment="1">
      <alignment horizontal="center" vertical="center" wrapText="1"/>
    </xf>
    <xf numFmtId="0" fontId="7" fillId="8" borderId="4" xfId="0" applyFont="1" applyFill="1" applyBorder="1" applyAlignment="1">
      <alignment horizontal="center" vertical="center"/>
    </xf>
    <xf numFmtId="0" fontId="11" fillId="8" borderId="0" xfId="0" applyFont="1" applyFill="1" applyAlignment="1">
      <alignment vertical="center"/>
    </xf>
    <xf numFmtId="164" fontId="11" fillId="8" borderId="0" xfId="0" applyNumberFormat="1" applyFont="1" applyFill="1" applyAlignment="1">
      <alignment vertical="center"/>
    </xf>
    <xf numFmtId="0" fontId="7" fillId="8" borderId="4" xfId="0" applyFont="1" applyFill="1" applyBorder="1" applyAlignment="1">
      <alignment horizontal="center" vertical="center"/>
    </xf>
    <xf numFmtId="0" fontId="11" fillId="8" borderId="4" xfId="0" applyFont="1" applyFill="1" applyBorder="1" applyAlignment="1">
      <alignment vertical="center"/>
    </xf>
    <xf numFmtId="0" fontId="7" fillId="4" borderId="0" xfId="0" applyFont="1" applyFill="1" applyAlignment="1">
      <alignment horizontal="center" vertical="center" wrapText="1"/>
    </xf>
    <xf numFmtId="0" fontId="14" fillId="4" borderId="4" xfId="0" applyFont="1" applyFill="1" applyBorder="1" applyAlignment="1">
      <alignment horizontal="center" vertical="center" wrapText="1"/>
    </xf>
    <xf numFmtId="0" fontId="11" fillId="8" borderId="4" xfId="0" applyFont="1" applyFill="1" applyBorder="1" applyAlignment="1">
      <alignment vertical="center"/>
    </xf>
    <xf numFmtId="0" fontId="16" fillId="4" borderId="0" xfId="0" applyFont="1" applyFill="1" applyAlignment="1">
      <alignment horizontal="center" vertical="center" wrapText="1"/>
    </xf>
    <xf numFmtId="0" fontId="14" fillId="4" borderId="4" xfId="0" applyFont="1" applyFill="1" applyBorder="1" applyAlignment="1">
      <alignment horizontal="center" vertical="center" wrapText="1"/>
    </xf>
    <xf numFmtId="167" fontId="7" fillId="8" borderId="4" xfId="0" applyNumberFormat="1" applyFont="1" applyFill="1" applyBorder="1" applyAlignment="1">
      <alignment horizontal="center" vertical="center"/>
    </xf>
    <xf numFmtId="49" fontId="11" fillId="8" borderId="4" xfId="0" applyNumberFormat="1" applyFont="1" applyFill="1" applyBorder="1" applyAlignment="1">
      <alignment vertical="center"/>
    </xf>
    <xf numFmtId="0" fontId="9" fillId="0" borderId="4" xfId="0" applyFont="1" applyBorder="1" applyAlignment="1">
      <alignment horizontal="center" vertical="center"/>
    </xf>
    <xf numFmtId="0" fontId="7" fillId="0" borderId="4" xfId="0" applyFont="1" applyBorder="1" applyAlignment="1">
      <alignment horizontal="center" vertical="center"/>
    </xf>
    <xf numFmtId="0" fontId="9" fillId="0" borderId="4" xfId="0" applyFont="1" applyBorder="1" applyAlignment="1">
      <alignment horizontal="center" vertical="center" wrapText="1"/>
    </xf>
    <xf numFmtId="166" fontId="9" fillId="0" borderId="0" xfId="0" applyNumberFormat="1" applyFont="1" applyAlignment="1">
      <alignment horizontal="center" vertical="center" wrapText="1"/>
    </xf>
    <xf numFmtId="0" fontId="8" fillId="4" borderId="4" xfId="0" applyFont="1" applyFill="1" applyBorder="1" applyAlignment="1">
      <alignment horizontal="center" vertical="center" wrapText="1"/>
    </xf>
    <xf numFmtId="0" fontId="9" fillId="0" borderId="0" xfId="0" applyFont="1" applyAlignment="1">
      <alignment horizontal="center" vertical="center"/>
    </xf>
    <xf numFmtId="0" fontId="9" fillId="0" borderId="0" xfId="0" applyFont="1" applyAlignment="1">
      <alignment horizontal="center" vertical="center" wrapText="1"/>
    </xf>
    <xf numFmtId="0" fontId="17" fillId="0" borderId="0" xfId="0" applyFont="1" applyAlignment="1">
      <alignment horizontal="center" vertical="center" wrapText="1"/>
    </xf>
    <xf numFmtId="0" fontId="7" fillId="0" borderId="0" xfId="0" applyFont="1" applyAlignment="1">
      <alignment horizontal="center" vertical="center" wrapText="1"/>
    </xf>
    <xf numFmtId="164" fontId="7" fillId="4" borderId="4" xfId="0" applyNumberFormat="1" applyFont="1" applyFill="1" applyBorder="1" applyAlignment="1">
      <alignment horizontal="center" vertical="center" wrapText="1"/>
    </xf>
    <xf numFmtId="0" fontId="9" fillId="0" borderId="4" xfId="0" applyFont="1" applyBorder="1" applyAlignment="1">
      <alignment horizontal="center" vertical="center" wrapText="1"/>
    </xf>
    <xf numFmtId="0" fontId="18" fillId="12" borderId="0" xfId="0" applyFont="1" applyFill="1" applyAlignment="1">
      <alignment horizontal="center" vertical="center" wrapText="1"/>
    </xf>
    <xf numFmtId="0" fontId="14" fillId="4" borderId="0" xfId="0" applyFont="1" applyFill="1" applyAlignment="1">
      <alignment horizontal="center" vertical="center" wrapText="1"/>
    </xf>
    <xf numFmtId="0" fontId="9" fillId="0" borderId="4" xfId="0" applyFont="1" applyBorder="1" applyAlignment="1">
      <alignment horizontal="center" vertical="center" wrapText="1"/>
    </xf>
    <xf numFmtId="0" fontId="14" fillId="4" borderId="0" xfId="0" applyFont="1" applyFill="1" applyAlignment="1">
      <alignment horizontal="center" vertical="center" wrapText="1"/>
    </xf>
    <xf numFmtId="0" fontId="15" fillId="0" borderId="0" xfId="0" applyFont="1" applyAlignment="1">
      <alignment horizontal="center" vertical="center" wrapText="1"/>
    </xf>
    <xf numFmtId="0" fontId="7" fillId="4" borderId="0" xfId="0" applyFont="1" applyFill="1" applyAlignment="1">
      <alignment horizontal="center" vertical="center" wrapText="1"/>
    </xf>
    <xf numFmtId="0" fontId="7" fillId="4" borderId="0" xfId="0" applyFont="1" applyFill="1" applyAlignment="1">
      <alignment horizontal="center" vertical="center" wrapText="1"/>
    </xf>
    <xf numFmtId="164" fontId="7" fillId="4" borderId="0" xfId="0" applyNumberFormat="1" applyFont="1" applyFill="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horizontal="center" vertical="center" wrapText="1"/>
    </xf>
    <xf numFmtId="0" fontId="15" fillId="4" borderId="4" xfId="0" applyFont="1" applyFill="1" applyBorder="1" applyAlignment="1">
      <alignment horizontal="center" vertical="center" wrapText="1"/>
    </xf>
    <xf numFmtId="0" fontId="14" fillId="0" borderId="0" xfId="0" applyFont="1" applyAlignment="1">
      <alignment horizontal="center" vertical="center" wrapText="1"/>
    </xf>
    <xf numFmtId="0" fontId="14" fillId="0" borderId="0" xfId="0" applyFont="1" applyAlignment="1">
      <alignment horizontal="center" vertical="center" wrapText="1"/>
    </xf>
    <xf numFmtId="0" fontId="18" fillId="0" borderId="0" xfId="0" applyFont="1" applyAlignment="1">
      <alignment horizontal="center" vertical="center" wrapText="1"/>
    </xf>
    <xf numFmtId="0" fontId="15" fillId="0" borderId="0" xfId="0" applyFont="1" applyAlignment="1">
      <alignment horizontal="center" vertical="center" wrapText="1"/>
    </xf>
    <xf numFmtId="0" fontId="15" fillId="4" borderId="0" xfId="0" applyFont="1" applyFill="1" applyAlignment="1">
      <alignment horizontal="center" vertical="center" wrapText="1"/>
    </xf>
    <xf numFmtId="168" fontId="11" fillId="8" borderId="4" xfId="0" applyNumberFormat="1" applyFont="1" applyFill="1" applyBorder="1" applyAlignment="1">
      <alignment vertical="center"/>
    </xf>
    <xf numFmtId="49" fontId="4" fillId="4" borderId="4" xfId="0" applyNumberFormat="1" applyFont="1" applyFill="1" applyBorder="1" applyAlignment="1">
      <alignment horizontal="center" vertical="center" wrapText="1"/>
    </xf>
    <xf numFmtId="0" fontId="4" fillId="4" borderId="4" xfId="0" applyFont="1" applyFill="1" applyBorder="1" applyAlignment="1">
      <alignment horizontal="center" vertical="center" wrapText="1"/>
    </xf>
    <xf numFmtId="0" fontId="9" fillId="0" borderId="4" xfId="0" applyFont="1" applyBorder="1" applyAlignment="1">
      <alignment horizontal="center" vertical="center" wrapText="1"/>
    </xf>
    <xf numFmtId="0" fontId="9" fillId="13" borderId="4" xfId="0" applyFont="1" applyFill="1" applyBorder="1" applyAlignment="1">
      <alignment horizontal="center" vertical="center" wrapText="1"/>
    </xf>
    <xf numFmtId="1" fontId="9" fillId="14" borderId="4" xfId="0" applyNumberFormat="1" applyFont="1" applyFill="1" applyBorder="1" applyAlignment="1">
      <alignment horizontal="center" vertical="center" wrapText="1"/>
    </xf>
    <xf numFmtId="0" fontId="9" fillId="14" borderId="4"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0" borderId="4" xfId="0" applyFont="1" applyBorder="1" applyAlignment="1">
      <alignment horizontal="center" vertical="center" wrapText="1"/>
    </xf>
    <xf numFmtId="0" fontId="9" fillId="4" borderId="4"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7" fillId="4" borderId="4" xfId="0" applyFont="1" applyFill="1" applyBorder="1" applyAlignment="1">
      <alignment horizontal="center" vertical="top" wrapText="1"/>
    </xf>
    <xf numFmtId="164" fontId="9" fillId="0" borderId="4" xfId="0" applyNumberFormat="1" applyFont="1" applyBorder="1" applyAlignment="1">
      <alignment horizontal="center" vertical="center" wrapText="1"/>
    </xf>
    <xf numFmtId="0" fontId="9" fillId="14" borderId="4"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9" fillId="4" borderId="4" xfId="0" applyFont="1" applyFill="1" applyBorder="1" applyAlignment="1">
      <alignment horizontal="center" vertical="center" wrapText="1"/>
    </xf>
    <xf numFmtId="167" fontId="7" fillId="11" borderId="4" xfId="0" applyNumberFormat="1" applyFont="1" applyFill="1" applyBorder="1" applyAlignment="1">
      <alignment horizontal="center" vertical="center"/>
    </xf>
    <xf numFmtId="49" fontId="7" fillId="11" borderId="4" xfId="0" applyNumberFormat="1" applyFont="1" applyFill="1" applyBorder="1" applyAlignment="1">
      <alignment horizontal="center" vertical="center" wrapText="1"/>
    </xf>
    <xf numFmtId="0" fontId="11" fillId="11" borderId="4" xfId="0" applyFont="1" applyFill="1" applyBorder="1" applyAlignment="1">
      <alignment vertical="center"/>
    </xf>
    <xf numFmtId="0" fontId="11" fillId="8" borderId="4" xfId="0" applyFont="1" applyFill="1" applyBorder="1" applyAlignment="1">
      <alignment vertical="center"/>
    </xf>
    <xf numFmtId="49" fontId="11" fillId="11" borderId="4" xfId="0" applyNumberFormat="1" applyFont="1" applyFill="1" applyBorder="1" applyAlignment="1">
      <alignment vertical="center"/>
    </xf>
    <xf numFmtId="0" fontId="11" fillId="11" borderId="4" xfId="0" applyFont="1" applyFill="1" applyBorder="1" applyAlignment="1">
      <alignment vertical="center"/>
    </xf>
    <xf numFmtId="49" fontId="9" fillId="4" borderId="4" xfId="0" applyNumberFormat="1" applyFont="1" applyFill="1" applyBorder="1" applyAlignment="1">
      <alignment horizontal="center" vertical="center" wrapText="1"/>
    </xf>
    <xf numFmtId="2" fontId="9" fillId="4" borderId="4" xfId="0" applyNumberFormat="1" applyFont="1" applyFill="1" applyBorder="1" applyAlignment="1">
      <alignment horizontal="center" vertical="center" wrapText="1"/>
    </xf>
    <xf numFmtId="1" fontId="9" fillId="14" borderId="4" xfId="0" applyNumberFormat="1" applyFont="1" applyFill="1" applyBorder="1" applyAlignment="1">
      <alignment horizontal="center" vertical="center" wrapText="1"/>
    </xf>
    <xf numFmtId="1" fontId="9" fillId="4" borderId="4" xfId="0" applyNumberFormat="1"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4" borderId="4" xfId="0" applyFont="1" applyFill="1" applyBorder="1" applyAlignment="1">
      <alignment horizontal="center" vertical="center" wrapText="1"/>
    </xf>
    <xf numFmtId="164" fontId="9" fillId="4" borderId="4" xfId="0" applyNumberFormat="1" applyFont="1" applyFill="1" applyBorder="1" applyAlignment="1">
      <alignment horizontal="center" vertical="center" wrapText="1"/>
    </xf>
    <xf numFmtId="0" fontId="9" fillId="4" borderId="4"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4" xfId="0" applyFont="1" applyFill="1" applyBorder="1" applyAlignment="1">
      <alignment horizontal="center" vertical="center"/>
    </xf>
    <xf numFmtId="164" fontId="4" fillId="4" borderId="0" xfId="0" applyNumberFormat="1" applyFont="1" applyFill="1" applyAlignment="1">
      <alignment horizontal="center" vertical="center" wrapText="1"/>
    </xf>
    <xf numFmtId="0" fontId="9" fillId="0" borderId="0" xfId="0" applyFont="1" applyAlignment="1">
      <alignment horizontal="center" vertical="center"/>
    </xf>
    <xf numFmtId="0" fontId="9" fillId="14" borderId="0" xfId="0" applyFont="1" applyFill="1" applyAlignment="1">
      <alignment horizontal="center" vertical="center"/>
    </xf>
    <xf numFmtId="0" fontId="9" fillId="3" borderId="0" xfId="0" applyFont="1" applyFill="1" applyAlignment="1">
      <alignment horizontal="center" vertical="center"/>
    </xf>
    <xf numFmtId="0" fontId="14" fillId="4" borderId="0" xfId="0" applyFont="1" applyFill="1" applyAlignment="1">
      <alignment horizontal="center" vertical="center" wrapText="1"/>
    </xf>
    <xf numFmtId="0" fontId="4" fillId="4" borderId="0" xfId="0" applyFont="1" applyFill="1" applyAlignment="1">
      <alignment horizontal="center" vertical="center" wrapText="1"/>
    </xf>
    <xf numFmtId="0" fontId="9" fillId="4" borderId="0" xfId="0" applyFont="1" applyFill="1" applyAlignment="1">
      <alignment horizontal="center" vertical="center"/>
    </xf>
    <xf numFmtId="0" fontId="11" fillId="11" borderId="4" xfId="0" applyFont="1" applyFill="1" applyBorder="1" applyAlignment="1">
      <alignment vertical="center"/>
    </xf>
    <xf numFmtId="164" fontId="7" fillId="4" borderId="4" xfId="0" applyNumberFormat="1" applyFont="1" applyFill="1" applyBorder="1" applyAlignment="1">
      <alignment horizontal="center" vertical="center"/>
    </xf>
    <xf numFmtId="0" fontId="7" fillId="4" borderId="4" xfId="0" applyFont="1" applyFill="1" applyBorder="1" applyAlignment="1">
      <alignment horizontal="center" vertical="center"/>
    </xf>
    <xf numFmtId="49" fontId="11" fillId="4" borderId="4" xfId="0" applyNumberFormat="1" applyFont="1" applyFill="1" applyBorder="1" applyAlignment="1">
      <alignment vertical="center"/>
    </xf>
    <xf numFmtId="0" fontId="11" fillId="4" borderId="4" xfId="0" applyFont="1" applyFill="1" applyBorder="1" applyAlignment="1">
      <alignment vertical="center"/>
    </xf>
    <xf numFmtId="0" fontId="7" fillId="4" borderId="4" xfId="0" applyFont="1" applyFill="1" applyBorder="1" applyAlignment="1">
      <alignment horizontal="center" vertical="center"/>
    </xf>
    <xf numFmtId="164" fontId="11" fillId="4" borderId="4" xfId="0" applyNumberFormat="1" applyFont="1" applyFill="1" applyBorder="1" applyAlignment="1">
      <alignment vertical="center"/>
    </xf>
    <xf numFmtId="0" fontId="7" fillId="4" borderId="4" xfId="0" applyFont="1" applyFill="1" applyBorder="1" applyAlignment="1">
      <alignment horizontal="center" vertical="center"/>
    </xf>
    <xf numFmtId="164" fontId="7" fillId="4" borderId="4" xfId="0" applyNumberFormat="1" applyFont="1" applyFill="1" applyBorder="1" applyAlignment="1">
      <alignment horizontal="center" vertical="center"/>
    </xf>
    <xf numFmtId="49" fontId="7" fillId="4" borderId="4" xfId="0" applyNumberFormat="1" applyFont="1" applyFill="1" applyBorder="1" applyAlignment="1">
      <alignment horizontal="center" vertical="center" wrapText="1"/>
    </xf>
    <xf numFmtId="0" fontId="7" fillId="4" borderId="4" xfId="0" applyFont="1" applyFill="1" applyBorder="1" applyAlignment="1">
      <alignment horizontal="center" vertical="center"/>
    </xf>
    <xf numFmtId="0" fontId="7" fillId="4" borderId="4" xfId="0" applyFont="1" applyFill="1" applyBorder="1" applyAlignment="1">
      <alignment horizontal="center" vertical="center"/>
    </xf>
    <xf numFmtId="164" fontId="7" fillId="4" borderId="4" xfId="0" applyNumberFormat="1" applyFont="1" applyFill="1" applyBorder="1" applyAlignment="1">
      <alignment horizontal="center" vertical="top"/>
    </xf>
    <xf numFmtId="0" fontId="7" fillId="4" borderId="4" xfId="0" applyFont="1" applyFill="1" applyBorder="1" applyAlignment="1">
      <alignment horizontal="center" vertical="top"/>
    </xf>
    <xf numFmtId="0" fontId="7" fillId="4" borderId="4" xfId="0" applyFont="1" applyFill="1" applyBorder="1" applyAlignment="1">
      <alignment horizontal="center" vertical="top" wrapText="1"/>
    </xf>
    <xf numFmtId="49" fontId="7" fillId="4" borderId="4" xfId="0" applyNumberFormat="1" applyFont="1" applyFill="1" applyBorder="1" applyAlignment="1">
      <alignment horizontal="center" vertical="top" wrapText="1"/>
    </xf>
    <xf numFmtId="0" fontId="7" fillId="4" borderId="4" xfId="0" applyFont="1" applyFill="1" applyBorder="1" applyAlignment="1">
      <alignment horizontal="center" vertical="top"/>
    </xf>
    <xf numFmtId="0" fontId="7" fillId="4" borderId="4" xfId="0" applyFont="1" applyFill="1" applyBorder="1" applyAlignment="1">
      <alignment horizontal="center" vertical="top"/>
    </xf>
    <xf numFmtId="0" fontId="11" fillId="4" borderId="4" xfId="0" applyFont="1" applyFill="1" applyBorder="1" applyAlignment="1">
      <alignment vertical="top"/>
    </xf>
    <xf numFmtId="49" fontId="11" fillId="4" borderId="4" xfId="0" applyNumberFormat="1" applyFont="1" applyFill="1" applyBorder="1" applyAlignment="1">
      <alignment vertical="top"/>
    </xf>
    <xf numFmtId="0" fontId="11" fillId="4" borderId="4" xfId="0" applyFont="1" applyFill="1" applyBorder="1" applyAlignment="1">
      <alignment vertical="top"/>
    </xf>
    <xf numFmtId="164" fontId="11" fillId="4" borderId="4" xfId="0" applyNumberFormat="1" applyFont="1" applyFill="1" applyBorder="1" applyAlignment="1">
      <alignment vertical="top"/>
    </xf>
    <xf numFmtId="167" fontId="7" fillId="4" borderId="4" xfId="0" applyNumberFormat="1" applyFont="1" applyFill="1" applyBorder="1" applyAlignment="1">
      <alignment horizontal="center" vertical="top"/>
    </xf>
    <xf numFmtId="164" fontId="7" fillId="0" borderId="4" xfId="0" applyNumberFormat="1" applyFont="1" applyBorder="1" applyAlignment="1">
      <alignment horizontal="center" vertical="center" wrapText="1"/>
    </xf>
    <xf numFmtId="0" fontId="7" fillId="0" borderId="4" xfId="0" applyFont="1" applyBorder="1" applyAlignment="1">
      <alignment horizontal="center" vertical="center" wrapText="1"/>
    </xf>
    <xf numFmtId="0" fontId="7" fillId="0" borderId="4" xfId="0" applyFont="1" applyBorder="1" applyAlignment="1">
      <alignment horizontal="center" vertical="center"/>
    </xf>
    <xf numFmtId="164" fontId="11" fillId="0" borderId="4" xfId="0" applyNumberFormat="1" applyFont="1" applyBorder="1" applyAlignment="1">
      <alignment horizontal="center" vertical="center" wrapText="1"/>
    </xf>
    <xf numFmtId="0" fontId="16" fillId="0" borderId="0" xfId="0" applyFont="1" applyAlignment="1">
      <alignment horizontal="center" vertical="center" wrapText="1"/>
    </xf>
    <xf numFmtId="164" fontId="7" fillId="4" borderId="4" xfId="0" applyNumberFormat="1" applyFont="1" applyFill="1" applyBorder="1" applyAlignment="1">
      <alignment horizontal="center" vertical="center" wrapText="1"/>
    </xf>
    <xf numFmtId="164" fontId="11" fillId="4" borderId="4" xfId="0" applyNumberFormat="1" applyFont="1" applyFill="1" applyBorder="1" applyAlignment="1">
      <alignment horizontal="center" vertical="center" wrapText="1"/>
    </xf>
    <xf numFmtId="49" fontId="7" fillId="4" borderId="4" xfId="0" applyNumberFormat="1" applyFont="1" applyFill="1" applyBorder="1" applyAlignment="1">
      <alignment horizontal="center" vertical="center" wrapText="1"/>
    </xf>
    <xf numFmtId="0" fontId="11" fillId="4" borderId="4" xfId="0" applyFont="1" applyFill="1" applyBorder="1" applyAlignment="1">
      <alignment horizontal="center" vertical="center" wrapText="1"/>
    </xf>
    <xf numFmtId="0" fontId="11" fillId="4" borderId="4" xfId="0" applyFont="1" applyFill="1" applyBorder="1" applyAlignment="1">
      <alignment horizontal="center" vertical="center"/>
    </xf>
    <xf numFmtId="0" fontId="16" fillId="4" borderId="0" xfId="0" applyFont="1" applyFill="1" applyAlignment="1">
      <alignment horizontal="center" vertical="center"/>
    </xf>
    <xf numFmtId="169" fontId="8" fillId="0" borderId="0" xfId="0" applyNumberFormat="1" applyFont="1" applyAlignment="1">
      <alignment horizontal="center" vertical="center" wrapText="1"/>
    </xf>
    <xf numFmtId="15" fontId="8" fillId="9" borderId="0" xfId="0" applyNumberFormat="1" applyFont="1" applyFill="1" applyAlignment="1">
      <alignment horizontal="center" vertical="center" wrapText="1"/>
    </xf>
    <xf numFmtId="0" fontId="8" fillId="9" borderId="0" xfId="0" applyFont="1" applyFill="1" applyAlignment="1">
      <alignment horizontal="center" vertical="center" wrapText="1"/>
    </xf>
    <xf numFmtId="0" fontId="8" fillId="9" borderId="0" xfId="0" applyFont="1" applyFill="1" applyAlignment="1">
      <alignment horizontal="center" vertical="center" wrapText="1"/>
    </xf>
    <xf numFmtId="0" fontId="8" fillId="4" borderId="0" xfId="0" applyFont="1" applyFill="1" applyAlignment="1">
      <alignment horizontal="center" vertical="center"/>
    </xf>
    <xf numFmtId="0" fontId="8" fillId="4" borderId="0" xfId="0" applyFont="1" applyFill="1" applyAlignment="1">
      <alignment horizontal="left" vertical="center"/>
    </xf>
    <xf numFmtId="0" fontId="8" fillId="4" borderId="0" xfId="0" applyFont="1" applyFill="1" applyAlignment="1">
      <alignment horizontal="center" vertical="center" wrapText="1"/>
    </xf>
    <xf numFmtId="0" fontId="4"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horizontal="left" vertical="center" wrapText="1"/>
    </xf>
    <xf numFmtId="0" fontId="4" fillId="4" borderId="0" xfId="0" applyFont="1" applyFill="1" applyAlignment="1">
      <alignment horizontal="center" vertical="center" wrapText="1"/>
    </xf>
    <xf numFmtId="15" fontId="4" fillId="0" borderId="0" xfId="0" applyNumberFormat="1"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8" fillId="3" borderId="4" xfId="0" applyFont="1" applyFill="1" applyBorder="1" applyAlignment="1">
      <alignment horizontal="center" vertical="center" wrapText="1"/>
    </xf>
    <xf numFmtId="0" fontId="8" fillId="4" borderId="4" xfId="0" applyFont="1" applyFill="1" applyBorder="1" applyAlignment="1">
      <alignment horizontal="center" vertical="center" wrapText="1"/>
    </xf>
    <xf numFmtId="10" fontId="4" fillId="7" borderId="4" xfId="0" applyNumberFormat="1" applyFont="1" applyFill="1" applyBorder="1" applyAlignment="1">
      <alignment horizontal="center" vertical="center" wrapText="1"/>
    </xf>
    <xf numFmtId="10" fontId="4" fillId="9" borderId="4" xfId="0" applyNumberFormat="1" applyFont="1" applyFill="1" applyBorder="1" applyAlignment="1">
      <alignment horizontal="center" vertical="center" wrapText="1"/>
    </xf>
    <xf numFmtId="10" fontId="4" fillId="4" borderId="4" xfId="0" applyNumberFormat="1" applyFont="1" applyFill="1" applyBorder="1" applyAlignment="1">
      <alignment horizontal="center" vertical="center" wrapText="1"/>
    </xf>
    <xf numFmtId="164" fontId="19" fillId="8" borderId="4" xfId="0" applyNumberFormat="1" applyFont="1" applyFill="1" applyBorder="1" applyAlignment="1">
      <alignment horizontal="center" vertical="center" wrapText="1"/>
    </xf>
    <xf numFmtId="0" fontId="19" fillId="8" borderId="4" xfId="0" applyFont="1" applyFill="1" applyBorder="1" applyAlignment="1">
      <alignment horizontal="center" vertical="center" wrapText="1"/>
    </xf>
    <xf numFmtId="0" fontId="19" fillId="4" borderId="4" xfId="0" applyFont="1" applyFill="1" applyBorder="1" applyAlignment="1">
      <alignment horizontal="center" vertical="center" wrapText="1"/>
    </xf>
    <xf numFmtId="164" fontId="4" fillId="4" borderId="4" xfId="0" applyNumberFormat="1" applyFont="1" applyFill="1" applyBorder="1" applyAlignment="1">
      <alignment horizontal="center" vertical="center" wrapText="1"/>
    </xf>
    <xf numFmtId="0" fontId="8" fillId="4" borderId="4" xfId="0" applyFont="1" applyFill="1" applyBorder="1" applyAlignment="1">
      <alignment horizontal="center" vertical="center" wrapText="1"/>
    </xf>
    <xf numFmtId="0" fontId="8" fillId="0" borderId="4" xfId="0" applyFont="1" applyBorder="1" applyAlignment="1">
      <alignment horizontal="center" vertical="center" wrapText="1"/>
    </xf>
    <xf numFmtId="0" fontId="19" fillId="0" borderId="4" xfId="0" applyFont="1" applyBorder="1" applyAlignment="1">
      <alignment horizontal="center" vertical="center" wrapText="1"/>
    </xf>
    <xf numFmtId="0" fontId="18" fillId="12" borderId="4" xfId="0" applyFont="1" applyFill="1" applyBorder="1" applyAlignment="1">
      <alignment horizontal="center" vertical="center" wrapText="1"/>
    </xf>
    <xf numFmtId="0" fontId="8" fillId="0" borderId="4" xfId="0" applyFont="1" applyBorder="1" applyAlignment="1">
      <alignment horizontal="center" vertical="center" wrapText="1"/>
    </xf>
    <xf numFmtId="0" fontId="18" fillId="15" borderId="4" xfId="0" applyFont="1" applyFill="1" applyBorder="1" applyAlignment="1">
      <alignment horizontal="center" vertical="center" wrapText="1"/>
    </xf>
    <xf numFmtId="0" fontId="17" fillId="0" borderId="4" xfId="0" applyFont="1" applyBorder="1" applyAlignment="1">
      <alignment horizontal="center" vertical="center" wrapText="1"/>
    </xf>
    <xf numFmtId="0" fontId="1" fillId="9" borderId="4" xfId="0" applyFont="1" applyFill="1" applyBorder="1" applyAlignment="1">
      <alignment horizontal="center" vertical="center" wrapText="1"/>
    </xf>
    <xf numFmtId="0" fontId="1" fillId="9" borderId="4" xfId="0" applyFont="1" applyFill="1" applyBorder="1" applyAlignment="1">
      <alignment horizontal="center" vertical="center"/>
    </xf>
    <xf numFmtId="164" fontId="1" fillId="9" borderId="4" xfId="0" applyNumberFormat="1" applyFont="1" applyFill="1" applyBorder="1" applyAlignment="1">
      <alignment horizontal="center" vertical="center"/>
    </xf>
    <xf numFmtId="164" fontId="1" fillId="9" borderId="4" xfId="0" applyNumberFormat="1" applyFont="1" applyFill="1" applyBorder="1" applyAlignment="1">
      <alignment horizontal="center" vertical="center" wrapText="1"/>
    </xf>
    <xf numFmtId="49" fontId="1" fillId="9" borderId="4" xfId="0" applyNumberFormat="1" applyFont="1" applyFill="1" applyBorder="1" applyAlignment="1">
      <alignment horizontal="center" vertical="center"/>
    </xf>
    <xf numFmtId="0" fontId="16" fillId="0" borderId="0" xfId="0" applyFont="1" applyAlignment="1">
      <alignment horizontal="center"/>
    </xf>
    <xf numFmtId="164" fontId="4" fillId="8" borderId="4" xfId="0" applyNumberFormat="1" applyFont="1" applyFill="1" applyBorder="1" applyAlignment="1">
      <alignment horizontal="center" vertical="center"/>
    </xf>
    <xf numFmtId="0" fontId="4" fillId="8" borderId="4" xfId="0" applyFont="1" applyFill="1" applyBorder="1" applyAlignment="1">
      <alignment horizontal="center" vertical="center"/>
    </xf>
    <xf numFmtId="0" fontId="4" fillId="8" borderId="4" xfId="0" applyFont="1" applyFill="1" applyBorder="1" applyAlignment="1">
      <alignment horizontal="left" vertical="center"/>
    </xf>
    <xf numFmtId="164" fontId="4" fillId="8" borderId="4" xfId="0" applyNumberFormat="1" applyFont="1" applyFill="1" applyBorder="1" applyAlignment="1">
      <alignment vertical="center"/>
    </xf>
    <xf numFmtId="0" fontId="4" fillId="8" borderId="4" xfId="0" applyFont="1" applyFill="1" applyBorder="1" applyAlignment="1">
      <alignment vertical="center"/>
    </xf>
    <xf numFmtId="0" fontId="4" fillId="8" borderId="4" xfId="0" applyFont="1" applyFill="1" applyBorder="1" applyAlignment="1">
      <alignment horizontal="center" vertical="center"/>
    </xf>
    <xf numFmtId="0" fontId="4" fillId="8" borderId="4" xfId="0" applyFont="1" applyFill="1" applyBorder="1" applyAlignment="1">
      <alignment horizontal="left" vertical="center"/>
    </xf>
    <xf numFmtId="0" fontId="4" fillId="8" borderId="5" xfId="0" applyFont="1" applyFill="1" applyBorder="1" applyAlignment="1">
      <alignment horizontal="left" vertical="center"/>
    </xf>
    <xf numFmtId="0" fontId="4" fillId="8" borderId="0" xfId="0" applyFont="1" applyFill="1" applyAlignment="1">
      <alignment horizontal="left" vertical="center"/>
    </xf>
    <xf numFmtId="171" fontId="4" fillId="8" borderId="4" xfId="0" applyNumberFormat="1" applyFont="1" applyFill="1" applyBorder="1" applyAlignment="1">
      <alignment horizontal="center" vertical="center"/>
    </xf>
    <xf numFmtId="0" fontId="20" fillId="16" borderId="0" xfId="0" applyFont="1" applyFill="1" applyAlignment="1">
      <alignment horizontal="center" vertical="center" wrapText="1"/>
    </xf>
    <xf numFmtId="0" fontId="21" fillId="16" borderId="0" xfId="0" applyFont="1" applyFill="1" applyAlignment="1">
      <alignment horizontal="center" vertical="center" wrapText="1"/>
    </xf>
    <xf numFmtId="166" fontId="8" fillId="4" borderId="0" xfId="0" applyNumberFormat="1" applyFont="1" applyFill="1" applyAlignment="1">
      <alignment horizontal="center" vertical="center"/>
    </xf>
    <xf numFmtId="0" fontId="4" fillId="4" borderId="0" xfId="0" applyFont="1" applyFill="1" applyAlignment="1">
      <alignment horizontal="center" vertical="center"/>
    </xf>
    <xf numFmtId="0" fontId="8" fillId="4" borderId="0" xfId="0" applyFont="1" applyFill="1" applyAlignment="1">
      <alignment horizontal="center" vertical="center"/>
    </xf>
    <xf numFmtId="0" fontId="4" fillId="4" borderId="0" xfId="0" applyFont="1" applyFill="1" applyAlignment="1">
      <alignment horizontal="left" vertical="center"/>
    </xf>
    <xf numFmtId="0" fontId="1" fillId="4" borderId="0" xfId="0" applyFont="1" applyFill="1" applyAlignment="1">
      <alignment horizontal="center" vertical="center"/>
    </xf>
    <xf numFmtId="166" fontId="8" fillId="15" borderId="0" xfId="0" applyNumberFormat="1" applyFont="1" applyFill="1" applyAlignment="1">
      <alignment horizontal="center" vertical="center"/>
    </xf>
    <xf numFmtId="0" fontId="4" fillId="15" borderId="0" xfId="0" applyFont="1" applyFill="1" applyAlignment="1">
      <alignment horizontal="center" vertical="center"/>
    </xf>
    <xf numFmtId="0" fontId="8" fillId="15" borderId="0" xfId="0" applyFont="1" applyFill="1" applyAlignment="1">
      <alignment horizontal="center" vertical="center"/>
    </xf>
    <xf numFmtId="0" fontId="4" fillId="15" borderId="0" xfId="0" applyFont="1" applyFill="1" applyAlignment="1">
      <alignment horizontal="left" vertical="center"/>
    </xf>
    <xf numFmtId="0" fontId="23" fillId="0" borderId="0" xfId="0" applyFont="1"/>
    <xf numFmtId="0" fontId="25" fillId="0" borderId="0" xfId="0" applyFont="1" applyAlignment="1">
      <alignment horizontal="center" vertical="center" wrapText="1"/>
    </xf>
    <xf numFmtId="166" fontId="25" fillId="0" borderId="0" xfId="0" applyNumberFormat="1" applyFont="1" applyAlignment="1">
      <alignment horizontal="center" vertical="center" wrapText="1"/>
    </xf>
    <xf numFmtId="0" fontId="26" fillId="0" borderId="0" xfId="0" applyFont="1"/>
    <xf numFmtId="0" fontId="24" fillId="18" borderId="4" xfId="0" applyFont="1" applyFill="1" applyBorder="1" applyAlignment="1">
      <alignment horizontal="center" vertical="center"/>
    </xf>
    <xf numFmtId="20" fontId="4" fillId="15" borderId="0" xfId="0" applyNumberFormat="1" applyFont="1" applyFill="1" applyAlignment="1">
      <alignment horizontal="center" vertical="center"/>
    </xf>
    <xf numFmtId="0" fontId="27" fillId="19" borderId="4" xfId="0" applyFont="1" applyFill="1" applyBorder="1" applyAlignment="1">
      <alignment horizontal="center" vertical="center"/>
    </xf>
    <xf numFmtId="0" fontId="27" fillId="19" borderId="4" xfId="0" applyFont="1" applyFill="1" applyBorder="1" applyAlignment="1">
      <alignment horizontal="center" vertical="center"/>
    </xf>
    <xf numFmtId="20" fontId="4" fillId="4" borderId="0" xfId="0" applyNumberFormat="1" applyFont="1" applyFill="1" applyAlignment="1">
      <alignment horizontal="center" vertical="center"/>
    </xf>
    <xf numFmtId="0" fontId="28" fillId="4" borderId="4" xfId="0" applyFont="1" applyFill="1" applyBorder="1" applyAlignment="1">
      <alignment horizontal="center" vertical="center"/>
    </xf>
    <xf numFmtId="0" fontId="27" fillId="4" borderId="4" xfId="0" applyFont="1" applyFill="1" applyBorder="1" applyAlignment="1">
      <alignment horizontal="center" vertical="center"/>
    </xf>
    <xf numFmtId="0" fontId="23" fillId="19" borderId="0" xfId="0" applyFont="1" applyFill="1"/>
    <xf numFmtId="0" fontId="27" fillId="0" borderId="4" xfId="0" applyFont="1" applyBorder="1" applyAlignment="1">
      <alignment horizontal="center" vertical="center"/>
    </xf>
    <xf numFmtId="0" fontId="27" fillId="0" borderId="4" xfId="0" applyFont="1" applyBorder="1" applyAlignment="1">
      <alignment horizontal="center" vertical="center"/>
    </xf>
    <xf numFmtId="0" fontId="27" fillId="0" borderId="4" xfId="0" applyFont="1" applyBorder="1" applyAlignment="1">
      <alignment horizontal="center" vertical="center"/>
    </xf>
    <xf numFmtId="0" fontId="4" fillId="8" borderId="0" xfId="0" applyFont="1" applyFill="1" applyAlignment="1">
      <alignment horizontal="center" vertical="center"/>
    </xf>
    <xf numFmtId="0" fontId="4" fillId="8" borderId="7" xfId="0" applyFont="1" applyFill="1" applyBorder="1" applyAlignment="1">
      <alignment horizontal="center" vertical="center"/>
    </xf>
    <xf numFmtId="0" fontId="4" fillId="8" borderId="7" xfId="0" applyFont="1" applyFill="1" applyBorder="1" applyAlignment="1">
      <alignment horizontal="left" vertical="center"/>
    </xf>
    <xf numFmtId="164" fontId="4" fillId="8" borderId="7" xfId="0" applyNumberFormat="1" applyFont="1" applyFill="1" applyBorder="1" applyAlignment="1">
      <alignment horizontal="center" vertical="center"/>
    </xf>
    <xf numFmtId="0" fontId="4" fillId="8" borderId="8" xfId="0" applyFont="1" applyFill="1" applyBorder="1" applyAlignment="1">
      <alignment horizontal="center" vertical="center"/>
    </xf>
    <xf numFmtId="0" fontId="4" fillId="8" borderId="8" xfId="0" applyFont="1" applyFill="1" applyBorder="1" applyAlignment="1">
      <alignment horizontal="left" vertical="center"/>
    </xf>
    <xf numFmtId="0" fontId="27" fillId="4" borderId="4" xfId="0" applyFont="1" applyFill="1" applyBorder="1" applyAlignment="1">
      <alignment horizontal="center" vertical="center"/>
    </xf>
    <xf numFmtId="164" fontId="4" fillId="8" borderId="8" xfId="0" applyNumberFormat="1" applyFont="1" applyFill="1" applyBorder="1" applyAlignment="1">
      <alignment horizontal="center" vertical="center"/>
    </xf>
    <xf numFmtId="0" fontId="4" fillId="8" borderId="3" xfId="0" applyFont="1" applyFill="1" applyBorder="1" applyAlignment="1">
      <alignment horizontal="center" vertical="center"/>
    </xf>
    <xf numFmtId="0" fontId="4" fillId="8" borderId="3" xfId="0" applyFont="1" applyFill="1" applyBorder="1" applyAlignment="1">
      <alignment horizontal="left" vertical="center"/>
    </xf>
    <xf numFmtId="164" fontId="4" fillId="8" borderId="3" xfId="0" applyNumberFormat="1" applyFont="1" applyFill="1" applyBorder="1" applyAlignment="1">
      <alignment horizontal="center" vertical="center"/>
    </xf>
    <xf numFmtId="164" fontId="4" fillId="8" borderId="5" xfId="0" applyNumberFormat="1" applyFont="1" applyFill="1" applyBorder="1" applyAlignment="1">
      <alignment horizontal="center" vertical="center"/>
    </xf>
    <xf numFmtId="0" fontId="23" fillId="4" borderId="0" xfId="0" applyFont="1" applyFill="1"/>
    <xf numFmtId="0" fontId="27" fillId="19" borderId="4" xfId="0" applyFont="1" applyFill="1" applyBorder="1" applyAlignment="1">
      <alignment horizontal="center" vertical="center"/>
    </xf>
    <xf numFmtId="0" fontId="27" fillId="0" borderId="5" xfId="0" applyFont="1" applyBorder="1" applyAlignment="1">
      <alignment horizontal="center" vertical="center"/>
    </xf>
    <xf numFmtId="0" fontId="27" fillId="20" borderId="4" xfId="0" applyFont="1" applyFill="1" applyBorder="1" applyAlignment="1">
      <alignment horizontal="center" vertical="center"/>
    </xf>
    <xf numFmtId="0" fontId="23" fillId="0" borderId="0" xfId="0" applyFont="1" applyAlignment="1">
      <alignment horizontal="center" vertical="center"/>
    </xf>
    <xf numFmtId="0" fontId="23" fillId="0" borderId="0" xfId="0" applyFont="1" applyAlignment="1"/>
    <xf numFmtId="0" fontId="23" fillId="0" borderId="0" xfId="0" applyFont="1" applyAlignment="1">
      <alignment vertical="center"/>
    </xf>
    <xf numFmtId="0" fontId="4" fillId="8" borderId="2" xfId="0" applyFont="1" applyFill="1" applyBorder="1" applyAlignment="1">
      <alignment horizontal="center" vertical="center"/>
    </xf>
    <xf numFmtId="0" fontId="4" fillId="8" borderId="10" xfId="0" applyFont="1" applyFill="1" applyBorder="1" applyAlignment="1">
      <alignment horizontal="center" vertical="center"/>
    </xf>
    <xf numFmtId="0" fontId="4" fillId="8" borderId="1" xfId="0" applyFont="1" applyFill="1" applyBorder="1" applyAlignment="1">
      <alignment horizontal="center" vertical="center"/>
    </xf>
    <xf numFmtId="0" fontId="17" fillId="0" borderId="0" xfId="0" applyFont="1" applyAlignment="1">
      <alignment horizontal="center" vertical="center"/>
    </xf>
    <xf numFmtId="0" fontId="30" fillId="0" borderId="0" xfId="0" applyFont="1" applyAlignment="1">
      <alignment horizontal="center" vertical="center"/>
    </xf>
    <xf numFmtId="15" fontId="30" fillId="0" borderId="0" xfId="0" applyNumberFormat="1" applyFont="1" applyAlignment="1">
      <alignment horizontal="center" vertical="center"/>
    </xf>
    <xf numFmtId="0" fontId="31" fillId="21" borderId="4" xfId="0" applyFont="1" applyFill="1" applyBorder="1" applyAlignment="1">
      <alignment horizontal="center" vertical="center"/>
    </xf>
    <xf numFmtId="0" fontId="31" fillId="21" borderId="4" xfId="0" applyFont="1" applyFill="1" applyBorder="1" applyAlignment="1">
      <alignment horizontal="center" vertical="center" wrapText="1"/>
    </xf>
    <xf numFmtId="0" fontId="32" fillId="0" borderId="0" xfId="0" applyFont="1" applyAlignment="1">
      <alignment horizontal="center" vertical="center" wrapText="1"/>
    </xf>
    <xf numFmtId="0" fontId="33" fillId="0" borderId="4" xfId="0" applyFont="1" applyBorder="1" applyAlignment="1">
      <alignment horizontal="center" vertical="center"/>
    </xf>
    <xf numFmtId="0" fontId="34" fillId="0" borderId="0" xfId="0" applyFont="1" applyAlignment="1">
      <alignment horizontal="center" vertical="center" wrapText="1"/>
    </xf>
    <xf numFmtId="0" fontId="35" fillId="24" borderId="14" xfId="0" applyFont="1" applyFill="1" applyBorder="1" applyAlignment="1">
      <alignment horizontal="center" vertical="center" wrapText="1"/>
    </xf>
    <xf numFmtId="0" fontId="37" fillId="0" borderId="19" xfId="0" applyFont="1" applyBorder="1" applyAlignment="1">
      <alignment horizontal="center" vertical="center" wrapText="1"/>
    </xf>
    <xf numFmtId="0" fontId="34" fillId="0" borderId="19" xfId="0" applyFont="1" applyBorder="1" applyAlignment="1">
      <alignment horizontal="center" vertical="center" wrapText="1"/>
    </xf>
    <xf numFmtId="0" fontId="38" fillId="0" borderId="19" xfId="0" applyFont="1" applyBorder="1" applyAlignment="1">
      <alignment horizontal="center" vertical="center" wrapText="1"/>
    </xf>
    <xf numFmtId="0" fontId="34" fillId="0" borderId="0" xfId="0" applyFont="1" applyAlignment="1">
      <alignment horizontal="center" vertical="center"/>
    </xf>
    <xf numFmtId="0" fontId="39" fillId="0" borderId="4" xfId="0" applyFont="1" applyBorder="1" applyAlignment="1">
      <alignment horizontal="center" vertical="center"/>
    </xf>
    <xf numFmtId="0" fontId="38" fillId="0" borderId="19" xfId="0" applyFont="1" applyBorder="1" applyAlignment="1">
      <alignment horizontal="center" vertical="center" wrapText="1"/>
    </xf>
    <xf numFmtId="0" fontId="34" fillId="22" borderId="17" xfId="0" applyFont="1" applyFill="1" applyBorder="1" applyAlignment="1">
      <alignment horizontal="center" vertical="center" wrapText="1"/>
    </xf>
    <xf numFmtId="0" fontId="17" fillId="22" borderId="17" xfId="0" applyFont="1" applyFill="1" applyBorder="1" applyAlignment="1">
      <alignment vertical="center"/>
    </xf>
    <xf numFmtId="164" fontId="4" fillId="25" borderId="4" xfId="0" applyNumberFormat="1" applyFont="1" applyFill="1" applyBorder="1" applyAlignment="1">
      <alignment horizontal="center" vertical="center"/>
    </xf>
    <xf numFmtId="0" fontId="4" fillId="25" borderId="4" xfId="0" applyFont="1" applyFill="1" applyBorder="1" applyAlignment="1">
      <alignment horizontal="center" vertical="center"/>
    </xf>
    <xf numFmtId="0" fontId="8" fillId="25" borderId="4" xfId="0" applyFont="1" applyFill="1" applyBorder="1" applyAlignment="1">
      <alignment horizontal="center" vertical="center"/>
    </xf>
    <xf numFmtId="0" fontId="8" fillId="25" borderId="4" xfId="0" applyFont="1" applyFill="1" applyBorder="1" applyAlignment="1">
      <alignment horizontal="left" vertical="center"/>
    </xf>
    <xf numFmtId="0" fontId="4" fillId="25" borderId="4" xfId="0" applyFont="1" applyFill="1" applyBorder="1" applyAlignment="1">
      <alignment horizontal="center" vertical="center"/>
    </xf>
    <xf numFmtId="164" fontId="7" fillId="8" borderId="4" xfId="0" applyNumberFormat="1" applyFont="1" applyFill="1" applyBorder="1" applyAlignment="1">
      <alignment horizontal="center" vertical="center" wrapText="1"/>
    </xf>
    <xf numFmtId="0" fontId="7" fillId="8" borderId="4" xfId="0" applyFont="1" applyFill="1" applyBorder="1" applyAlignment="1">
      <alignment horizontal="center" vertical="center" wrapText="1"/>
    </xf>
    <xf numFmtId="164" fontId="11" fillId="8" borderId="4" xfId="0" applyNumberFormat="1" applyFont="1" applyFill="1" applyBorder="1" applyAlignment="1">
      <alignment horizontal="center" vertical="center" wrapText="1"/>
    </xf>
    <xf numFmtId="0" fontId="11" fillId="8" borderId="4" xfId="0" applyFont="1" applyFill="1" applyBorder="1" applyAlignment="1">
      <alignment horizontal="center" vertical="center" wrapText="1"/>
    </xf>
    <xf numFmtId="0" fontId="7" fillId="8" borderId="3"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7" fillId="8" borderId="0" xfId="0" applyFont="1" applyFill="1" applyAlignment="1">
      <alignment horizontal="center" vertical="center" wrapText="1"/>
    </xf>
    <xf numFmtId="0" fontId="16" fillId="0" borderId="0" xfId="0" applyFont="1" applyAlignment="1">
      <alignment horizontal="left"/>
    </xf>
    <xf numFmtId="0" fontId="41" fillId="4" borderId="3" xfId="0" applyFont="1" applyFill="1" applyBorder="1" applyAlignment="1">
      <alignment horizontal="center" vertical="center"/>
    </xf>
    <xf numFmtId="0" fontId="41" fillId="4" borderId="3" xfId="0" applyFont="1" applyFill="1" applyBorder="1" applyAlignment="1">
      <alignment horizontal="center" vertical="center" wrapText="1"/>
    </xf>
    <xf numFmtId="0" fontId="11" fillId="4" borderId="3" xfId="0" applyFont="1" applyFill="1" applyBorder="1" applyAlignment="1"/>
    <xf numFmtId="0" fontId="11" fillId="4" borderId="0" xfId="0" applyFont="1" applyFill="1" applyAlignment="1"/>
    <xf numFmtId="0" fontId="8" fillId="26" borderId="4" xfId="0" applyFont="1" applyFill="1" applyBorder="1" applyAlignment="1">
      <alignment horizontal="center" vertical="center"/>
    </xf>
    <xf numFmtId="0" fontId="8" fillId="26" borderId="4" xfId="0" applyFont="1" applyFill="1" applyBorder="1" applyAlignment="1">
      <alignment horizontal="center" vertical="center" wrapText="1"/>
    </xf>
    <xf numFmtId="0" fontId="42" fillId="3" borderId="4" xfId="0" applyFont="1" applyFill="1" applyBorder="1" applyAlignment="1">
      <alignment horizontal="center" vertical="center"/>
    </xf>
    <xf numFmtId="0" fontId="8" fillId="4" borderId="4" xfId="0" applyFont="1" applyFill="1" applyBorder="1" applyAlignment="1">
      <alignment horizontal="center" vertical="center"/>
    </xf>
    <xf numFmtId="0" fontId="42" fillId="3" borderId="4" xfId="0" applyFont="1" applyFill="1" applyBorder="1" applyAlignment="1">
      <alignment horizontal="center" vertical="center"/>
    </xf>
    <xf numFmtId="0" fontId="42" fillId="3"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8" fillId="3" borderId="0" xfId="0" applyFont="1" applyFill="1" applyAlignment="1">
      <alignment horizontal="center" vertical="center" wrapText="1"/>
    </xf>
    <xf numFmtId="0" fontId="4" fillId="0" borderId="0" xfId="0" applyFont="1" applyAlignment="1">
      <alignment horizontal="center" vertical="center" wrapText="1"/>
    </xf>
    <xf numFmtId="0" fontId="42" fillId="4" borderId="4" xfId="0" applyFont="1" applyFill="1" applyBorder="1" applyAlignment="1">
      <alignment horizontal="center" vertical="center"/>
    </xf>
    <xf numFmtId="0" fontId="42" fillId="4" borderId="4" xfId="0" applyFont="1" applyFill="1" applyBorder="1" applyAlignment="1">
      <alignment horizontal="center" vertical="center"/>
    </xf>
    <xf numFmtId="0" fontId="42" fillId="4" borderId="4" xfId="0" applyFont="1" applyFill="1" applyBorder="1" applyAlignment="1">
      <alignment horizontal="center" vertical="center" wrapText="1"/>
    </xf>
    <xf numFmtId="0" fontId="8" fillId="4" borderId="0" xfId="0" applyFont="1" applyFill="1" applyAlignment="1">
      <alignment horizontal="center" vertical="center" wrapText="1"/>
    </xf>
    <xf numFmtId="0" fontId="20" fillId="4" borderId="0" xfId="0" applyFont="1" applyFill="1" applyAlignment="1">
      <alignment horizontal="center" vertical="center" wrapText="1"/>
    </xf>
    <xf numFmtId="0" fontId="20" fillId="0" borderId="0" xfId="0" applyFont="1" applyAlignment="1">
      <alignment horizontal="center" vertical="center" wrapText="1"/>
    </xf>
    <xf numFmtId="0" fontId="42" fillId="3" borderId="4" xfId="0" applyFont="1" applyFill="1" applyBorder="1" applyAlignment="1">
      <alignment horizontal="center" vertical="center"/>
    </xf>
    <xf numFmtId="0" fontId="42" fillId="4" borderId="4" xfId="0" applyFont="1" applyFill="1" applyBorder="1" applyAlignment="1">
      <alignment horizontal="center" vertical="center"/>
    </xf>
    <xf numFmtId="0" fontId="23" fillId="3" borderId="4" xfId="0" applyFont="1" applyFill="1" applyBorder="1" applyAlignment="1">
      <alignment horizontal="center" vertical="center"/>
    </xf>
    <xf numFmtId="0" fontId="23" fillId="4" borderId="4" xfId="0" applyFont="1" applyFill="1" applyBorder="1" applyAlignment="1">
      <alignment horizontal="center" vertical="center" wrapText="1"/>
    </xf>
    <xf numFmtId="0" fontId="23" fillId="4" borderId="4" xfId="0" applyFont="1" applyFill="1" applyBorder="1" applyAlignment="1">
      <alignment horizontal="center" vertical="center"/>
    </xf>
    <xf numFmtId="0" fontId="8" fillId="4" borderId="4"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4" xfId="0" applyFont="1" applyFill="1" applyBorder="1" applyAlignment="1">
      <alignment horizontal="center" vertical="center"/>
    </xf>
    <xf numFmtId="0" fontId="8" fillId="3" borderId="4" xfId="0" applyFont="1" applyFill="1" applyBorder="1" applyAlignment="1">
      <alignment horizontal="center" vertical="center"/>
    </xf>
    <xf numFmtId="0" fontId="4" fillId="3" borderId="4" xfId="0" applyFont="1" applyFill="1" applyBorder="1" applyAlignment="1">
      <alignment horizontal="center" vertical="center"/>
    </xf>
    <xf numFmtId="0" fontId="8" fillId="3" borderId="4" xfId="0" applyFont="1" applyFill="1" applyBorder="1" applyAlignment="1">
      <alignment horizontal="center" vertical="center"/>
    </xf>
    <xf numFmtId="0" fontId="8" fillId="3" borderId="4" xfId="0" applyFont="1" applyFill="1" applyBorder="1" applyAlignment="1">
      <alignment horizontal="center" vertical="center" wrapText="1"/>
    </xf>
    <xf numFmtId="0" fontId="4" fillId="3" borderId="4" xfId="0" applyFont="1" applyFill="1" applyBorder="1" applyAlignment="1">
      <alignment horizontal="center" vertical="center"/>
    </xf>
    <xf numFmtId="0" fontId="23" fillId="3" borderId="4" xfId="0" applyFont="1" applyFill="1" applyBorder="1" applyAlignment="1">
      <alignment horizontal="center" vertical="center"/>
    </xf>
    <xf numFmtId="0" fontId="23" fillId="4" borderId="4" xfId="0" applyFont="1" applyFill="1" applyBorder="1" applyAlignment="1">
      <alignment horizontal="center" vertical="center"/>
    </xf>
    <xf numFmtId="0" fontId="23" fillId="4" borderId="4" xfId="0" applyFont="1" applyFill="1" applyBorder="1" applyAlignment="1">
      <alignment horizontal="center" vertical="center"/>
    </xf>
    <xf numFmtId="0" fontId="8" fillId="4" borderId="0" xfId="0" applyFont="1" applyFill="1" applyAlignment="1">
      <alignment horizontal="center" vertical="center"/>
    </xf>
    <xf numFmtId="0" fontId="4" fillId="0" borderId="0" xfId="0" applyFont="1" applyAlignment="1">
      <alignment horizontal="center" vertical="center"/>
    </xf>
    <xf numFmtId="0" fontId="8" fillId="3" borderId="0" xfId="0" applyFont="1" applyFill="1" applyAlignment="1">
      <alignment horizontal="center" vertical="center"/>
    </xf>
    <xf numFmtId="0" fontId="4" fillId="0" borderId="0" xfId="0" applyFont="1"/>
    <xf numFmtId="0" fontId="43" fillId="4" borderId="0" xfId="0" applyFont="1" applyFill="1" applyAlignment="1">
      <alignment horizontal="center" vertical="center"/>
    </xf>
    <xf numFmtId="0" fontId="4" fillId="4" borderId="0" xfId="0" applyFont="1" applyFill="1" applyAlignment="1">
      <alignment horizontal="center" vertical="center"/>
    </xf>
    <xf numFmtId="0" fontId="43" fillId="4" borderId="0" xfId="0" applyFont="1" applyFill="1" applyAlignment="1">
      <alignment horizontal="left" vertical="center"/>
    </xf>
    <xf numFmtId="0" fontId="43" fillId="15" borderId="0" xfId="0" applyFont="1" applyFill="1" applyAlignment="1">
      <alignment horizontal="center" vertical="center"/>
    </xf>
    <xf numFmtId="0" fontId="4" fillId="15" borderId="0" xfId="0" applyFont="1" applyFill="1" applyAlignment="1">
      <alignment horizontal="center" vertical="center"/>
    </xf>
    <xf numFmtId="0" fontId="43" fillId="15" borderId="0" xfId="0" applyFont="1" applyFill="1" applyAlignment="1">
      <alignment horizontal="left" vertical="center"/>
    </xf>
    <xf numFmtId="0" fontId="4" fillId="4" borderId="0" xfId="0" applyFont="1" applyFill="1" applyAlignment="1">
      <alignment horizontal="left" vertical="center" wrapText="1"/>
    </xf>
    <xf numFmtId="20" fontId="4" fillId="4" borderId="0" xfId="0" applyNumberFormat="1" applyFont="1" applyFill="1" applyAlignment="1">
      <alignment horizontal="center" vertical="center" wrapText="1"/>
    </xf>
    <xf numFmtId="0" fontId="1" fillId="4" borderId="0" xfId="0" applyFont="1" applyFill="1" applyAlignment="1">
      <alignment horizontal="center" vertical="center" wrapText="1"/>
    </xf>
    <xf numFmtId="15" fontId="9" fillId="0" borderId="0" xfId="0" applyNumberFormat="1" applyFont="1" applyAlignment="1">
      <alignment horizontal="center"/>
    </xf>
    <xf numFmtId="0" fontId="9" fillId="4" borderId="0" xfId="0" applyFont="1" applyFill="1" applyAlignment="1">
      <alignment horizontal="center" vertical="center"/>
    </xf>
    <xf numFmtId="0" fontId="9" fillId="4" borderId="0" xfId="0" applyFont="1" applyFill="1" applyAlignment="1">
      <alignment horizontal="center" vertical="center" wrapText="1"/>
    </xf>
    <xf numFmtId="0" fontId="44" fillId="4" borderId="0" xfId="0" applyFont="1" applyFill="1" applyAlignment="1">
      <alignment horizontal="center"/>
    </xf>
    <xf numFmtId="0" fontId="9" fillId="3" borderId="0" xfId="0" applyFont="1" applyFill="1" applyAlignment="1">
      <alignment horizontal="center" vertical="center"/>
    </xf>
    <xf numFmtId="0" fontId="9" fillId="3" borderId="0" xfId="0" applyFont="1" applyFill="1" applyAlignment="1">
      <alignment horizontal="center" vertical="center" wrapText="1"/>
    </xf>
    <xf numFmtId="0" fontId="44" fillId="3" borderId="0" xfId="0" applyFont="1" applyFill="1" applyAlignment="1">
      <alignment horizontal="center"/>
    </xf>
    <xf numFmtId="15" fontId="1" fillId="2" borderId="1" xfId="0" applyNumberFormat="1" applyFont="1" applyFill="1" applyBorder="1" applyAlignment="1">
      <alignment horizontal="center" vertical="center" wrapText="1"/>
    </xf>
    <xf numFmtId="0" fontId="2" fillId="3" borderId="2" xfId="0" applyFont="1" applyFill="1" applyBorder="1"/>
    <xf numFmtId="0" fontId="2" fillId="0" borderId="2" xfId="0" applyFont="1" applyBorder="1"/>
    <xf numFmtId="0" fontId="5" fillId="6" borderId="1" xfId="0" applyFont="1" applyFill="1" applyBorder="1" applyAlignment="1">
      <alignment horizontal="center" vertical="center" wrapText="1"/>
    </xf>
    <xf numFmtId="0" fontId="2" fillId="0" borderId="3" xfId="0" applyFont="1" applyBorder="1"/>
    <xf numFmtId="15" fontId="4" fillId="2" borderId="1" xfId="0" applyNumberFormat="1" applyFont="1" applyFill="1" applyBorder="1" applyAlignment="1">
      <alignment horizontal="center" vertical="center" wrapText="1"/>
    </xf>
    <xf numFmtId="0" fontId="2" fillId="3" borderId="3" xfId="0" applyFont="1" applyFill="1" applyBorder="1"/>
    <xf numFmtId="0" fontId="6" fillId="6" borderId="1" xfId="0" applyFont="1" applyFill="1" applyBorder="1" applyAlignment="1">
      <alignment horizontal="center" vertical="center" wrapText="1"/>
    </xf>
    <xf numFmtId="15" fontId="3" fillId="2" borderId="1" xfId="0" applyNumberFormat="1" applyFont="1" applyFill="1" applyBorder="1" applyAlignment="1">
      <alignment horizontal="center" vertical="center" wrapText="1"/>
    </xf>
    <xf numFmtId="15" fontId="4" fillId="2" borderId="0" xfId="0" applyNumberFormat="1" applyFont="1" applyFill="1" applyAlignment="1">
      <alignment horizontal="center" vertical="center" wrapText="1"/>
    </xf>
    <xf numFmtId="0" fontId="0" fillId="0" borderId="0" xfId="0" applyFont="1" applyAlignment="1"/>
    <xf numFmtId="0" fontId="6" fillId="6" borderId="0" xfId="0" applyFont="1" applyFill="1" applyAlignment="1">
      <alignment horizontal="center" vertical="center" wrapText="1"/>
    </xf>
    <xf numFmtId="164" fontId="4" fillId="2" borderId="1" xfId="0" applyNumberFormat="1" applyFont="1" applyFill="1" applyBorder="1" applyAlignment="1">
      <alignment horizontal="center" vertical="center" wrapText="1"/>
    </xf>
    <xf numFmtId="170" fontId="4" fillId="0" borderId="1" xfId="0" applyNumberFormat="1" applyFont="1" applyBorder="1" applyAlignment="1">
      <alignment horizontal="center" vertical="center" wrapText="1"/>
    </xf>
    <xf numFmtId="0" fontId="24" fillId="17" borderId="6" xfId="0" applyFont="1" applyFill="1" applyBorder="1" applyAlignment="1">
      <alignment horizontal="center" vertical="center" wrapText="1"/>
    </xf>
    <xf numFmtId="0" fontId="2" fillId="0" borderId="5" xfId="0" applyFont="1" applyBorder="1"/>
    <xf numFmtId="0" fontId="24" fillId="18" borderId="1" xfId="0" applyFont="1" applyFill="1" applyBorder="1" applyAlignment="1">
      <alignment horizontal="center" vertical="center"/>
    </xf>
    <xf numFmtId="0" fontId="22" fillId="2" borderId="1" xfId="0" applyFont="1" applyFill="1" applyBorder="1" applyAlignment="1">
      <alignment horizontal="center" vertical="center" wrapText="1"/>
    </xf>
    <xf numFmtId="0" fontId="27" fillId="20" borderId="9" xfId="0" applyFont="1" applyFill="1" applyBorder="1" applyAlignment="1">
      <alignment horizontal="center" vertical="center"/>
    </xf>
    <xf numFmtId="0" fontId="2" fillId="0" borderId="7" xfId="0" applyFont="1" applyBorder="1"/>
    <xf numFmtId="0" fontId="34" fillId="23" borderId="14" xfId="0" applyFont="1" applyFill="1" applyBorder="1" applyAlignment="1">
      <alignment horizontal="center" vertical="center" wrapText="1"/>
    </xf>
    <xf numFmtId="0" fontId="2" fillId="0" borderId="17" xfId="0" applyFont="1" applyBorder="1"/>
    <xf numFmtId="0" fontId="36" fillId="0" borderId="18" xfId="0" applyFont="1" applyBorder="1" applyAlignment="1">
      <alignment horizontal="center" vertical="center" wrapText="1"/>
    </xf>
    <xf numFmtId="0" fontId="2" fillId="0" borderId="20" xfId="0" applyFont="1" applyBorder="1"/>
    <xf numFmtId="0" fontId="37" fillId="0" borderId="18" xfId="0" applyFont="1" applyBorder="1" applyAlignment="1">
      <alignment horizontal="center" vertical="center" wrapText="1"/>
    </xf>
    <xf numFmtId="172" fontId="34" fillId="23" borderId="15" xfId="0" applyNumberFormat="1" applyFont="1" applyFill="1" applyBorder="1" applyAlignment="1">
      <alignment horizontal="center" vertical="center" wrapText="1"/>
    </xf>
    <xf numFmtId="0" fontId="2" fillId="0" borderId="16" xfId="0" applyFont="1" applyBorder="1"/>
    <xf numFmtId="0" fontId="34" fillId="0" borderId="18" xfId="0" applyFont="1" applyBorder="1" applyAlignment="1">
      <alignment horizontal="center" vertical="center" wrapText="1"/>
    </xf>
    <xf numFmtId="0" fontId="29" fillId="0" borderId="0" xfId="0" applyFont="1" applyAlignment="1">
      <alignment horizontal="center" vertical="center"/>
    </xf>
    <xf numFmtId="0" fontId="31" fillId="21" borderId="1" xfId="0" applyFont="1" applyFill="1" applyBorder="1" applyAlignment="1">
      <alignment horizontal="center" vertical="center"/>
    </xf>
    <xf numFmtId="0" fontId="32" fillId="22" borderId="11" xfId="0" applyFont="1" applyFill="1" applyBorder="1" applyAlignment="1">
      <alignment horizontal="center" vertical="center" wrapText="1"/>
    </xf>
    <xf numFmtId="0" fontId="2" fillId="0" borderId="12" xfId="0" applyFont="1" applyBorder="1"/>
    <xf numFmtId="0" fontId="2" fillId="0" borderId="13" xfId="0" applyFont="1" applyBorder="1"/>
    <xf numFmtId="15" fontId="40" fillId="2" borderId="1" xfId="0" applyNumberFormat="1" applyFont="1" applyFill="1" applyBorder="1" applyAlignment="1">
      <alignment horizontal="center"/>
    </xf>
    <xf numFmtId="0" fontId="28" fillId="27" borderId="21" xfId="0" applyFont="1" applyFill="1" applyBorder="1" applyAlignment="1">
      <alignment horizontal="center" vertical="center" wrapText="1"/>
    </xf>
    <xf numFmtId="0" fontId="28" fillId="27" borderId="22" xfId="0" applyFont="1" applyFill="1" applyBorder="1" applyAlignment="1">
      <alignment horizontal="center" vertical="center" wrapText="1"/>
    </xf>
    <xf numFmtId="0" fontId="27" fillId="27" borderId="22" xfId="0" applyFont="1" applyFill="1" applyBorder="1" applyAlignment="1">
      <alignment horizontal="center" vertical="center" wrapText="1"/>
    </xf>
    <xf numFmtId="0" fontId="28" fillId="27" borderId="23" xfId="0" applyFont="1" applyFill="1" applyBorder="1" applyAlignment="1">
      <alignment horizontal="center" vertical="center" wrapText="1"/>
    </xf>
    <xf numFmtId="0" fontId="28" fillId="27" borderId="24" xfId="0" applyFont="1" applyFill="1" applyBorder="1" applyAlignment="1">
      <alignment horizontal="center" vertical="center" wrapText="1"/>
    </xf>
    <xf numFmtId="0" fontId="27" fillId="27" borderId="24" xfId="0" applyFont="1" applyFill="1" applyBorder="1" applyAlignment="1">
      <alignment horizontal="center" vertical="center" wrapText="1"/>
    </xf>
    <xf numFmtId="0" fontId="28" fillId="0" borderId="23" xfId="0" applyFont="1" applyBorder="1" applyAlignment="1">
      <alignment horizontal="center" vertical="center" wrapText="1"/>
    </xf>
    <xf numFmtId="0" fontId="28" fillId="0" borderId="24" xfId="0" applyFont="1" applyBorder="1" applyAlignment="1">
      <alignment horizontal="center" vertical="center" wrapText="1"/>
    </xf>
  </cellXfs>
  <cellStyles count="1">
    <cellStyle name="Normal" xfId="0" builtinId="0"/>
  </cellStyles>
  <dxfs count="930">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FFCFC9"/>
          <bgColor rgb="FFFFCFC9"/>
        </patternFill>
      </fill>
    </dxf>
    <dxf>
      <fill>
        <patternFill patternType="solid">
          <fgColor rgb="FFFFCFC9"/>
          <bgColor rgb="FFFFCFC9"/>
        </patternFill>
      </fill>
    </dxf>
    <dxf>
      <font>
        <b/>
        <color theme="1"/>
      </font>
      <fill>
        <patternFill patternType="solid">
          <fgColor rgb="FF97E075"/>
          <bgColor rgb="FF97E075"/>
        </patternFill>
      </fill>
    </dxf>
    <dxf>
      <font>
        <b/>
        <color rgb="FF9C0006"/>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b/>
        <color theme="1"/>
      </font>
      <fill>
        <patternFill patternType="solid">
          <fgColor rgb="FF97E075"/>
          <bgColor rgb="FF97E075"/>
        </patternFill>
      </fill>
    </dxf>
    <dxf>
      <font>
        <b/>
        <color rgb="FF9C0006"/>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FCFC9"/>
          <bgColor rgb="FFFFCFC9"/>
        </patternFill>
      </fill>
    </dxf>
    <dxf>
      <font>
        <color rgb="FF000000"/>
      </font>
      <fill>
        <patternFill patternType="solid">
          <fgColor rgb="FFFFCFC9"/>
          <bgColor rgb="FFFFCFC9"/>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FFCFC9"/>
          <bgColor rgb="FFFFCFC9"/>
        </patternFill>
      </fill>
    </dxf>
    <dxf>
      <fill>
        <patternFill patternType="solid">
          <fgColor rgb="FFFFCFC9"/>
          <bgColor rgb="FFFFCFC9"/>
        </patternFill>
      </fill>
    </dxf>
    <dxf>
      <font>
        <b/>
        <color theme="1"/>
      </font>
      <fill>
        <patternFill patternType="solid">
          <fgColor rgb="FF97E075"/>
          <bgColor rgb="FF97E075"/>
        </patternFill>
      </fill>
    </dxf>
    <dxf>
      <font>
        <b/>
        <color rgb="FF9C0006"/>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FFCFC9"/>
          <bgColor rgb="FFFFCFC9"/>
        </patternFill>
      </fill>
    </dxf>
    <dxf>
      <font>
        <b/>
        <color theme="1"/>
      </font>
      <fill>
        <patternFill patternType="solid">
          <fgColor rgb="FF97E075"/>
          <bgColor rgb="FF97E075"/>
        </patternFill>
      </fill>
    </dxf>
    <dxf>
      <font>
        <b/>
        <color rgb="FF9C0006"/>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FFCFC9"/>
          <bgColor rgb="FFFFCFC9"/>
        </patternFill>
      </fill>
    </dxf>
    <dxf>
      <font>
        <b/>
        <color theme="1"/>
      </font>
      <fill>
        <patternFill patternType="solid">
          <fgColor rgb="FF97E075"/>
          <bgColor rgb="FF97E075"/>
        </patternFill>
      </fill>
    </dxf>
    <dxf>
      <font>
        <b/>
        <color rgb="FF9C0006"/>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ill>
        <patternFill patternType="solid">
          <fgColor rgb="FFFFCFC9"/>
          <bgColor rgb="FFFFCFC9"/>
        </patternFill>
      </fill>
    </dxf>
    <dxf>
      <font>
        <color rgb="FF000000"/>
      </font>
      <fill>
        <patternFill patternType="solid">
          <fgColor rgb="FF99E378"/>
          <bgColor rgb="FF99E378"/>
        </patternFill>
      </fill>
    </dxf>
    <dxf>
      <font>
        <b/>
        <color theme="1"/>
      </font>
      <fill>
        <patternFill patternType="solid">
          <fgColor rgb="FF97E075"/>
          <bgColor rgb="FF97E075"/>
        </patternFill>
      </fill>
    </dxf>
    <dxf>
      <font>
        <b/>
        <color rgb="FF9C0006"/>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EBEFF1"/>
          <bgColor rgb="FFEBEFF1"/>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EBEFF1"/>
          <bgColor rgb="FFEBEFF1"/>
        </patternFill>
      </fill>
    </dxf>
    <dxf>
      <fill>
        <patternFill patternType="solid">
          <fgColor rgb="FFF6F8F9"/>
          <bgColor rgb="FFF6F8F9"/>
        </patternFill>
      </fill>
    </dxf>
    <dxf>
      <fill>
        <patternFill patternType="solid">
          <fgColor rgb="FFFFFFFF"/>
          <bgColor rgb="FFFFFFFF"/>
        </patternFill>
      </fill>
    </dxf>
  </dxfs>
  <tableStyles count="12">
    <tableStyle name="Sheet47-style" pivot="0" count="2">
      <tableStyleElement type="firstRowStripe" dxfId="929"/>
      <tableStyleElement type="secondRowStripe" dxfId="928"/>
    </tableStyle>
    <tableStyle name="DJA AOC NSRDIL R01-style" pivot="0" count="2">
      <tableStyleElement type="firstRowStripe" dxfId="927"/>
      <tableStyleElement type="secondRowStripe" dxfId="926"/>
    </tableStyle>
    <tableStyle name="DMI CBM-style" pivot="0" count="2">
      <tableStyleElement type="firstRowStripe" dxfId="925"/>
      <tableStyleElement type="secondRowStripe" dxfId="924"/>
    </tableStyle>
    <tableStyle name="Sheet47-style 2" pivot="0" count="2">
      <tableStyleElement type="firstRowStripe" dxfId="923"/>
      <tableStyleElement type="secondRowStripe" dxfId="922"/>
    </tableStyle>
    <tableStyle name="DJA AOC NSRDIL R01-style 2" pivot="0" count="2">
      <tableStyleElement type="firstRowStripe" dxfId="921"/>
      <tableStyleElement type="secondRowStripe" dxfId="920"/>
    </tableStyle>
    <tableStyle name="DMI CBM-style 2" pivot="0" count="2">
      <tableStyleElement type="firstRowStripe" dxfId="919"/>
      <tableStyleElement type="secondRowStripe" dxfId="918"/>
    </tableStyle>
    <tableStyle name="Sheet47-style 3" pivot="0" count="2">
      <tableStyleElement type="firstRowStripe" dxfId="917"/>
      <tableStyleElement type="secondRowStripe" dxfId="916"/>
    </tableStyle>
    <tableStyle name="DMI CBM-style 3" pivot="0" count="2">
      <tableStyleElement type="firstRowStripe" dxfId="915"/>
      <tableStyleElement type="secondRowStripe" dxfId="914"/>
    </tableStyle>
    <tableStyle name="Sheet47-style 4" pivot="0" count="2">
      <tableStyleElement type="firstRowStripe" dxfId="913"/>
      <tableStyleElement type="secondRowStripe" dxfId="912"/>
    </tableStyle>
    <tableStyle name="DMI CBM-style 4" pivot="0" count="2">
      <tableStyleElement type="firstRowStripe" dxfId="911"/>
      <tableStyleElement type="secondRowStripe" dxfId="910"/>
    </tableStyle>
    <tableStyle name="DMI CBM-style 5" pivot="0" count="2">
      <tableStyleElement type="firstRowStripe" dxfId="909"/>
      <tableStyleElement type="secondRowStripe" dxfId="908"/>
    </tableStyle>
    <tableStyle name="UNPLANNED WO-style" pivot="0" count="2">
      <tableStyleElement type="firstRowStripe" dxfId="907"/>
      <tableStyleElement type="secondRowStripe" dxfId="90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dr:twoCellAnchor editAs="absolute">
    <xdr:from>
      <xdr:col>1</xdr:col>
      <xdr:colOff>142875</xdr:colOff>
      <xdr:row>1</xdr:row>
      <xdr:rowOff>95250</xdr:rowOff>
    </xdr:from>
    <xdr:to>
      <xdr:col>5</xdr:col>
      <xdr:colOff>142875</xdr:colOff>
      <xdr:row>7</xdr:row>
      <xdr:rowOff>38100</xdr:rowOff>
    </xdr:to>
    <xdr:sp macro="" textlink="">
      <xdr:nvSpPr>
        <xdr:cNvPr id="1026" name="Text Box 2" hidden="1"/>
        <xdr:cNvSpPr txBox="1">
          <a:spLocks noChangeArrowheads="1"/>
        </xdr:cNvSpPr>
      </xdr:nvSpPr>
      <xdr:spPr bwMode="auto">
        <a:xfrm>
          <a:off x="733425" y="476250"/>
          <a:ext cx="2371725" cy="23145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38100</xdr:rowOff>
    </xdr:to>
    <xdr:sp macro="" textlink="">
      <xdr:nvSpPr>
        <xdr:cNvPr id="1025" name="Text Box 1" hidden="1"/>
        <xdr:cNvSpPr txBox="1">
          <a:spLocks noChangeArrowheads="1"/>
        </xdr:cNvSpPr>
      </xdr:nvSpPr>
      <xdr:spPr bwMode="auto">
        <a:xfrm>
          <a:off x="733425" y="476250"/>
          <a:ext cx="2371725" cy="23145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List%20A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AC"/>
    </sheetNames>
    <sheetDataSet>
      <sheetData sheetId="0" refreshError="1"/>
    </sheetDataSet>
  </externalBook>
</externalLink>
</file>

<file path=xl/persons/person.xml><?xml version="1.0" encoding="utf-8"?>
<x18tc:personList xmlns:x18tc="http://schemas.microsoft.com/office/spreadsheetml/2018/threadedcomments">
  <x18tc:person displayName="Lasino" id="{a12e4162-3700-420a-9b24-b7e1e0d487fa}" providerId="google-sheets"/>
  <x18tc:person displayName="Jefin AL Khalifi" id="{e9106846-1dec-4056-9815-2d27383324a2}" providerId="google-sheets"/>
  <x18tc:person displayName="CABIN ON-DUTY" id="{60a6d5c1-7730-4ce0-aa88-60401388df10}" providerId="google-sheets"/>
</x18tc:personList>
</file>

<file path=xl/tables/table1.xml><?xml version="1.0" encoding="utf-8"?>
<table xmlns="http://schemas.openxmlformats.org/spreadsheetml/2006/main" id="1" name="Table_2" displayName="Table_2" ref="B1" headerRowCount="0">
  <tableColumns count="1">
    <tableColumn id="1" name="Column1"/>
  </tableColumns>
  <tableStyleInfo name="DMI CBM-style" showFirstColumn="1" showLastColumn="1" showRowStripes="1" showColumnStripes="0"/>
</table>
</file>

<file path=xl/tables/table2.xml><?xml version="1.0" encoding="utf-8"?>
<table xmlns="http://schemas.openxmlformats.org/spreadsheetml/2006/main" id="6" name="Table_6" displayName="Table_6" ref="B2:B17" headerRowCount="0">
  <tableColumns count="1">
    <tableColumn id="1" name="Column1"/>
  </tableColumns>
  <tableStyleInfo name="DMI CBM-style 2" showFirstColumn="1" showLastColumn="1" showRowStripes="1" showColumnStripes="0"/>
</table>
</file>

<file path=xl/tables/table3.xml><?xml version="1.0" encoding="utf-8"?>
<table xmlns="http://schemas.openxmlformats.org/spreadsheetml/2006/main" id="8" name="Table_8" displayName="Table_8" ref="C2:E8" headerRowCount="0">
  <tableColumns count="3">
    <tableColumn id="1" name="Column1"/>
    <tableColumn id="2" name="Column2"/>
    <tableColumn id="3" name="Column3"/>
  </tableColumns>
  <tableStyleInfo name="DMI CBM-style 3" showFirstColumn="1" showLastColumn="1" showRowStripes="1" showColumnStripes="0"/>
</table>
</file>

<file path=xl/tables/table4.xml><?xml version="1.0" encoding="utf-8"?>
<table xmlns="http://schemas.openxmlformats.org/spreadsheetml/2006/main" id="10" name="Table_10" displayName="Table_10" ref="F2:L17" headerRowCount="0">
  <tableColumns count="7">
    <tableColumn id="1" name="Column1"/>
    <tableColumn id="2" name="Column2"/>
    <tableColumn id="3" name="Column3"/>
    <tableColumn id="4" name="Column4"/>
    <tableColumn id="5" name="Column5"/>
    <tableColumn id="6" name="Column6"/>
    <tableColumn id="7" name="Column7"/>
  </tableColumns>
  <tableStyleInfo name="DMI CBM-style 4" showFirstColumn="1" showLastColumn="1" showRowStripes="1" showColumnStripes="0"/>
</table>
</file>

<file path=xl/tables/table5.xml><?xml version="1.0" encoding="utf-8"?>
<table xmlns="http://schemas.openxmlformats.org/spreadsheetml/2006/main" id="11" name="Table_11" displayName="Table_11" ref="C9:E13" headerRowCount="0">
  <tableColumns count="3">
    <tableColumn id="1" name="Column1"/>
    <tableColumn id="2" name="Column2"/>
    <tableColumn id="3" name="Column3"/>
  </tableColumns>
  <tableStyleInfo name="DMI CBM-style 5" showFirstColumn="1" showLastColumn="1" showRowStripes="1" showColumnStripes="0"/>
</table>
</file>

<file path=xl/tables/table6.xml><?xml version="1.0" encoding="utf-8"?>
<table xmlns="http://schemas.openxmlformats.org/spreadsheetml/2006/main" id="2" name="Table_1" displayName="Table_1" ref="B3:B16" headerRowCount="0">
  <tableColumns count="1">
    <tableColumn id="1" name="Column1"/>
  </tableColumns>
  <tableStyleInfo name="Sheet47-style" showFirstColumn="1" showLastColumn="1" showRowStripes="1" showColumnStripes="0"/>
</table>
</file>

<file path=xl/tables/table7.xml><?xml version="1.0" encoding="utf-8"?>
<table xmlns="http://schemas.openxmlformats.org/spreadsheetml/2006/main" id="4" name="Table_5" displayName="Table_5" ref="C3:E9" headerRowCount="0">
  <tableColumns count="3">
    <tableColumn id="1" name="Column1"/>
    <tableColumn id="2" name="Column2"/>
    <tableColumn id="3" name="Column3"/>
  </tableColumns>
  <tableStyleInfo name="Sheet47-style 2" showFirstColumn="1" showLastColumn="1" showRowStripes="1" showColumnStripes="0"/>
</table>
</file>

<file path=xl/tables/table8.xml><?xml version="1.0" encoding="utf-8"?>
<table xmlns="http://schemas.openxmlformats.org/spreadsheetml/2006/main" id="7" name="Table_7" displayName="Table_7" ref="F3:L16" headerRowCount="0">
  <tableColumns count="7">
    <tableColumn id="1" name="Column1"/>
    <tableColumn id="2" name="Column2"/>
    <tableColumn id="3" name="Column3"/>
    <tableColumn id="4" name="Column4"/>
    <tableColumn id="5" name="Column5"/>
    <tableColumn id="6" name="Column6"/>
    <tableColumn id="7" name="Column7"/>
  </tableColumns>
  <tableStyleInfo name="Sheet47-style 3" showFirstColumn="1" showLastColumn="1" showRowStripes="1" showColumnStripes="0"/>
</table>
</file>

<file path=xl/tables/table9.xml><?xml version="1.0" encoding="utf-8"?>
<table xmlns="http://schemas.openxmlformats.org/spreadsheetml/2006/main" id="9" name="Table_9" displayName="Table_9" ref="C10:E12" headerRowCount="0">
  <tableColumns count="3">
    <tableColumn id="1" name="Column1"/>
    <tableColumn id="2" name="Column2"/>
    <tableColumn id="3" name="Column3"/>
  </tableColumns>
  <tableStyleInfo name="Sheet47-style 4" showFirstColumn="1" showLastColumn="1" showRowStripes="1" showColumnStripes="0"/>
</table>
</file>

<file path=xl/tables/table10.xml><?xml version="1.0" encoding="utf-8"?>
<table xmlns="http://schemas.openxmlformats.org/spreadsheetml/2006/main" id="3" name="Table_3" displayName="Table_3" ref="C63:D63" headerRowCount="0">
  <tableColumns count="2">
    <tableColumn id="1" name="Column1"/>
    <tableColumn id="2" name="Column2"/>
  </tableColumns>
  <tableStyleInfo name="DJA AOC NSRDIL R01-style" showFirstColumn="1" showLastColumn="1" showRowStripes="1" showColumnStripes="0"/>
</table>
</file>

<file path=xl/tables/table11.xml><?xml version="1.0" encoding="utf-8"?>
<table xmlns="http://schemas.openxmlformats.org/spreadsheetml/2006/main" id="5" name="Table_4" displayName="Table_4" ref="E63:O63" headerRowCount="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name="DJA AOC NSRDIL R01-style 2" showFirstColumn="1" showLastColumn="1" showRowStripes="1" showColumnStripes="0"/>
</table>
</file>

<file path=xl/tables/table12.xml><?xml version="1.0" encoding="utf-8"?>
<table xmlns="http://schemas.openxmlformats.org/spreadsheetml/2006/main" id="12" name="Table_12" displayName="Table_12" ref="A3:W906" headerRowCount="0">
  <sortState ref="A3:W906">
    <sortCondition ref="E2"/>
  </sortState>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UNPLANNED W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1-09T11:13:47.00" personId="{60a6d5c1-7730-4ce0-aa88-60401388df10}" id="{7bda41e5-973b-4cb3-acaf-41e23d245329}" done="1">
    <x18tc:text xml:space="preserve">Dimohon untuk membuat tampilan filter sendiri di menu (Buat Tampilan Filter) Terimakasih 🙏🏻</x18tc:text>
  </x18tc:threadedComment>
  <x18tc:threadedComment ref="A1" dT="2026-01-15T02:10:50.00" personId="{a12e4162-3700-420a-9b24-b7e1e0d487fa}" id="{6fb39299-ac99-4a3a-9069-5557a44f18c5}" done="1">
    <x18tc:text xml:space="preserve">NIL PART AT BPN</x18tc:text>
  </x18tc:threadedComment>
  <x18tc:threadedComment ref="A1" dT="2026-10-13T13:05:33.00" personId="{e9106846-1dec-4056-9815-2d27383324a2}" id="{3d41e555-7034-4875-83ab-1d3aceefb35d}" done="1">
    <x18tc:text xml:space="preserve">NSAJ 027216</x18tc:text>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microsoft.com/office/2019/04/relationships/documenttask" Target="../documenttasks/documenttask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 Id="rId4" Type="http://schemas.openxmlformats.org/officeDocument/2006/relationships/table" Target="../tables/table9.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FF"/>
  </sheetPr>
  <dimension ref="A1:P86"/>
  <sheetViews>
    <sheetView zoomScale="85" zoomScaleNormal="85" workbookViewId="0">
      <pane ySplit="2" topLeftCell="A3" activePane="bottomLeft" state="frozen"/>
      <selection pane="bottomLeft" activeCell="B4" sqref="B4"/>
    </sheetView>
  </sheetViews>
  <sheetFormatPr defaultColWidth="12.5703125" defaultRowHeight="15" customHeight="1"/>
  <cols>
    <col min="1" max="1" width="8.85546875" customWidth="1"/>
    <col min="2" max="2" width="6" customWidth="1"/>
    <col min="3" max="3" width="9" customWidth="1"/>
    <col min="4" max="4" width="8.42578125" customWidth="1"/>
    <col min="5" max="5" width="12.140625" customWidth="1"/>
    <col min="6" max="6" width="106.5703125" customWidth="1"/>
    <col min="7" max="7" width="15.42578125" customWidth="1"/>
    <col min="8" max="8" width="8.42578125" customWidth="1"/>
    <col min="9" max="9" width="11" customWidth="1"/>
    <col min="10" max="10" width="6.85546875" customWidth="1"/>
    <col min="11" max="11" width="7.28515625" customWidth="1"/>
    <col min="12" max="12" width="27.42578125" customWidth="1"/>
    <col min="13" max="13" width="9" customWidth="1"/>
    <col min="14" max="14" width="14" customWidth="1"/>
    <col min="15" max="15" width="13.42578125" customWidth="1"/>
    <col min="16" max="16" width="11.5703125" customWidth="1"/>
  </cols>
  <sheetData>
    <row r="1" spans="1:16" ht="30" customHeight="1">
      <c r="A1" s="373">
        <v>46308</v>
      </c>
      <c r="B1" s="374"/>
      <c r="C1" s="375"/>
      <c r="D1" s="1"/>
      <c r="E1" s="376" t="s">
        <v>1</v>
      </c>
      <c r="F1" s="375"/>
      <c r="G1" s="375"/>
      <c r="H1" s="375"/>
      <c r="I1" s="375"/>
      <c r="J1" s="375"/>
      <c r="K1" s="377"/>
      <c r="L1" s="9"/>
      <c r="M1" s="9"/>
      <c r="N1" s="11"/>
      <c r="O1" s="13"/>
      <c r="P1" s="15"/>
    </row>
    <row r="2" spans="1:16" ht="33.75" customHeight="1">
      <c r="A2" s="18" t="s">
        <v>24</v>
      </c>
      <c r="B2" s="21" t="s">
        <v>2</v>
      </c>
      <c r="C2" s="21" t="s">
        <v>3</v>
      </c>
      <c r="D2" s="21" t="s">
        <v>9</v>
      </c>
      <c r="E2" s="25" t="s">
        <v>32</v>
      </c>
      <c r="F2" s="21" t="s">
        <v>36</v>
      </c>
      <c r="G2" s="18" t="s">
        <v>39</v>
      </c>
      <c r="H2" s="18" t="s">
        <v>42</v>
      </c>
      <c r="I2" s="18" t="s">
        <v>47</v>
      </c>
      <c r="J2" s="18" t="s">
        <v>16</v>
      </c>
      <c r="K2" s="33" t="s">
        <v>17</v>
      </c>
      <c r="L2" s="18" t="s">
        <v>57</v>
      </c>
      <c r="M2" s="18" t="s">
        <v>22</v>
      </c>
      <c r="N2" s="18" t="s">
        <v>51</v>
      </c>
      <c r="O2" s="40" t="s">
        <v>23</v>
      </c>
      <c r="P2" s="40" t="s">
        <v>25</v>
      </c>
    </row>
    <row r="3" spans="1:16" ht="25.5">
      <c r="A3" s="43">
        <v>46308</v>
      </c>
      <c r="B3" s="47" t="s">
        <v>68</v>
      </c>
      <c r="C3" s="47" t="s">
        <v>71</v>
      </c>
      <c r="D3" s="47">
        <v>2316519</v>
      </c>
      <c r="E3" s="47" t="s">
        <v>77</v>
      </c>
      <c r="F3" s="47" t="s">
        <v>79</v>
      </c>
      <c r="G3" s="47" t="s">
        <v>81</v>
      </c>
      <c r="H3" s="47" t="s">
        <v>83</v>
      </c>
      <c r="I3" s="47" t="s">
        <v>85</v>
      </c>
      <c r="J3" s="47" t="s">
        <v>87</v>
      </c>
      <c r="K3" s="47" t="s">
        <v>89</v>
      </c>
      <c r="L3" s="47" t="s">
        <v>91</v>
      </c>
      <c r="M3" s="47" t="s">
        <v>89</v>
      </c>
      <c r="N3" s="56" t="s">
        <v>34</v>
      </c>
      <c r="O3" s="63"/>
      <c r="P3" s="63"/>
    </row>
    <row r="4" spans="1:16" ht="38.25">
      <c r="A4" s="43">
        <v>46308</v>
      </c>
      <c r="B4" s="47" t="s">
        <v>112</v>
      </c>
      <c r="C4" s="47" t="s">
        <v>113</v>
      </c>
      <c r="D4" s="68" t="s">
        <v>115</v>
      </c>
      <c r="E4" s="47" t="s">
        <v>77</v>
      </c>
      <c r="F4" s="47" t="s">
        <v>117</v>
      </c>
      <c r="G4" s="47" t="s">
        <v>81</v>
      </c>
      <c r="H4" s="47" t="s">
        <v>118</v>
      </c>
      <c r="I4" s="47" t="s">
        <v>108</v>
      </c>
      <c r="J4" s="47" t="s">
        <v>53</v>
      </c>
      <c r="K4" s="47" t="s">
        <v>55</v>
      </c>
      <c r="L4" s="74"/>
      <c r="M4" s="47" t="s">
        <v>55</v>
      </c>
      <c r="N4" s="56" t="s">
        <v>34</v>
      </c>
      <c r="O4" s="63"/>
      <c r="P4" s="63"/>
    </row>
    <row r="5" spans="1:16" ht="38.25">
      <c r="A5" s="43">
        <v>46308</v>
      </c>
      <c r="B5" s="47" t="s">
        <v>28</v>
      </c>
      <c r="C5" s="47" t="s">
        <v>126</v>
      </c>
      <c r="D5" s="47">
        <v>2285964</v>
      </c>
      <c r="E5" s="47" t="s">
        <v>77</v>
      </c>
      <c r="F5" s="47" t="s">
        <v>128</v>
      </c>
      <c r="G5" s="47" t="s">
        <v>130</v>
      </c>
      <c r="H5" s="47" t="s">
        <v>131</v>
      </c>
      <c r="I5" s="47" t="s">
        <v>52</v>
      </c>
      <c r="J5" s="47" t="s">
        <v>53</v>
      </c>
      <c r="K5" s="47" t="s">
        <v>55</v>
      </c>
      <c r="L5" s="47" t="s">
        <v>134</v>
      </c>
      <c r="M5" s="47" t="s">
        <v>94</v>
      </c>
      <c r="N5" s="56" t="s">
        <v>76</v>
      </c>
      <c r="O5" s="63" t="s">
        <v>137</v>
      </c>
      <c r="P5" s="63" t="s">
        <v>116</v>
      </c>
    </row>
    <row r="6" spans="1:16" ht="25.5">
      <c r="A6" s="43">
        <v>46308</v>
      </c>
      <c r="B6" s="47" t="s">
        <v>28</v>
      </c>
      <c r="C6" s="47" t="s">
        <v>29</v>
      </c>
      <c r="D6" s="47">
        <v>1553162</v>
      </c>
      <c r="E6" s="47" t="s">
        <v>77</v>
      </c>
      <c r="F6" s="47" t="s">
        <v>141</v>
      </c>
      <c r="G6" s="47" t="s">
        <v>81</v>
      </c>
      <c r="H6" s="47" t="s">
        <v>118</v>
      </c>
      <c r="I6" s="47" t="s">
        <v>52</v>
      </c>
      <c r="J6" s="47" t="s">
        <v>53</v>
      </c>
      <c r="K6" s="47" t="s">
        <v>55</v>
      </c>
      <c r="L6" s="74"/>
      <c r="M6" s="47" t="s">
        <v>55</v>
      </c>
      <c r="N6" s="56" t="s">
        <v>34</v>
      </c>
      <c r="O6" s="63"/>
      <c r="P6" s="63"/>
    </row>
    <row r="7" spans="1:16" ht="25.5">
      <c r="A7" s="43">
        <v>46308</v>
      </c>
      <c r="B7" s="47" t="s">
        <v>59</v>
      </c>
      <c r="C7" s="47" t="s">
        <v>155</v>
      </c>
      <c r="D7" s="47">
        <v>2288601</v>
      </c>
      <c r="E7" s="47" t="s">
        <v>158</v>
      </c>
      <c r="F7" s="47" t="s">
        <v>160</v>
      </c>
      <c r="G7" s="47" t="s">
        <v>81</v>
      </c>
      <c r="H7" s="47" t="s">
        <v>118</v>
      </c>
      <c r="I7" s="47" t="s">
        <v>52</v>
      </c>
      <c r="J7" s="47" t="s">
        <v>53</v>
      </c>
      <c r="K7" s="47" t="s">
        <v>55</v>
      </c>
      <c r="L7" s="47" t="s">
        <v>166</v>
      </c>
      <c r="M7" s="47" t="s">
        <v>55</v>
      </c>
      <c r="N7" s="56" t="s">
        <v>34</v>
      </c>
      <c r="O7" s="63"/>
      <c r="P7" s="63"/>
    </row>
    <row r="8" spans="1:16" ht="38.25">
      <c r="A8" s="43">
        <v>46308</v>
      </c>
      <c r="B8" s="47" t="s">
        <v>173</v>
      </c>
      <c r="C8" s="47" t="s">
        <v>175</v>
      </c>
      <c r="D8" s="47">
        <v>2283731</v>
      </c>
      <c r="E8" s="47" t="s">
        <v>158</v>
      </c>
      <c r="F8" s="47" t="s">
        <v>177</v>
      </c>
      <c r="G8" s="47" t="s">
        <v>178</v>
      </c>
      <c r="H8" s="47" t="s">
        <v>118</v>
      </c>
      <c r="I8" s="47" t="s">
        <v>86</v>
      </c>
      <c r="J8" s="47" t="s">
        <v>90</v>
      </c>
      <c r="K8" s="47" t="s">
        <v>55</v>
      </c>
      <c r="L8" s="47" t="s">
        <v>181</v>
      </c>
      <c r="M8" s="47" t="s">
        <v>55</v>
      </c>
      <c r="N8" s="56" t="s">
        <v>34</v>
      </c>
      <c r="O8" s="63"/>
      <c r="P8" s="63"/>
    </row>
    <row r="9" spans="1:16" ht="38.25">
      <c r="A9" s="43">
        <v>46308</v>
      </c>
      <c r="B9" s="47" t="s">
        <v>119</v>
      </c>
      <c r="C9" s="47" t="s">
        <v>191</v>
      </c>
      <c r="D9" s="47">
        <v>2328164</v>
      </c>
      <c r="E9" s="47" t="s">
        <v>192</v>
      </c>
      <c r="F9" s="47" t="s">
        <v>193</v>
      </c>
      <c r="G9" s="47" t="s">
        <v>81</v>
      </c>
      <c r="H9" s="47" t="s">
        <v>83</v>
      </c>
      <c r="I9" s="47" t="s">
        <v>85</v>
      </c>
      <c r="J9" s="47" t="s">
        <v>87</v>
      </c>
      <c r="K9" s="47" t="s">
        <v>97</v>
      </c>
      <c r="L9" s="47" t="s">
        <v>197</v>
      </c>
      <c r="M9" s="47" t="s">
        <v>97</v>
      </c>
      <c r="N9" s="56" t="s">
        <v>34</v>
      </c>
      <c r="O9" s="63"/>
      <c r="P9" s="63"/>
    </row>
    <row r="10" spans="1:16" ht="25.5">
      <c r="A10" s="43">
        <v>46308</v>
      </c>
      <c r="B10" s="47" t="s">
        <v>119</v>
      </c>
      <c r="C10" s="47" t="s">
        <v>191</v>
      </c>
      <c r="D10" s="47">
        <v>2289838</v>
      </c>
      <c r="E10" s="47" t="s">
        <v>192</v>
      </c>
      <c r="F10" s="47" t="s">
        <v>202</v>
      </c>
      <c r="G10" s="47" t="s">
        <v>81</v>
      </c>
      <c r="H10" s="47" t="s">
        <v>118</v>
      </c>
      <c r="I10" s="47" t="s">
        <v>85</v>
      </c>
      <c r="J10" s="47" t="s">
        <v>87</v>
      </c>
      <c r="K10" s="47" t="s">
        <v>97</v>
      </c>
      <c r="L10" s="74"/>
      <c r="M10" s="47" t="s">
        <v>97</v>
      </c>
      <c r="N10" s="56" t="s">
        <v>34</v>
      </c>
      <c r="O10" s="63"/>
      <c r="P10" s="63"/>
    </row>
    <row r="11" spans="1:16" ht="38.25">
      <c r="A11" s="43">
        <v>46308</v>
      </c>
      <c r="B11" s="47" t="s">
        <v>119</v>
      </c>
      <c r="C11" s="47" t="s">
        <v>210</v>
      </c>
      <c r="D11" s="47">
        <v>2333427</v>
      </c>
      <c r="E11" s="47" t="s">
        <v>192</v>
      </c>
      <c r="F11" s="47" t="s">
        <v>193</v>
      </c>
      <c r="G11" s="47" t="s">
        <v>81</v>
      </c>
      <c r="H11" s="47" t="s">
        <v>83</v>
      </c>
      <c r="I11" s="47" t="s">
        <v>85</v>
      </c>
      <c r="J11" s="47" t="s">
        <v>87</v>
      </c>
      <c r="K11" s="47" t="s">
        <v>214</v>
      </c>
      <c r="L11" s="47" t="s">
        <v>215</v>
      </c>
      <c r="M11" s="47" t="s">
        <v>214</v>
      </c>
      <c r="N11" s="56" t="s">
        <v>34</v>
      </c>
      <c r="O11" s="63"/>
      <c r="P11" s="63"/>
    </row>
    <row r="12" spans="1:16" ht="25.5">
      <c r="A12" s="43">
        <v>46308</v>
      </c>
      <c r="B12" s="47" t="s">
        <v>100</v>
      </c>
      <c r="C12" s="47" t="s">
        <v>217</v>
      </c>
      <c r="D12" s="47">
        <v>2295353</v>
      </c>
      <c r="E12" s="47" t="s">
        <v>218</v>
      </c>
      <c r="F12" s="47" t="s">
        <v>219</v>
      </c>
      <c r="G12" s="47" t="s">
        <v>81</v>
      </c>
      <c r="H12" s="47" t="s">
        <v>118</v>
      </c>
      <c r="I12" s="47" t="s">
        <v>108</v>
      </c>
      <c r="J12" s="47" t="s">
        <v>53</v>
      </c>
      <c r="K12" s="47" t="s">
        <v>109</v>
      </c>
      <c r="L12" s="74"/>
      <c r="M12" s="47" t="s">
        <v>109</v>
      </c>
      <c r="N12" s="56" t="s">
        <v>34</v>
      </c>
      <c r="O12" s="63"/>
      <c r="P12" s="63"/>
    </row>
    <row r="13" spans="1:16" ht="25.5">
      <c r="A13" s="43">
        <v>46308</v>
      </c>
      <c r="B13" s="47" t="s">
        <v>59</v>
      </c>
      <c r="C13" s="47" t="s">
        <v>223</v>
      </c>
      <c r="D13" s="47">
        <v>2345598</v>
      </c>
      <c r="E13" s="47" t="s">
        <v>192</v>
      </c>
      <c r="F13" s="47" t="s">
        <v>226</v>
      </c>
      <c r="G13" s="47" t="s">
        <v>81</v>
      </c>
      <c r="H13" s="47" t="s">
        <v>118</v>
      </c>
      <c r="I13" s="47" t="s">
        <v>52</v>
      </c>
      <c r="J13" s="47" t="s">
        <v>53</v>
      </c>
      <c r="K13" s="47" t="s">
        <v>94</v>
      </c>
      <c r="L13" s="74"/>
      <c r="M13" s="47" t="s">
        <v>94</v>
      </c>
      <c r="N13" s="56" t="s">
        <v>34</v>
      </c>
      <c r="O13" s="63"/>
      <c r="P13" s="63"/>
    </row>
    <row r="14" spans="1:16" ht="25.5">
      <c r="A14" s="43">
        <v>46308</v>
      </c>
      <c r="B14" s="47" t="s">
        <v>59</v>
      </c>
      <c r="C14" s="47" t="s">
        <v>227</v>
      </c>
      <c r="D14" s="47">
        <v>2334099</v>
      </c>
      <c r="E14" s="47" t="s">
        <v>192</v>
      </c>
      <c r="F14" s="47" t="s">
        <v>226</v>
      </c>
      <c r="G14" s="47" t="s">
        <v>81</v>
      </c>
      <c r="H14" s="47" t="s">
        <v>118</v>
      </c>
      <c r="I14" s="47" t="s">
        <v>52</v>
      </c>
      <c r="J14" s="47" t="s">
        <v>53</v>
      </c>
      <c r="K14" s="47" t="s">
        <v>94</v>
      </c>
      <c r="L14" s="74"/>
      <c r="M14" s="47" t="s">
        <v>94</v>
      </c>
      <c r="N14" s="56" t="s">
        <v>34</v>
      </c>
      <c r="O14" s="63"/>
      <c r="P14" s="63"/>
    </row>
    <row r="15" spans="1:16" ht="76.5">
      <c r="A15" s="43">
        <v>46308</v>
      </c>
      <c r="B15" s="47" t="s">
        <v>173</v>
      </c>
      <c r="C15" s="47" t="s">
        <v>232</v>
      </c>
      <c r="D15" s="47">
        <v>2294091</v>
      </c>
      <c r="E15" s="47" t="s">
        <v>158</v>
      </c>
      <c r="F15" s="47" t="s">
        <v>234</v>
      </c>
      <c r="G15" s="47" t="s">
        <v>235</v>
      </c>
      <c r="H15" s="47" t="s">
        <v>118</v>
      </c>
      <c r="I15" s="47" t="s">
        <v>86</v>
      </c>
      <c r="J15" s="47" t="s">
        <v>90</v>
      </c>
      <c r="K15" s="47" t="s">
        <v>94</v>
      </c>
      <c r="L15" s="47" t="s">
        <v>236</v>
      </c>
      <c r="M15" s="47" t="s">
        <v>94</v>
      </c>
      <c r="N15" s="56" t="s">
        <v>34</v>
      </c>
      <c r="O15" s="63"/>
      <c r="P15" s="63"/>
    </row>
    <row r="16" spans="1:16" ht="25.5">
      <c r="A16" s="43">
        <v>46308</v>
      </c>
      <c r="B16" s="47" t="s">
        <v>59</v>
      </c>
      <c r="C16" s="47" t="s">
        <v>223</v>
      </c>
      <c r="D16" s="47">
        <v>1746609</v>
      </c>
      <c r="E16" s="47" t="s">
        <v>239</v>
      </c>
      <c r="F16" s="47" t="s">
        <v>240</v>
      </c>
      <c r="G16" s="47" t="s">
        <v>81</v>
      </c>
      <c r="H16" s="47" t="s">
        <v>83</v>
      </c>
      <c r="I16" s="47" t="s">
        <v>52</v>
      </c>
      <c r="J16" s="47" t="s">
        <v>53</v>
      </c>
      <c r="K16" s="47" t="s">
        <v>94</v>
      </c>
      <c r="L16" s="74"/>
      <c r="M16" s="47" t="s">
        <v>94</v>
      </c>
      <c r="N16" s="56" t="s">
        <v>34</v>
      </c>
      <c r="O16" s="63"/>
      <c r="P16" s="63"/>
    </row>
    <row r="17" spans="1:16" ht="25.5">
      <c r="A17" s="43">
        <v>46308</v>
      </c>
      <c r="B17" s="47" t="s">
        <v>100</v>
      </c>
      <c r="C17" s="47" t="s">
        <v>124</v>
      </c>
      <c r="D17" s="47">
        <v>2264969</v>
      </c>
      <c r="E17" s="47" t="s">
        <v>239</v>
      </c>
      <c r="F17" s="47" t="s">
        <v>245</v>
      </c>
      <c r="G17" s="47" t="s">
        <v>81</v>
      </c>
      <c r="H17" s="47" t="s">
        <v>131</v>
      </c>
      <c r="I17" s="47" t="s">
        <v>108</v>
      </c>
      <c r="J17" s="47" t="s">
        <v>53</v>
      </c>
      <c r="K17" s="47" t="s">
        <v>111</v>
      </c>
      <c r="L17" s="74"/>
      <c r="M17" s="47" t="s">
        <v>111</v>
      </c>
      <c r="N17" s="56" t="s">
        <v>34</v>
      </c>
      <c r="O17" s="63"/>
      <c r="P17" s="63"/>
    </row>
    <row r="18" spans="1:16" ht="25.5">
      <c r="A18" s="43">
        <v>46308</v>
      </c>
      <c r="B18" s="47" t="s">
        <v>68</v>
      </c>
      <c r="C18" s="47" t="s">
        <v>249</v>
      </c>
      <c r="D18" s="47">
        <v>2315243</v>
      </c>
      <c r="E18" s="47" t="s">
        <v>77</v>
      </c>
      <c r="F18" s="47" t="s">
        <v>79</v>
      </c>
      <c r="G18" s="47" t="s">
        <v>81</v>
      </c>
      <c r="H18" s="47" t="s">
        <v>83</v>
      </c>
      <c r="I18" s="47" t="s">
        <v>85</v>
      </c>
      <c r="J18" s="47" t="s">
        <v>87</v>
      </c>
      <c r="K18" s="47" t="s">
        <v>111</v>
      </c>
      <c r="L18" s="47" t="s">
        <v>91</v>
      </c>
      <c r="M18" s="47" t="s">
        <v>111</v>
      </c>
      <c r="N18" s="56" t="s">
        <v>34</v>
      </c>
      <c r="O18" s="63"/>
      <c r="P18" s="63"/>
    </row>
    <row r="19" spans="1:16" ht="25.5">
      <c r="A19" s="43">
        <v>46308</v>
      </c>
      <c r="B19" s="47" t="s">
        <v>70</v>
      </c>
      <c r="C19" s="47" t="s">
        <v>253</v>
      </c>
      <c r="D19" s="47">
        <v>2349136</v>
      </c>
      <c r="E19" s="47" t="s">
        <v>158</v>
      </c>
      <c r="F19" s="47" t="s">
        <v>255</v>
      </c>
      <c r="G19" s="47" t="s">
        <v>81</v>
      </c>
      <c r="H19" s="47" t="s">
        <v>83</v>
      </c>
      <c r="I19" s="47" t="s">
        <v>86</v>
      </c>
      <c r="J19" s="47" t="s">
        <v>90</v>
      </c>
      <c r="K19" s="47" t="s">
        <v>111</v>
      </c>
      <c r="L19" s="74"/>
      <c r="M19" s="47" t="s">
        <v>111</v>
      </c>
      <c r="N19" s="56" t="s">
        <v>34</v>
      </c>
      <c r="O19" s="120"/>
      <c r="P19" s="63"/>
    </row>
    <row r="20" spans="1:16" ht="25.5">
      <c r="A20" s="43">
        <v>46308</v>
      </c>
      <c r="B20" s="47" t="s">
        <v>70</v>
      </c>
      <c r="C20" s="47" t="s">
        <v>253</v>
      </c>
      <c r="D20" s="47">
        <v>2349136</v>
      </c>
      <c r="E20" s="47" t="s">
        <v>158</v>
      </c>
      <c r="F20" s="47" t="s">
        <v>256</v>
      </c>
      <c r="G20" s="47" t="s">
        <v>81</v>
      </c>
      <c r="H20" s="47" t="s">
        <v>259</v>
      </c>
      <c r="I20" s="47" t="s">
        <v>86</v>
      </c>
      <c r="J20" s="47" t="s">
        <v>90</v>
      </c>
      <c r="K20" s="47" t="s">
        <v>111</v>
      </c>
      <c r="L20" s="74"/>
      <c r="M20" s="47" t="s">
        <v>111</v>
      </c>
      <c r="N20" s="56" t="s">
        <v>34</v>
      </c>
      <c r="O20" s="63"/>
      <c r="P20" s="121"/>
    </row>
    <row r="21" spans="1:16" ht="60">
      <c r="A21" s="43">
        <v>46308</v>
      </c>
      <c r="B21" s="122"/>
      <c r="C21" s="123" t="s">
        <v>264</v>
      </c>
      <c r="D21" s="124">
        <v>2329645</v>
      </c>
      <c r="E21" s="125" t="s">
        <v>158</v>
      </c>
      <c r="F21" s="125" t="s">
        <v>267</v>
      </c>
      <c r="G21" s="125" t="s">
        <v>81</v>
      </c>
      <c r="H21" s="126" t="s">
        <v>131</v>
      </c>
      <c r="I21" s="126" t="s">
        <v>86</v>
      </c>
      <c r="J21" s="126" t="s">
        <v>90</v>
      </c>
      <c r="K21" s="126" t="s">
        <v>94</v>
      </c>
      <c r="L21" s="126" t="s">
        <v>268</v>
      </c>
      <c r="M21" s="47" t="s">
        <v>94</v>
      </c>
      <c r="N21" s="56" t="s">
        <v>76</v>
      </c>
      <c r="O21" s="63" t="s">
        <v>271</v>
      </c>
      <c r="P21" s="63" t="s">
        <v>116</v>
      </c>
    </row>
    <row r="22" spans="1:16" ht="24">
      <c r="A22" s="43">
        <v>46308</v>
      </c>
      <c r="B22" s="127" t="s">
        <v>59</v>
      </c>
      <c r="C22" s="128" t="s">
        <v>272</v>
      </c>
      <c r="D22" s="128">
        <v>2315756</v>
      </c>
      <c r="E22" s="128" t="s">
        <v>239</v>
      </c>
      <c r="F22" s="128" t="s">
        <v>275</v>
      </c>
      <c r="G22" s="128" t="s">
        <v>81</v>
      </c>
      <c r="H22" s="128" t="s">
        <v>118</v>
      </c>
      <c r="I22" s="128" t="s">
        <v>52</v>
      </c>
      <c r="J22" s="128" t="s">
        <v>53</v>
      </c>
      <c r="K22" s="128" t="s">
        <v>97</v>
      </c>
      <c r="L22" s="129"/>
      <c r="M22" s="47" t="s">
        <v>97</v>
      </c>
      <c r="N22" s="56" t="s">
        <v>76</v>
      </c>
      <c r="O22" s="130" t="s">
        <v>278</v>
      </c>
      <c r="P22" s="63"/>
    </row>
    <row r="23" spans="1:16" ht="12.75">
      <c r="A23" s="131"/>
      <c r="B23" s="101"/>
      <c r="C23" s="101"/>
      <c r="D23" s="132"/>
      <c r="E23" s="132"/>
      <c r="F23" s="132"/>
      <c r="G23" s="132"/>
      <c r="H23" s="133"/>
      <c r="I23" s="133"/>
      <c r="J23" s="133"/>
      <c r="K23" s="133"/>
      <c r="L23" s="134"/>
      <c r="M23" s="47"/>
      <c r="N23" s="56"/>
      <c r="O23" s="63"/>
      <c r="P23" s="63"/>
    </row>
    <row r="24" spans="1:16" ht="12.75">
      <c r="A24" s="131"/>
      <c r="B24" s="101"/>
      <c r="C24" s="101"/>
      <c r="D24" s="135"/>
      <c r="E24" s="135"/>
      <c r="F24" s="135"/>
      <c r="G24" s="135"/>
      <c r="H24" s="135"/>
      <c r="I24" s="135"/>
      <c r="J24" s="135"/>
      <c r="K24" s="135"/>
      <c r="L24" s="136"/>
      <c r="M24" s="47"/>
      <c r="N24" s="56"/>
      <c r="O24" s="63"/>
      <c r="P24" s="63"/>
    </row>
    <row r="25" spans="1:16" ht="12.75">
      <c r="A25" s="131"/>
      <c r="B25" s="101"/>
      <c r="C25" s="101"/>
      <c r="D25" s="132"/>
      <c r="E25" s="132"/>
      <c r="F25" s="132"/>
      <c r="G25" s="132"/>
      <c r="H25" s="133"/>
      <c r="I25" s="133"/>
      <c r="J25" s="133"/>
      <c r="K25" s="133"/>
      <c r="L25" s="134"/>
      <c r="M25" s="47"/>
      <c r="N25" s="56"/>
      <c r="O25" s="63"/>
      <c r="P25" s="63"/>
    </row>
    <row r="26" spans="1:16" ht="12.75">
      <c r="A26" s="131"/>
      <c r="B26" s="101"/>
      <c r="C26" s="101"/>
      <c r="D26" s="135"/>
      <c r="E26" s="135"/>
      <c r="F26" s="135"/>
      <c r="G26" s="135"/>
      <c r="H26" s="135"/>
      <c r="I26" s="135"/>
      <c r="J26" s="135"/>
      <c r="K26" s="135"/>
      <c r="L26" s="136"/>
      <c r="M26" s="47"/>
      <c r="N26" s="56"/>
      <c r="O26" s="47"/>
      <c r="P26" s="63"/>
    </row>
    <row r="27" spans="1:16" ht="12.75">
      <c r="A27" s="131"/>
      <c r="B27" s="101"/>
      <c r="C27" s="101"/>
      <c r="D27" s="132"/>
      <c r="E27" s="132"/>
      <c r="F27" s="132"/>
      <c r="G27" s="132"/>
      <c r="H27" s="133"/>
      <c r="I27" s="133"/>
      <c r="J27" s="133"/>
      <c r="K27" s="133"/>
      <c r="L27" s="134"/>
      <c r="M27" s="47"/>
      <c r="N27" s="56"/>
      <c r="O27" s="63"/>
      <c r="P27" s="63"/>
    </row>
    <row r="28" spans="1:16" ht="12.75">
      <c r="A28" s="131"/>
      <c r="B28" s="101"/>
      <c r="C28" s="101"/>
      <c r="D28" s="135"/>
      <c r="E28" s="135"/>
      <c r="F28" s="135"/>
      <c r="G28" s="135"/>
      <c r="H28" s="135"/>
      <c r="I28" s="135"/>
      <c r="J28" s="135"/>
      <c r="K28" s="135"/>
      <c r="L28" s="135"/>
      <c r="M28" s="47"/>
      <c r="N28" s="56"/>
      <c r="O28" s="63"/>
      <c r="P28" s="63"/>
    </row>
    <row r="29" spans="1:16" ht="12.75">
      <c r="A29" s="131"/>
      <c r="B29" s="101"/>
      <c r="C29" s="101"/>
      <c r="D29" s="132"/>
      <c r="E29" s="132"/>
      <c r="F29" s="132"/>
      <c r="G29" s="132"/>
      <c r="H29" s="133"/>
      <c r="I29" s="133"/>
      <c r="J29" s="133"/>
      <c r="K29" s="133"/>
      <c r="L29" s="134"/>
      <c r="M29" s="47"/>
      <c r="N29" s="56"/>
      <c r="O29" s="63"/>
      <c r="P29" s="63"/>
    </row>
    <row r="30" spans="1:16" ht="12.75">
      <c r="A30" s="131"/>
      <c r="B30" s="101"/>
      <c r="C30" s="101"/>
      <c r="D30" s="143"/>
      <c r="E30" s="135"/>
      <c r="F30" s="135"/>
      <c r="G30" s="143"/>
      <c r="H30" s="144"/>
      <c r="I30" s="135"/>
      <c r="J30" s="135"/>
      <c r="K30" s="135"/>
      <c r="L30" s="135"/>
      <c r="M30" s="47"/>
      <c r="N30" s="56"/>
      <c r="O30" s="63"/>
      <c r="P30" s="63"/>
    </row>
    <row r="31" spans="1:16" ht="12.75">
      <c r="A31" s="131"/>
      <c r="B31" s="101"/>
      <c r="C31" s="101"/>
      <c r="D31" s="132"/>
      <c r="E31" s="132"/>
      <c r="F31" s="132"/>
      <c r="G31" s="132"/>
      <c r="H31" s="133"/>
      <c r="I31" s="133"/>
      <c r="J31" s="133"/>
      <c r="K31" s="133"/>
      <c r="L31" s="134"/>
      <c r="M31" s="47"/>
      <c r="N31" s="56"/>
      <c r="O31" s="63"/>
      <c r="P31" s="63"/>
    </row>
    <row r="32" spans="1:16" ht="12.75">
      <c r="A32" s="131"/>
      <c r="B32" s="101"/>
      <c r="C32" s="101"/>
      <c r="D32" s="135"/>
      <c r="E32" s="135"/>
      <c r="F32" s="135"/>
      <c r="G32" s="135"/>
      <c r="H32" s="135"/>
      <c r="I32" s="135"/>
      <c r="J32" s="135"/>
      <c r="K32" s="135"/>
      <c r="L32" s="136"/>
      <c r="M32" s="47"/>
      <c r="N32" s="56"/>
      <c r="O32" s="63"/>
      <c r="P32" s="63"/>
    </row>
    <row r="33" spans="1:16" ht="12.75">
      <c r="A33" s="131"/>
      <c r="B33" s="101"/>
      <c r="C33" s="101"/>
      <c r="D33" s="145"/>
      <c r="E33" s="132"/>
      <c r="F33" s="132"/>
      <c r="G33" s="132"/>
      <c r="H33" s="133"/>
      <c r="I33" s="133"/>
      <c r="J33" s="133"/>
      <c r="K33" s="133"/>
      <c r="L33" s="133"/>
      <c r="M33" s="47"/>
      <c r="N33" s="56"/>
      <c r="O33" s="63"/>
      <c r="P33" s="121"/>
    </row>
    <row r="34" spans="1:16" ht="12.75">
      <c r="A34" s="131"/>
      <c r="B34" s="101"/>
      <c r="C34" s="101"/>
      <c r="D34" s="146"/>
      <c r="E34" s="135"/>
      <c r="F34" s="135"/>
      <c r="G34" s="135"/>
      <c r="H34" s="135"/>
      <c r="I34" s="135"/>
      <c r="J34" s="135"/>
      <c r="K34" s="135"/>
      <c r="L34" s="136"/>
      <c r="M34" s="47"/>
      <c r="N34" s="56"/>
      <c r="O34" s="63"/>
      <c r="P34" s="63"/>
    </row>
    <row r="35" spans="1:16" ht="12.75">
      <c r="A35" s="131"/>
      <c r="B35" s="101"/>
      <c r="C35" s="101"/>
      <c r="D35" s="132"/>
      <c r="E35" s="132"/>
      <c r="F35" s="132"/>
      <c r="G35" s="132"/>
      <c r="H35" s="133"/>
      <c r="I35" s="133"/>
      <c r="J35" s="133"/>
      <c r="K35" s="133"/>
      <c r="L35" s="133"/>
      <c r="M35" s="128"/>
      <c r="N35" s="56"/>
      <c r="O35" s="147"/>
      <c r="P35" s="147"/>
    </row>
    <row r="36" spans="1:16" ht="12.75">
      <c r="A36" s="131"/>
      <c r="B36" s="101"/>
      <c r="C36" s="101"/>
      <c r="D36" s="135"/>
      <c r="E36" s="135"/>
      <c r="F36" s="135"/>
      <c r="G36" s="135"/>
      <c r="H36" s="135"/>
      <c r="I36" s="135"/>
      <c r="J36" s="135"/>
      <c r="K36" s="135"/>
      <c r="L36" s="135"/>
      <c r="M36" s="128"/>
      <c r="N36" s="56"/>
      <c r="O36" s="63"/>
      <c r="P36" s="148"/>
    </row>
    <row r="37" spans="1:16" ht="12.75">
      <c r="A37" s="149"/>
      <c r="B37" s="150"/>
      <c r="C37" s="150"/>
      <c r="D37" s="150"/>
      <c r="E37" s="150"/>
      <c r="F37" s="150"/>
      <c r="G37" s="150"/>
      <c r="H37" s="150"/>
      <c r="I37" s="150"/>
      <c r="J37" s="150"/>
      <c r="K37" s="150"/>
      <c r="L37" s="150"/>
      <c r="M37" s="128"/>
      <c r="N37" s="56"/>
      <c r="O37" s="63"/>
      <c r="P37" s="148"/>
    </row>
    <row r="38" spans="1:16" ht="12.75">
      <c r="A38" s="149"/>
      <c r="B38" s="150"/>
      <c r="C38" s="150"/>
      <c r="D38" s="150"/>
      <c r="E38" s="150"/>
      <c r="F38" s="150"/>
      <c r="G38" s="150"/>
      <c r="H38" s="150"/>
      <c r="I38" s="150"/>
      <c r="J38" s="150"/>
      <c r="K38" s="150"/>
      <c r="L38" s="151"/>
      <c r="M38" s="128"/>
      <c r="N38" s="56"/>
      <c r="O38" s="63"/>
      <c r="P38" s="148"/>
    </row>
    <row r="39" spans="1:16" ht="12.75">
      <c r="A39" s="149"/>
      <c r="B39" s="150"/>
      <c r="C39" s="150"/>
      <c r="D39" s="150"/>
      <c r="E39" s="150"/>
      <c r="F39" s="150"/>
      <c r="G39" s="150"/>
      <c r="H39" s="150"/>
      <c r="I39" s="150"/>
      <c r="J39" s="150"/>
      <c r="K39" s="150"/>
      <c r="L39" s="151"/>
      <c r="M39" s="128"/>
      <c r="N39" s="56"/>
      <c r="O39" s="63"/>
      <c r="P39" s="148"/>
    </row>
    <row r="40" spans="1:16" ht="12.75">
      <c r="A40" s="149"/>
      <c r="B40" s="150"/>
      <c r="C40" s="150"/>
      <c r="D40" s="150"/>
      <c r="E40" s="150"/>
      <c r="F40" s="150"/>
      <c r="G40" s="150"/>
      <c r="H40" s="150"/>
      <c r="I40" s="150"/>
      <c r="J40" s="150"/>
      <c r="K40" s="150"/>
      <c r="L40" s="151"/>
      <c r="M40" s="152"/>
      <c r="N40" s="56"/>
      <c r="O40" s="63"/>
      <c r="P40" s="148"/>
    </row>
    <row r="41" spans="1:16" ht="12.75">
      <c r="A41" s="149"/>
      <c r="B41" s="150"/>
      <c r="C41" s="150"/>
      <c r="D41" s="150"/>
      <c r="E41" s="150"/>
      <c r="F41" s="150"/>
      <c r="G41" s="150"/>
      <c r="H41" s="150"/>
      <c r="I41" s="150"/>
      <c r="J41" s="150"/>
      <c r="K41" s="150"/>
      <c r="L41" s="151"/>
      <c r="M41" s="152"/>
      <c r="N41" s="56"/>
      <c r="O41" s="63"/>
      <c r="P41" s="148"/>
    </row>
    <row r="42" spans="1:16" ht="12.75">
      <c r="A42" s="149"/>
      <c r="B42" s="150"/>
      <c r="C42" s="150"/>
      <c r="D42" s="150"/>
      <c r="E42" s="150"/>
      <c r="F42" s="150"/>
      <c r="G42" s="150"/>
      <c r="H42" s="150"/>
      <c r="I42" s="150"/>
      <c r="J42" s="150"/>
      <c r="K42" s="150"/>
      <c r="L42" s="151"/>
      <c r="M42" s="152"/>
      <c r="N42" s="56"/>
      <c r="O42" s="63"/>
      <c r="P42" s="148"/>
    </row>
    <row r="43" spans="1:16" ht="12.75">
      <c r="A43" s="149"/>
      <c r="B43" s="150"/>
      <c r="C43" s="150"/>
      <c r="D43" s="150"/>
      <c r="E43" s="150"/>
      <c r="F43" s="150"/>
      <c r="G43" s="150"/>
      <c r="H43" s="150"/>
      <c r="I43" s="150"/>
      <c r="J43" s="150"/>
      <c r="K43" s="150"/>
      <c r="L43" s="151"/>
      <c r="M43" s="152"/>
      <c r="N43" s="56"/>
      <c r="O43" s="63"/>
      <c r="P43" s="148"/>
    </row>
    <row r="44" spans="1:16" ht="12.75">
      <c r="A44" s="149"/>
      <c r="B44" s="150"/>
      <c r="C44" s="150"/>
      <c r="D44" s="150"/>
      <c r="E44" s="150"/>
      <c r="F44" s="150"/>
      <c r="G44" s="150"/>
      <c r="H44" s="150"/>
      <c r="I44" s="150"/>
      <c r="J44" s="150"/>
      <c r="K44" s="150"/>
      <c r="L44" s="151"/>
      <c r="M44" s="152"/>
      <c r="N44" s="56"/>
      <c r="O44" s="63"/>
      <c r="P44" s="148"/>
    </row>
    <row r="45" spans="1:16" ht="12.75">
      <c r="A45" s="149"/>
      <c r="B45" s="150"/>
      <c r="C45" s="150"/>
      <c r="D45" s="150"/>
      <c r="E45" s="150"/>
      <c r="F45" s="150"/>
      <c r="G45" s="150"/>
      <c r="H45" s="150"/>
      <c r="I45" s="150"/>
      <c r="J45" s="150"/>
      <c r="K45" s="150"/>
      <c r="L45" s="151"/>
      <c r="M45" s="152"/>
      <c r="N45" s="56"/>
      <c r="O45" s="63"/>
      <c r="P45" s="148"/>
    </row>
    <row r="46" spans="1:16" ht="12.75">
      <c r="A46" s="149"/>
      <c r="B46" s="150"/>
      <c r="C46" s="150"/>
      <c r="D46" s="150"/>
      <c r="E46" s="150"/>
      <c r="F46" s="150"/>
      <c r="G46" s="150"/>
      <c r="H46" s="150"/>
      <c r="I46" s="150"/>
      <c r="J46" s="150"/>
      <c r="K46" s="150"/>
      <c r="L46" s="151"/>
      <c r="M46" s="152"/>
      <c r="N46" s="56"/>
      <c r="O46" s="63"/>
      <c r="P46" s="148"/>
    </row>
    <row r="47" spans="1:16" ht="12.75">
      <c r="A47" s="153"/>
      <c r="B47" s="154"/>
      <c r="C47" s="154"/>
      <c r="D47" s="155"/>
      <c r="E47" s="155"/>
      <c r="F47" s="155"/>
      <c r="G47" s="155"/>
      <c r="H47" s="156"/>
      <c r="I47" s="156"/>
      <c r="J47" s="156"/>
      <c r="K47" s="156"/>
      <c r="L47" s="156"/>
      <c r="M47" s="156"/>
      <c r="N47" s="157"/>
      <c r="O47" s="158"/>
      <c r="P47" s="84"/>
    </row>
    <row r="48" spans="1:16" ht="12.75">
      <c r="A48" s="153"/>
      <c r="B48" s="154"/>
      <c r="C48" s="154"/>
      <c r="D48" s="159"/>
      <c r="E48" s="159"/>
      <c r="F48" s="159"/>
      <c r="G48" s="159"/>
      <c r="H48" s="159"/>
      <c r="I48" s="159"/>
      <c r="J48" s="159"/>
      <c r="K48" s="159"/>
      <c r="L48" s="159"/>
      <c r="M48" s="159"/>
      <c r="N48" s="157"/>
      <c r="O48" s="158"/>
      <c r="P48" s="84"/>
    </row>
    <row r="49" spans="1:16" ht="12.75">
      <c r="A49" s="153"/>
      <c r="B49" s="154"/>
      <c r="C49" s="154"/>
      <c r="D49" s="155"/>
      <c r="E49" s="155"/>
      <c r="F49" s="155"/>
      <c r="G49" s="155"/>
      <c r="H49" s="156"/>
      <c r="I49" s="156"/>
      <c r="J49" s="156"/>
      <c r="K49" s="156"/>
      <c r="L49" s="156"/>
      <c r="M49" s="156"/>
      <c r="N49" s="157"/>
      <c r="O49" s="158"/>
      <c r="P49" s="84"/>
    </row>
    <row r="50" spans="1:16" ht="12.75">
      <c r="A50" s="153"/>
      <c r="B50" s="154"/>
      <c r="C50" s="154"/>
      <c r="D50" s="159"/>
      <c r="E50" s="159"/>
      <c r="F50" s="159"/>
      <c r="G50" s="159"/>
      <c r="H50" s="159"/>
      <c r="I50" s="159"/>
      <c r="J50" s="159"/>
      <c r="K50" s="159"/>
      <c r="L50" s="159"/>
      <c r="M50" s="159"/>
      <c r="N50" s="157"/>
      <c r="O50" s="158"/>
      <c r="P50" s="84"/>
    </row>
    <row r="51" spans="1:16" ht="12.75">
      <c r="A51" s="153"/>
      <c r="B51" s="154"/>
      <c r="C51" s="154"/>
      <c r="D51" s="155"/>
      <c r="E51" s="155"/>
      <c r="F51" s="155"/>
      <c r="G51" s="155"/>
      <c r="H51" s="156"/>
      <c r="I51" s="156"/>
      <c r="J51" s="156"/>
      <c r="K51" s="156"/>
      <c r="L51" s="156"/>
      <c r="M51" s="156"/>
      <c r="N51" s="157"/>
      <c r="O51" s="158"/>
      <c r="P51" s="84"/>
    </row>
    <row r="52" spans="1:16" ht="12.75">
      <c r="A52" s="153"/>
      <c r="B52" s="154"/>
      <c r="C52" s="154"/>
      <c r="D52" s="159"/>
      <c r="E52" s="159"/>
      <c r="F52" s="159"/>
      <c r="G52" s="159"/>
      <c r="H52" s="159"/>
      <c r="I52" s="159"/>
      <c r="J52" s="159"/>
      <c r="K52" s="159"/>
      <c r="L52" s="159"/>
      <c r="M52" s="159"/>
      <c r="N52" s="157"/>
      <c r="O52" s="158"/>
      <c r="P52" s="84"/>
    </row>
    <row r="53" spans="1:16" ht="12.75">
      <c r="A53" s="153"/>
      <c r="B53" s="154"/>
      <c r="C53" s="154"/>
      <c r="D53" s="155"/>
      <c r="E53" s="155"/>
      <c r="F53" s="155"/>
      <c r="G53" s="155"/>
      <c r="H53" s="156"/>
      <c r="I53" s="156"/>
      <c r="J53" s="156"/>
      <c r="K53" s="156"/>
      <c r="L53" s="156"/>
      <c r="M53" s="156"/>
      <c r="N53" s="157"/>
      <c r="O53" s="158"/>
      <c r="P53" s="84"/>
    </row>
    <row r="54" spans="1:16" ht="12.75">
      <c r="A54" s="153"/>
      <c r="B54" s="154"/>
      <c r="C54" s="154"/>
      <c r="D54" s="159"/>
      <c r="E54" s="159"/>
      <c r="F54" s="159"/>
      <c r="G54" s="159"/>
      <c r="H54" s="159"/>
      <c r="I54" s="159"/>
      <c r="J54" s="159"/>
      <c r="K54" s="159"/>
      <c r="L54" s="159"/>
      <c r="M54" s="159"/>
      <c r="N54" s="157"/>
      <c r="O54" s="158"/>
      <c r="P54" s="84"/>
    </row>
    <row r="55" spans="1:16" ht="12.75">
      <c r="A55" s="153"/>
      <c r="B55" s="154"/>
      <c r="C55" s="154"/>
      <c r="D55" s="155"/>
      <c r="E55" s="155"/>
      <c r="F55" s="155"/>
      <c r="G55" s="155"/>
      <c r="H55" s="156"/>
      <c r="I55" s="156"/>
      <c r="J55" s="156"/>
      <c r="K55" s="156"/>
      <c r="L55" s="156"/>
      <c r="M55" s="156"/>
      <c r="N55" s="157"/>
      <c r="O55" s="158"/>
      <c r="P55" s="84"/>
    </row>
    <row r="56" spans="1:16" ht="12.75">
      <c r="A56" s="153"/>
      <c r="B56" s="154"/>
      <c r="C56" s="154"/>
      <c r="D56" s="159"/>
      <c r="E56" s="159"/>
      <c r="F56" s="159"/>
      <c r="G56" s="159"/>
      <c r="H56" s="159"/>
      <c r="I56" s="159"/>
      <c r="J56" s="159"/>
      <c r="K56" s="159"/>
      <c r="L56" s="159"/>
      <c r="M56" s="159"/>
      <c r="N56" s="157"/>
      <c r="O56" s="158"/>
      <c r="P56" s="84"/>
    </row>
    <row r="57" spans="1:16" ht="12.75">
      <c r="A57" s="153"/>
      <c r="B57" s="154"/>
      <c r="C57" s="154"/>
      <c r="D57" s="155"/>
      <c r="E57" s="155"/>
      <c r="F57" s="155"/>
      <c r="G57" s="155"/>
      <c r="H57" s="156"/>
      <c r="I57" s="156"/>
      <c r="J57" s="156"/>
      <c r="K57" s="156"/>
      <c r="L57" s="156"/>
      <c r="M57" s="156"/>
      <c r="N57" s="157"/>
      <c r="O57" s="158"/>
      <c r="P57" s="84"/>
    </row>
    <row r="58" spans="1:16" ht="12.75">
      <c r="A58" s="153"/>
      <c r="B58" s="154"/>
      <c r="C58" s="154"/>
      <c r="D58" s="159"/>
      <c r="E58" s="159"/>
      <c r="F58" s="159"/>
      <c r="G58" s="159"/>
      <c r="H58" s="159"/>
      <c r="I58" s="159"/>
      <c r="J58" s="159"/>
      <c r="K58" s="159"/>
      <c r="L58" s="159"/>
      <c r="M58" s="159"/>
      <c r="N58" s="157"/>
      <c r="O58" s="158"/>
      <c r="P58" s="84"/>
    </row>
    <row r="59" spans="1:16" ht="12.75">
      <c r="A59" s="153"/>
      <c r="B59" s="154"/>
      <c r="C59" s="154"/>
      <c r="D59" s="155"/>
      <c r="E59" s="155"/>
      <c r="F59" s="155"/>
      <c r="G59" s="155"/>
      <c r="H59" s="156"/>
      <c r="I59" s="156"/>
      <c r="J59" s="156"/>
      <c r="K59" s="156"/>
      <c r="L59" s="156"/>
      <c r="M59" s="156"/>
      <c r="N59" s="157"/>
      <c r="O59" s="158"/>
      <c r="P59" s="84"/>
    </row>
    <row r="60" spans="1:16" ht="12.75">
      <c r="A60" s="153"/>
      <c r="B60" s="154"/>
      <c r="C60" s="154"/>
      <c r="D60" s="159"/>
      <c r="E60" s="159"/>
      <c r="F60" s="159"/>
      <c r="G60" s="159"/>
      <c r="H60" s="159"/>
      <c r="I60" s="159"/>
      <c r="J60" s="159"/>
      <c r="K60" s="159"/>
      <c r="L60" s="159"/>
      <c r="M60" s="159"/>
      <c r="N60" s="157"/>
      <c r="O60" s="158"/>
      <c r="P60" s="84"/>
    </row>
    <row r="61" spans="1:16" ht="12.75">
      <c r="A61" s="153"/>
      <c r="B61" s="154"/>
      <c r="C61" s="154"/>
      <c r="D61" s="155"/>
      <c r="E61" s="155"/>
      <c r="F61" s="155"/>
      <c r="G61" s="155"/>
      <c r="H61" s="156"/>
      <c r="I61" s="156"/>
      <c r="J61" s="156"/>
      <c r="K61" s="156"/>
      <c r="L61" s="156"/>
      <c r="M61" s="156"/>
      <c r="N61" s="157"/>
      <c r="O61" s="158"/>
      <c r="P61" s="84"/>
    </row>
    <row r="62" spans="1:16" ht="12.75">
      <c r="A62" s="153"/>
      <c r="B62" s="154"/>
      <c r="C62" s="154"/>
      <c r="D62" s="159"/>
      <c r="E62" s="159"/>
      <c r="F62" s="159"/>
      <c r="G62" s="159"/>
      <c r="H62" s="159"/>
      <c r="I62" s="159"/>
      <c r="J62" s="159"/>
      <c r="K62" s="159"/>
      <c r="L62" s="159"/>
      <c r="M62" s="159"/>
      <c r="N62" s="157"/>
      <c r="O62" s="158"/>
      <c r="P62" s="84"/>
    </row>
    <row r="63" spans="1:16" ht="12.75">
      <c r="A63" s="153"/>
      <c r="B63" s="154"/>
      <c r="C63" s="154"/>
      <c r="D63" s="155"/>
      <c r="E63" s="155"/>
      <c r="F63" s="155"/>
      <c r="G63" s="155"/>
      <c r="H63" s="156"/>
      <c r="I63" s="156"/>
      <c r="J63" s="156"/>
      <c r="K63" s="156"/>
      <c r="L63" s="156"/>
      <c r="M63" s="156"/>
      <c r="N63" s="157"/>
      <c r="O63" s="158"/>
      <c r="P63" s="84"/>
    </row>
    <row r="64" spans="1:16" ht="12.75">
      <c r="A64" s="153"/>
      <c r="B64" s="154"/>
      <c r="C64" s="154"/>
      <c r="D64" s="159"/>
      <c r="E64" s="159"/>
      <c r="F64" s="159"/>
      <c r="G64" s="159"/>
      <c r="H64" s="159"/>
      <c r="I64" s="159"/>
      <c r="J64" s="159"/>
      <c r="K64" s="159"/>
      <c r="L64" s="159"/>
      <c r="M64" s="159"/>
      <c r="N64" s="157"/>
      <c r="O64" s="158"/>
      <c r="P64" s="84"/>
    </row>
    <row r="65" spans="1:16" ht="12.75">
      <c r="A65" s="153"/>
      <c r="B65" s="154"/>
      <c r="C65" s="154"/>
      <c r="D65" s="155"/>
      <c r="E65" s="155"/>
      <c r="F65" s="155"/>
      <c r="G65" s="155"/>
      <c r="H65" s="156"/>
      <c r="I65" s="156"/>
      <c r="J65" s="156"/>
      <c r="K65" s="156"/>
      <c r="L65" s="156"/>
      <c r="M65" s="156"/>
      <c r="N65" s="157"/>
      <c r="O65" s="158"/>
      <c r="P65" s="84"/>
    </row>
    <row r="66" spans="1:16" ht="12.75">
      <c r="A66" s="153"/>
      <c r="B66" s="154"/>
      <c r="C66" s="154"/>
      <c r="D66" s="159"/>
      <c r="E66" s="159"/>
      <c r="F66" s="159"/>
      <c r="G66" s="159"/>
      <c r="H66" s="159"/>
      <c r="I66" s="159"/>
      <c r="J66" s="159"/>
      <c r="K66" s="159"/>
      <c r="L66" s="159"/>
      <c r="M66" s="159"/>
      <c r="N66" s="157"/>
      <c r="O66" s="158"/>
      <c r="P66" s="84"/>
    </row>
    <row r="67" spans="1:16" ht="12.75">
      <c r="A67" s="153"/>
      <c r="B67" s="154"/>
      <c r="C67" s="154"/>
      <c r="D67" s="155"/>
      <c r="E67" s="155"/>
      <c r="F67" s="155"/>
      <c r="G67" s="155"/>
      <c r="H67" s="156"/>
      <c r="I67" s="156"/>
      <c r="J67" s="156"/>
      <c r="K67" s="156"/>
      <c r="L67" s="156"/>
      <c r="M67" s="156"/>
      <c r="N67" s="157"/>
      <c r="O67" s="158"/>
      <c r="P67" s="84"/>
    </row>
    <row r="68" spans="1:16" ht="12.75">
      <c r="A68" s="153"/>
      <c r="B68" s="154"/>
      <c r="C68" s="154"/>
      <c r="D68" s="159"/>
      <c r="E68" s="159"/>
      <c r="F68" s="159"/>
      <c r="G68" s="159"/>
      <c r="H68" s="159"/>
      <c r="I68" s="159"/>
      <c r="J68" s="159"/>
      <c r="K68" s="159"/>
      <c r="L68" s="159"/>
      <c r="M68" s="159"/>
      <c r="N68" s="157"/>
      <c r="O68" s="158"/>
      <c r="P68" s="84"/>
    </row>
    <row r="69" spans="1:16" ht="12.75">
      <c r="A69" s="153"/>
      <c r="B69" s="154"/>
      <c r="C69" s="154"/>
      <c r="D69" s="155"/>
      <c r="E69" s="155"/>
      <c r="F69" s="155"/>
      <c r="G69" s="155"/>
      <c r="H69" s="156"/>
      <c r="I69" s="156"/>
      <c r="J69" s="156"/>
      <c r="K69" s="156"/>
      <c r="L69" s="156"/>
      <c r="M69" s="156"/>
      <c r="N69" s="157"/>
      <c r="O69" s="158"/>
      <c r="P69" s="84"/>
    </row>
    <row r="70" spans="1:16" ht="12.75">
      <c r="A70" s="153"/>
      <c r="B70" s="154"/>
      <c r="C70" s="154"/>
      <c r="D70" s="159"/>
      <c r="E70" s="159"/>
      <c r="F70" s="159"/>
      <c r="G70" s="159"/>
      <c r="H70" s="159"/>
      <c r="I70" s="159"/>
      <c r="J70" s="159"/>
      <c r="K70" s="159"/>
      <c r="L70" s="159"/>
      <c r="M70" s="159"/>
      <c r="N70" s="157"/>
      <c r="O70" s="158"/>
      <c r="P70" s="84"/>
    </row>
    <row r="71" spans="1:16" ht="12.75">
      <c r="A71" s="153"/>
      <c r="B71" s="154"/>
      <c r="C71" s="154"/>
      <c r="D71" s="155"/>
      <c r="E71" s="155"/>
      <c r="F71" s="155"/>
      <c r="G71" s="155"/>
      <c r="H71" s="156"/>
      <c r="I71" s="156"/>
      <c r="J71" s="156"/>
      <c r="K71" s="156"/>
      <c r="L71" s="156"/>
      <c r="M71" s="156"/>
      <c r="N71" s="157"/>
      <c r="O71" s="158"/>
      <c r="P71" s="84"/>
    </row>
    <row r="72" spans="1:16" ht="12.75">
      <c r="A72" s="153"/>
      <c r="B72" s="154"/>
      <c r="C72" s="154"/>
      <c r="D72" s="159"/>
      <c r="E72" s="159"/>
      <c r="F72" s="159"/>
      <c r="G72" s="159"/>
      <c r="H72" s="159"/>
      <c r="I72" s="159"/>
      <c r="J72" s="159"/>
      <c r="K72" s="159"/>
      <c r="L72" s="159"/>
      <c r="M72" s="159"/>
      <c r="N72" s="157"/>
      <c r="O72" s="158"/>
      <c r="P72" s="84"/>
    </row>
    <row r="73" spans="1:16" ht="12.75">
      <c r="A73" s="153"/>
      <c r="B73" s="154"/>
      <c r="C73" s="154"/>
      <c r="D73" s="155"/>
      <c r="E73" s="155"/>
      <c r="F73" s="155"/>
      <c r="G73" s="155"/>
      <c r="H73" s="156"/>
      <c r="I73" s="156"/>
      <c r="J73" s="156"/>
      <c r="K73" s="156"/>
      <c r="L73" s="156"/>
      <c r="M73" s="156"/>
      <c r="N73" s="157"/>
      <c r="O73" s="158"/>
      <c r="P73" s="84"/>
    </row>
    <row r="74" spans="1:16" ht="12.75">
      <c r="A74" s="153"/>
      <c r="B74" s="154"/>
      <c r="C74" s="154"/>
      <c r="D74" s="159"/>
      <c r="E74" s="159"/>
      <c r="F74" s="159"/>
      <c r="G74" s="159"/>
      <c r="H74" s="159"/>
      <c r="I74" s="159"/>
      <c r="J74" s="159"/>
      <c r="K74" s="159"/>
      <c r="L74" s="159"/>
      <c r="M74" s="159"/>
      <c r="N74" s="157"/>
      <c r="O74" s="158"/>
      <c r="P74" s="84"/>
    </row>
    <row r="75" spans="1:16" ht="12.75">
      <c r="A75" s="153"/>
      <c r="B75" s="154"/>
      <c r="C75" s="154"/>
      <c r="D75" s="155"/>
      <c r="E75" s="155"/>
      <c r="F75" s="155"/>
      <c r="G75" s="155"/>
      <c r="H75" s="156"/>
      <c r="I75" s="156"/>
      <c r="J75" s="156"/>
      <c r="K75" s="156"/>
      <c r="L75" s="156"/>
      <c r="M75" s="156"/>
      <c r="N75" s="157"/>
      <c r="O75" s="158"/>
      <c r="P75" s="84"/>
    </row>
    <row r="76" spans="1:16" ht="12.75">
      <c r="A76" s="153"/>
      <c r="B76" s="154"/>
      <c r="C76" s="154"/>
      <c r="D76" s="159"/>
      <c r="E76" s="159"/>
      <c r="F76" s="159"/>
      <c r="G76" s="159"/>
      <c r="H76" s="159"/>
      <c r="I76" s="159"/>
      <c r="J76" s="159"/>
      <c r="K76" s="159"/>
      <c r="L76" s="159"/>
      <c r="M76" s="159"/>
      <c r="N76" s="157"/>
      <c r="O76" s="158"/>
      <c r="P76" s="84"/>
    </row>
    <row r="77" spans="1:16" ht="12.75">
      <c r="A77" s="153"/>
      <c r="B77" s="154"/>
      <c r="C77" s="154"/>
      <c r="D77" s="155"/>
      <c r="E77" s="155"/>
      <c r="F77" s="155"/>
      <c r="G77" s="155"/>
      <c r="H77" s="156"/>
      <c r="I77" s="156"/>
      <c r="J77" s="156"/>
      <c r="K77" s="156"/>
      <c r="L77" s="156"/>
      <c r="M77" s="156"/>
      <c r="N77" s="157"/>
      <c r="O77" s="158"/>
      <c r="P77" s="84"/>
    </row>
    <row r="78" spans="1:16" ht="12.75">
      <c r="A78" s="153"/>
      <c r="B78" s="154"/>
      <c r="C78" s="154"/>
      <c r="D78" s="159"/>
      <c r="E78" s="159"/>
      <c r="F78" s="159"/>
      <c r="G78" s="159"/>
      <c r="H78" s="159"/>
      <c r="I78" s="159"/>
      <c r="J78" s="159"/>
      <c r="K78" s="159"/>
      <c r="L78" s="159"/>
      <c r="M78" s="159"/>
      <c r="N78" s="157"/>
      <c r="O78" s="158"/>
      <c r="P78" s="84"/>
    </row>
    <row r="79" spans="1:16" ht="12.75">
      <c r="A79" s="153"/>
      <c r="B79" s="154"/>
      <c r="C79" s="154"/>
      <c r="D79" s="155"/>
      <c r="E79" s="155"/>
      <c r="F79" s="155"/>
      <c r="G79" s="155"/>
      <c r="H79" s="156"/>
      <c r="I79" s="156"/>
      <c r="J79" s="156"/>
      <c r="K79" s="156"/>
      <c r="L79" s="156"/>
      <c r="M79" s="156"/>
      <c r="N79" s="157"/>
      <c r="O79" s="158"/>
      <c r="P79" s="84"/>
    </row>
    <row r="80" spans="1:16" ht="12.75">
      <c r="A80" s="153"/>
      <c r="B80" s="154"/>
      <c r="C80" s="154"/>
      <c r="D80" s="159"/>
      <c r="E80" s="159"/>
      <c r="F80" s="159"/>
      <c r="G80" s="159"/>
      <c r="H80" s="159"/>
      <c r="I80" s="159"/>
      <c r="J80" s="159"/>
      <c r="K80" s="159"/>
      <c r="L80" s="159"/>
      <c r="M80" s="159"/>
      <c r="N80" s="157"/>
      <c r="O80" s="158"/>
      <c r="P80" s="84"/>
    </row>
    <row r="81" spans="1:16" ht="12.75">
      <c r="A81" s="153"/>
      <c r="B81" s="154"/>
      <c r="C81" s="154"/>
      <c r="D81" s="155"/>
      <c r="E81" s="155"/>
      <c r="F81" s="155"/>
      <c r="G81" s="155"/>
      <c r="H81" s="156"/>
      <c r="I81" s="156"/>
      <c r="J81" s="156"/>
      <c r="K81" s="156"/>
      <c r="L81" s="156"/>
      <c r="M81" s="156"/>
      <c r="N81" s="157"/>
      <c r="O81" s="158"/>
      <c r="P81" s="84"/>
    </row>
    <row r="82" spans="1:16" ht="12.75">
      <c r="A82" s="153"/>
      <c r="B82" s="154"/>
      <c r="C82" s="154"/>
      <c r="D82" s="159"/>
      <c r="E82" s="159"/>
      <c r="F82" s="159"/>
      <c r="G82" s="159"/>
      <c r="H82" s="159"/>
      <c r="I82" s="159"/>
      <c r="J82" s="159"/>
      <c r="K82" s="159"/>
      <c r="L82" s="159"/>
      <c r="M82" s="159"/>
      <c r="N82" s="157"/>
      <c r="O82" s="158"/>
      <c r="P82" s="84"/>
    </row>
    <row r="83" spans="1:16" ht="12.75">
      <c r="A83" s="153"/>
      <c r="B83" s="154"/>
      <c r="C83" s="154"/>
      <c r="D83" s="155"/>
      <c r="E83" s="155"/>
      <c r="F83" s="155"/>
      <c r="G83" s="155"/>
      <c r="H83" s="156"/>
      <c r="I83" s="156"/>
      <c r="J83" s="156"/>
      <c r="K83" s="156"/>
      <c r="L83" s="156"/>
      <c r="M83" s="156"/>
      <c r="N83" s="157"/>
      <c r="O83" s="158"/>
      <c r="P83" s="84"/>
    </row>
    <row r="84" spans="1:16" ht="12.75">
      <c r="A84" s="153"/>
      <c r="B84" s="154"/>
      <c r="C84" s="154"/>
      <c r="D84" s="159"/>
      <c r="E84" s="159"/>
      <c r="F84" s="159"/>
      <c r="G84" s="159"/>
      <c r="H84" s="159"/>
      <c r="I84" s="159"/>
      <c r="J84" s="159"/>
      <c r="K84" s="159"/>
      <c r="L84" s="159"/>
      <c r="M84" s="159"/>
      <c r="N84" s="157"/>
      <c r="O84" s="158"/>
      <c r="P84" s="84"/>
    </row>
    <row r="85" spans="1:16" ht="12.75">
      <c r="A85" s="153"/>
      <c r="B85" s="154"/>
      <c r="C85" s="154"/>
      <c r="D85" s="155"/>
      <c r="E85" s="155"/>
      <c r="F85" s="155"/>
      <c r="G85" s="155"/>
      <c r="H85" s="156"/>
      <c r="I85" s="156"/>
      <c r="J85" s="156"/>
      <c r="K85" s="156"/>
      <c r="L85" s="156"/>
      <c r="M85" s="156"/>
      <c r="N85" s="157"/>
      <c r="O85" s="158"/>
      <c r="P85" s="84"/>
    </row>
    <row r="86" spans="1:16" ht="12.75">
      <c r="A86" s="153"/>
      <c r="B86" s="154"/>
      <c r="C86" s="154"/>
      <c r="D86" s="159"/>
      <c r="E86" s="159"/>
      <c r="F86" s="159"/>
      <c r="G86" s="159"/>
      <c r="H86" s="159"/>
      <c r="I86" s="159"/>
      <c r="J86" s="159"/>
      <c r="K86" s="159"/>
      <c r="L86" s="159"/>
      <c r="M86" s="159"/>
      <c r="N86" s="157"/>
      <c r="O86" s="158"/>
      <c r="P86" s="84"/>
    </row>
  </sheetData>
  <autoFilter ref="A2:P22"/>
  <customSheetViews>
    <customSheetView guid="{A6D78304-069F-43D9-89AC-C0406D0D2F21}" filter="1" showAutoFilter="1">
      <pageMargins left="0.7" right="0.7" top="0.75" bottom="0.75" header="0.3" footer="0.3"/>
      <autoFilter ref="A1:O39"/>
    </customSheetView>
    <customSheetView guid="{7364E64E-FF78-49A8-821B-ED95AB03628D}" filter="1" showAutoFilter="1">
      <pageMargins left="0.7" right="0.7" top="0.75" bottom="0.75" header="0.3" footer="0.3"/>
      <autoFilter ref="A1:O39"/>
    </customSheetView>
  </customSheetViews>
  <mergeCells count="2">
    <mergeCell ref="A1:C1"/>
    <mergeCell ref="E1:K1"/>
  </mergeCells>
  <conditionalFormatting sqref="A3:A46">
    <cfRule type="expression" dxfId="905" priority="1">
      <formula>$D3="CLOSED"</formula>
    </cfRule>
  </conditionalFormatting>
  <conditionalFormatting sqref="A3:A46">
    <cfRule type="expression" dxfId="904" priority="2">
      <formula>$D3="OPEN"</formula>
    </cfRule>
  </conditionalFormatting>
  <conditionalFormatting sqref="A3:A46">
    <cfRule type="expression" dxfId="903" priority="3">
      <formula>$D3="OPEN"</formula>
    </cfRule>
  </conditionalFormatting>
  <conditionalFormatting sqref="A3:A46">
    <cfRule type="expression" dxfId="902" priority="4">
      <formula>$D3="CLOSED"</formula>
    </cfRule>
  </conditionalFormatting>
  <conditionalFormatting sqref="A3:A86">
    <cfRule type="expression" dxfId="901" priority="5">
      <formula>#REF!="OPEN"</formula>
    </cfRule>
  </conditionalFormatting>
  <conditionalFormatting sqref="A3:A86">
    <cfRule type="expression" dxfId="900" priority="6">
      <formula>#REF!="CLOSED"</formula>
    </cfRule>
  </conditionalFormatting>
  <conditionalFormatting sqref="A1">
    <cfRule type="expression" dxfId="899" priority="7">
      <formula>$P1="CLOSED"</formula>
    </cfRule>
  </conditionalFormatting>
  <conditionalFormatting sqref="A1">
    <cfRule type="expression" dxfId="898" priority="8">
      <formula>$P1="OPEN"</formula>
    </cfRule>
  </conditionalFormatting>
  <conditionalFormatting sqref="A1">
    <cfRule type="expression" dxfId="897" priority="9">
      <formula>$P1="OPEN"</formula>
    </cfRule>
  </conditionalFormatting>
  <conditionalFormatting sqref="A1">
    <cfRule type="expression" dxfId="896" priority="10">
      <formula>$P1="CLOSED"</formula>
    </cfRule>
  </conditionalFormatting>
  <conditionalFormatting sqref="A1">
    <cfRule type="expression" dxfId="895" priority="11">
      <formula>$P1="OPEN"</formula>
    </cfRule>
  </conditionalFormatting>
  <conditionalFormatting sqref="A1">
    <cfRule type="expression" dxfId="894" priority="12">
      <formula>$P1="CLOSED"</formula>
    </cfRule>
  </conditionalFormatting>
  <conditionalFormatting sqref="A1 A3:A86">
    <cfRule type="expression" dxfId="893" priority="13">
      <formula>#REF!="OPEN"</formula>
    </cfRule>
  </conditionalFormatting>
  <conditionalFormatting sqref="A3:A86">
    <cfRule type="expression" dxfId="892" priority="14">
      <formula>$T3="OPEN"</formula>
    </cfRule>
  </conditionalFormatting>
  <conditionalFormatting sqref="A3:A86">
    <cfRule type="expression" dxfId="891" priority="15">
      <formula>$T3="CLOSED"</formula>
    </cfRule>
  </conditionalFormatting>
  <conditionalFormatting sqref="A3:A86">
    <cfRule type="expression" dxfId="890" priority="16">
      <formula>$S3="CLOSED"</formula>
    </cfRule>
  </conditionalFormatting>
  <conditionalFormatting sqref="A3:A86">
    <cfRule type="expression" dxfId="889" priority="17">
      <formula>$S3="OPEN"</formula>
    </cfRule>
  </conditionalFormatting>
  <conditionalFormatting sqref="A3:A86">
    <cfRule type="expression" dxfId="888" priority="18">
      <formula>$T3="OPEN"</formula>
    </cfRule>
  </conditionalFormatting>
  <conditionalFormatting sqref="A3:A86">
    <cfRule type="expression" dxfId="887" priority="19">
      <formula>$T3="CLOSED"</formula>
    </cfRule>
  </conditionalFormatting>
  <conditionalFormatting sqref="A3:A86">
    <cfRule type="expression" dxfId="886" priority="20">
      <formula>$T3="OPEN"</formula>
    </cfRule>
  </conditionalFormatting>
  <conditionalFormatting sqref="A3:A86">
    <cfRule type="expression" dxfId="885" priority="21">
      <formula>$T3="CLOSED"</formula>
    </cfRule>
  </conditionalFormatting>
  <conditionalFormatting sqref="A1 A3:A86">
    <cfRule type="expression" dxfId="884" priority="22">
      <formula>$L1="CLOSED"</formula>
    </cfRule>
  </conditionalFormatting>
  <conditionalFormatting sqref="A1 A3:A86">
    <cfRule type="expression" dxfId="883" priority="23">
      <formula>$L1="OPEN"</formula>
    </cfRule>
  </conditionalFormatting>
  <conditionalFormatting sqref="A3:A86">
    <cfRule type="expression" dxfId="882" priority="24">
      <formula>$L3="CLOSED"</formula>
    </cfRule>
  </conditionalFormatting>
  <conditionalFormatting sqref="A3:A86">
    <cfRule type="expression" dxfId="881" priority="25">
      <formula>$L3="OPEN"</formula>
    </cfRule>
  </conditionalFormatting>
  <conditionalFormatting sqref="A1 A3:A86">
    <cfRule type="expression" dxfId="880" priority="26">
      <formula>$S1="OPEN"</formula>
    </cfRule>
  </conditionalFormatting>
  <conditionalFormatting sqref="A1 A3:A86">
    <cfRule type="expression" dxfId="879" priority="27">
      <formula>$S1="CLOSED"</formula>
    </cfRule>
  </conditionalFormatting>
  <conditionalFormatting sqref="A1 A3:A86">
    <cfRule type="expression" dxfId="878" priority="28">
      <formula>$R1="CLOSED"</formula>
    </cfRule>
  </conditionalFormatting>
  <conditionalFormatting sqref="A1 A3:A86">
    <cfRule type="expression" dxfId="877" priority="29">
      <formula>$R1="OPEN"</formula>
    </cfRule>
  </conditionalFormatting>
  <conditionalFormatting sqref="A1 A3:A86">
    <cfRule type="expression" dxfId="876" priority="30">
      <formula>$S1="OPEN"</formula>
    </cfRule>
  </conditionalFormatting>
  <conditionalFormatting sqref="A1 A3:A86">
    <cfRule type="expression" dxfId="875" priority="31">
      <formula>$S1="CLOSED"</formula>
    </cfRule>
  </conditionalFormatting>
  <conditionalFormatting sqref="A3:A86">
    <cfRule type="expression" dxfId="874" priority="32">
      <formula>$S3="OPEN"</formula>
    </cfRule>
  </conditionalFormatting>
  <conditionalFormatting sqref="A3:A86">
    <cfRule type="expression" dxfId="873" priority="33">
      <formula>$S3="CLOSED"</formula>
    </cfRule>
  </conditionalFormatting>
  <conditionalFormatting sqref="A1 A3:A86">
    <cfRule type="expression" dxfId="872" priority="34">
      <formula>$K1="CLOSED"</formula>
    </cfRule>
  </conditionalFormatting>
  <conditionalFormatting sqref="A1 A3:A86">
    <cfRule type="expression" dxfId="871" priority="35">
      <formula>$K1="OPEN"</formula>
    </cfRule>
  </conditionalFormatting>
  <conditionalFormatting sqref="A3:A86">
    <cfRule type="expression" dxfId="870" priority="36">
      <formula>$K3="CLOSED"</formula>
    </cfRule>
  </conditionalFormatting>
  <conditionalFormatting sqref="A3:A86">
    <cfRule type="expression" dxfId="869" priority="37">
      <formula>$K3="OPEN"</formula>
    </cfRule>
  </conditionalFormatting>
  <conditionalFormatting sqref="A1 A3:A86">
    <cfRule type="expression" dxfId="868" priority="38">
      <formula>$R1="OPEN"</formula>
    </cfRule>
  </conditionalFormatting>
  <conditionalFormatting sqref="A1 A3:A86">
    <cfRule type="expression" dxfId="867" priority="39">
      <formula>$R1="CLOSED"</formula>
    </cfRule>
  </conditionalFormatting>
  <conditionalFormatting sqref="A1 A3:A86">
    <cfRule type="expression" dxfId="866" priority="40">
      <formula>$Q1="CLOSED"</formula>
    </cfRule>
  </conditionalFormatting>
  <conditionalFormatting sqref="A1 A3:A86">
    <cfRule type="expression" dxfId="865" priority="41">
      <formula>$Q1="OPEN"</formula>
    </cfRule>
  </conditionalFormatting>
  <conditionalFormatting sqref="A1 A3:A86">
    <cfRule type="expression" dxfId="864" priority="42">
      <formula>$R1="OPEN"</formula>
    </cfRule>
  </conditionalFormatting>
  <conditionalFormatting sqref="A1 A3:A86">
    <cfRule type="expression" dxfId="863" priority="43">
      <formula>$R1="CLOSED"</formula>
    </cfRule>
  </conditionalFormatting>
  <conditionalFormatting sqref="A3:A86">
    <cfRule type="expression" dxfId="862" priority="44">
      <formula>$R3="OPEN"</formula>
    </cfRule>
  </conditionalFormatting>
  <conditionalFormatting sqref="A3:A86">
    <cfRule type="expression" dxfId="861" priority="45">
      <formula>$R3="CLOSED"</formula>
    </cfRule>
  </conditionalFormatting>
  <conditionalFormatting sqref="A1 A3:A86">
    <cfRule type="expression" dxfId="860" priority="46">
      <formula>$Q1="OPEN"</formula>
    </cfRule>
  </conditionalFormatting>
  <conditionalFormatting sqref="A1 A3:A86">
    <cfRule type="expression" dxfId="859" priority="47">
      <formula>$Q1="CLOSED"</formula>
    </cfRule>
  </conditionalFormatting>
  <conditionalFormatting sqref="A1 A3:A86">
    <cfRule type="expression" dxfId="858" priority="48">
      <formula>$Q1="OPEN"</formula>
    </cfRule>
  </conditionalFormatting>
  <conditionalFormatting sqref="A1 A3:A86">
    <cfRule type="expression" dxfId="857" priority="49">
      <formula>$Q1="CLOSED"</formula>
    </cfRule>
  </conditionalFormatting>
  <conditionalFormatting sqref="A1 A3:A86">
    <cfRule type="expression" dxfId="856" priority="50">
      <formula>$K1="OPEN"</formula>
    </cfRule>
  </conditionalFormatting>
  <conditionalFormatting sqref="A1 A3:A86">
    <cfRule type="expression" dxfId="855" priority="51">
      <formula>$K1="CLOSED"</formula>
    </cfRule>
  </conditionalFormatting>
  <conditionalFormatting sqref="A1:A86">
    <cfRule type="expression" dxfId="854" priority="52">
      <formula>#REF!="OPEN"</formula>
    </cfRule>
  </conditionalFormatting>
  <conditionalFormatting sqref="A1:A86">
    <cfRule type="expression" dxfId="853" priority="53">
      <formula>#REF!="CLOSED"</formula>
    </cfRule>
  </conditionalFormatting>
  <conditionalFormatting sqref="A1:A86">
    <cfRule type="expression" dxfId="852" priority="54">
      <formula>#REF!="CLOSED"</formula>
    </cfRule>
  </conditionalFormatting>
  <conditionalFormatting sqref="A1:A86">
    <cfRule type="expression" dxfId="851" priority="55">
      <formula>#REF!="OPEN"</formula>
    </cfRule>
  </conditionalFormatting>
  <conditionalFormatting sqref="A1:A86">
    <cfRule type="expression" dxfId="850" priority="56">
      <formula>#REF!="OPEN"</formula>
    </cfRule>
  </conditionalFormatting>
  <conditionalFormatting sqref="A1:A86">
    <cfRule type="expression" dxfId="849" priority="57">
      <formula>#REF!="CLOSED"</formula>
    </cfRule>
  </conditionalFormatting>
  <conditionalFormatting sqref="A2">
    <cfRule type="expression" dxfId="848" priority="58">
      <formula>#REF!="OPEN"</formula>
    </cfRule>
  </conditionalFormatting>
  <conditionalFormatting sqref="A2">
    <cfRule type="expression" dxfId="847" priority="59">
      <formula>#REF!="CLOSED"</formula>
    </cfRule>
  </conditionalFormatting>
  <conditionalFormatting sqref="A1:A86">
    <cfRule type="expression" dxfId="846" priority="60">
      <formula>#REF!="CLOSED"</formula>
    </cfRule>
  </conditionalFormatting>
  <conditionalFormatting sqref="A1:A86">
    <cfRule type="expression" dxfId="845" priority="61">
      <formula>#REF!="OPEN"</formula>
    </cfRule>
  </conditionalFormatting>
  <conditionalFormatting sqref="A2">
    <cfRule type="expression" dxfId="844" priority="62">
      <formula>#REF!="CLOSED"</formula>
    </cfRule>
  </conditionalFormatting>
  <conditionalFormatting sqref="A2">
    <cfRule type="expression" dxfId="843" priority="63">
      <formula>#REF!="OPEN"</formula>
    </cfRule>
  </conditionalFormatting>
  <conditionalFormatting sqref="A2">
    <cfRule type="expression" dxfId="842" priority="64">
      <formula>#REF!="OPEN"</formula>
    </cfRule>
  </conditionalFormatting>
  <conditionalFormatting sqref="A2">
    <cfRule type="expression" dxfId="841" priority="65">
      <formula>#REF!="CLOSED"</formula>
    </cfRule>
  </conditionalFormatting>
  <conditionalFormatting sqref="A2">
    <cfRule type="expression" dxfId="840" priority="66">
      <formula>#REF!="CLOSED"</formula>
    </cfRule>
  </conditionalFormatting>
  <conditionalFormatting sqref="A2">
    <cfRule type="expression" dxfId="839" priority="67">
      <formula>#REF!="OPEN"</formula>
    </cfRule>
  </conditionalFormatting>
  <conditionalFormatting sqref="A2">
    <cfRule type="expression" dxfId="838" priority="68">
      <formula>#REF!="OPEN"</formula>
    </cfRule>
  </conditionalFormatting>
  <conditionalFormatting sqref="A2">
    <cfRule type="expression" dxfId="837" priority="69">
      <formula>#REF!="CLOSED"</formula>
    </cfRule>
  </conditionalFormatting>
  <conditionalFormatting sqref="A2">
    <cfRule type="expression" dxfId="836" priority="70">
      <formula>#REF!="OPEN"</formula>
    </cfRule>
  </conditionalFormatting>
  <conditionalFormatting sqref="A2">
    <cfRule type="expression" dxfId="835" priority="71">
      <formula>#REF!="CLOSED"</formula>
    </cfRule>
  </conditionalFormatting>
  <conditionalFormatting sqref="A1:A86">
    <cfRule type="expression" dxfId="834" priority="72">
      <formula>$L1="OPEN"</formula>
    </cfRule>
  </conditionalFormatting>
  <conditionalFormatting sqref="A1:A86">
    <cfRule type="expression" dxfId="833" priority="73">
      <formula>$L1="CLOSED"</formula>
    </cfRule>
  </conditionalFormatting>
  <conditionalFormatting sqref="A2">
    <cfRule type="expression" dxfId="832" priority="74">
      <formula>#REF!="CLOSED"</formula>
    </cfRule>
  </conditionalFormatting>
  <conditionalFormatting sqref="A2">
    <cfRule type="expression" dxfId="831" priority="75">
      <formula>#REF!="OPEN"</formula>
    </cfRule>
  </conditionalFormatting>
  <conditionalFormatting sqref="A2">
    <cfRule type="expression" dxfId="830" priority="76">
      <formula>#REF!="CLOSED"</formula>
    </cfRule>
  </conditionalFormatting>
  <conditionalFormatting sqref="A2">
    <cfRule type="expression" dxfId="829" priority="77">
      <formula>#REF!="OPEN"</formula>
    </cfRule>
  </conditionalFormatting>
  <conditionalFormatting sqref="A2">
    <cfRule type="expression" dxfId="828" priority="78">
      <formula>#REF!="OPEN"</formula>
    </cfRule>
  </conditionalFormatting>
  <conditionalFormatting sqref="A2">
    <cfRule type="expression" dxfId="827" priority="79">
      <formula>#REF!="CLOSED"</formula>
    </cfRule>
  </conditionalFormatting>
  <conditionalFormatting sqref="A1:A86">
    <cfRule type="expression" dxfId="826" priority="80">
      <formula>$L1="CLOSED"</formula>
    </cfRule>
  </conditionalFormatting>
  <conditionalFormatting sqref="A1:A86">
    <cfRule type="expression" dxfId="825" priority="81">
      <formula>$L1="OPEN"</formula>
    </cfRule>
  </conditionalFormatting>
  <conditionalFormatting sqref="A2">
    <cfRule type="expression" dxfId="824" priority="82">
      <formula>#REF!="CLOSED"</formula>
    </cfRule>
  </conditionalFormatting>
  <conditionalFormatting sqref="A2">
    <cfRule type="expression" dxfId="823" priority="83">
      <formula>#REF!="OPEN"</formula>
    </cfRule>
  </conditionalFormatting>
  <conditionalFormatting sqref="A1:A86">
    <cfRule type="expression" dxfId="822" priority="84">
      <formula>$I1="OPEN"</formula>
    </cfRule>
  </conditionalFormatting>
  <conditionalFormatting sqref="A1:A86">
    <cfRule type="expression" dxfId="821" priority="85">
      <formula>$J1="CLOSED"</formula>
    </cfRule>
  </conditionalFormatting>
  <conditionalFormatting sqref="A1:A86">
    <cfRule type="expression" dxfId="820" priority="86">
      <formula>$J1="OPEN"</formula>
    </cfRule>
  </conditionalFormatting>
  <conditionalFormatting sqref="A1:A86">
    <cfRule type="expression" dxfId="819" priority="87">
      <formula>$J1="OPEN"</formula>
    </cfRule>
  </conditionalFormatting>
  <conditionalFormatting sqref="A1:A86">
    <cfRule type="expression" dxfId="818" priority="88">
      <formula>$J1="CLOSED"</formula>
    </cfRule>
  </conditionalFormatting>
  <conditionalFormatting sqref="A2">
    <cfRule type="expression" dxfId="817" priority="89">
      <formula>$J2="OPEN"</formula>
    </cfRule>
  </conditionalFormatting>
  <conditionalFormatting sqref="A2">
    <cfRule type="expression" dxfId="816" priority="90">
      <formula>$J2="CLOSED"</formula>
    </cfRule>
  </conditionalFormatting>
  <conditionalFormatting sqref="A2">
    <cfRule type="expression" dxfId="815" priority="91">
      <formula>$J2="OPEN"</formula>
    </cfRule>
  </conditionalFormatting>
  <conditionalFormatting sqref="A2">
    <cfRule type="expression" dxfId="814" priority="92">
      <formula>$J2="CLOSED"</formula>
    </cfRule>
  </conditionalFormatting>
  <conditionalFormatting sqref="A1:A86">
    <cfRule type="expression" dxfId="813" priority="93">
      <formula>$K1="CLOSED"</formula>
    </cfRule>
  </conditionalFormatting>
  <conditionalFormatting sqref="A1:A86">
    <cfRule type="expression" dxfId="812" priority="94">
      <formula>$K1="OPEN"</formula>
    </cfRule>
  </conditionalFormatting>
  <conditionalFormatting sqref="A2:A86">
    <cfRule type="expression" dxfId="811" priority="95">
      <formula>#REF!="OPEN"</formula>
    </cfRule>
  </conditionalFormatting>
  <conditionalFormatting sqref="A2:A86">
    <cfRule type="expression" dxfId="810" priority="96">
      <formula>#REF!="CLOSED"</formula>
    </cfRule>
  </conditionalFormatting>
  <conditionalFormatting sqref="A1:A86">
    <cfRule type="expression" dxfId="809" priority="97">
      <formula>$M1="OPEN"</formula>
    </cfRule>
  </conditionalFormatting>
  <conditionalFormatting sqref="A1:A86">
    <cfRule type="expression" dxfId="808" priority="98">
      <formula>$M1="CLOSED"</formula>
    </cfRule>
  </conditionalFormatting>
  <conditionalFormatting sqref="A2:A86">
    <cfRule type="expression" dxfId="807" priority="99">
      <formula>#REF!="OPEN"</formula>
    </cfRule>
  </conditionalFormatting>
  <conditionalFormatting sqref="A2:A86">
    <cfRule type="expression" dxfId="806" priority="100">
      <formula>#REF!="CLOSED"</formula>
    </cfRule>
  </conditionalFormatting>
  <conditionalFormatting sqref="A2:A86">
    <cfRule type="expression" dxfId="805" priority="101">
      <formula>#REF!="OPEN"</formula>
    </cfRule>
  </conditionalFormatting>
  <conditionalFormatting sqref="A2:A86">
    <cfRule type="expression" dxfId="804" priority="102">
      <formula>#REF!="CLOSED"</formula>
    </cfRule>
  </conditionalFormatting>
  <conditionalFormatting sqref="A2:A86">
    <cfRule type="expression" dxfId="803" priority="103">
      <formula>#REF!="OPEN"</formula>
    </cfRule>
  </conditionalFormatting>
  <conditionalFormatting sqref="A2:A86">
    <cfRule type="expression" dxfId="802" priority="104">
      <formula>#REF!="CLOSED"</formula>
    </cfRule>
  </conditionalFormatting>
  <conditionalFormatting sqref="A2:A86">
    <cfRule type="expression" dxfId="801" priority="105">
      <formula>#REF!="OPEN"</formula>
    </cfRule>
  </conditionalFormatting>
  <conditionalFormatting sqref="A2:A86">
    <cfRule type="expression" dxfId="800" priority="106">
      <formula>#REF!="CLOSED"</formula>
    </cfRule>
  </conditionalFormatting>
  <conditionalFormatting sqref="A1:A86">
    <cfRule type="expression" dxfId="799" priority="107">
      <formula>$O1="CLOSED"</formula>
    </cfRule>
  </conditionalFormatting>
  <conditionalFormatting sqref="A1:A86">
    <cfRule type="expression" dxfId="798" priority="108">
      <formula>$O1="OPEN"</formula>
    </cfRule>
  </conditionalFormatting>
  <conditionalFormatting sqref="A2:A86">
    <cfRule type="expression" dxfId="797" priority="109">
      <formula>#REF!="OPEN"</formula>
    </cfRule>
  </conditionalFormatting>
  <conditionalFormatting sqref="A2:A86">
    <cfRule type="expression" dxfId="796" priority="110">
      <formula>#REF!="CLOSED"</formula>
    </cfRule>
  </conditionalFormatting>
  <conditionalFormatting sqref="A2:A86">
    <cfRule type="expression" dxfId="795" priority="111">
      <formula>#REF!="OPEN"</formula>
    </cfRule>
  </conditionalFormatting>
  <conditionalFormatting sqref="A2:A86">
    <cfRule type="expression" dxfId="794" priority="112">
      <formula>#REF!="CLOSED"</formula>
    </cfRule>
  </conditionalFormatting>
  <conditionalFormatting sqref="A2:A86">
    <cfRule type="expression" dxfId="793" priority="113">
      <formula>#REF!="CLOSED"</formula>
    </cfRule>
  </conditionalFormatting>
  <conditionalFormatting sqref="A2:A86">
    <cfRule type="expression" dxfId="792" priority="114">
      <formula>#REF!="OPEN"</formula>
    </cfRule>
  </conditionalFormatting>
  <conditionalFormatting sqref="A1:A86">
    <cfRule type="expression" dxfId="791" priority="115">
      <formula>$M1="OPEN"</formula>
    </cfRule>
  </conditionalFormatting>
  <conditionalFormatting sqref="A1:A86">
    <cfRule type="expression" dxfId="790" priority="116">
      <formula>$M1="CLOSED"</formula>
    </cfRule>
  </conditionalFormatting>
  <conditionalFormatting sqref="A1:A86">
    <cfRule type="expression" dxfId="789" priority="117">
      <formula>$N1="OPEN"</formula>
    </cfRule>
  </conditionalFormatting>
  <conditionalFormatting sqref="A1:A86">
    <cfRule type="expression" dxfId="788" priority="118">
      <formula>$N1="CLOSED"</formula>
    </cfRule>
  </conditionalFormatting>
  <conditionalFormatting sqref="A2:A86">
    <cfRule type="expression" dxfId="787" priority="119">
      <formula>#REF!="CLOSED"</formula>
    </cfRule>
  </conditionalFormatting>
  <conditionalFormatting sqref="A2:A86">
    <cfRule type="expression" dxfId="786" priority="120">
      <formula>#REF!="OPEN"</formula>
    </cfRule>
  </conditionalFormatting>
  <conditionalFormatting sqref="A2:A86">
    <cfRule type="expression" dxfId="785" priority="121">
      <formula>#REF!="CLOSED"</formula>
    </cfRule>
  </conditionalFormatting>
  <conditionalFormatting sqref="A2:A86">
    <cfRule type="expression" dxfId="784" priority="122">
      <formula>#REF!="OPEN"</formula>
    </cfRule>
  </conditionalFormatting>
  <conditionalFormatting sqref="A2:A86">
    <cfRule type="expression" dxfId="783" priority="123">
      <formula>#REF!="OPEN"</formula>
    </cfRule>
  </conditionalFormatting>
  <conditionalFormatting sqref="A2:A86">
    <cfRule type="expression" dxfId="782" priority="124">
      <formula>#REF!="CLOSED"</formula>
    </cfRule>
  </conditionalFormatting>
  <conditionalFormatting sqref="A1:A86">
    <cfRule type="expression" dxfId="781" priority="125">
      <formula>$H1="OPEN"</formula>
    </cfRule>
  </conditionalFormatting>
  <conditionalFormatting sqref="A1:A86">
    <cfRule type="expression" dxfId="780" priority="126">
      <formula>$I1="CLOSED"</formula>
    </cfRule>
  </conditionalFormatting>
  <conditionalFormatting sqref="A1:A86">
    <cfRule type="expression" dxfId="779" priority="127">
      <formula>$H1="CLOSED"</formula>
    </cfRule>
  </conditionalFormatting>
  <conditionalFormatting sqref="A1:A86">
    <cfRule type="expression" dxfId="778" priority="128">
      <formula>$I1="OPEN"</formula>
    </cfRule>
  </conditionalFormatting>
  <conditionalFormatting sqref="A1:A86">
    <cfRule type="expression" dxfId="777" priority="129">
      <formula>#REF!="OPEN"</formula>
    </cfRule>
  </conditionalFormatting>
  <conditionalFormatting sqref="A1:A86">
    <cfRule type="expression" dxfId="776" priority="130">
      <formula>#REF!="CLOSED"</formula>
    </cfRule>
  </conditionalFormatting>
  <conditionalFormatting sqref="A2:A86">
    <cfRule type="expression" dxfId="775" priority="131">
      <formula>$I2="CLOSED"</formula>
    </cfRule>
  </conditionalFormatting>
  <conditionalFormatting sqref="A2:A86">
    <cfRule type="expression" dxfId="774" priority="132">
      <formula>$I2="OPEN"</formula>
    </cfRule>
  </conditionalFormatting>
  <conditionalFormatting sqref="A1:A86">
    <cfRule type="expression" dxfId="773" priority="133">
      <formula>$M1="CLOSED"</formula>
    </cfRule>
  </conditionalFormatting>
  <conditionalFormatting sqref="A1:A86">
    <cfRule type="expression" dxfId="772" priority="134">
      <formula>$M1="OPEN"</formula>
    </cfRule>
  </conditionalFormatting>
  <conditionalFormatting sqref="A1:A86">
    <cfRule type="expression" dxfId="771" priority="135">
      <formula>$N1="OPEN"</formula>
    </cfRule>
  </conditionalFormatting>
  <conditionalFormatting sqref="A1:A86">
    <cfRule type="expression" dxfId="770" priority="136">
      <formula>$N1="CLOSED"</formula>
    </cfRule>
  </conditionalFormatting>
  <conditionalFormatting sqref="A1:A86">
    <cfRule type="expression" dxfId="769" priority="137">
      <formula>#REF!="OPEN"</formula>
    </cfRule>
  </conditionalFormatting>
  <conditionalFormatting sqref="A1:A86">
    <cfRule type="expression" dxfId="768" priority="138">
      <formula>$O1="OPEN"</formula>
    </cfRule>
  </conditionalFormatting>
  <conditionalFormatting sqref="A1:A86">
    <cfRule type="expression" dxfId="767" priority="139">
      <formula>$O1="CLOSED"</formula>
    </cfRule>
  </conditionalFormatting>
  <conditionalFormatting sqref="A2:A86">
    <cfRule type="expression" dxfId="766" priority="140">
      <formula>$I2="OPEN"</formula>
    </cfRule>
  </conditionalFormatting>
  <conditionalFormatting sqref="A2:A86">
    <cfRule type="expression" dxfId="765" priority="141">
      <formula>$I2="CLOSED"</formula>
    </cfRule>
  </conditionalFormatting>
  <conditionalFormatting sqref="A1:A86">
    <cfRule type="expression" dxfId="764" priority="142">
      <formula>$O1="OPEN"</formula>
    </cfRule>
  </conditionalFormatting>
  <conditionalFormatting sqref="A1:A86">
    <cfRule type="expression" dxfId="763" priority="143">
      <formula>$O1="CLOSED"</formula>
    </cfRule>
  </conditionalFormatting>
  <conditionalFormatting sqref="A2:A86">
    <cfRule type="expression" dxfId="762" priority="144">
      <formula>$H2="OPEN"</formula>
    </cfRule>
  </conditionalFormatting>
  <conditionalFormatting sqref="A2:A86">
    <cfRule type="expression" dxfId="761" priority="145">
      <formula>$H2="CLOSED"</formula>
    </cfRule>
  </conditionalFormatting>
  <conditionalFormatting sqref="A3:P86">
    <cfRule type="expression" dxfId="760" priority="146">
      <formula>$N3="CLOSED"</formula>
    </cfRule>
  </conditionalFormatting>
  <conditionalFormatting sqref="A3:P86">
    <cfRule type="expression" dxfId="759" priority="147">
      <formula>$N3="OPEN"</formula>
    </cfRule>
  </conditionalFormatting>
  <dataValidations count="2">
    <dataValidation type="list" allowBlank="1" sqref="N3:N86">
      <formula1>"CLOSED,OPEN"</formula1>
    </dataValidation>
    <dataValidation type="list" allowBlank="1" showErrorMessage="1" sqref="P3:P86">
      <formula1>"AUTHOR,DEFFECT,GSE,IRR,MP,NS,NT,OCT,TC,WT,WTP,LT"</formula1>
    </dataValidation>
  </dataValidations>
  <pageMargins left="0.7" right="0.7" top="0.75" bottom="0.75" header="0" footer="0"/>
  <pageSetup orientation="landscape"/>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0000"/>
    <outlinePr summaryBelow="0" summaryRight="0"/>
    <pageSetUpPr fitToPage="1"/>
  </sheetPr>
  <dimension ref="A1:X702"/>
  <sheetViews>
    <sheetView zoomScale="85" zoomScaleNormal="85" workbookViewId="0">
      <pane ySplit="1" topLeftCell="A2" activePane="bottomLeft" state="frozen"/>
      <selection pane="bottomLeft" activeCell="B3" sqref="B3"/>
    </sheetView>
  </sheetViews>
  <sheetFormatPr defaultColWidth="12.5703125" defaultRowHeight="15" customHeight="1"/>
  <cols>
    <col min="1" max="1" width="10.140625" customWidth="1"/>
    <col min="2" max="3" width="6.140625" customWidth="1"/>
    <col min="4" max="4" width="9" customWidth="1"/>
    <col min="5" max="5" width="9.42578125" customWidth="1"/>
    <col min="6" max="6" width="11.5703125" customWidth="1"/>
    <col min="7" max="7" width="8.42578125" customWidth="1"/>
    <col min="8" max="8" width="7.5703125" customWidth="1"/>
    <col min="9" max="9" width="56.5703125" customWidth="1"/>
    <col min="10" max="10" width="10.140625" customWidth="1"/>
    <col min="11" max="11" width="11" customWidth="1"/>
    <col min="12" max="12" width="49.140625" customWidth="1"/>
    <col min="13" max="13" width="12.140625" customWidth="1"/>
    <col min="14" max="15" width="5.140625" customWidth="1"/>
    <col min="16" max="16" width="6.7109375" customWidth="1"/>
    <col min="17" max="17" width="9" customWidth="1"/>
    <col min="18" max="18" width="32.85546875" customWidth="1"/>
    <col min="19" max="19" width="8.28515625" customWidth="1"/>
    <col min="20" max="20" width="9.42578125" customWidth="1"/>
    <col min="21" max="21" width="5.7109375" customWidth="1"/>
    <col min="22" max="22" width="24.7109375" customWidth="1"/>
    <col min="23" max="23" width="8.28515625" customWidth="1"/>
    <col min="24" max="24" width="11.7109375" customWidth="1"/>
  </cols>
  <sheetData>
    <row r="1" spans="1:24" ht="24" customHeight="1">
      <c r="A1" s="2" t="s">
        <v>0</v>
      </c>
      <c r="B1" s="2" t="s">
        <v>2</v>
      </c>
      <c r="C1" s="4" t="s">
        <v>3</v>
      </c>
      <c r="D1" s="4" t="s">
        <v>4</v>
      </c>
      <c r="E1" s="4" t="s">
        <v>5</v>
      </c>
      <c r="F1" s="4" t="s">
        <v>7</v>
      </c>
      <c r="G1" s="4" t="s">
        <v>8</v>
      </c>
      <c r="H1" s="4" t="s">
        <v>9</v>
      </c>
      <c r="I1" s="8" t="s">
        <v>10</v>
      </c>
      <c r="J1" s="8" t="s">
        <v>11</v>
      </c>
      <c r="K1" s="8" t="s">
        <v>12</v>
      </c>
      <c r="L1" s="10" t="s">
        <v>13</v>
      </c>
      <c r="M1" s="10" t="s">
        <v>14</v>
      </c>
      <c r="N1" s="10" t="s">
        <v>15</v>
      </c>
      <c r="O1" s="10" t="s">
        <v>16</v>
      </c>
      <c r="P1" s="10" t="s">
        <v>17</v>
      </c>
      <c r="Q1" s="10" t="s">
        <v>18</v>
      </c>
      <c r="R1" s="10" t="s">
        <v>19</v>
      </c>
      <c r="S1" s="10" t="s">
        <v>20</v>
      </c>
      <c r="T1" s="10" t="s">
        <v>21</v>
      </c>
      <c r="U1" s="10" t="s">
        <v>22</v>
      </c>
      <c r="V1" s="10" t="s">
        <v>23</v>
      </c>
      <c r="W1" s="10" t="s">
        <v>25</v>
      </c>
      <c r="X1" s="10" t="s">
        <v>26</v>
      </c>
    </row>
    <row r="2" spans="1:24" ht="48">
      <c r="A2" s="19">
        <v>46290</v>
      </c>
      <c r="B2" s="22" t="s">
        <v>28</v>
      </c>
      <c r="C2" s="22" t="s">
        <v>29</v>
      </c>
      <c r="D2" s="22" t="s">
        <v>30</v>
      </c>
      <c r="E2" s="22" t="s">
        <v>31</v>
      </c>
      <c r="F2" s="22" t="s">
        <v>33</v>
      </c>
      <c r="G2" s="22" t="s">
        <v>34</v>
      </c>
      <c r="H2" s="22">
        <v>2322855</v>
      </c>
      <c r="I2" s="27" t="s">
        <v>37</v>
      </c>
      <c r="J2" s="22">
        <v>25</v>
      </c>
      <c r="K2" s="19">
        <v>46332</v>
      </c>
      <c r="L2" s="28" t="s">
        <v>45</v>
      </c>
      <c r="M2" s="29"/>
      <c r="N2" s="30" t="s">
        <v>52</v>
      </c>
      <c r="O2" s="32" t="s">
        <v>53</v>
      </c>
      <c r="P2" s="28" t="s">
        <v>55</v>
      </c>
      <c r="Q2" s="19">
        <v>46308</v>
      </c>
      <c r="R2" s="28" t="s">
        <v>56</v>
      </c>
      <c r="S2" s="30" t="s">
        <v>34</v>
      </c>
      <c r="T2" s="19">
        <v>46308</v>
      </c>
      <c r="U2" s="36" t="s">
        <v>55</v>
      </c>
      <c r="V2" s="29"/>
      <c r="W2" s="29"/>
      <c r="X2" s="30" t="s">
        <v>58</v>
      </c>
    </row>
    <row r="3" spans="1:24" ht="12.75">
      <c r="A3" s="19">
        <v>46308</v>
      </c>
      <c r="B3" s="22" t="s">
        <v>59</v>
      </c>
      <c r="C3" s="22" t="s">
        <v>60</v>
      </c>
      <c r="D3" s="22" t="s">
        <v>61</v>
      </c>
      <c r="E3" s="22" t="s">
        <v>62</v>
      </c>
      <c r="F3" s="22" t="s">
        <v>63</v>
      </c>
      <c r="G3" s="22" t="s">
        <v>34</v>
      </c>
      <c r="H3" s="22">
        <v>2148223</v>
      </c>
      <c r="I3" s="27" t="s">
        <v>64</v>
      </c>
      <c r="J3" s="22">
        <v>25</v>
      </c>
      <c r="K3" s="19">
        <v>46317</v>
      </c>
      <c r="L3" s="28" t="s">
        <v>65</v>
      </c>
      <c r="M3" s="29"/>
      <c r="N3" s="30" t="s">
        <v>52</v>
      </c>
      <c r="O3" s="32" t="s">
        <v>53</v>
      </c>
      <c r="P3" s="28" t="s">
        <v>66</v>
      </c>
      <c r="Q3" s="19">
        <v>46308</v>
      </c>
      <c r="R3" s="29"/>
      <c r="S3" s="30" t="s">
        <v>34</v>
      </c>
      <c r="T3" s="19">
        <v>46308</v>
      </c>
      <c r="U3" s="36" t="s">
        <v>66</v>
      </c>
      <c r="V3" s="29"/>
      <c r="W3" s="29"/>
      <c r="X3" s="30" t="s">
        <v>58</v>
      </c>
    </row>
    <row r="4" spans="1:24" ht="72">
      <c r="A4" s="45">
        <v>46308</v>
      </c>
      <c r="B4" s="46" t="s">
        <v>69</v>
      </c>
      <c r="C4" s="46" t="s">
        <v>72</v>
      </c>
      <c r="D4" s="46" t="s">
        <v>73</v>
      </c>
      <c r="E4" s="46" t="s">
        <v>62</v>
      </c>
      <c r="F4" s="46" t="s">
        <v>33</v>
      </c>
      <c r="G4" s="46" t="s">
        <v>76</v>
      </c>
      <c r="H4" s="46">
        <v>2353523</v>
      </c>
      <c r="I4" s="50" t="s">
        <v>78</v>
      </c>
      <c r="J4" s="46">
        <v>33</v>
      </c>
      <c r="K4" s="45">
        <v>46312</v>
      </c>
      <c r="L4" s="50" t="s">
        <v>82</v>
      </c>
      <c r="M4" s="51"/>
      <c r="N4" s="53" t="s">
        <v>86</v>
      </c>
      <c r="O4" s="54" t="s">
        <v>90</v>
      </c>
      <c r="P4" s="55" t="s">
        <v>94</v>
      </c>
      <c r="Q4" s="45">
        <v>46308</v>
      </c>
      <c r="R4" s="55" t="s">
        <v>96</v>
      </c>
      <c r="S4" s="53" t="s">
        <v>76</v>
      </c>
      <c r="T4" s="57"/>
      <c r="U4" s="59" t="s">
        <v>94</v>
      </c>
      <c r="V4" s="55" t="s">
        <v>98</v>
      </c>
      <c r="W4" s="53" t="s">
        <v>99</v>
      </c>
      <c r="X4" s="53" t="s">
        <v>58</v>
      </c>
    </row>
    <row r="5" spans="1:24" ht="24">
      <c r="A5" s="19">
        <v>46305</v>
      </c>
      <c r="B5" s="22" t="s">
        <v>100</v>
      </c>
      <c r="C5" s="22" t="s">
        <v>101</v>
      </c>
      <c r="D5" s="22" t="s">
        <v>102</v>
      </c>
      <c r="E5" s="22" t="s">
        <v>104</v>
      </c>
      <c r="F5" s="22" t="s">
        <v>33</v>
      </c>
      <c r="G5" s="22" t="s">
        <v>34</v>
      </c>
      <c r="H5" s="22">
        <v>2351361</v>
      </c>
      <c r="I5" s="27" t="s">
        <v>105</v>
      </c>
      <c r="J5" s="22" t="s">
        <v>106</v>
      </c>
      <c r="K5" s="19">
        <v>46309</v>
      </c>
      <c r="L5" s="27" t="s">
        <v>107</v>
      </c>
      <c r="M5" s="29"/>
      <c r="N5" s="30" t="s">
        <v>108</v>
      </c>
      <c r="O5" s="30" t="s">
        <v>53</v>
      </c>
      <c r="P5" s="28" t="s">
        <v>109</v>
      </c>
      <c r="Q5" s="19">
        <v>46308</v>
      </c>
      <c r="R5" s="28" t="s">
        <v>110</v>
      </c>
      <c r="S5" s="30" t="s">
        <v>34</v>
      </c>
      <c r="T5" s="19">
        <v>46308</v>
      </c>
      <c r="U5" s="36" t="s">
        <v>109</v>
      </c>
      <c r="V5" s="29"/>
      <c r="W5" s="29"/>
      <c r="X5" s="30" t="s">
        <v>58</v>
      </c>
    </row>
    <row r="6" spans="1:24" ht="72">
      <c r="A6" s="45">
        <v>46308</v>
      </c>
      <c r="B6" s="46" t="s">
        <v>69</v>
      </c>
      <c r="C6" s="46" t="s">
        <v>72</v>
      </c>
      <c r="D6" s="46" t="s">
        <v>73</v>
      </c>
      <c r="E6" s="46" t="s">
        <v>62</v>
      </c>
      <c r="F6" s="46" t="s">
        <v>33</v>
      </c>
      <c r="G6" s="46" t="s">
        <v>76</v>
      </c>
      <c r="H6" s="46">
        <v>2353523</v>
      </c>
      <c r="I6" s="50" t="s">
        <v>78</v>
      </c>
      <c r="J6" s="46">
        <v>33</v>
      </c>
      <c r="K6" s="45">
        <v>46312</v>
      </c>
      <c r="L6" s="55" t="s">
        <v>82</v>
      </c>
      <c r="M6" s="51"/>
      <c r="N6" s="53" t="s">
        <v>86</v>
      </c>
      <c r="O6" s="54" t="s">
        <v>90</v>
      </c>
      <c r="P6" s="55" t="s">
        <v>94</v>
      </c>
      <c r="Q6" s="45">
        <v>46308</v>
      </c>
      <c r="R6" s="55" t="s">
        <v>96</v>
      </c>
      <c r="S6" s="53" t="s">
        <v>76</v>
      </c>
      <c r="T6" s="57"/>
      <c r="U6" s="59" t="s">
        <v>94</v>
      </c>
      <c r="V6" s="55" t="s">
        <v>98</v>
      </c>
      <c r="W6" s="53" t="s">
        <v>99</v>
      </c>
      <c r="X6" s="53" t="s">
        <v>58</v>
      </c>
    </row>
    <row r="7" spans="1:24" ht="24">
      <c r="A7" s="19">
        <v>46305</v>
      </c>
      <c r="B7" s="22" t="s">
        <v>100</v>
      </c>
      <c r="C7" s="22" t="s">
        <v>101</v>
      </c>
      <c r="D7" s="22" t="s">
        <v>102</v>
      </c>
      <c r="E7" s="22" t="s">
        <v>104</v>
      </c>
      <c r="F7" s="22" t="s">
        <v>33</v>
      </c>
      <c r="G7" s="22" t="s">
        <v>34</v>
      </c>
      <c r="H7" s="22">
        <v>2351361</v>
      </c>
      <c r="I7" s="27" t="s">
        <v>105</v>
      </c>
      <c r="J7" s="22" t="s">
        <v>106</v>
      </c>
      <c r="K7" s="19">
        <v>46309</v>
      </c>
      <c r="L7" s="28" t="s">
        <v>107</v>
      </c>
      <c r="M7" s="29"/>
      <c r="N7" s="30" t="s">
        <v>108</v>
      </c>
      <c r="O7" s="30" t="s">
        <v>53</v>
      </c>
      <c r="P7" s="28" t="s">
        <v>109</v>
      </c>
      <c r="Q7" s="19">
        <v>46308</v>
      </c>
      <c r="R7" s="28" t="s">
        <v>110</v>
      </c>
      <c r="S7" s="30" t="s">
        <v>34</v>
      </c>
      <c r="T7" s="19">
        <v>46308</v>
      </c>
      <c r="U7" s="36" t="s">
        <v>109</v>
      </c>
      <c r="V7" s="29"/>
      <c r="W7" s="29"/>
      <c r="X7" s="30" t="s">
        <v>58</v>
      </c>
    </row>
    <row r="8" spans="1:24" ht="36">
      <c r="A8" s="19">
        <v>46305</v>
      </c>
      <c r="B8" s="22" t="s">
        <v>100</v>
      </c>
      <c r="C8" s="22" t="s">
        <v>124</v>
      </c>
      <c r="D8" s="22" t="s">
        <v>125</v>
      </c>
      <c r="E8" s="22" t="s">
        <v>104</v>
      </c>
      <c r="F8" s="22" t="s">
        <v>33</v>
      </c>
      <c r="G8" s="22" t="s">
        <v>34</v>
      </c>
      <c r="H8" s="22">
        <v>2353546</v>
      </c>
      <c r="I8" s="27" t="s">
        <v>136</v>
      </c>
      <c r="J8" s="80"/>
      <c r="K8" s="81"/>
      <c r="L8" s="28" t="s">
        <v>138</v>
      </c>
      <c r="M8" s="29"/>
      <c r="N8" s="30" t="s">
        <v>108</v>
      </c>
      <c r="O8" s="30" t="s">
        <v>53</v>
      </c>
      <c r="P8" s="28" t="s">
        <v>111</v>
      </c>
      <c r="Q8" s="19">
        <v>46308</v>
      </c>
      <c r="R8" s="28" t="s">
        <v>139</v>
      </c>
      <c r="S8" s="30" t="s">
        <v>34</v>
      </c>
      <c r="T8" s="19">
        <v>46308</v>
      </c>
      <c r="U8" s="36" t="s">
        <v>111</v>
      </c>
      <c r="V8" s="29"/>
      <c r="W8" s="29"/>
      <c r="X8" s="30" t="s">
        <v>58</v>
      </c>
    </row>
    <row r="9" spans="1:24" ht="36">
      <c r="A9" s="19">
        <v>46305</v>
      </c>
      <c r="B9" s="22" t="s">
        <v>112</v>
      </c>
      <c r="C9" s="22" t="s">
        <v>142</v>
      </c>
      <c r="D9" s="22" t="s">
        <v>143</v>
      </c>
      <c r="E9" s="22" t="s">
        <v>104</v>
      </c>
      <c r="F9" s="22" t="s">
        <v>33</v>
      </c>
      <c r="G9" s="22" t="s">
        <v>34</v>
      </c>
      <c r="H9" s="22">
        <v>2348090</v>
      </c>
      <c r="I9" s="27" t="s">
        <v>146</v>
      </c>
      <c r="J9" s="22" t="s">
        <v>148</v>
      </c>
      <c r="K9" s="19">
        <v>46308</v>
      </c>
      <c r="L9" s="28" t="s">
        <v>149</v>
      </c>
      <c r="M9" s="29"/>
      <c r="N9" s="30" t="s">
        <v>108</v>
      </c>
      <c r="O9" s="30" t="s">
        <v>53</v>
      </c>
      <c r="P9" s="28" t="s">
        <v>55</v>
      </c>
      <c r="Q9" s="19">
        <v>46308</v>
      </c>
      <c r="R9" s="28" t="s">
        <v>151</v>
      </c>
      <c r="S9" s="30" t="s">
        <v>34</v>
      </c>
      <c r="T9" s="19">
        <v>46308</v>
      </c>
      <c r="U9" s="36" t="s">
        <v>55</v>
      </c>
      <c r="V9" s="29"/>
      <c r="W9" s="29"/>
      <c r="X9" s="30" t="s">
        <v>58</v>
      </c>
    </row>
    <row r="10" spans="1:24" ht="24">
      <c r="A10" s="19">
        <v>46305</v>
      </c>
      <c r="B10" s="22" t="s">
        <v>112</v>
      </c>
      <c r="C10" s="22" t="s">
        <v>153</v>
      </c>
      <c r="D10" s="22" t="s">
        <v>154</v>
      </c>
      <c r="E10" s="22" t="s">
        <v>104</v>
      </c>
      <c r="F10" s="22" t="s">
        <v>33</v>
      </c>
      <c r="G10" s="22" t="s">
        <v>34</v>
      </c>
      <c r="H10" s="22">
        <v>2351554</v>
      </c>
      <c r="I10" s="27" t="s">
        <v>157</v>
      </c>
      <c r="J10" s="22" t="s">
        <v>106</v>
      </c>
      <c r="K10" s="19">
        <v>46308</v>
      </c>
      <c r="L10" s="28" t="s">
        <v>161</v>
      </c>
      <c r="M10" s="29"/>
      <c r="N10" s="30" t="s">
        <v>108</v>
      </c>
      <c r="O10" s="30" t="s">
        <v>53</v>
      </c>
      <c r="P10" s="28" t="s">
        <v>162</v>
      </c>
      <c r="Q10" s="19">
        <v>46308</v>
      </c>
      <c r="R10" s="29"/>
      <c r="S10" s="30" t="s">
        <v>34</v>
      </c>
      <c r="T10" s="19">
        <v>46308</v>
      </c>
      <c r="U10" s="36" t="s">
        <v>55</v>
      </c>
      <c r="V10" s="28" t="s">
        <v>163</v>
      </c>
      <c r="W10" s="29"/>
      <c r="X10" s="30" t="s">
        <v>58</v>
      </c>
    </row>
    <row r="11" spans="1:24" ht="24">
      <c r="A11" s="19">
        <v>46305</v>
      </c>
      <c r="B11" s="22" t="s">
        <v>100</v>
      </c>
      <c r="C11" s="22" t="s">
        <v>164</v>
      </c>
      <c r="D11" s="22" t="s">
        <v>165</v>
      </c>
      <c r="E11" s="22" t="s">
        <v>31</v>
      </c>
      <c r="F11" s="22" t="s">
        <v>33</v>
      </c>
      <c r="G11" s="22" t="s">
        <v>34</v>
      </c>
      <c r="H11" s="22">
        <v>2351634</v>
      </c>
      <c r="I11" s="27" t="s">
        <v>167</v>
      </c>
      <c r="J11" s="80"/>
      <c r="K11" s="81"/>
      <c r="L11" s="28" t="s">
        <v>169</v>
      </c>
      <c r="M11" s="29"/>
      <c r="N11" s="30" t="s">
        <v>108</v>
      </c>
      <c r="O11" s="30" t="s">
        <v>53</v>
      </c>
      <c r="P11" s="28" t="s">
        <v>55</v>
      </c>
      <c r="Q11" s="19">
        <v>46308</v>
      </c>
      <c r="R11" s="28" t="s">
        <v>171</v>
      </c>
      <c r="S11" s="30" t="s">
        <v>34</v>
      </c>
      <c r="T11" s="19">
        <v>46308</v>
      </c>
      <c r="U11" s="36" t="s">
        <v>55</v>
      </c>
      <c r="V11" s="29"/>
      <c r="W11" s="29"/>
      <c r="X11" s="30" t="s">
        <v>58</v>
      </c>
    </row>
    <row r="12" spans="1:24" ht="36">
      <c r="A12" s="19">
        <v>46305</v>
      </c>
      <c r="B12" s="22" t="s">
        <v>100</v>
      </c>
      <c r="C12" s="22" t="s">
        <v>124</v>
      </c>
      <c r="D12" s="22" t="s">
        <v>125</v>
      </c>
      <c r="E12" s="22" t="s">
        <v>104</v>
      </c>
      <c r="F12" s="22" t="s">
        <v>33</v>
      </c>
      <c r="G12" s="22" t="s">
        <v>34</v>
      </c>
      <c r="H12" s="22">
        <v>2353546</v>
      </c>
      <c r="I12" s="27" t="s">
        <v>136</v>
      </c>
      <c r="J12" s="80"/>
      <c r="K12" s="81"/>
      <c r="L12" s="28" t="s">
        <v>138</v>
      </c>
      <c r="M12" s="29"/>
      <c r="N12" s="30" t="s">
        <v>108</v>
      </c>
      <c r="O12" s="30" t="s">
        <v>53</v>
      </c>
      <c r="P12" s="28" t="s">
        <v>111</v>
      </c>
      <c r="Q12" s="19">
        <v>46308</v>
      </c>
      <c r="R12" s="28" t="s">
        <v>139</v>
      </c>
      <c r="S12" s="30" t="s">
        <v>34</v>
      </c>
      <c r="T12" s="19">
        <v>46308</v>
      </c>
      <c r="U12" s="36" t="s">
        <v>111</v>
      </c>
      <c r="V12" s="29"/>
      <c r="W12" s="29"/>
      <c r="X12" s="30" t="s">
        <v>58</v>
      </c>
    </row>
    <row r="13" spans="1:24" ht="48">
      <c r="A13" s="19">
        <v>46305</v>
      </c>
      <c r="B13" s="22" t="s">
        <v>112</v>
      </c>
      <c r="C13" s="36" t="s">
        <v>182</v>
      </c>
      <c r="D13" s="22" t="s">
        <v>183</v>
      </c>
      <c r="E13" s="22" t="s">
        <v>104</v>
      </c>
      <c r="F13" s="22" t="s">
        <v>33</v>
      </c>
      <c r="G13" s="22" t="s">
        <v>34</v>
      </c>
      <c r="H13" s="22">
        <v>2352306</v>
      </c>
      <c r="I13" s="27" t="s">
        <v>184</v>
      </c>
      <c r="J13" s="22" t="s">
        <v>106</v>
      </c>
      <c r="K13" s="19">
        <v>46308</v>
      </c>
      <c r="L13" s="28" t="s">
        <v>186</v>
      </c>
      <c r="M13" s="29"/>
      <c r="N13" s="30" t="s">
        <v>108</v>
      </c>
      <c r="O13" s="30" t="s">
        <v>53</v>
      </c>
      <c r="P13" s="28" t="s">
        <v>55</v>
      </c>
      <c r="Q13" s="19">
        <v>46308</v>
      </c>
      <c r="R13" s="28" t="s">
        <v>190</v>
      </c>
      <c r="S13" s="30" t="s">
        <v>34</v>
      </c>
      <c r="T13" s="19">
        <v>46308</v>
      </c>
      <c r="U13" s="36" t="s">
        <v>55</v>
      </c>
      <c r="V13" s="29"/>
      <c r="W13" s="29"/>
      <c r="X13" s="30" t="s">
        <v>58</v>
      </c>
    </row>
    <row r="14" spans="1:24" ht="48">
      <c r="A14" s="19">
        <v>46305</v>
      </c>
      <c r="B14" s="22" t="s">
        <v>100</v>
      </c>
      <c r="C14" s="22" t="s">
        <v>101</v>
      </c>
      <c r="D14" s="22" t="s">
        <v>194</v>
      </c>
      <c r="E14" s="22" t="s">
        <v>104</v>
      </c>
      <c r="F14" s="22" t="s">
        <v>33</v>
      </c>
      <c r="G14" s="22" t="s">
        <v>34</v>
      </c>
      <c r="H14" s="22">
        <v>2353542</v>
      </c>
      <c r="I14" s="27" t="s">
        <v>195</v>
      </c>
      <c r="J14" s="22" t="s">
        <v>106</v>
      </c>
      <c r="K14" s="19">
        <v>46309</v>
      </c>
      <c r="L14" s="28" t="s">
        <v>196</v>
      </c>
      <c r="M14" s="29"/>
      <c r="N14" s="30" t="s">
        <v>108</v>
      </c>
      <c r="O14" s="30" t="s">
        <v>53</v>
      </c>
      <c r="P14" s="28" t="s">
        <v>109</v>
      </c>
      <c r="Q14" s="19">
        <v>46308</v>
      </c>
      <c r="R14" s="28" t="s">
        <v>110</v>
      </c>
      <c r="S14" s="30" t="s">
        <v>34</v>
      </c>
      <c r="T14" s="19">
        <v>46308</v>
      </c>
      <c r="U14" s="36" t="s">
        <v>109</v>
      </c>
      <c r="V14" s="29"/>
      <c r="W14" s="29"/>
      <c r="X14" s="30" t="s">
        <v>58</v>
      </c>
    </row>
    <row r="15" spans="1:24" ht="24">
      <c r="A15" s="94">
        <v>46308</v>
      </c>
      <c r="B15" s="96"/>
      <c r="C15" s="97" t="s">
        <v>201</v>
      </c>
      <c r="D15" s="98" t="s">
        <v>203</v>
      </c>
      <c r="E15" s="99"/>
      <c r="F15" s="59"/>
      <c r="G15" s="59" t="s">
        <v>34</v>
      </c>
      <c r="H15" s="97"/>
      <c r="I15" s="102" t="s">
        <v>206</v>
      </c>
      <c r="J15" s="103"/>
      <c r="K15" s="105"/>
      <c r="L15" s="106"/>
      <c r="M15" s="107"/>
      <c r="N15" s="108" t="s">
        <v>52</v>
      </c>
      <c r="O15" s="108" t="s">
        <v>53</v>
      </c>
      <c r="P15" s="107"/>
      <c r="Q15" s="19">
        <v>46308</v>
      </c>
      <c r="R15" s="107"/>
      <c r="S15" s="30" t="s">
        <v>34</v>
      </c>
      <c r="T15" s="19">
        <v>46308</v>
      </c>
      <c r="U15" s="108" t="s">
        <v>55</v>
      </c>
      <c r="V15" s="107"/>
      <c r="W15" s="107"/>
      <c r="X15" s="108" t="s">
        <v>213</v>
      </c>
    </row>
    <row r="16" spans="1:24" ht="12.75">
      <c r="A16" s="109"/>
      <c r="B16" s="96"/>
      <c r="C16" s="110"/>
      <c r="D16" s="110"/>
      <c r="E16" s="110"/>
      <c r="F16" s="111"/>
      <c r="G16" s="111"/>
      <c r="H16" s="97"/>
      <c r="I16" s="112"/>
      <c r="J16" s="114"/>
      <c r="K16" s="115"/>
      <c r="L16" s="106"/>
      <c r="M16" s="107"/>
      <c r="N16" s="107"/>
      <c r="O16" s="107"/>
      <c r="P16" s="107"/>
      <c r="Q16" s="107"/>
      <c r="R16" s="107"/>
      <c r="S16" s="107"/>
      <c r="T16" s="107"/>
      <c r="U16" s="107"/>
      <c r="V16" s="107"/>
      <c r="W16" s="107"/>
      <c r="X16" s="107"/>
    </row>
    <row r="17" spans="1:24">
      <c r="A17" s="94"/>
      <c r="B17" s="97"/>
      <c r="C17" s="116"/>
      <c r="D17" s="116"/>
      <c r="E17" s="110"/>
      <c r="F17" s="98"/>
      <c r="G17" s="111"/>
      <c r="H17" s="97"/>
      <c r="I17" s="112"/>
      <c r="J17" s="114"/>
      <c r="K17" s="115"/>
      <c r="L17" s="106"/>
      <c r="M17" s="107"/>
      <c r="N17" s="107"/>
      <c r="O17" s="107"/>
      <c r="P17" s="107"/>
      <c r="Q17" s="107"/>
      <c r="R17" s="107"/>
      <c r="S17" s="107"/>
      <c r="T17" s="107"/>
      <c r="U17" s="107"/>
      <c r="V17" s="107"/>
      <c r="W17" s="107"/>
      <c r="X17" s="107"/>
    </row>
    <row r="18" spans="1:24" ht="12.75">
      <c r="A18" s="109"/>
      <c r="B18" s="110"/>
      <c r="C18" s="110"/>
      <c r="D18" s="110"/>
      <c r="E18" s="110"/>
      <c r="F18" s="110"/>
      <c r="G18" s="110"/>
      <c r="H18" s="110"/>
      <c r="I18" s="117"/>
      <c r="J18" s="117"/>
      <c r="K18" s="55"/>
      <c r="L18" s="55"/>
      <c r="M18" s="107"/>
      <c r="N18" s="107"/>
      <c r="O18" s="107"/>
      <c r="P18" s="107"/>
      <c r="Q18" s="107"/>
      <c r="R18" s="107"/>
      <c r="S18" s="107"/>
      <c r="T18" s="107"/>
      <c r="U18" s="107"/>
      <c r="V18" s="107"/>
      <c r="W18" s="107"/>
      <c r="X18" s="107"/>
    </row>
    <row r="19" spans="1:24" ht="12.75">
      <c r="A19" s="109"/>
      <c r="B19" s="110"/>
      <c r="C19" s="110"/>
      <c r="D19" s="110"/>
      <c r="E19" s="110"/>
      <c r="F19" s="110"/>
      <c r="G19" s="110"/>
      <c r="H19" s="110"/>
      <c r="I19" s="118"/>
      <c r="J19" s="118"/>
      <c r="K19" s="107"/>
      <c r="L19" s="107"/>
      <c r="M19" s="107"/>
      <c r="N19" s="107"/>
      <c r="O19" s="107"/>
      <c r="P19" s="107"/>
      <c r="Q19" s="107"/>
      <c r="R19" s="107"/>
      <c r="S19" s="107"/>
      <c r="T19" s="107"/>
      <c r="U19" s="107"/>
      <c r="V19" s="107"/>
      <c r="W19" s="107"/>
      <c r="X19" s="107"/>
    </row>
    <row r="20" spans="1:24" ht="12.75">
      <c r="A20" s="109"/>
      <c r="B20" s="110"/>
      <c r="C20" s="110"/>
      <c r="D20" s="110"/>
      <c r="E20" s="110"/>
      <c r="F20" s="110"/>
      <c r="G20" s="110"/>
      <c r="H20" s="110"/>
      <c r="I20" s="118"/>
      <c r="J20" s="118"/>
      <c r="K20" s="107"/>
      <c r="L20" s="107"/>
      <c r="M20" s="107"/>
      <c r="N20" s="107"/>
      <c r="O20" s="107"/>
      <c r="P20" s="107"/>
      <c r="Q20" s="107"/>
      <c r="R20" s="107"/>
      <c r="S20" s="107"/>
      <c r="T20" s="107"/>
      <c r="U20" s="107"/>
      <c r="V20" s="107"/>
      <c r="W20" s="107"/>
      <c r="X20" s="107"/>
    </row>
    <row r="21" spans="1:24" ht="12.75">
      <c r="A21" s="109"/>
      <c r="B21" s="110"/>
      <c r="C21" s="110"/>
      <c r="D21" s="110"/>
      <c r="E21" s="110"/>
      <c r="F21" s="110"/>
      <c r="G21" s="110"/>
      <c r="H21" s="110"/>
      <c r="I21" s="118"/>
      <c r="J21" s="118"/>
      <c r="K21" s="107"/>
      <c r="L21" s="107"/>
      <c r="M21" s="107"/>
      <c r="N21" s="107"/>
      <c r="O21" s="107"/>
      <c r="P21" s="107"/>
      <c r="Q21" s="107"/>
      <c r="R21" s="107"/>
      <c r="S21" s="107"/>
      <c r="T21" s="107"/>
      <c r="U21" s="107"/>
      <c r="V21" s="107"/>
      <c r="W21" s="107"/>
      <c r="X21" s="107"/>
    </row>
    <row r="22" spans="1:24" ht="12.75">
      <c r="A22" s="109"/>
      <c r="B22" s="110"/>
      <c r="C22" s="110"/>
      <c r="D22" s="110"/>
      <c r="E22" s="110"/>
      <c r="F22" s="110"/>
      <c r="G22" s="110"/>
      <c r="H22" s="110"/>
      <c r="I22" s="118"/>
      <c r="J22" s="118"/>
      <c r="K22" s="107"/>
      <c r="L22" s="107"/>
      <c r="M22" s="107"/>
      <c r="N22" s="107"/>
      <c r="O22" s="107"/>
      <c r="P22" s="107"/>
      <c r="Q22" s="107"/>
      <c r="R22" s="107"/>
      <c r="S22" s="107"/>
      <c r="T22" s="107"/>
      <c r="U22" s="107"/>
      <c r="V22" s="107"/>
      <c r="W22" s="107"/>
      <c r="X22" s="107"/>
    </row>
    <row r="23" spans="1:24" ht="12.75">
      <c r="A23" s="109"/>
      <c r="B23" s="110"/>
      <c r="C23" s="110"/>
      <c r="D23" s="110"/>
      <c r="E23" s="110"/>
      <c r="F23" s="110"/>
      <c r="G23" s="110"/>
      <c r="H23" s="110"/>
      <c r="I23" s="118"/>
      <c r="J23" s="118"/>
      <c r="K23" s="107"/>
      <c r="L23" s="107"/>
      <c r="M23" s="107"/>
      <c r="N23" s="107"/>
      <c r="O23" s="107"/>
      <c r="P23" s="107"/>
      <c r="Q23" s="107"/>
      <c r="R23" s="107"/>
      <c r="S23" s="107"/>
      <c r="T23" s="107"/>
      <c r="U23" s="107"/>
      <c r="V23" s="107"/>
      <c r="W23" s="107"/>
      <c r="X23" s="107"/>
    </row>
    <row r="24" spans="1:24" ht="12.75">
      <c r="A24" s="109"/>
      <c r="B24" s="110"/>
      <c r="C24" s="110"/>
      <c r="D24" s="110"/>
      <c r="E24" s="110"/>
      <c r="F24" s="110"/>
      <c r="G24" s="110"/>
      <c r="H24" s="110"/>
      <c r="I24" s="118"/>
      <c r="J24" s="118"/>
      <c r="K24" s="107"/>
      <c r="L24" s="107"/>
      <c r="M24" s="107"/>
      <c r="N24" s="107"/>
      <c r="O24" s="107"/>
      <c r="P24" s="107"/>
      <c r="Q24" s="107"/>
      <c r="R24" s="107"/>
      <c r="S24" s="107"/>
      <c r="T24" s="107"/>
      <c r="U24" s="107"/>
      <c r="V24" s="107"/>
      <c r="W24" s="107"/>
      <c r="X24" s="107"/>
    </row>
    <row r="25" spans="1:24" ht="12.75">
      <c r="A25" s="109"/>
      <c r="B25" s="110"/>
      <c r="C25" s="110"/>
      <c r="D25" s="110"/>
      <c r="E25" s="110"/>
      <c r="F25" s="110"/>
      <c r="G25" s="110"/>
      <c r="H25" s="110"/>
      <c r="I25" s="118"/>
      <c r="J25" s="118"/>
      <c r="K25" s="107"/>
      <c r="L25" s="107"/>
      <c r="M25" s="107"/>
      <c r="N25" s="107"/>
      <c r="O25" s="107"/>
      <c r="P25" s="107"/>
      <c r="Q25" s="107"/>
      <c r="R25" s="107"/>
      <c r="S25" s="107"/>
      <c r="T25" s="107"/>
      <c r="U25" s="107"/>
      <c r="V25" s="107"/>
      <c r="W25" s="107"/>
      <c r="X25" s="107"/>
    </row>
    <row r="26" spans="1:24" ht="12.75">
      <c r="A26" s="109"/>
      <c r="B26" s="110"/>
      <c r="C26" s="110"/>
      <c r="D26" s="110"/>
      <c r="E26" s="110"/>
      <c r="F26" s="110"/>
      <c r="G26" s="110"/>
      <c r="H26" s="110"/>
      <c r="I26" s="118"/>
      <c r="J26" s="118"/>
      <c r="K26" s="107"/>
      <c r="L26" s="107"/>
      <c r="M26" s="107"/>
      <c r="N26" s="107"/>
      <c r="O26" s="107"/>
      <c r="P26" s="107"/>
      <c r="Q26" s="107"/>
      <c r="R26" s="107"/>
      <c r="S26" s="107"/>
      <c r="T26" s="107"/>
      <c r="U26" s="107"/>
      <c r="V26" s="107"/>
      <c r="W26" s="107"/>
      <c r="X26" s="107"/>
    </row>
    <row r="27" spans="1:24" ht="12.75">
      <c r="A27" s="109"/>
      <c r="B27" s="110"/>
      <c r="C27" s="110"/>
      <c r="D27" s="110"/>
      <c r="E27" s="110"/>
      <c r="F27" s="110"/>
      <c r="G27" s="110"/>
      <c r="H27" s="110"/>
      <c r="I27" s="118"/>
      <c r="J27" s="118"/>
      <c r="K27" s="107"/>
      <c r="L27" s="107"/>
      <c r="M27" s="107"/>
      <c r="N27" s="107"/>
      <c r="O27" s="107"/>
      <c r="P27" s="107"/>
      <c r="Q27" s="107"/>
      <c r="R27" s="107"/>
      <c r="S27" s="107"/>
      <c r="T27" s="107"/>
      <c r="U27" s="107"/>
      <c r="V27" s="107"/>
      <c r="W27" s="107"/>
      <c r="X27" s="107"/>
    </row>
    <row r="28" spans="1:24" ht="12.75">
      <c r="A28" s="109"/>
      <c r="B28" s="110"/>
      <c r="C28" s="110"/>
      <c r="D28" s="110"/>
      <c r="E28" s="110"/>
      <c r="F28" s="110"/>
      <c r="G28" s="110"/>
      <c r="H28" s="110"/>
      <c r="I28" s="118"/>
      <c r="J28" s="118"/>
      <c r="K28" s="107"/>
      <c r="L28" s="107"/>
      <c r="M28" s="107"/>
      <c r="N28" s="107"/>
      <c r="O28" s="107"/>
      <c r="P28" s="107"/>
      <c r="Q28" s="107"/>
      <c r="R28" s="107"/>
      <c r="S28" s="107"/>
      <c r="T28" s="107"/>
      <c r="U28" s="107"/>
      <c r="V28" s="107"/>
      <c r="W28" s="107"/>
      <c r="X28" s="107"/>
    </row>
    <row r="29" spans="1:24" ht="12.75">
      <c r="A29" s="109"/>
      <c r="B29" s="110"/>
      <c r="C29" s="110"/>
      <c r="D29" s="110"/>
      <c r="E29" s="110"/>
      <c r="F29" s="110"/>
      <c r="G29" s="110"/>
      <c r="H29" s="110"/>
      <c r="I29" s="118"/>
      <c r="J29" s="118"/>
      <c r="K29" s="107"/>
      <c r="L29" s="107"/>
      <c r="M29" s="107"/>
      <c r="N29" s="107"/>
      <c r="O29" s="107"/>
      <c r="P29" s="107"/>
      <c r="Q29" s="107"/>
      <c r="R29" s="107"/>
      <c r="S29" s="107"/>
      <c r="T29" s="107"/>
      <c r="U29" s="107"/>
      <c r="V29" s="107"/>
      <c r="W29" s="107"/>
      <c r="X29" s="107"/>
    </row>
    <row r="30" spans="1:24" ht="12.75">
      <c r="A30" s="109"/>
      <c r="B30" s="110"/>
      <c r="C30" s="110"/>
      <c r="D30" s="110"/>
      <c r="E30" s="110"/>
      <c r="F30" s="110"/>
      <c r="G30" s="110"/>
      <c r="H30" s="110"/>
      <c r="I30" s="118"/>
      <c r="J30" s="118"/>
      <c r="K30" s="107"/>
      <c r="L30" s="107"/>
      <c r="M30" s="107"/>
      <c r="N30" s="107"/>
      <c r="O30" s="107"/>
      <c r="P30" s="107"/>
      <c r="Q30" s="107"/>
      <c r="R30" s="107"/>
      <c r="S30" s="107"/>
      <c r="T30" s="107"/>
      <c r="U30" s="107"/>
      <c r="V30" s="107"/>
      <c r="W30" s="107"/>
      <c r="X30" s="107"/>
    </row>
    <row r="31" spans="1:24" ht="12.75">
      <c r="A31" s="109"/>
      <c r="B31" s="110"/>
      <c r="C31" s="110"/>
      <c r="D31" s="110"/>
      <c r="E31" s="110"/>
      <c r="F31" s="110"/>
      <c r="G31" s="110"/>
      <c r="H31" s="110"/>
      <c r="I31" s="118"/>
      <c r="J31" s="118"/>
      <c r="K31" s="107"/>
      <c r="L31" s="107"/>
      <c r="M31" s="107"/>
      <c r="N31" s="107"/>
      <c r="O31" s="107"/>
      <c r="P31" s="107"/>
      <c r="Q31" s="107"/>
      <c r="R31" s="107"/>
      <c r="S31" s="107"/>
      <c r="T31" s="107"/>
      <c r="U31" s="107"/>
      <c r="V31" s="107"/>
      <c r="W31" s="107"/>
      <c r="X31" s="107"/>
    </row>
    <row r="32" spans="1:24" ht="12.75">
      <c r="A32" s="109"/>
      <c r="B32" s="110"/>
      <c r="C32" s="110"/>
      <c r="D32" s="110"/>
      <c r="E32" s="110"/>
      <c r="F32" s="110"/>
      <c r="G32" s="110"/>
      <c r="H32" s="110"/>
      <c r="I32" s="118"/>
      <c r="J32" s="118"/>
      <c r="K32" s="107"/>
      <c r="L32" s="107"/>
      <c r="M32" s="107"/>
      <c r="N32" s="107"/>
      <c r="O32" s="107"/>
      <c r="P32" s="107"/>
      <c r="Q32" s="107"/>
      <c r="R32" s="107"/>
      <c r="S32" s="107"/>
      <c r="T32" s="107"/>
      <c r="U32" s="107"/>
      <c r="V32" s="107"/>
      <c r="W32" s="107"/>
      <c r="X32" s="107"/>
    </row>
    <row r="33" spans="1:24" ht="12.75">
      <c r="A33" s="109"/>
      <c r="B33" s="110"/>
      <c r="C33" s="110"/>
      <c r="D33" s="110"/>
      <c r="E33" s="110"/>
      <c r="F33" s="110"/>
      <c r="G33" s="110"/>
      <c r="H33" s="110"/>
      <c r="I33" s="118"/>
      <c r="J33" s="118"/>
      <c r="K33" s="107"/>
      <c r="L33" s="107"/>
      <c r="M33" s="107"/>
      <c r="N33" s="107"/>
      <c r="O33" s="107"/>
      <c r="P33" s="107"/>
      <c r="Q33" s="107"/>
      <c r="R33" s="107"/>
      <c r="S33" s="107"/>
      <c r="T33" s="107"/>
      <c r="U33" s="107"/>
      <c r="V33" s="107"/>
      <c r="W33" s="107"/>
      <c r="X33" s="107"/>
    </row>
    <row r="34" spans="1:24" ht="12.75">
      <c r="A34" s="109"/>
      <c r="B34" s="110"/>
      <c r="C34" s="110"/>
      <c r="D34" s="110"/>
      <c r="E34" s="110"/>
      <c r="F34" s="110"/>
      <c r="G34" s="110"/>
      <c r="H34" s="110"/>
      <c r="I34" s="118"/>
      <c r="J34" s="118"/>
      <c r="K34" s="107"/>
      <c r="L34" s="107"/>
      <c r="M34" s="107"/>
      <c r="N34" s="107"/>
      <c r="O34" s="107"/>
      <c r="P34" s="107"/>
      <c r="Q34" s="107"/>
      <c r="R34" s="107"/>
      <c r="S34" s="107"/>
      <c r="T34" s="107"/>
      <c r="U34" s="107"/>
      <c r="V34" s="107"/>
      <c r="W34" s="107"/>
      <c r="X34" s="107"/>
    </row>
    <row r="35" spans="1:24" ht="12.75">
      <c r="A35" s="109"/>
      <c r="B35" s="110"/>
      <c r="C35" s="110"/>
      <c r="D35" s="110"/>
      <c r="E35" s="110"/>
      <c r="F35" s="110"/>
      <c r="G35" s="110"/>
      <c r="H35" s="110"/>
      <c r="I35" s="118"/>
      <c r="J35" s="118"/>
      <c r="K35" s="107"/>
      <c r="L35" s="107"/>
      <c r="M35" s="107"/>
      <c r="N35" s="107"/>
      <c r="O35" s="107"/>
      <c r="P35" s="107"/>
      <c r="Q35" s="107"/>
      <c r="R35" s="107"/>
      <c r="S35" s="107"/>
      <c r="T35" s="107"/>
      <c r="U35" s="107"/>
      <c r="V35" s="107"/>
      <c r="W35" s="107"/>
      <c r="X35" s="107"/>
    </row>
    <row r="36" spans="1:24" ht="12.75">
      <c r="A36" s="109"/>
      <c r="B36" s="110"/>
      <c r="C36" s="110"/>
      <c r="D36" s="110"/>
      <c r="E36" s="110"/>
      <c r="F36" s="110"/>
      <c r="G36" s="110"/>
      <c r="H36" s="110"/>
      <c r="I36" s="118"/>
      <c r="J36" s="118"/>
      <c r="K36" s="107"/>
      <c r="L36" s="107"/>
      <c r="M36" s="107"/>
      <c r="N36" s="107"/>
      <c r="O36" s="107"/>
      <c r="P36" s="107"/>
      <c r="Q36" s="107"/>
      <c r="R36" s="107"/>
      <c r="S36" s="107"/>
      <c r="T36" s="107"/>
      <c r="U36" s="107"/>
      <c r="V36" s="107"/>
      <c r="W36" s="107"/>
      <c r="X36" s="107"/>
    </row>
    <row r="37" spans="1:24" ht="12.75">
      <c r="A37" s="109"/>
      <c r="B37" s="110"/>
      <c r="C37" s="110"/>
      <c r="D37" s="110"/>
      <c r="E37" s="110"/>
      <c r="F37" s="110"/>
      <c r="G37" s="110"/>
      <c r="H37" s="110"/>
      <c r="I37" s="118"/>
      <c r="J37" s="118"/>
      <c r="K37" s="107"/>
      <c r="L37" s="107"/>
      <c r="M37" s="107"/>
      <c r="N37" s="107"/>
      <c r="O37" s="107"/>
      <c r="P37" s="107"/>
      <c r="Q37" s="107"/>
      <c r="R37" s="107"/>
      <c r="S37" s="107"/>
      <c r="T37" s="107"/>
      <c r="U37" s="107"/>
      <c r="V37" s="107"/>
      <c r="W37" s="107"/>
      <c r="X37" s="107"/>
    </row>
    <row r="38" spans="1:24" ht="12.75">
      <c r="A38" s="109"/>
      <c r="B38" s="110"/>
      <c r="C38" s="110"/>
      <c r="D38" s="110"/>
      <c r="E38" s="110"/>
      <c r="F38" s="110"/>
      <c r="G38" s="110"/>
      <c r="H38" s="110"/>
      <c r="I38" s="118"/>
      <c r="J38" s="118"/>
      <c r="K38" s="107"/>
      <c r="L38" s="107"/>
      <c r="M38" s="107"/>
      <c r="N38" s="107"/>
      <c r="O38" s="107"/>
      <c r="P38" s="107"/>
      <c r="Q38" s="107"/>
      <c r="R38" s="107"/>
      <c r="S38" s="107"/>
      <c r="T38" s="107"/>
      <c r="U38" s="107"/>
      <c r="V38" s="107"/>
      <c r="W38" s="107"/>
      <c r="X38" s="107"/>
    </row>
    <row r="39" spans="1:24" ht="12.75">
      <c r="A39" s="109"/>
      <c r="B39" s="110"/>
      <c r="C39" s="110"/>
      <c r="D39" s="110"/>
      <c r="E39" s="110"/>
      <c r="F39" s="110"/>
      <c r="G39" s="110"/>
      <c r="H39" s="110"/>
      <c r="I39" s="118"/>
      <c r="J39" s="118"/>
      <c r="K39" s="107"/>
      <c r="L39" s="107"/>
      <c r="M39" s="107"/>
      <c r="N39" s="107"/>
      <c r="O39" s="107"/>
      <c r="P39" s="107"/>
      <c r="Q39" s="107"/>
      <c r="R39" s="107"/>
      <c r="S39" s="107"/>
      <c r="T39" s="107"/>
      <c r="U39" s="107"/>
      <c r="V39" s="107"/>
      <c r="W39" s="107"/>
      <c r="X39" s="107"/>
    </row>
    <row r="40" spans="1:24" ht="12.75">
      <c r="A40" s="109"/>
      <c r="B40" s="110"/>
      <c r="C40" s="110"/>
      <c r="D40" s="110"/>
      <c r="E40" s="110"/>
      <c r="F40" s="110"/>
      <c r="G40" s="110"/>
      <c r="H40" s="110"/>
      <c r="I40" s="118"/>
      <c r="J40" s="118"/>
      <c r="K40" s="107"/>
      <c r="L40" s="107"/>
      <c r="M40" s="107"/>
      <c r="N40" s="107"/>
      <c r="O40" s="107"/>
      <c r="P40" s="107"/>
      <c r="Q40" s="107"/>
      <c r="R40" s="107"/>
      <c r="S40" s="107"/>
      <c r="T40" s="107"/>
      <c r="U40" s="107"/>
      <c r="V40" s="107"/>
      <c r="W40" s="107"/>
      <c r="X40" s="107"/>
    </row>
    <row r="41" spans="1:24" ht="12.75">
      <c r="A41" s="109"/>
      <c r="B41" s="110"/>
      <c r="C41" s="110"/>
      <c r="D41" s="110"/>
      <c r="E41" s="110"/>
      <c r="F41" s="110"/>
      <c r="G41" s="110"/>
      <c r="H41" s="110"/>
      <c r="I41" s="118"/>
      <c r="J41" s="118"/>
      <c r="K41" s="107"/>
      <c r="L41" s="107"/>
      <c r="M41" s="107"/>
      <c r="N41" s="107"/>
      <c r="O41" s="107"/>
      <c r="P41" s="107"/>
      <c r="Q41" s="107"/>
      <c r="R41" s="107"/>
      <c r="S41" s="107"/>
      <c r="T41" s="107"/>
      <c r="U41" s="107"/>
      <c r="V41" s="107"/>
      <c r="W41" s="107"/>
      <c r="X41" s="107"/>
    </row>
    <row r="42" spans="1:24" ht="12.75">
      <c r="A42" s="109"/>
      <c r="B42" s="110"/>
      <c r="C42" s="110"/>
      <c r="D42" s="110"/>
      <c r="E42" s="110"/>
      <c r="F42" s="110"/>
      <c r="G42" s="110"/>
      <c r="H42" s="110"/>
      <c r="I42" s="118"/>
      <c r="J42" s="118"/>
      <c r="K42" s="107"/>
      <c r="L42" s="107"/>
      <c r="M42" s="107"/>
      <c r="N42" s="107"/>
      <c r="O42" s="107"/>
      <c r="P42" s="107"/>
      <c r="Q42" s="107"/>
      <c r="R42" s="107"/>
      <c r="S42" s="107"/>
      <c r="T42" s="107"/>
      <c r="U42" s="107"/>
      <c r="V42" s="107"/>
      <c r="W42" s="107"/>
      <c r="X42" s="107"/>
    </row>
    <row r="43" spans="1:24" ht="12.75">
      <c r="A43" s="109"/>
      <c r="B43" s="110"/>
      <c r="C43" s="110"/>
      <c r="D43" s="110"/>
      <c r="E43" s="110"/>
      <c r="F43" s="110"/>
      <c r="G43" s="110"/>
      <c r="H43" s="110"/>
      <c r="I43" s="118"/>
      <c r="J43" s="118"/>
      <c r="K43" s="107"/>
      <c r="L43" s="107"/>
      <c r="M43" s="107"/>
      <c r="N43" s="107"/>
      <c r="O43" s="107"/>
      <c r="P43" s="107"/>
      <c r="Q43" s="107"/>
      <c r="R43" s="107"/>
      <c r="S43" s="107"/>
      <c r="T43" s="107"/>
      <c r="U43" s="107"/>
      <c r="V43" s="107"/>
      <c r="W43" s="107"/>
      <c r="X43" s="107"/>
    </row>
    <row r="44" spans="1:24" ht="12.75">
      <c r="A44" s="109"/>
      <c r="B44" s="110"/>
      <c r="C44" s="110"/>
      <c r="D44" s="110"/>
      <c r="E44" s="110"/>
      <c r="F44" s="110"/>
      <c r="G44" s="110"/>
      <c r="H44" s="110"/>
      <c r="I44" s="118"/>
      <c r="J44" s="118"/>
      <c r="K44" s="107"/>
      <c r="L44" s="107"/>
      <c r="M44" s="107"/>
      <c r="N44" s="107"/>
      <c r="O44" s="107"/>
      <c r="P44" s="107"/>
      <c r="Q44" s="107"/>
      <c r="R44" s="107"/>
      <c r="S44" s="107"/>
      <c r="T44" s="107"/>
      <c r="U44" s="107"/>
      <c r="V44" s="107"/>
      <c r="W44" s="107"/>
      <c r="X44" s="107"/>
    </row>
    <row r="45" spans="1:24" ht="12.75">
      <c r="A45" s="109"/>
      <c r="B45" s="110"/>
      <c r="C45" s="110"/>
      <c r="D45" s="110"/>
      <c r="E45" s="110"/>
      <c r="F45" s="110"/>
      <c r="G45" s="110"/>
      <c r="H45" s="110"/>
      <c r="I45" s="118"/>
      <c r="J45" s="118"/>
      <c r="K45" s="107"/>
      <c r="L45" s="107"/>
      <c r="M45" s="107"/>
      <c r="N45" s="107"/>
      <c r="O45" s="107"/>
      <c r="P45" s="107"/>
      <c r="Q45" s="107"/>
      <c r="R45" s="107"/>
      <c r="S45" s="107"/>
      <c r="T45" s="107"/>
      <c r="U45" s="107"/>
      <c r="V45" s="107"/>
      <c r="W45" s="107"/>
      <c r="X45" s="107"/>
    </row>
    <row r="46" spans="1:24" ht="12.75">
      <c r="A46" s="109"/>
      <c r="B46" s="110"/>
      <c r="C46" s="110"/>
      <c r="D46" s="110"/>
      <c r="E46" s="110"/>
      <c r="F46" s="110"/>
      <c r="G46" s="110"/>
      <c r="H46" s="110"/>
      <c r="I46" s="118"/>
      <c r="J46" s="118"/>
      <c r="K46" s="107"/>
      <c r="L46" s="107"/>
      <c r="M46" s="107"/>
      <c r="N46" s="107"/>
      <c r="O46" s="107"/>
      <c r="P46" s="107"/>
      <c r="Q46" s="107"/>
      <c r="R46" s="107"/>
      <c r="S46" s="107"/>
      <c r="T46" s="107"/>
      <c r="U46" s="107"/>
      <c r="V46" s="107"/>
      <c r="W46" s="107"/>
      <c r="X46" s="107"/>
    </row>
    <row r="47" spans="1:24" ht="12.75">
      <c r="A47" s="109"/>
      <c r="B47" s="110"/>
      <c r="C47" s="110"/>
      <c r="D47" s="110"/>
      <c r="E47" s="110"/>
      <c r="F47" s="110"/>
      <c r="G47" s="110"/>
      <c r="H47" s="110"/>
      <c r="I47" s="118"/>
      <c r="J47" s="118"/>
      <c r="K47" s="107"/>
      <c r="L47" s="107"/>
      <c r="M47" s="107"/>
      <c r="N47" s="107"/>
      <c r="O47" s="107"/>
      <c r="P47" s="107"/>
      <c r="Q47" s="107"/>
      <c r="R47" s="107"/>
      <c r="S47" s="107"/>
      <c r="T47" s="107"/>
      <c r="U47" s="107"/>
      <c r="V47" s="107"/>
      <c r="W47" s="107"/>
      <c r="X47" s="107"/>
    </row>
    <row r="48" spans="1:24" ht="12.75">
      <c r="A48" s="109"/>
      <c r="B48" s="110"/>
      <c r="C48" s="110"/>
      <c r="D48" s="110"/>
      <c r="E48" s="110"/>
      <c r="F48" s="110"/>
      <c r="G48" s="110"/>
      <c r="H48" s="110"/>
      <c r="I48" s="118"/>
      <c r="J48" s="118"/>
      <c r="K48" s="107"/>
      <c r="L48" s="107"/>
      <c r="M48" s="107"/>
      <c r="N48" s="107"/>
      <c r="O48" s="107"/>
      <c r="P48" s="107"/>
      <c r="Q48" s="107"/>
      <c r="R48" s="107"/>
      <c r="S48" s="107"/>
      <c r="T48" s="107"/>
      <c r="U48" s="107"/>
      <c r="V48" s="107"/>
      <c r="W48" s="107"/>
      <c r="X48" s="107"/>
    </row>
    <row r="49" spans="1:24" ht="12.75">
      <c r="A49" s="109"/>
      <c r="B49" s="110"/>
      <c r="C49" s="110"/>
      <c r="D49" s="110"/>
      <c r="E49" s="110"/>
      <c r="F49" s="110"/>
      <c r="G49" s="110"/>
      <c r="H49" s="110"/>
      <c r="I49" s="118"/>
      <c r="J49" s="118"/>
      <c r="K49" s="107"/>
      <c r="L49" s="107"/>
      <c r="M49" s="107"/>
      <c r="N49" s="107"/>
      <c r="O49" s="107"/>
      <c r="P49" s="107"/>
      <c r="Q49" s="107"/>
      <c r="R49" s="107"/>
      <c r="S49" s="107"/>
      <c r="T49" s="107"/>
      <c r="U49" s="107"/>
      <c r="V49" s="107"/>
      <c r="W49" s="107"/>
      <c r="X49" s="107"/>
    </row>
    <row r="50" spans="1:24" ht="12.75">
      <c r="A50" s="109"/>
      <c r="B50" s="110"/>
      <c r="C50" s="110"/>
      <c r="D50" s="110"/>
      <c r="E50" s="110"/>
      <c r="F50" s="110"/>
      <c r="G50" s="110"/>
      <c r="H50" s="110"/>
      <c r="I50" s="118"/>
      <c r="J50" s="118"/>
      <c r="K50" s="107"/>
      <c r="L50" s="107"/>
      <c r="M50" s="107"/>
      <c r="N50" s="107"/>
      <c r="O50" s="107"/>
      <c r="P50" s="107"/>
      <c r="Q50" s="107"/>
      <c r="R50" s="107"/>
      <c r="S50" s="107"/>
      <c r="T50" s="107"/>
      <c r="U50" s="107"/>
      <c r="V50" s="107"/>
      <c r="W50" s="107"/>
      <c r="X50" s="107"/>
    </row>
    <row r="51" spans="1:24" ht="12.75">
      <c r="A51" s="109"/>
      <c r="B51" s="110"/>
      <c r="C51" s="110"/>
      <c r="D51" s="110"/>
      <c r="E51" s="110"/>
      <c r="F51" s="110"/>
      <c r="G51" s="110"/>
      <c r="H51" s="110"/>
      <c r="I51" s="118"/>
      <c r="J51" s="118"/>
      <c r="K51" s="107"/>
      <c r="L51" s="107"/>
      <c r="M51" s="107"/>
      <c r="N51" s="107"/>
      <c r="O51" s="107"/>
      <c r="P51" s="107"/>
      <c r="Q51" s="107"/>
      <c r="R51" s="107"/>
      <c r="S51" s="107"/>
      <c r="T51" s="107"/>
      <c r="U51" s="107"/>
      <c r="V51" s="107"/>
      <c r="W51" s="107"/>
      <c r="X51" s="107"/>
    </row>
    <row r="52" spans="1:24" ht="12.75">
      <c r="A52" s="109"/>
      <c r="B52" s="110"/>
      <c r="C52" s="110"/>
      <c r="D52" s="110"/>
      <c r="E52" s="110"/>
      <c r="F52" s="110"/>
      <c r="G52" s="110"/>
      <c r="H52" s="110"/>
      <c r="I52" s="118"/>
      <c r="J52" s="118"/>
      <c r="K52" s="107"/>
      <c r="L52" s="107"/>
      <c r="M52" s="107"/>
      <c r="N52" s="107"/>
      <c r="O52" s="107"/>
      <c r="P52" s="107"/>
      <c r="Q52" s="107"/>
      <c r="R52" s="107"/>
      <c r="S52" s="107"/>
      <c r="T52" s="107"/>
      <c r="U52" s="107"/>
      <c r="V52" s="107"/>
      <c r="W52" s="107"/>
      <c r="X52" s="107"/>
    </row>
    <row r="53" spans="1:24" ht="12.75">
      <c r="A53" s="109"/>
      <c r="B53" s="110"/>
      <c r="C53" s="110"/>
      <c r="D53" s="110"/>
      <c r="E53" s="110"/>
      <c r="F53" s="110"/>
      <c r="G53" s="110"/>
      <c r="H53" s="110"/>
      <c r="I53" s="118"/>
      <c r="J53" s="118"/>
      <c r="K53" s="107"/>
      <c r="L53" s="107"/>
      <c r="M53" s="107"/>
      <c r="N53" s="107"/>
      <c r="O53" s="107"/>
      <c r="P53" s="107"/>
      <c r="Q53" s="107"/>
      <c r="R53" s="107"/>
      <c r="S53" s="107"/>
      <c r="T53" s="107"/>
      <c r="U53" s="107"/>
      <c r="V53" s="107"/>
      <c r="W53" s="107"/>
      <c r="X53" s="107"/>
    </row>
    <row r="54" spans="1:24" ht="12.75">
      <c r="A54" s="109"/>
      <c r="B54" s="110"/>
      <c r="C54" s="110"/>
      <c r="D54" s="110"/>
      <c r="E54" s="110"/>
      <c r="F54" s="110"/>
      <c r="G54" s="110"/>
      <c r="H54" s="110"/>
      <c r="I54" s="118"/>
      <c r="J54" s="118"/>
      <c r="K54" s="107"/>
      <c r="L54" s="107"/>
      <c r="M54" s="107"/>
      <c r="N54" s="107"/>
      <c r="O54" s="107"/>
      <c r="P54" s="107"/>
      <c r="Q54" s="107"/>
      <c r="R54" s="107"/>
      <c r="S54" s="107"/>
      <c r="T54" s="107"/>
      <c r="U54" s="107"/>
      <c r="V54" s="107"/>
      <c r="W54" s="107"/>
      <c r="X54" s="107"/>
    </row>
    <row r="55" spans="1:24" ht="12.75">
      <c r="A55" s="109"/>
      <c r="B55" s="110"/>
      <c r="C55" s="110"/>
      <c r="D55" s="110"/>
      <c r="E55" s="110"/>
      <c r="F55" s="110"/>
      <c r="G55" s="110"/>
      <c r="H55" s="110"/>
      <c r="I55" s="118"/>
      <c r="J55" s="118"/>
      <c r="K55" s="107"/>
      <c r="L55" s="107"/>
      <c r="M55" s="107"/>
      <c r="N55" s="107"/>
      <c r="O55" s="107"/>
      <c r="P55" s="107"/>
      <c r="Q55" s="107"/>
      <c r="R55" s="107"/>
      <c r="S55" s="107"/>
      <c r="T55" s="107"/>
      <c r="U55" s="107"/>
      <c r="V55" s="107"/>
      <c r="W55" s="107"/>
      <c r="X55" s="107"/>
    </row>
    <row r="56" spans="1:24" ht="12.75">
      <c r="A56" s="109"/>
      <c r="B56" s="110"/>
      <c r="C56" s="110"/>
      <c r="D56" s="110"/>
      <c r="E56" s="110"/>
      <c r="F56" s="110"/>
      <c r="G56" s="110"/>
      <c r="H56" s="110"/>
      <c r="I56" s="118"/>
      <c r="J56" s="118"/>
      <c r="K56" s="107"/>
      <c r="L56" s="107"/>
      <c r="M56" s="107"/>
      <c r="N56" s="107"/>
      <c r="O56" s="107"/>
      <c r="P56" s="107"/>
      <c r="Q56" s="107"/>
      <c r="R56" s="107"/>
      <c r="S56" s="107"/>
      <c r="T56" s="107"/>
      <c r="U56" s="107"/>
      <c r="V56" s="107"/>
      <c r="W56" s="107"/>
      <c r="X56" s="107"/>
    </row>
    <row r="57" spans="1:24" ht="12.75">
      <c r="A57" s="109"/>
      <c r="B57" s="110"/>
      <c r="C57" s="110"/>
      <c r="D57" s="110"/>
      <c r="E57" s="110"/>
      <c r="F57" s="110"/>
      <c r="G57" s="110"/>
      <c r="H57" s="110"/>
      <c r="I57" s="118"/>
      <c r="J57" s="118"/>
      <c r="K57" s="107"/>
      <c r="L57" s="107"/>
      <c r="M57" s="107"/>
      <c r="N57" s="107"/>
      <c r="O57" s="107"/>
      <c r="P57" s="107"/>
      <c r="Q57" s="107"/>
      <c r="R57" s="107"/>
      <c r="S57" s="107"/>
      <c r="T57" s="107"/>
      <c r="U57" s="107"/>
      <c r="V57" s="107"/>
      <c r="W57" s="107"/>
      <c r="X57" s="107"/>
    </row>
    <row r="58" spans="1:24" ht="12.75">
      <c r="A58" s="109"/>
      <c r="B58" s="110"/>
      <c r="C58" s="110"/>
      <c r="D58" s="110"/>
      <c r="E58" s="110"/>
      <c r="F58" s="110"/>
      <c r="G58" s="110"/>
      <c r="H58" s="110"/>
      <c r="I58" s="118"/>
      <c r="J58" s="118"/>
      <c r="K58" s="107"/>
      <c r="L58" s="107"/>
      <c r="M58" s="107"/>
      <c r="N58" s="107"/>
      <c r="O58" s="107"/>
      <c r="P58" s="107"/>
      <c r="Q58" s="107"/>
      <c r="R58" s="107"/>
      <c r="S58" s="107"/>
      <c r="T58" s="107"/>
      <c r="U58" s="107"/>
      <c r="V58" s="107"/>
      <c r="W58" s="107"/>
      <c r="X58" s="107"/>
    </row>
    <row r="59" spans="1:24" ht="12.75">
      <c r="A59" s="109"/>
      <c r="B59" s="110"/>
      <c r="C59" s="110"/>
      <c r="D59" s="110"/>
      <c r="E59" s="110"/>
      <c r="F59" s="110"/>
      <c r="G59" s="110"/>
      <c r="H59" s="110"/>
      <c r="I59" s="118"/>
      <c r="J59" s="118"/>
      <c r="K59" s="107"/>
      <c r="L59" s="107"/>
      <c r="M59" s="107"/>
      <c r="N59" s="107"/>
      <c r="O59" s="107"/>
      <c r="P59" s="107"/>
      <c r="Q59" s="107"/>
      <c r="R59" s="107"/>
      <c r="S59" s="107"/>
      <c r="T59" s="107"/>
      <c r="U59" s="107"/>
      <c r="V59" s="107"/>
      <c r="W59" s="107"/>
      <c r="X59" s="107"/>
    </row>
    <row r="60" spans="1:24" ht="12.75">
      <c r="A60" s="109"/>
      <c r="B60" s="110"/>
      <c r="C60" s="110"/>
      <c r="D60" s="110"/>
      <c r="E60" s="110"/>
      <c r="F60" s="110"/>
      <c r="G60" s="110"/>
      <c r="H60" s="110"/>
      <c r="I60" s="118"/>
      <c r="J60" s="118"/>
      <c r="K60" s="107"/>
      <c r="L60" s="107"/>
      <c r="M60" s="107"/>
      <c r="N60" s="107"/>
      <c r="O60" s="107"/>
      <c r="P60" s="107"/>
      <c r="Q60" s="107"/>
      <c r="R60" s="107"/>
      <c r="S60" s="107"/>
      <c r="T60" s="107"/>
      <c r="U60" s="107"/>
      <c r="V60" s="107"/>
      <c r="W60" s="107"/>
      <c r="X60" s="107"/>
    </row>
    <row r="61" spans="1:24" ht="12.75">
      <c r="A61" s="109"/>
      <c r="B61" s="110"/>
      <c r="C61" s="110"/>
      <c r="D61" s="110"/>
      <c r="E61" s="110"/>
      <c r="F61" s="110"/>
      <c r="G61" s="110"/>
      <c r="H61" s="110"/>
      <c r="I61" s="118"/>
      <c r="J61" s="118"/>
      <c r="K61" s="107"/>
      <c r="L61" s="107"/>
      <c r="M61" s="107"/>
      <c r="N61" s="107"/>
      <c r="O61" s="107"/>
      <c r="P61" s="107"/>
      <c r="Q61" s="107"/>
      <c r="R61" s="107"/>
      <c r="S61" s="107"/>
      <c r="T61" s="107"/>
      <c r="U61" s="107"/>
      <c r="V61" s="107"/>
      <c r="W61" s="107"/>
      <c r="X61" s="107"/>
    </row>
    <row r="62" spans="1:24" ht="12.75">
      <c r="A62" s="109"/>
      <c r="B62" s="110"/>
      <c r="C62" s="110"/>
      <c r="D62" s="110"/>
      <c r="E62" s="110"/>
      <c r="F62" s="110"/>
      <c r="G62" s="110"/>
      <c r="H62" s="110"/>
      <c r="I62" s="118"/>
      <c r="J62" s="118"/>
      <c r="K62" s="107"/>
      <c r="L62" s="107"/>
      <c r="M62" s="107"/>
      <c r="N62" s="107"/>
      <c r="O62" s="107"/>
      <c r="P62" s="107"/>
      <c r="Q62" s="107"/>
      <c r="R62" s="107"/>
      <c r="S62" s="107"/>
      <c r="T62" s="107"/>
      <c r="U62" s="107"/>
      <c r="V62" s="107"/>
      <c r="W62" s="107"/>
      <c r="X62" s="107"/>
    </row>
    <row r="63" spans="1:24" ht="12.75">
      <c r="A63" s="109"/>
      <c r="B63" s="110"/>
      <c r="C63" s="110"/>
      <c r="D63" s="110"/>
      <c r="E63" s="110"/>
      <c r="F63" s="110"/>
      <c r="G63" s="110"/>
      <c r="H63" s="110"/>
      <c r="I63" s="118"/>
      <c r="J63" s="118"/>
      <c r="K63" s="107"/>
      <c r="L63" s="107"/>
      <c r="M63" s="107"/>
      <c r="N63" s="107"/>
      <c r="O63" s="107"/>
      <c r="P63" s="107"/>
      <c r="Q63" s="107"/>
      <c r="R63" s="107"/>
      <c r="S63" s="107"/>
      <c r="T63" s="107"/>
      <c r="U63" s="107"/>
      <c r="V63" s="107"/>
      <c r="W63" s="107"/>
      <c r="X63" s="107"/>
    </row>
    <row r="64" spans="1:24" ht="12.75">
      <c r="A64" s="109"/>
      <c r="B64" s="110"/>
      <c r="C64" s="110"/>
      <c r="D64" s="110"/>
      <c r="E64" s="110"/>
      <c r="F64" s="110"/>
      <c r="G64" s="110"/>
      <c r="H64" s="110"/>
      <c r="I64" s="118"/>
      <c r="J64" s="118"/>
      <c r="K64" s="107"/>
      <c r="L64" s="107"/>
      <c r="M64" s="107"/>
      <c r="N64" s="107"/>
      <c r="O64" s="107"/>
      <c r="P64" s="107"/>
      <c r="Q64" s="107"/>
      <c r="R64" s="107"/>
      <c r="S64" s="107"/>
      <c r="T64" s="107"/>
      <c r="U64" s="107"/>
      <c r="V64" s="107"/>
      <c r="W64" s="107"/>
      <c r="X64" s="107"/>
    </row>
    <row r="65" spans="1:24" ht="12.75">
      <c r="A65" s="109"/>
      <c r="B65" s="110"/>
      <c r="C65" s="110"/>
      <c r="D65" s="110"/>
      <c r="E65" s="110"/>
      <c r="F65" s="110"/>
      <c r="G65" s="110"/>
      <c r="H65" s="110"/>
      <c r="I65" s="118"/>
      <c r="J65" s="118"/>
      <c r="K65" s="107"/>
      <c r="L65" s="107"/>
      <c r="M65" s="107"/>
      <c r="N65" s="107"/>
      <c r="O65" s="107"/>
      <c r="P65" s="107"/>
      <c r="Q65" s="107"/>
      <c r="R65" s="107"/>
      <c r="S65" s="107"/>
      <c r="T65" s="107"/>
      <c r="U65" s="107"/>
      <c r="V65" s="107"/>
      <c r="W65" s="107"/>
      <c r="X65" s="107"/>
    </row>
    <row r="66" spans="1:24" ht="12.75">
      <c r="A66" s="109"/>
      <c r="B66" s="110"/>
      <c r="C66" s="110"/>
      <c r="D66" s="110"/>
      <c r="E66" s="110"/>
      <c r="F66" s="110"/>
      <c r="G66" s="110"/>
      <c r="H66" s="110"/>
      <c r="I66" s="118"/>
      <c r="J66" s="118"/>
      <c r="K66" s="107"/>
      <c r="L66" s="107"/>
      <c r="M66" s="107"/>
      <c r="N66" s="107"/>
      <c r="O66" s="107"/>
      <c r="P66" s="107"/>
      <c r="Q66" s="107"/>
      <c r="R66" s="107"/>
      <c r="S66" s="107"/>
      <c r="T66" s="107"/>
      <c r="U66" s="107"/>
      <c r="V66" s="107"/>
      <c r="W66" s="107"/>
      <c r="X66" s="107"/>
    </row>
    <row r="67" spans="1:24" ht="12.75">
      <c r="A67" s="109"/>
      <c r="B67" s="110"/>
      <c r="C67" s="110"/>
      <c r="D67" s="110"/>
      <c r="E67" s="110"/>
      <c r="F67" s="110"/>
      <c r="G67" s="110"/>
      <c r="H67" s="110"/>
      <c r="I67" s="118"/>
      <c r="J67" s="118"/>
      <c r="K67" s="107"/>
      <c r="L67" s="107"/>
      <c r="M67" s="107"/>
      <c r="N67" s="107"/>
      <c r="O67" s="107"/>
      <c r="P67" s="107"/>
      <c r="Q67" s="107"/>
      <c r="R67" s="107"/>
      <c r="S67" s="107"/>
      <c r="T67" s="107"/>
      <c r="U67" s="107"/>
      <c r="V67" s="107"/>
      <c r="W67" s="107"/>
      <c r="X67" s="107"/>
    </row>
    <row r="68" spans="1:24" ht="12.75">
      <c r="A68" s="109"/>
      <c r="B68" s="110"/>
      <c r="C68" s="110"/>
      <c r="D68" s="110"/>
      <c r="E68" s="110"/>
      <c r="F68" s="110"/>
      <c r="G68" s="110"/>
      <c r="H68" s="110"/>
      <c r="I68" s="118"/>
      <c r="J68" s="118"/>
      <c r="K68" s="107"/>
      <c r="L68" s="107"/>
      <c r="M68" s="107"/>
      <c r="N68" s="107"/>
      <c r="O68" s="107"/>
      <c r="P68" s="107"/>
      <c r="Q68" s="107"/>
      <c r="R68" s="107"/>
      <c r="S68" s="107"/>
      <c r="T68" s="107"/>
      <c r="U68" s="107"/>
      <c r="V68" s="107"/>
      <c r="W68" s="107"/>
      <c r="X68" s="107"/>
    </row>
    <row r="69" spans="1:24" ht="12.75">
      <c r="A69" s="109"/>
      <c r="B69" s="110"/>
      <c r="C69" s="110"/>
      <c r="D69" s="110"/>
      <c r="E69" s="110"/>
      <c r="F69" s="110"/>
      <c r="G69" s="110"/>
      <c r="H69" s="110"/>
      <c r="I69" s="118"/>
      <c r="J69" s="118"/>
      <c r="K69" s="107"/>
      <c r="L69" s="107"/>
      <c r="M69" s="107"/>
      <c r="N69" s="107"/>
      <c r="O69" s="107"/>
      <c r="P69" s="107"/>
      <c r="Q69" s="107"/>
      <c r="R69" s="107"/>
      <c r="S69" s="107"/>
      <c r="T69" s="107"/>
      <c r="U69" s="107"/>
      <c r="V69" s="107"/>
      <c r="W69" s="107"/>
      <c r="X69" s="107"/>
    </row>
    <row r="70" spans="1:24" ht="12.75">
      <c r="A70" s="109"/>
      <c r="B70" s="110"/>
      <c r="C70" s="110"/>
      <c r="D70" s="110"/>
      <c r="E70" s="110"/>
      <c r="F70" s="110"/>
      <c r="G70" s="110"/>
      <c r="H70" s="110"/>
      <c r="I70" s="118"/>
      <c r="J70" s="118"/>
      <c r="K70" s="107"/>
      <c r="L70" s="107"/>
      <c r="M70" s="107"/>
      <c r="N70" s="107"/>
      <c r="O70" s="107"/>
      <c r="P70" s="107"/>
      <c r="Q70" s="107"/>
      <c r="R70" s="107"/>
      <c r="S70" s="107"/>
      <c r="T70" s="107"/>
      <c r="U70" s="107"/>
      <c r="V70" s="107"/>
      <c r="W70" s="107"/>
      <c r="X70" s="107"/>
    </row>
    <row r="71" spans="1:24" ht="12.75">
      <c r="A71" s="109"/>
      <c r="B71" s="110"/>
      <c r="C71" s="110"/>
      <c r="D71" s="110"/>
      <c r="E71" s="110"/>
      <c r="F71" s="110"/>
      <c r="G71" s="110"/>
      <c r="H71" s="110"/>
      <c r="I71" s="118"/>
      <c r="J71" s="118"/>
      <c r="K71" s="107"/>
      <c r="L71" s="107"/>
      <c r="M71" s="107"/>
      <c r="N71" s="107"/>
      <c r="O71" s="107"/>
      <c r="P71" s="107"/>
      <c r="Q71" s="107"/>
      <c r="R71" s="107"/>
      <c r="S71" s="107"/>
      <c r="T71" s="107"/>
      <c r="U71" s="107"/>
      <c r="V71" s="107"/>
      <c r="W71" s="107"/>
      <c r="X71" s="107"/>
    </row>
    <row r="72" spans="1:24" ht="12.75">
      <c r="A72" s="109"/>
      <c r="B72" s="110"/>
      <c r="C72" s="110"/>
      <c r="D72" s="110"/>
      <c r="E72" s="110"/>
      <c r="F72" s="110"/>
      <c r="G72" s="110"/>
      <c r="H72" s="110"/>
      <c r="I72" s="118"/>
      <c r="J72" s="118"/>
      <c r="K72" s="107"/>
      <c r="L72" s="107"/>
      <c r="M72" s="107"/>
      <c r="N72" s="107"/>
      <c r="O72" s="107"/>
      <c r="P72" s="107"/>
      <c r="Q72" s="107"/>
      <c r="R72" s="107"/>
      <c r="S72" s="107"/>
      <c r="T72" s="107"/>
      <c r="U72" s="107"/>
      <c r="V72" s="107"/>
      <c r="W72" s="107"/>
      <c r="X72" s="107"/>
    </row>
    <row r="73" spans="1:24" ht="12.75">
      <c r="A73" s="109"/>
      <c r="B73" s="110"/>
      <c r="C73" s="110"/>
      <c r="D73" s="110"/>
      <c r="E73" s="110"/>
      <c r="F73" s="110"/>
      <c r="G73" s="110"/>
      <c r="H73" s="110"/>
      <c r="I73" s="118"/>
      <c r="J73" s="118"/>
      <c r="K73" s="107"/>
      <c r="L73" s="107"/>
      <c r="M73" s="107"/>
      <c r="N73" s="107"/>
      <c r="O73" s="107"/>
      <c r="P73" s="107"/>
      <c r="Q73" s="107"/>
      <c r="R73" s="107"/>
      <c r="S73" s="107"/>
      <c r="T73" s="107"/>
      <c r="U73" s="107"/>
      <c r="V73" s="107"/>
      <c r="W73" s="107"/>
      <c r="X73" s="107"/>
    </row>
    <row r="74" spans="1:24" ht="12.75">
      <c r="A74" s="109"/>
      <c r="B74" s="110"/>
      <c r="C74" s="110"/>
      <c r="D74" s="110"/>
      <c r="E74" s="110"/>
      <c r="F74" s="110"/>
      <c r="G74" s="110"/>
      <c r="H74" s="110"/>
      <c r="I74" s="118"/>
      <c r="J74" s="118"/>
      <c r="K74" s="107"/>
      <c r="L74" s="107"/>
      <c r="M74" s="107"/>
      <c r="N74" s="107"/>
      <c r="O74" s="107"/>
      <c r="P74" s="107"/>
      <c r="Q74" s="107"/>
      <c r="R74" s="107"/>
      <c r="S74" s="107"/>
      <c r="T74" s="107"/>
      <c r="U74" s="107"/>
      <c r="V74" s="107"/>
      <c r="W74" s="107"/>
      <c r="X74" s="107"/>
    </row>
    <row r="75" spans="1:24" ht="12.75">
      <c r="A75" s="109"/>
      <c r="B75" s="110"/>
      <c r="C75" s="110"/>
      <c r="D75" s="110"/>
      <c r="E75" s="110"/>
      <c r="F75" s="110"/>
      <c r="G75" s="110"/>
      <c r="H75" s="110"/>
      <c r="I75" s="118"/>
      <c r="J75" s="118"/>
      <c r="K75" s="107"/>
      <c r="L75" s="107"/>
      <c r="M75" s="107"/>
      <c r="N75" s="107"/>
      <c r="O75" s="107"/>
      <c r="P75" s="107"/>
      <c r="Q75" s="107"/>
      <c r="R75" s="107"/>
      <c r="S75" s="107"/>
      <c r="T75" s="107"/>
      <c r="U75" s="107"/>
      <c r="V75" s="107"/>
      <c r="W75" s="107"/>
      <c r="X75" s="107"/>
    </row>
    <row r="76" spans="1:24" ht="12.75">
      <c r="A76" s="109"/>
      <c r="B76" s="110"/>
      <c r="C76" s="110"/>
      <c r="D76" s="110"/>
      <c r="E76" s="110"/>
      <c r="F76" s="110"/>
      <c r="G76" s="110"/>
      <c r="H76" s="110"/>
      <c r="I76" s="118"/>
      <c r="J76" s="118"/>
      <c r="K76" s="107"/>
      <c r="L76" s="107"/>
      <c r="M76" s="107"/>
      <c r="N76" s="107"/>
      <c r="O76" s="107"/>
      <c r="P76" s="107"/>
      <c r="Q76" s="107"/>
      <c r="R76" s="107"/>
      <c r="S76" s="107"/>
      <c r="T76" s="107"/>
      <c r="U76" s="107"/>
      <c r="V76" s="107"/>
      <c r="W76" s="107"/>
      <c r="X76" s="107"/>
    </row>
    <row r="77" spans="1:24" ht="12.75">
      <c r="A77" s="109"/>
      <c r="B77" s="110"/>
      <c r="C77" s="110"/>
      <c r="D77" s="110"/>
      <c r="E77" s="110"/>
      <c r="F77" s="110"/>
      <c r="G77" s="110"/>
      <c r="H77" s="110"/>
      <c r="I77" s="118"/>
      <c r="J77" s="118"/>
      <c r="K77" s="107"/>
      <c r="L77" s="107"/>
      <c r="M77" s="107"/>
      <c r="N77" s="107"/>
      <c r="O77" s="107"/>
      <c r="P77" s="107"/>
      <c r="Q77" s="107"/>
      <c r="R77" s="107"/>
      <c r="S77" s="107"/>
      <c r="T77" s="107"/>
      <c r="U77" s="107"/>
      <c r="V77" s="107"/>
      <c r="W77" s="107"/>
      <c r="X77" s="107"/>
    </row>
    <row r="78" spans="1:24" ht="12.75">
      <c r="A78" s="109"/>
      <c r="B78" s="110"/>
      <c r="C78" s="110"/>
      <c r="D78" s="110"/>
      <c r="E78" s="110"/>
      <c r="F78" s="110"/>
      <c r="G78" s="110"/>
      <c r="H78" s="110"/>
      <c r="I78" s="118"/>
      <c r="J78" s="118"/>
      <c r="K78" s="107"/>
      <c r="L78" s="107"/>
      <c r="M78" s="107"/>
      <c r="N78" s="107"/>
      <c r="O78" s="107"/>
      <c r="P78" s="107"/>
      <c r="Q78" s="107"/>
      <c r="R78" s="107"/>
      <c r="S78" s="107"/>
      <c r="T78" s="107"/>
      <c r="U78" s="107"/>
      <c r="V78" s="107"/>
      <c r="W78" s="107"/>
      <c r="X78" s="107"/>
    </row>
    <row r="79" spans="1:24" ht="12.75">
      <c r="A79" s="109"/>
      <c r="B79" s="110"/>
      <c r="C79" s="110"/>
      <c r="D79" s="110"/>
      <c r="E79" s="110"/>
      <c r="F79" s="110"/>
      <c r="G79" s="110"/>
      <c r="H79" s="110"/>
      <c r="I79" s="118"/>
      <c r="J79" s="118"/>
      <c r="K79" s="107"/>
      <c r="L79" s="107"/>
      <c r="M79" s="107"/>
      <c r="N79" s="107"/>
      <c r="O79" s="107"/>
      <c r="P79" s="107"/>
      <c r="Q79" s="107"/>
      <c r="R79" s="107"/>
      <c r="S79" s="107"/>
      <c r="T79" s="107"/>
      <c r="U79" s="107"/>
      <c r="V79" s="107"/>
      <c r="W79" s="107"/>
      <c r="X79" s="107"/>
    </row>
    <row r="80" spans="1:24" ht="12.75">
      <c r="A80" s="109"/>
      <c r="B80" s="110"/>
      <c r="C80" s="110"/>
      <c r="D80" s="110"/>
      <c r="E80" s="110"/>
      <c r="F80" s="110"/>
      <c r="G80" s="110"/>
      <c r="H80" s="110"/>
      <c r="I80" s="118"/>
      <c r="J80" s="118"/>
      <c r="K80" s="107"/>
      <c r="L80" s="107"/>
      <c r="M80" s="107"/>
      <c r="N80" s="107"/>
      <c r="O80" s="107"/>
      <c r="P80" s="107"/>
      <c r="Q80" s="107"/>
      <c r="R80" s="107"/>
      <c r="S80" s="107"/>
      <c r="T80" s="107"/>
      <c r="U80" s="107"/>
      <c r="V80" s="107"/>
      <c r="W80" s="107"/>
      <c r="X80" s="107"/>
    </row>
    <row r="81" spans="1:24" ht="12.75">
      <c r="A81" s="109"/>
      <c r="B81" s="110"/>
      <c r="C81" s="110"/>
      <c r="D81" s="110"/>
      <c r="E81" s="110"/>
      <c r="F81" s="110"/>
      <c r="G81" s="110"/>
      <c r="H81" s="110"/>
      <c r="I81" s="118"/>
      <c r="J81" s="118"/>
      <c r="K81" s="107"/>
      <c r="L81" s="107"/>
      <c r="M81" s="107"/>
      <c r="N81" s="107"/>
      <c r="O81" s="107"/>
      <c r="P81" s="107"/>
      <c r="Q81" s="107"/>
      <c r="R81" s="107"/>
      <c r="S81" s="107"/>
      <c r="T81" s="107"/>
      <c r="U81" s="107"/>
      <c r="V81" s="107"/>
      <c r="W81" s="107"/>
      <c r="X81" s="107"/>
    </row>
    <row r="82" spans="1:24" ht="12.75">
      <c r="A82" s="109"/>
      <c r="B82" s="110"/>
      <c r="C82" s="110"/>
      <c r="D82" s="110"/>
      <c r="E82" s="110"/>
      <c r="F82" s="110"/>
      <c r="G82" s="110"/>
      <c r="H82" s="110"/>
      <c r="I82" s="118"/>
      <c r="J82" s="118"/>
      <c r="K82" s="107"/>
      <c r="L82" s="107"/>
      <c r="M82" s="107"/>
      <c r="N82" s="107"/>
      <c r="O82" s="107"/>
      <c r="P82" s="107"/>
      <c r="Q82" s="107"/>
      <c r="R82" s="107"/>
      <c r="S82" s="107"/>
      <c r="T82" s="107"/>
      <c r="U82" s="107"/>
      <c r="V82" s="107"/>
      <c r="W82" s="107"/>
      <c r="X82" s="107"/>
    </row>
    <row r="83" spans="1:24" ht="12.75">
      <c r="A83" s="109"/>
      <c r="B83" s="110"/>
      <c r="C83" s="110"/>
      <c r="D83" s="110"/>
      <c r="E83" s="110"/>
      <c r="F83" s="110"/>
      <c r="G83" s="110"/>
      <c r="H83" s="110"/>
      <c r="I83" s="118"/>
      <c r="J83" s="118"/>
      <c r="K83" s="107"/>
      <c r="L83" s="107"/>
      <c r="M83" s="107"/>
      <c r="N83" s="107"/>
      <c r="O83" s="107"/>
      <c r="P83" s="107"/>
      <c r="Q83" s="107"/>
      <c r="R83" s="107"/>
      <c r="S83" s="107"/>
      <c r="T83" s="107"/>
      <c r="U83" s="107"/>
      <c r="V83" s="107"/>
      <c r="W83" s="107"/>
      <c r="X83" s="107"/>
    </row>
    <row r="84" spans="1:24" ht="12.75">
      <c r="A84" s="109"/>
      <c r="B84" s="110"/>
      <c r="C84" s="110"/>
      <c r="D84" s="110"/>
      <c r="E84" s="110"/>
      <c r="F84" s="110"/>
      <c r="G84" s="110"/>
      <c r="H84" s="110"/>
      <c r="I84" s="118"/>
      <c r="J84" s="118"/>
      <c r="K84" s="107"/>
      <c r="L84" s="107"/>
      <c r="M84" s="107"/>
      <c r="N84" s="107"/>
      <c r="O84" s="107"/>
      <c r="P84" s="107"/>
      <c r="Q84" s="107"/>
      <c r="R84" s="107"/>
      <c r="S84" s="107"/>
      <c r="T84" s="107"/>
      <c r="U84" s="107"/>
      <c r="V84" s="107"/>
      <c r="W84" s="107"/>
      <c r="X84" s="107"/>
    </row>
    <row r="85" spans="1:24" ht="12.75">
      <c r="A85" s="109"/>
      <c r="B85" s="110"/>
      <c r="C85" s="110"/>
      <c r="D85" s="110"/>
      <c r="E85" s="110"/>
      <c r="F85" s="110"/>
      <c r="G85" s="110"/>
      <c r="H85" s="110"/>
      <c r="I85" s="118"/>
      <c r="J85" s="118"/>
      <c r="K85" s="107"/>
      <c r="L85" s="107"/>
      <c r="M85" s="107"/>
      <c r="N85" s="107"/>
      <c r="O85" s="107"/>
      <c r="P85" s="107"/>
      <c r="Q85" s="107"/>
      <c r="R85" s="107"/>
      <c r="S85" s="107"/>
      <c r="T85" s="107"/>
      <c r="U85" s="107"/>
      <c r="V85" s="107"/>
      <c r="W85" s="107"/>
      <c r="X85" s="107"/>
    </row>
    <row r="86" spans="1:24" ht="12.75">
      <c r="A86" s="109"/>
      <c r="B86" s="110"/>
      <c r="C86" s="110"/>
      <c r="D86" s="110"/>
      <c r="E86" s="110"/>
      <c r="F86" s="110"/>
      <c r="G86" s="110"/>
      <c r="H86" s="110"/>
      <c r="I86" s="118"/>
      <c r="J86" s="118"/>
      <c r="K86" s="107"/>
      <c r="L86" s="107"/>
      <c r="M86" s="107"/>
      <c r="N86" s="107"/>
      <c r="O86" s="107"/>
      <c r="P86" s="107"/>
      <c r="Q86" s="107"/>
      <c r="R86" s="107"/>
      <c r="S86" s="107"/>
      <c r="T86" s="107"/>
      <c r="U86" s="107"/>
      <c r="V86" s="107"/>
      <c r="W86" s="107"/>
      <c r="X86" s="107"/>
    </row>
    <row r="87" spans="1:24" ht="12.75">
      <c r="A87" s="109"/>
      <c r="B87" s="110"/>
      <c r="C87" s="110"/>
      <c r="D87" s="110"/>
      <c r="E87" s="110"/>
      <c r="F87" s="110"/>
      <c r="G87" s="110"/>
      <c r="H87" s="110"/>
      <c r="I87" s="118"/>
      <c r="J87" s="118"/>
      <c r="K87" s="107"/>
      <c r="L87" s="107"/>
      <c r="M87" s="107"/>
      <c r="N87" s="107"/>
      <c r="O87" s="107"/>
      <c r="P87" s="107"/>
      <c r="Q87" s="107"/>
      <c r="R87" s="107"/>
      <c r="S87" s="107"/>
      <c r="T87" s="107"/>
      <c r="U87" s="107"/>
      <c r="V87" s="107"/>
      <c r="W87" s="107"/>
      <c r="X87" s="107"/>
    </row>
    <row r="88" spans="1:24" ht="12.75">
      <c r="A88" s="109"/>
      <c r="B88" s="110"/>
      <c r="C88" s="110"/>
      <c r="D88" s="110"/>
      <c r="E88" s="110"/>
      <c r="F88" s="110"/>
      <c r="G88" s="110"/>
      <c r="H88" s="110"/>
      <c r="I88" s="118"/>
      <c r="J88" s="118"/>
      <c r="K88" s="107"/>
      <c r="L88" s="107"/>
      <c r="M88" s="107"/>
      <c r="N88" s="107"/>
      <c r="O88" s="107"/>
      <c r="P88" s="107"/>
      <c r="Q88" s="107"/>
      <c r="R88" s="107"/>
      <c r="S88" s="107"/>
      <c r="T88" s="107"/>
      <c r="U88" s="107"/>
      <c r="V88" s="107"/>
      <c r="W88" s="107"/>
      <c r="X88" s="107"/>
    </row>
    <row r="89" spans="1:24" ht="12.75">
      <c r="A89" s="109"/>
      <c r="B89" s="110"/>
      <c r="C89" s="110"/>
      <c r="D89" s="110"/>
      <c r="E89" s="110"/>
      <c r="F89" s="110"/>
      <c r="G89" s="110"/>
      <c r="H89" s="110"/>
      <c r="I89" s="118"/>
      <c r="J89" s="118"/>
      <c r="K89" s="107"/>
      <c r="L89" s="107"/>
      <c r="M89" s="107"/>
      <c r="N89" s="107"/>
      <c r="O89" s="107"/>
      <c r="P89" s="107"/>
      <c r="Q89" s="107"/>
      <c r="R89" s="107"/>
      <c r="S89" s="107"/>
      <c r="T89" s="107"/>
      <c r="U89" s="107"/>
      <c r="V89" s="107"/>
      <c r="W89" s="107"/>
      <c r="X89" s="107"/>
    </row>
    <row r="90" spans="1:24" ht="12.75">
      <c r="A90" s="109"/>
      <c r="B90" s="110"/>
      <c r="C90" s="110"/>
      <c r="D90" s="110"/>
      <c r="E90" s="110"/>
      <c r="F90" s="110"/>
      <c r="G90" s="110"/>
      <c r="H90" s="110"/>
      <c r="I90" s="118"/>
      <c r="J90" s="118"/>
      <c r="K90" s="107"/>
      <c r="L90" s="107"/>
      <c r="M90" s="107"/>
      <c r="N90" s="107"/>
      <c r="O90" s="107"/>
      <c r="P90" s="107"/>
      <c r="Q90" s="107"/>
      <c r="R90" s="107"/>
      <c r="S90" s="107"/>
      <c r="T90" s="107"/>
      <c r="U90" s="107"/>
      <c r="V90" s="107"/>
      <c r="W90" s="107"/>
      <c r="X90" s="107"/>
    </row>
    <row r="91" spans="1:24" ht="12.75">
      <c r="A91" s="109"/>
      <c r="B91" s="110"/>
      <c r="C91" s="110"/>
      <c r="D91" s="110"/>
      <c r="E91" s="110"/>
      <c r="F91" s="110"/>
      <c r="G91" s="110"/>
      <c r="H91" s="110"/>
      <c r="I91" s="118"/>
      <c r="J91" s="118"/>
      <c r="K91" s="107"/>
      <c r="L91" s="107"/>
      <c r="M91" s="107"/>
      <c r="N91" s="107"/>
      <c r="O91" s="107"/>
      <c r="P91" s="107"/>
      <c r="Q91" s="107"/>
      <c r="R91" s="107"/>
      <c r="S91" s="107"/>
      <c r="T91" s="107"/>
      <c r="U91" s="107"/>
      <c r="V91" s="107"/>
      <c r="W91" s="107"/>
      <c r="X91" s="107"/>
    </row>
    <row r="92" spans="1:24" ht="12.75">
      <c r="A92" s="109"/>
      <c r="B92" s="110"/>
      <c r="C92" s="110"/>
      <c r="D92" s="110"/>
      <c r="E92" s="110"/>
      <c r="F92" s="110"/>
      <c r="G92" s="110"/>
      <c r="H92" s="110"/>
      <c r="I92" s="118"/>
      <c r="J92" s="118"/>
      <c r="K92" s="107"/>
      <c r="L92" s="107"/>
      <c r="M92" s="107"/>
      <c r="N92" s="107"/>
      <c r="O92" s="107"/>
      <c r="P92" s="107"/>
      <c r="Q92" s="107"/>
      <c r="R92" s="107"/>
      <c r="S92" s="107"/>
      <c r="T92" s="107"/>
      <c r="U92" s="107"/>
      <c r="V92" s="107"/>
      <c r="W92" s="107"/>
      <c r="X92" s="107"/>
    </row>
    <row r="93" spans="1:24" ht="12.75">
      <c r="A93" s="109"/>
      <c r="B93" s="110"/>
      <c r="C93" s="110"/>
      <c r="D93" s="110"/>
      <c r="E93" s="110"/>
      <c r="F93" s="110"/>
      <c r="G93" s="110"/>
      <c r="H93" s="110"/>
      <c r="I93" s="118"/>
      <c r="J93" s="118"/>
      <c r="K93" s="107"/>
      <c r="L93" s="107"/>
      <c r="M93" s="107"/>
      <c r="N93" s="107"/>
      <c r="O93" s="107"/>
      <c r="P93" s="107"/>
      <c r="Q93" s="107"/>
      <c r="R93" s="107"/>
      <c r="S93" s="107"/>
      <c r="T93" s="107"/>
      <c r="U93" s="107"/>
      <c r="V93" s="107"/>
      <c r="W93" s="107"/>
      <c r="X93" s="107"/>
    </row>
    <row r="94" spans="1:24" ht="12.75">
      <c r="A94" s="109"/>
      <c r="B94" s="110"/>
      <c r="C94" s="110"/>
      <c r="D94" s="110"/>
      <c r="E94" s="110"/>
      <c r="F94" s="110"/>
      <c r="G94" s="110"/>
      <c r="H94" s="110"/>
      <c r="I94" s="118"/>
      <c r="J94" s="118"/>
      <c r="K94" s="107"/>
      <c r="L94" s="107"/>
      <c r="M94" s="107"/>
      <c r="N94" s="107"/>
      <c r="O94" s="107"/>
      <c r="P94" s="107"/>
      <c r="Q94" s="107"/>
      <c r="R94" s="107"/>
      <c r="S94" s="107"/>
      <c r="T94" s="107"/>
      <c r="U94" s="107"/>
      <c r="V94" s="107"/>
      <c r="W94" s="107"/>
      <c r="X94" s="107"/>
    </row>
    <row r="95" spans="1:24" ht="12.75">
      <c r="A95" s="109"/>
      <c r="B95" s="110"/>
      <c r="C95" s="110"/>
      <c r="D95" s="110"/>
      <c r="E95" s="110"/>
      <c r="F95" s="110"/>
      <c r="G95" s="110"/>
      <c r="H95" s="110"/>
      <c r="I95" s="118"/>
      <c r="J95" s="118"/>
      <c r="K95" s="107"/>
      <c r="L95" s="107"/>
      <c r="M95" s="107"/>
      <c r="N95" s="107"/>
      <c r="O95" s="107"/>
      <c r="P95" s="107"/>
      <c r="Q95" s="107"/>
      <c r="R95" s="107"/>
      <c r="S95" s="107"/>
      <c r="T95" s="107"/>
      <c r="U95" s="107"/>
      <c r="V95" s="107"/>
      <c r="W95" s="107"/>
      <c r="X95" s="107"/>
    </row>
    <row r="96" spans="1:24" ht="12.75">
      <c r="A96" s="109"/>
      <c r="B96" s="110"/>
      <c r="C96" s="110"/>
      <c r="D96" s="110"/>
      <c r="E96" s="110"/>
      <c r="F96" s="110"/>
      <c r="G96" s="110"/>
      <c r="H96" s="110"/>
      <c r="I96" s="118"/>
      <c r="J96" s="118"/>
      <c r="K96" s="107"/>
      <c r="L96" s="107"/>
      <c r="M96" s="107"/>
      <c r="N96" s="107"/>
      <c r="O96" s="107"/>
      <c r="P96" s="107"/>
      <c r="Q96" s="107"/>
      <c r="R96" s="107"/>
      <c r="S96" s="107"/>
      <c r="T96" s="107"/>
      <c r="U96" s="107"/>
      <c r="V96" s="107"/>
      <c r="W96" s="107"/>
      <c r="X96" s="107"/>
    </row>
    <row r="97" spans="1:24" ht="12.75">
      <c r="A97" s="109"/>
      <c r="B97" s="110"/>
      <c r="C97" s="110"/>
      <c r="D97" s="110"/>
      <c r="E97" s="110"/>
      <c r="F97" s="110"/>
      <c r="G97" s="110"/>
      <c r="H97" s="110"/>
      <c r="I97" s="118"/>
      <c r="J97" s="118"/>
      <c r="K97" s="107"/>
      <c r="L97" s="107"/>
      <c r="M97" s="107"/>
      <c r="N97" s="107"/>
      <c r="O97" s="107"/>
      <c r="P97" s="107"/>
      <c r="Q97" s="107"/>
      <c r="R97" s="107"/>
      <c r="S97" s="107"/>
      <c r="T97" s="107"/>
      <c r="U97" s="107"/>
      <c r="V97" s="107"/>
      <c r="W97" s="107"/>
      <c r="X97" s="107"/>
    </row>
    <row r="98" spans="1:24" ht="12.75">
      <c r="A98" s="109"/>
      <c r="B98" s="110"/>
      <c r="C98" s="110"/>
      <c r="D98" s="110"/>
      <c r="E98" s="110"/>
      <c r="F98" s="110"/>
      <c r="G98" s="110"/>
      <c r="H98" s="110"/>
      <c r="I98" s="118"/>
      <c r="J98" s="118"/>
      <c r="K98" s="107"/>
      <c r="L98" s="107"/>
      <c r="M98" s="107"/>
      <c r="N98" s="107"/>
      <c r="O98" s="107"/>
      <c r="P98" s="107"/>
      <c r="Q98" s="107"/>
      <c r="R98" s="107"/>
      <c r="S98" s="107"/>
      <c r="T98" s="107"/>
      <c r="U98" s="107"/>
      <c r="V98" s="107"/>
      <c r="W98" s="107"/>
      <c r="X98" s="107"/>
    </row>
    <row r="99" spans="1:24" ht="12.75">
      <c r="A99" s="109"/>
      <c r="B99" s="110"/>
      <c r="C99" s="110"/>
      <c r="D99" s="110"/>
      <c r="E99" s="110"/>
      <c r="F99" s="110"/>
      <c r="G99" s="110"/>
      <c r="H99" s="110"/>
      <c r="I99" s="118"/>
      <c r="J99" s="118"/>
      <c r="K99" s="107"/>
      <c r="L99" s="107"/>
      <c r="M99" s="107"/>
      <c r="N99" s="107"/>
      <c r="O99" s="107"/>
      <c r="P99" s="107"/>
      <c r="Q99" s="107"/>
      <c r="R99" s="107"/>
      <c r="S99" s="107"/>
      <c r="T99" s="107"/>
      <c r="U99" s="107"/>
      <c r="V99" s="107"/>
      <c r="W99" s="107"/>
      <c r="X99" s="107"/>
    </row>
    <row r="100" spans="1:24" ht="12.75">
      <c r="A100" s="109"/>
      <c r="B100" s="110"/>
      <c r="C100" s="110"/>
      <c r="D100" s="110"/>
      <c r="E100" s="110"/>
      <c r="F100" s="110"/>
      <c r="G100" s="110"/>
      <c r="H100" s="110"/>
      <c r="I100" s="118"/>
      <c r="J100" s="118"/>
      <c r="K100" s="107"/>
      <c r="L100" s="107"/>
      <c r="M100" s="107"/>
      <c r="N100" s="107"/>
      <c r="O100" s="107"/>
      <c r="P100" s="107"/>
      <c r="Q100" s="107"/>
      <c r="R100" s="107"/>
      <c r="S100" s="107"/>
      <c r="T100" s="107"/>
      <c r="U100" s="107"/>
      <c r="V100" s="107"/>
      <c r="W100" s="107"/>
      <c r="X100" s="107"/>
    </row>
    <row r="101" spans="1:24" ht="12.75">
      <c r="A101" s="109"/>
      <c r="B101" s="110"/>
      <c r="C101" s="110"/>
      <c r="D101" s="110"/>
      <c r="E101" s="110"/>
      <c r="F101" s="110"/>
      <c r="G101" s="110"/>
      <c r="H101" s="110"/>
      <c r="I101" s="118"/>
      <c r="J101" s="118"/>
      <c r="K101" s="107"/>
      <c r="L101" s="107"/>
      <c r="M101" s="107"/>
      <c r="N101" s="107"/>
      <c r="O101" s="107"/>
      <c r="P101" s="107"/>
      <c r="Q101" s="107"/>
      <c r="R101" s="107"/>
      <c r="S101" s="107"/>
      <c r="T101" s="107"/>
      <c r="U101" s="107"/>
      <c r="V101" s="107"/>
      <c r="W101" s="107"/>
      <c r="X101" s="107"/>
    </row>
    <row r="102" spans="1:24" ht="12.75">
      <c r="A102" s="109"/>
      <c r="B102" s="110"/>
      <c r="C102" s="110"/>
      <c r="D102" s="110"/>
      <c r="E102" s="110"/>
      <c r="F102" s="110"/>
      <c r="G102" s="110"/>
      <c r="H102" s="110"/>
      <c r="I102" s="118"/>
      <c r="J102" s="118"/>
      <c r="K102" s="107"/>
      <c r="L102" s="107"/>
      <c r="M102" s="107"/>
      <c r="N102" s="107"/>
      <c r="O102" s="107"/>
      <c r="P102" s="107"/>
      <c r="Q102" s="107"/>
      <c r="R102" s="107"/>
      <c r="S102" s="107"/>
      <c r="T102" s="107"/>
      <c r="U102" s="107"/>
      <c r="V102" s="107"/>
      <c r="W102" s="107"/>
      <c r="X102" s="107"/>
    </row>
    <row r="103" spans="1:24" ht="12.75">
      <c r="A103" s="109"/>
      <c r="B103" s="110"/>
      <c r="C103" s="110"/>
      <c r="D103" s="110"/>
      <c r="E103" s="110"/>
      <c r="F103" s="110"/>
      <c r="G103" s="110"/>
      <c r="H103" s="110"/>
      <c r="I103" s="118"/>
      <c r="J103" s="118"/>
      <c r="K103" s="107"/>
      <c r="L103" s="107"/>
      <c r="M103" s="107"/>
      <c r="N103" s="107"/>
      <c r="O103" s="107"/>
      <c r="P103" s="107"/>
      <c r="Q103" s="107"/>
      <c r="R103" s="107"/>
      <c r="S103" s="107"/>
      <c r="T103" s="107"/>
      <c r="U103" s="107"/>
      <c r="V103" s="107"/>
      <c r="W103" s="107"/>
      <c r="X103" s="107"/>
    </row>
    <row r="104" spans="1:24" ht="12.75">
      <c r="A104" s="109"/>
      <c r="B104" s="110"/>
      <c r="C104" s="110"/>
      <c r="D104" s="110"/>
      <c r="E104" s="110"/>
      <c r="F104" s="110"/>
      <c r="G104" s="110"/>
      <c r="H104" s="110"/>
      <c r="I104" s="118"/>
      <c r="J104" s="118"/>
      <c r="K104" s="107"/>
      <c r="L104" s="107"/>
      <c r="M104" s="107"/>
      <c r="N104" s="107"/>
      <c r="O104" s="107"/>
      <c r="P104" s="107"/>
      <c r="Q104" s="107"/>
      <c r="R104" s="107"/>
      <c r="S104" s="107"/>
      <c r="T104" s="107"/>
      <c r="U104" s="107"/>
      <c r="V104" s="107"/>
      <c r="W104" s="107"/>
      <c r="X104" s="107"/>
    </row>
    <row r="105" spans="1:24" ht="12.75">
      <c r="A105" s="109"/>
      <c r="B105" s="110"/>
      <c r="C105" s="110"/>
      <c r="D105" s="110"/>
      <c r="E105" s="110"/>
      <c r="F105" s="110"/>
      <c r="G105" s="110"/>
      <c r="H105" s="110"/>
      <c r="I105" s="118"/>
      <c r="J105" s="118"/>
      <c r="K105" s="107"/>
      <c r="L105" s="107"/>
      <c r="M105" s="107"/>
      <c r="N105" s="107"/>
      <c r="O105" s="107"/>
      <c r="P105" s="107"/>
      <c r="Q105" s="107"/>
      <c r="R105" s="107"/>
      <c r="S105" s="107"/>
      <c r="T105" s="107"/>
      <c r="U105" s="107"/>
      <c r="V105" s="107"/>
      <c r="W105" s="107"/>
      <c r="X105" s="107"/>
    </row>
    <row r="106" spans="1:24" ht="12.75">
      <c r="A106" s="109"/>
      <c r="B106" s="110"/>
      <c r="C106" s="110"/>
      <c r="D106" s="110"/>
      <c r="E106" s="110"/>
      <c r="F106" s="110"/>
      <c r="G106" s="110"/>
      <c r="H106" s="110"/>
      <c r="I106" s="118"/>
      <c r="J106" s="118"/>
      <c r="K106" s="107"/>
      <c r="L106" s="107"/>
      <c r="M106" s="107"/>
      <c r="N106" s="107"/>
      <c r="O106" s="107"/>
      <c r="P106" s="107"/>
      <c r="Q106" s="107"/>
      <c r="R106" s="107"/>
      <c r="S106" s="107"/>
      <c r="T106" s="107"/>
      <c r="U106" s="107"/>
      <c r="V106" s="107"/>
      <c r="W106" s="107"/>
      <c r="X106" s="107"/>
    </row>
    <row r="107" spans="1:24" ht="12.75">
      <c r="A107" s="109"/>
      <c r="B107" s="110"/>
      <c r="C107" s="110"/>
      <c r="D107" s="110"/>
      <c r="E107" s="110"/>
      <c r="F107" s="110"/>
      <c r="G107" s="110"/>
      <c r="H107" s="110"/>
      <c r="I107" s="118"/>
      <c r="J107" s="118"/>
      <c r="K107" s="107"/>
      <c r="L107" s="107"/>
      <c r="M107" s="107"/>
      <c r="N107" s="107"/>
      <c r="O107" s="107"/>
      <c r="P107" s="107"/>
      <c r="Q107" s="107"/>
      <c r="R107" s="107"/>
      <c r="S107" s="107"/>
      <c r="T107" s="107"/>
      <c r="U107" s="107"/>
      <c r="V107" s="107"/>
      <c r="W107" s="107"/>
      <c r="X107" s="107"/>
    </row>
    <row r="108" spans="1:24" ht="12.75">
      <c r="A108" s="109"/>
      <c r="B108" s="110"/>
      <c r="C108" s="110"/>
      <c r="D108" s="110"/>
      <c r="E108" s="110"/>
      <c r="F108" s="110"/>
      <c r="G108" s="110"/>
      <c r="H108" s="110"/>
      <c r="I108" s="118"/>
      <c r="J108" s="118"/>
      <c r="K108" s="107"/>
      <c r="L108" s="107"/>
      <c r="M108" s="107"/>
      <c r="N108" s="107"/>
      <c r="O108" s="107"/>
      <c r="P108" s="107"/>
      <c r="Q108" s="107"/>
      <c r="R108" s="107"/>
      <c r="S108" s="107"/>
      <c r="T108" s="107"/>
      <c r="U108" s="107"/>
      <c r="V108" s="107"/>
      <c r="W108" s="107"/>
      <c r="X108" s="107"/>
    </row>
    <row r="109" spans="1:24" ht="12.75">
      <c r="A109" s="109"/>
      <c r="B109" s="110"/>
      <c r="C109" s="110"/>
      <c r="D109" s="110"/>
      <c r="E109" s="110"/>
      <c r="F109" s="110"/>
      <c r="G109" s="110"/>
      <c r="H109" s="110"/>
      <c r="I109" s="118"/>
      <c r="J109" s="118"/>
      <c r="K109" s="107"/>
      <c r="L109" s="107"/>
      <c r="M109" s="107"/>
      <c r="N109" s="107"/>
      <c r="O109" s="107"/>
      <c r="P109" s="107"/>
      <c r="Q109" s="107"/>
      <c r="R109" s="107"/>
      <c r="S109" s="107"/>
      <c r="T109" s="107"/>
      <c r="U109" s="107"/>
      <c r="V109" s="107"/>
      <c r="W109" s="107"/>
      <c r="X109" s="107"/>
    </row>
    <row r="110" spans="1:24" ht="12.75">
      <c r="A110" s="109"/>
      <c r="B110" s="110"/>
      <c r="C110" s="110"/>
      <c r="D110" s="110"/>
      <c r="E110" s="110"/>
      <c r="F110" s="110"/>
      <c r="G110" s="110"/>
      <c r="H110" s="110"/>
      <c r="I110" s="118"/>
      <c r="J110" s="118"/>
      <c r="K110" s="107"/>
      <c r="L110" s="107"/>
      <c r="M110" s="107"/>
      <c r="N110" s="107"/>
      <c r="O110" s="107"/>
      <c r="P110" s="107"/>
      <c r="Q110" s="107"/>
      <c r="R110" s="107"/>
      <c r="S110" s="107"/>
      <c r="T110" s="107"/>
      <c r="U110" s="107"/>
      <c r="V110" s="107"/>
      <c r="W110" s="107"/>
      <c r="X110" s="107"/>
    </row>
    <row r="111" spans="1:24" ht="12.75">
      <c r="A111" s="109"/>
      <c r="B111" s="110"/>
      <c r="C111" s="110"/>
      <c r="D111" s="110"/>
      <c r="E111" s="110"/>
      <c r="F111" s="110"/>
      <c r="G111" s="110"/>
      <c r="H111" s="110"/>
      <c r="I111" s="118"/>
      <c r="J111" s="118"/>
      <c r="K111" s="107"/>
      <c r="L111" s="107"/>
      <c r="M111" s="107"/>
      <c r="N111" s="107"/>
      <c r="O111" s="107"/>
      <c r="P111" s="107"/>
      <c r="Q111" s="107"/>
      <c r="R111" s="107"/>
      <c r="S111" s="107"/>
      <c r="T111" s="107"/>
      <c r="U111" s="107"/>
      <c r="V111" s="107"/>
      <c r="W111" s="107"/>
      <c r="X111" s="107"/>
    </row>
    <row r="112" spans="1:24" ht="12.75">
      <c r="A112" s="109"/>
      <c r="B112" s="110"/>
      <c r="C112" s="110"/>
      <c r="D112" s="110"/>
      <c r="E112" s="110"/>
      <c r="F112" s="110"/>
      <c r="G112" s="110"/>
      <c r="H112" s="110"/>
      <c r="I112" s="118"/>
      <c r="J112" s="118"/>
      <c r="K112" s="107"/>
      <c r="L112" s="107"/>
      <c r="M112" s="107"/>
      <c r="N112" s="107"/>
      <c r="O112" s="107"/>
      <c r="P112" s="107"/>
      <c r="Q112" s="107"/>
      <c r="R112" s="107"/>
      <c r="S112" s="107"/>
      <c r="T112" s="107"/>
      <c r="U112" s="107"/>
      <c r="V112" s="107"/>
      <c r="W112" s="107"/>
      <c r="X112" s="107"/>
    </row>
    <row r="113" spans="1:24" ht="12.75">
      <c r="A113" s="109"/>
      <c r="B113" s="110"/>
      <c r="C113" s="110"/>
      <c r="D113" s="110"/>
      <c r="E113" s="110"/>
      <c r="F113" s="110"/>
      <c r="G113" s="110"/>
      <c r="H113" s="110"/>
      <c r="I113" s="118"/>
      <c r="J113" s="118"/>
      <c r="K113" s="107"/>
      <c r="L113" s="107"/>
      <c r="M113" s="107"/>
      <c r="N113" s="107"/>
      <c r="O113" s="107"/>
      <c r="P113" s="107"/>
      <c r="Q113" s="107"/>
      <c r="R113" s="107"/>
      <c r="S113" s="107"/>
      <c r="T113" s="107"/>
      <c r="U113" s="107"/>
      <c r="V113" s="107"/>
      <c r="W113" s="107"/>
      <c r="X113" s="107"/>
    </row>
    <row r="114" spans="1:24" ht="12.75">
      <c r="A114" s="109"/>
      <c r="B114" s="110"/>
      <c r="C114" s="110"/>
      <c r="D114" s="110"/>
      <c r="E114" s="110"/>
      <c r="F114" s="110"/>
      <c r="G114" s="110"/>
      <c r="H114" s="110"/>
      <c r="I114" s="118"/>
      <c r="J114" s="118"/>
      <c r="K114" s="107"/>
      <c r="L114" s="107"/>
      <c r="M114" s="107"/>
      <c r="N114" s="107"/>
      <c r="O114" s="107"/>
      <c r="P114" s="107"/>
      <c r="Q114" s="107"/>
      <c r="R114" s="107"/>
      <c r="S114" s="107"/>
      <c r="T114" s="107"/>
      <c r="U114" s="107"/>
      <c r="V114" s="107"/>
      <c r="W114" s="107"/>
      <c r="X114" s="107"/>
    </row>
    <row r="115" spans="1:24" ht="12.75">
      <c r="A115" s="109"/>
      <c r="B115" s="110"/>
      <c r="C115" s="110"/>
      <c r="D115" s="110"/>
      <c r="E115" s="110"/>
      <c r="F115" s="110"/>
      <c r="G115" s="110"/>
      <c r="H115" s="110"/>
      <c r="I115" s="118"/>
      <c r="J115" s="118"/>
      <c r="K115" s="107"/>
      <c r="L115" s="107"/>
      <c r="M115" s="107"/>
      <c r="N115" s="107"/>
      <c r="O115" s="107"/>
      <c r="P115" s="107"/>
      <c r="Q115" s="107"/>
      <c r="R115" s="107"/>
      <c r="S115" s="107"/>
      <c r="T115" s="107"/>
      <c r="U115" s="107"/>
      <c r="V115" s="107"/>
      <c r="W115" s="107"/>
      <c r="X115" s="107"/>
    </row>
    <row r="116" spans="1:24" ht="12.75">
      <c r="A116" s="109"/>
      <c r="B116" s="110"/>
      <c r="C116" s="110"/>
      <c r="D116" s="110"/>
      <c r="E116" s="110"/>
      <c r="F116" s="110"/>
      <c r="G116" s="110"/>
      <c r="H116" s="110"/>
      <c r="I116" s="118"/>
      <c r="J116" s="118"/>
      <c r="K116" s="107"/>
      <c r="L116" s="107"/>
      <c r="M116" s="107"/>
      <c r="N116" s="107"/>
      <c r="O116" s="107"/>
      <c r="P116" s="107"/>
      <c r="Q116" s="107"/>
      <c r="R116" s="107"/>
      <c r="S116" s="107"/>
      <c r="T116" s="107"/>
      <c r="U116" s="107"/>
      <c r="V116" s="107"/>
      <c r="W116" s="107"/>
      <c r="X116" s="107"/>
    </row>
    <row r="117" spans="1:24" ht="12.75">
      <c r="A117" s="109"/>
      <c r="B117" s="110"/>
      <c r="C117" s="110"/>
      <c r="D117" s="110"/>
      <c r="E117" s="110"/>
      <c r="F117" s="110"/>
      <c r="G117" s="110"/>
      <c r="H117" s="110"/>
      <c r="I117" s="118"/>
      <c r="J117" s="118"/>
      <c r="K117" s="107"/>
      <c r="L117" s="107"/>
      <c r="M117" s="107"/>
      <c r="N117" s="107"/>
      <c r="O117" s="107"/>
      <c r="P117" s="107"/>
      <c r="Q117" s="107"/>
      <c r="R117" s="107"/>
      <c r="S117" s="107"/>
      <c r="T117" s="107"/>
      <c r="U117" s="107"/>
      <c r="V117" s="107"/>
      <c r="W117" s="107"/>
      <c r="X117" s="107"/>
    </row>
    <row r="118" spans="1:24" ht="12.75">
      <c r="A118" s="109"/>
      <c r="B118" s="110"/>
      <c r="C118" s="110"/>
      <c r="D118" s="110"/>
      <c r="E118" s="110"/>
      <c r="F118" s="110"/>
      <c r="G118" s="110"/>
      <c r="H118" s="110"/>
      <c r="I118" s="118"/>
      <c r="J118" s="118"/>
      <c r="K118" s="107"/>
      <c r="L118" s="107"/>
      <c r="M118" s="107"/>
      <c r="N118" s="107"/>
      <c r="O118" s="107"/>
      <c r="P118" s="107"/>
      <c r="Q118" s="107"/>
      <c r="R118" s="107"/>
      <c r="S118" s="107"/>
      <c r="T118" s="107"/>
      <c r="U118" s="107"/>
      <c r="V118" s="107"/>
      <c r="W118" s="107"/>
      <c r="X118" s="107"/>
    </row>
    <row r="119" spans="1:24" ht="12.75">
      <c r="A119" s="109"/>
      <c r="B119" s="110"/>
      <c r="C119" s="110"/>
      <c r="D119" s="110"/>
      <c r="E119" s="110"/>
      <c r="F119" s="110"/>
      <c r="G119" s="110"/>
      <c r="H119" s="110"/>
      <c r="I119" s="118"/>
      <c r="J119" s="118"/>
      <c r="K119" s="107"/>
      <c r="L119" s="107"/>
      <c r="M119" s="107"/>
      <c r="N119" s="107"/>
      <c r="O119" s="107"/>
      <c r="P119" s="107"/>
      <c r="Q119" s="107"/>
      <c r="R119" s="107"/>
      <c r="S119" s="107"/>
      <c r="T119" s="107"/>
      <c r="U119" s="107"/>
      <c r="V119" s="107"/>
      <c r="W119" s="107"/>
      <c r="X119" s="107"/>
    </row>
    <row r="120" spans="1:24" ht="12.75">
      <c r="A120" s="109"/>
      <c r="B120" s="110"/>
      <c r="C120" s="110"/>
      <c r="D120" s="110"/>
      <c r="E120" s="110"/>
      <c r="F120" s="110"/>
      <c r="G120" s="110"/>
      <c r="H120" s="110"/>
      <c r="I120" s="118"/>
      <c r="J120" s="118"/>
      <c r="K120" s="107"/>
      <c r="L120" s="107"/>
      <c r="M120" s="107"/>
      <c r="N120" s="107"/>
      <c r="O120" s="107"/>
      <c r="P120" s="107"/>
      <c r="Q120" s="107"/>
      <c r="R120" s="107"/>
      <c r="S120" s="107"/>
      <c r="T120" s="107"/>
      <c r="U120" s="107"/>
      <c r="V120" s="107"/>
      <c r="W120" s="107"/>
      <c r="X120" s="107"/>
    </row>
    <row r="121" spans="1:24" ht="12.75">
      <c r="A121" s="109"/>
      <c r="B121" s="110"/>
      <c r="C121" s="110"/>
      <c r="D121" s="110"/>
      <c r="E121" s="110"/>
      <c r="F121" s="110"/>
      <c r="G121" s="110"/>
      <c r="H121" s="110"/>
      <c r="I121" s="118"/>
      <c r="J121" s="118"/>
      <c r="K121" s="107"/>
      <c r="L121" s="107"/>
      <c r="M121" s="107"/>
      <c r="N121" s="107"/>
      <c r="O121" s="107"/>
      <c r="P121" s="107"/>
      <c r="Q121" s="107"/>
      <c r="R121" s="107"/>
      <c r="S121" s="107"/>
      <c r="T121" s="107"/>
      <c r="U121" s="107"/>
      <c r="V121" s="107"/>
      <c r="W121" s="107"/>
      <c r="X121" s="107"/>
    </row>
    <row r="122" spans="1:24" ht="12.75">
      <c r="A122" s="109"/>
      <c r="B122" s="110"/>
      <c r="C122" s="110"/>
      <c r="D122" s="110"/>
      <c r="E122" s="110"/>
      <c r="F122" s="110"/>
      <c r="G122" s="110"/>
      <c r="H122" s="110"/>
      <c r="I122" s="118"/>
      <c r="J122" s="118"/>
      <c r="K122" s="107"/>
      <c r="L122" s="107"/>
      <c r="M122" s="107"/>
      <c r="N122" s="107"/>
      <c r="O122" s="107"/>
      <c r="P122" s="107"/>
      <c r="Q122" s="107"/>
      <c r="R122" s="107"/>
      <c r="S122" s="107"/>
      <c r="T122" s="107"/>
      <c r="U122" s="107"/>
      <c r="V122" s="107"/>
      <c r="W122" s="107"/>
      <c r="X122" s="107"/>
    </row>
    <row r="123" spans="1:24" ht="12.75">
      <c r="A123" s="109"/>
      <c r="B123" s="110"/>
      <c r="C123" s="110"/>
      <c r="D123" s="110"/>
      <c r="E123" s="110"/>
      <c r="F123" s="110"/>
      <c r="G123" s="110"/>
      <c r="H123" s="110"/>
      <c r="I123" s="118"/>
      <c r="J123" s="118"/>
      <c r="K123" s="107"/>
      <c r="L123" s="107"/>
      <c r="M123" s="107"/>
      <c r="N123" s="107"/>
      <c r="O123" s="107"/>
      <c r="P123" s="107"/>
      <c r="Q123" s="107"/>
      <c r="R123" s="107"/>
      <c r="S123" s="107"/>
      <c r="T123" s="107"/>
      <c r="U123" s="107"/>
      <c r="V123" s="107"/>
      <c r="W123" s="107"/>
      <c r="X123" s="107"/>
    </row>
    <row r="124" spans="1:24" ht="12.75">
      <c r="A124" s="109"/>
      <c r="B124" s="110"/>
      <c r="C124" s="110"/>
      <c r="D124" s="110"/>
      <c r="E124" s="110"/>
      <c r="F124" s="110"/>
      <c r="G124" s="110"/>
      <c r="H124" s="110"/>
      <c r="I124" s="118"/>
      <c r="J124" s="118"/>
      <c r="K124" s="107"/>
      <c r="L124" s="107"/>
      <c r="M124" s="107"/>
      <c r="N124" s="107"/>
      <c r="O124" s="107"/>
      <c r="P124" s="107"/>
      <c r="Q124" s="107"/>
      <c r="R124" s="107"/>
      <c r="S124" s="107"/>
      <c r="T124" s="107"/>
      <c r="U124" s="107"/>
      <c r="V124" s="107"/>
      <c r="W124" s="107"/>
      <c r="X124" s="107"/>
    </row>
    <row r="125" spans="1:24" ht="12.75">
      <c r="A125" s="109"/>
      <c r="B125" s="110"/>
      <c r="C125" s="110"/>
      <c r="D125" s="110"/>
      <c r="E125" s="110"/>
      <c r="F125" s="110"/>
      <c r="G125" s="110"/>
      <c r="H125" s="110"/>
      <c r="I125" s="118"/>
      <c r="J125" s="118"/>
      <c r="K125" s="107"/>
      <c r="L125" s="107"/>
      <c r="M125" s="107"/>
      <c r="N125" s="107"/>
      <c r="O125" s="107"/>
      <c r="P125" s="107"/>
      <c r="Q125" s="107"/>
      <c r="R125" s="107"/>
      <c r="S125" s="107"/>
      <c r="T125" s="107"/>
      <c r="U125" s="107"/>
      <c r="V125" s="107"/>
      <c r="W125" s="107"/>
      <c r="X125" s="107"/>
    </row>
    <row r="126" spans="1:24" ht="12.75">
      <c r="A126" s="109"/>
      <c r="B126" s="110"/>
      <c r="C126" s="110"/>
      <c r="D126" s="110"/>
      <c r="E126" s="110"/>
      <c r="F126" s="110"/>
      <c r="G126" s="110"/>
      <c r="H126" s="110"/>
      <c r="I126" s="118"/>
      <c r="J126" s="118"/>
      <c r="K126" s="107"/>
      <c r="L126" s="107"/>
      <c r="M126" s="107"/>
      <c r="N126" s="107"/>
      <c r="O126" s="107"/>
      <c r="P126" s="107"/>
      <c r="Q126" s="107"/>
      <c r="R126" s="107"/>
      <c r="S126" s="107"/>
      <c r="T126" s="107"/>
      <c r="U126" s="107"/>
      <c r="V126" s="107"/>
      <c r="W126" s="107"/>
      <c r="X126" s="107"/>
    </row>
    <row r="127" spans="1:24" ht="12.75">
      <c r="A127" s="109"/>
      <c r="B127" s="110"/>
      <c r="C127" s="110"/>
      <c r="D127" s="110"/>
      <c r="E127" s="110"/>
      <c r="F127" s="110"/>
      <c r="G127" s="110"/>
      <c r="H127" s="110"/>
      <c r="I127" s="118"/>
      <c r="J127" s="118"/>
      <c r="K127" s="107"/>
      <c r="L127" s="107"/>
      <c r="M127" s="107"/>
      <c r="N127" s="107"/>
      <c r="O127" s="107"/>
      <c r="P127" s="107"/>
      <c r="Q127" s="107"/>
      <c r="R127" s="107"/>
      <c r="S127" s="107"/>
      <c r="T127" s="107"/>
      <c r="U127" s="107"/>
      <c r="V127" s="107"/>
      <c r="W127" s="107"/>
      <c r="X127" s="107"/>
    </row>
    <row r="128" spans="1:24" ht="12.75">
      <c r="A128" s="109"/>
      <c r="B128" s="110"/>
      <c r="C128" s="110"/>
      <c r="D128" s="110"/>
      <c r="E128" s="110"/>
      <c r="F128" s="110"/>
      <c r="G128" s="110"/>
      <c r="H128" s="110"/>
      <c r="I128" s="118"/>
      <c r="J128" s="118"/>
      <c r="K128" s="107"/>
      <c r="L128" s="107"/>
      <c r="M128" s="107"/>
      <c r="N128" s="107"/>
      <c r="O128" s="107"/>
      <c r="P128" s="107"/>
      <c r="Q128" s="107"/>
      <c r="R128" s="107"/>
      <c r="S128" s="107"/>
      <c r="T128" s="107"/>
      <c r="U128" s="107"/>
      <c r="V128" s="107"/>
      <c r="W128" s="107"/>
      <c r="X128" s="107"/>
    </row>
    <row r="129" spans="1:24" ht="12.75">
      <c r="A129" s="109"/>
      <c r="B129" s="110"/>
      <c r="C129" s="110"/>
      <c r="D129" s="110"/>
      <c r="E129" s="110"/>
      <c r="F129" s="110"/>
      <c r="G129" s="110"/>
      <c r="H129" s="110"/>
      <c r="I129" s="118"/>
      <c r="J129" s="118"/>
      <c r="K129" s="107"/>
      <c r="L129" s="107"/>
      <c r="M129" s="107"/>
      <c r="N129" s="107"/>
      <c r="O129" s="107"/>
      <c r="P129" s="107"/>
      <c r="Q129" s="107"/>
      <c r="R129" s="107"/>
      <c r="S129" s="107"/>
      <c r="T129" s="107"/>
      <c r="U129" s="107"/>
      <c r="V129" s="107"/>
      <c r="W129" s="107"/>
      <c r="X129" s="107"/>
    </row>
    <row r="130" spans="1:24" ht="12.75">
      <c r="A130" s="109"/>
      <c r="B130" s="110"/>
      <c r="C130" s="110"/>
      <c r="D130" s="110"/>
      <c r="E130" s="110"/>
      <c r="F130" s="110"/>
      <c r="G130" s="110"/>
      <c r="H130" s="110"/>
      <c r="I130" s="118"/>
      <c r="J130" s="118"/>
      <c r="K130" s="107"/>
      <c r="L130" s="107"/>
      <c r="M130" s="107"/>
      <c r="N130" s="107"/>
      <c r="O130" s="107"/>
      <c r="P130" s="107"/>
      <c r="Q130" s="107"/>
      <c r="R130" s="107"/>
      <c r="S130" s="107"/>
      <c r="T130" s="107"/>
      <c r="U130" s="107"/>
      <c r="V130" s="107"/>
      <c r="W130" s="107"/>
      <c r="X130" s="107"/>
    </row>
    <row r="131" spans="1:24" ht="12.75">
      <c r="A131" s="109"/>
      <c r="B131" s="110"/>
      <c r="C131" s="110"/>
      <c r="D131" s="110"/>
      <c r="E131" s="110"/>
      <c r="F131" s="110"/>
      <c r="G131" s="110"/>
      <c r="H131" s="110"/>
      <c r="I131" s="118"/>
      <c r="J131" s="118"/>
      <c r="K131" s="107"/>
      <c r="L131" s="107"/>
      <c r="M131" s="107"/>
      <c r="N131" s="107"/>
      <c r="O131" s="107"/>
      <c r="P131" s="107"/>
      <c r="Q131" s="107"/>
      <c r="R131" s="107"/>
      <c r="S131" s="107"/>
      <c r="T131" s="107"/>
      <c r="U131" s="107"/>
      <c r="V131" s="107"/>
      <c r="W131" s="107"/>
      <c r="X131" s="107"/>
    </row>
    <row r="132" spans="1:24" ht="12.75">
      <c r="A132" s="109"/>
      <c r="B132" s="110"/>
      <c r="C132" s="110"/>
      <c r="D132" s="110"/>
      <c r="E132" s="110"/>
      <c r="F132" s="110"/>
      <c r="G132" s="110"/>
      <c r="H132" s="110"/>
      <c r="I132" s="118"/>
      <c r="J132" s="118"/>
      <c r="K132" s="107"/>
      <c r="L132" s="107"/>
      <c r="M132" s="107"/>
      <c r="N132" s="107"/>
      <c r="O132" s="107"/>
      <c r="P132" s="107"/>
      <c r="Q132" s="107"/>
      <c r="R132" s="107"/>
      <c r="S132" s="107"/>
      <c r="T132" s="107"/>
      <c r="U132" s="107"/>
      <c r="V132" s="107"/>
      <c r="W132" s="107"/>
      <c r="X132" s="107"/>
    </row>
    <row r="133" spans="1:24" ht="12.75">
      <c r="A133" s="109"/>
      <c r="B133" s="110"/>
      <c r="C133" s="110"/>
      <c r="D133" s="110"/>
      <c r="E133" s="110"/>
      <c r="F133" s="110"/>
      <c r="G133" s="110"/>
      <c r="H133" s="110"/>
      <c r="I133" s="118"/>
      <c r="J133" s="118"/>
      <c r="K133" s="107"/>
      <c r="L133" s="107"/>
      <c r="M133" s="107"/>
      <c r="N133" s="107"/>
      <c r="O133" s="107"/>
      <c r="P133" s="107"/>
      <c r="Q133" s="107"/>
      <c r="R133" s="107"/>
      <c r="S133" s="107"/>
      <c r="T133" s="107"/>
      <c r="U133" s="107"/>
      <c r="V133" s="107"/>
      <c r="W133" s="107"/>
      <c r="X133" s="107"/>
    </row>
    <row r="134" spans="1:24" ht="12.75">
      <c r="A134" s="109"/>
      <c r="B134" s="110"/>
      <c r="C134" s="110"/>
      <c r="D134" s="110"/>
      <c r="E134" s="110"/>
      <c r="F134" s="110"/>
      <c r="G134" s="110"/>
      <c r="H134" s="110"/>
      <c r="I134" s="118"/>
      <c r="J134" s="118"/>
      <c r="K134" s="107"/>
      <c r="L134" s="107"/>
      <c r="M134" s="107"/>
      <c r="N134" s="107"/>
      <c r="O134" s="107"/>
      <c r="P134" s="107"/>
      <c r="Q134" s="107"/>
      <c r="R134" s="107"/>
      <c r="S134" s="107"/>
      <c r="T134" s="107"/>
      <c r="U134" s="107"/>
      <c r="V134" s="107"/>
      <c r="W134" s="107"/>
      <c r="X134" s="107"/>
    </row>
    <row r="135" spans="1:24" ht="12.75">
      <c r="A135" s="109"/>
      <c r="B135" s="110"/>
      <c r="C135" s="110"/>
      <c r="D135" s="110"/>
      <c r="E135" s="110"/>
      <c r="F135" s="110"/>
      <c r="G135" s="110"/>
      <c r="H135" s="110"/>
      <c r="I135" s="118"/>
      <c r="J135" s="118"/>
      <c r="K135" s="107"/>
      <c r="L135" s="107"/>
      <c r="M135" s="107"/>
      <c r="N135" s="107"/>
      <c r="O135" s="107"/>
      <c r="P135" s="107"/>
      <c r="Q135" s="107"/>
      <c r="R135" s="107"/>
      <c r="S135" s="107"/>
      <c r="T135" s="107"/>
      <c r="U135" s="107"/>
      <c r="V135" s="107"/>
      <c r="W135" s="107"/>
      <c r="X135" s="107"/>
    </row>
    <row r="136" spans="1:24" ht="12.75">
      <c r="A136" s="109"/>
      <c r="B136" s="110"/>
      <c r="C136" s="110"/>
      <c r="D136" s="110"/>
      <c r="E136" s="110"/>
      <c r="F136" s="110"/>
      <c r="G136" s="110"/>
      <c r="H136" s="110"/>
      <c r="I136" s="118"/>
      <c r="J136" s="118"/>
      <c r="K136" s="107"/>
      <c r="L136" s="107"/>
      <c r="M136" s="107"/>
      <c r="N136" s="107"/>
      <c r="O136" s="107"/>
      <c r="P136" s="107"/>
      <c r="Q136" s="107"/>
      <c r="R136" s="107"/>
      <c r="S136" s="107"/>
      <c r="T136" s="107"/>
      <c r="U136" s="107"/>
      <c r="V136" s="107"/>
      <c r="W136" s="107"/>
      <c r="X136" s="107"/>
    </row>
    <row r="137" spans="1:24" ht="12.75">
      <c r="A137" s="109"/>
      <c r="B137" s="110"/>
      <c r="C137" s="110"/>
      <c r="D137" s="110"/>
      <c r="E137" s="110"/>
      <c r="F137" s="110"/>
      <c r="G137" s="110"/>
      <c r="H137" s="110"/>
      <c r="I137" s="118"/>
      <c r="J137" s="118"/>
      <c r="K137" s="107"/>
      <c r="L137" s="107"/>
      <c r="M137" s="107"/>
      <c r="N137" s="107"/>
      <c r="O137" s="107"/>
      <c r="P137" s="107"/>
      <c r="Q137" s="107"/>
      <c r="R137" s="107"/>
      <c r="S137" s="107"/>
      <c r="T137" s="107"/>
      <c r="U137" s="107"/>
      <c r="V137" s="107"/>
      <c r="W137" s="107"/>
      <c r="X137" s="107"/>
    </row>
    <row r="138" spans="1:24" ht="12.75">
      <c r="A138" s="109"/>
      <c r="B138" s="110"/>
      <c r="C138" s="110"/>
      <c r="D138" s="110"/>
      <c r="E138" s="110"/>
      <c r="F138" s="110"/>
      <c r="G138" s="110"/>
      <c r="H138" s="110"/>
      <c r="I138" s="118"/>
      <c r="J138" s="118"/>
      <c r="K138" s="107"/>
      <c r="L138" s="107"/>
      <c r="M138" s="107"/>
      <c r="N138" s="107"/>
      <c r="O138" s="107"/>
      <c r="P138" s="107"/>
      <c r="Q138" s="107"/>
      <c r="R138" s="107"/>
      <c r="S138" s="107"/>
      <c r="T138" s="107"/>
      <c r="U138" s="107"/>
      <c r="V138" s="107"/>
      <c r="W138" s="107"/>
      <c r="X138" s="107"/>
    </row>
    <row r="139" spans="1:24" ht="12.75">
      <c r="A139" s="109"/>
      <c r="B139" s="110"/>
      <c r="C139" s="110"/>
      <c r="D139" s="110"/>
      <c r="E139" s="110"/>
      <c r="F139" s="110"/>
      <c r="G139" s="110"/>
      <c r="H139" s="110"/>
      <c r="I139" s="118"/>
      <c r="J139" s="118"/>
      <c r="K139" s="107"/>
      <c r="L139" s="107"/>
      <c r="M139" s="107"/>
      <c r="N139" s="107"/>
      <c r="O139" s="107"/>
      <c r="P139" s="107"/>
      <c r="Q139" s="107"/>
      <c r="R139" s="107"/>
      <c r="S139" s="107"/>
      <c r="T139" s="107"/>
      <c r="U139" s="107"/>
      <c r="V139" s="107"/>
      <c r="W139" s="107"/>
      <c r="X139" s="107"/>
    </row>
    <row r="140" spans="1:24" ht="12.75">
      <c r="A140" s="109"/>
      <c r="B140" s="110"/>
      <c r="C140" s="110"/>
      <c r="D140" s="110"/>
      <c r="E140" s="110"/>
      <c r="F140" s="110"/>
      <c r="G140" s="110"/>
      <c r="H140" s="110"/>
      <c r="I140" s="118"/>
      <c r="J140" s="118"/>
      <c r="K140" s="107"/>
      <c r="L140" s="107"/>
      <c r="M140" s="107"/>
      <c r="N140" s="107"/>
      <c r="O140" s="107"/>
      <c r="P140" s="107"/>
      <c r="Q140" s="107"/>
      <c r="R140" s="107"/>
      <c r="S140" s="107"/>
      <c r="T140" s="107"/>
      <c r="U140" s="107"/>
      <c r="V140" s="107"/>
      <c r="W140" s="107"/>
      <c r="X140" s="107"/>
    </row>
    <row r="141" spans="1:24" ht="12.75">
      <c r="A141" s="109"/>
      <c r="B141" s="110"/>
      <c r="C141" s="110"/>
      <c r="D141" s="110"/>
      <c r="E141" s="110"/>
      <c r="F141" s="110"/>
      <c r="G141" s="110"/>
      <c r="H141" s="110"/>
      <c r="I141" s="118"/>
      <c r="J141" s="118"/>
      <c r="K141" s="107"/>
      <c r="L141" s="107"/>
      <c r="M141" s="107"/>
      <c r="N141" s="107"/>
      <c r="O141" s="107"/>
      <c r="P141" s="107"/>
      <c r="Q141" s="107"/>
      <c r="R141" s="107"/>
      <c r="S141" s="107"/>
      <c r="T141" s="107"/>
      <c r="U141" s="107"/>
      <c r="V141" s="107"/>
      <c r="W141" s="107"/>
      <c r="X141" s="107"/>
    </row>
    <row r="142" spans="1:24" ht="12.75">
      <c r="A142" s="109"/>
      <c r="B142" s="110"/>
      <c r="C142" s="110"/>
      <c r="D142" s="110"/>
      <c r="E142" s="110"/>
      <c r="F142" s="110"/>
      <c r="G142" s="110"/>
      <c r="H142" s="110"/>
      <c r="I142" s="118"/>
      <c r="J142" s="118"/>
      <c r="K142" s="107"/>
      <c r="L142" s="107"/>
      <c r="M142" s="107"/>
      <c r="N142" s="107"/>
      <c r="O142" s="107"/>
      <c r="P142" s="107"/>
      <c r="Q142" s="107"/>
      <c r="R142" s="107"/>
      <c r="S142" s="107"/>
      <c r="T142" s="107"/>
      <c r="U142" s="107"/>
      <c r="V142" s="107"/>
      <c r="W142" s="107"/>
      <c r="X142" s="107"/>
    </row>
    <row r="143" spans="1:24" ht="12.75">
      <c r="A143" s="109"/>
      <c r="B143" s="110"/>
      <c r="C143" s="110"/>
      <c r="D143" s="110"/>
      <c r="E143" s="110"/>
      <c r="F143" s="110"/>
      <c r="G143" s="110"/>
      <c r="H143" s="110"/>
      <c r="I143" s="118"/>
      <c r="J143" s="118"/>
      <c r="K143" s="107"/>
      <c r="L143" s="107"/>
      <c r="M143" s="107"/>
      <c r="N143" s="107"/>
      <c r="O143" s="107"/>
      <c r="P143" s="107"/>
      <c r="Q143" s="107"/>
      <c r="R143" s="107"/>
      <c r="S143" s="107"/>
      <c r="T143" s="107"/>
      <c r="U143" s="107"/>
      <c r="V143" s="107"/>
      <c r="W143" s="107"/>
      <c r="X143" s="107"/>
    </row>
    <row r="144" spans="1:24" ht="12.75">
      <c r="A144" s="109"/>
      <c r="B144" s="110"/>
      <c r="C144" s="110"/>
      <c r="D144" s="110"/>
      <c r="E144" s="110"/>
      <c r="F144" s="110"/>
      <c r="G144" s="110"/>
      <c r="H144" s="110"/>
      <c r="I144" s="118"/>
      <c r="J144" s="118"/>
      <c r="K144" s="107"/>
      <c r="L144" s="107"/>
      <c r="M144" s="107"/>
      <c r="N144" s="107"/>
      <c r="O144" s="107"/>
      <c r="P144" s="107"/>
      <c r="Q144" s="107"/>
      <c r="R144" s="107"/>
      <c r="S144" s="107"/>
      <c r="T144" s="107"/>
      <c r="U144" s="107"/>
      <c r="V144" s="107"/>
      <c r="W144" s="107"/>
      <c r="X144" s="107"/>
    </row>
    <row r="145" spans="1:24" ht="12.75">
      <c r="A145" s="109"/>
      <c r="B145" s="110"/>
      <c r="C145" s="110"/>
      <c r="D145" s="110"/>
      <c r="E145" s="110"/>
      <c r="F145" s="110"/>
      <c r="G145" s="110"/>
      <c r="H145" s="110"/>
      <c r="I145" s="118"/>
      <c r="J145" s="118"/>
      <c r="K145" s="107"/>
      <c r="L145" s="107"/>
      <c r="M145" s="107"/>
      <c r="N145" s="107"/>
      <c r="O145" s="107"/>
      <c r="P145" s="107"/>
      <c r="Q145" s="107"/>
      <c r="R145" s="107"/>
      <c r="S145" s="107"/>
      <c r="T145" s="107"/>
      <c r="U145" s="107"/>
      <c r="V145" s="107"/>
      <c r="W145" s="107"/>
      <c r="X145" s="107"/>
    </row>
    <row r="146" spans="1:24" ht="12.75">
      <c r="A146" s="109"/>
      <c r="B146" s="110"/>
      <c r="C146" s="110"/>
      <c r="D146" s="110"/>
      <c r="E146" s="110"/>
      <c r="F146" s="110"/>
      <c r="G146" s="110"/>
      <c r="H146" s="110"/>
      <c r="I146" s="118"/>
      <c r="J146" s="118"/>
      <c r="K146" s="107"/>
      <c r="L146" s="107"/>
      <c r="M146" s="107"/>
      <c r="N146" s="107"/>
      <c r="O146" s="107"/>
      <c r="P146" s="107"/>
      <c r="Q146" s="107"/>
      <c r="R146" s="107"/>
      <c r="S146" s="107"/>
      <c r="T146" s="107"/>
      <c r="U146" s="107"/>
      <c r="V146" s="107"/>
      <c r="W146" s="107"/>
      <c r="X146" s="107"/>
    </row>
    <row r="147" spans="1:24" ht="12.75">
      <c r="A147" s="109"/>
      <c r="B147" s="110"/>
      <c r="C147" s="110"/>
      <c r="D147" s="110"/>
      <c r="E147" s="110"/>
      <c r="F147" s="110"/>
      <c r="G147" s="110"/>
      <c r="H147" s="110"/>
      <c r="I147" s="118"/>
      <c r="J147" s="118"/>
      <c r="K147" s="107"/>
      <c r="L147" s="107"/>
      <c r="M147" s="107"/>
      <c r="N147" s="107"/>
      <c r="O147" s="107"/>
      <c r="P147" s="107"/>
      <c r="Q147" s="107"/>
      <c r="R147" s="107"/>
      <c r="S147" s="107"/>
      <c r="T147" s="107"/>
      <c r="U147" s="107"/>
      <c r="V147" s="107"/>
      <c r="W147" s="107"/>
      <c r="X147" s="107"/>
    </row>
    <row r="148" spans="1:24" ht="12.75">
      <c r="A148" s="109"/>
      <c r="B148" s="110"/>
      <c r="C148" s="110"/>
      <c r="D148" s="110"/>
      <c r="E148" s="110"/>
      <c r="F148" s="110"/>
      <c r="G148" s="110"/>
      <c r="H148" s="110"/>
      <c r="I148" s="118"/>
      <c r="J148" s="118"/>
      <c r="K148" s="107"/>
      <c r="L148" s="107"/>
      <c r="M148" s="107"/>
      <c r="N148" s="107"/>
      <c r="O148" s="107"/>
      <c r="P148" s="107"/>
      <c r="Q148" s="107"/>
      <c r="R148" s="107"/>
      <c r="S148" s="107"/>
      <c r="T148" s="107"/>
      <c r="U148" s="107"/>
      <c r="V148" s="107"/>
      <c r="W148" s="107"/>
      <c r="X148" s="107"/>
    </row>
    <row r="149" spans="1:24" ht="12.75">
      <c r="A149" s="109"/>
      <c r="B149" s="110"/>
      <c r="C149" s="110"/>
      <c r="D149" s="110"/>
      <c r="E149" s="110"/>
      <c r="F149" s="110"/>
      <c r="G149" s="110"/>
      <c r="H149" s="110"/>
      <c r="I149" s="118"/>
      <c r="J149" s="118"/>
      <c r="K149" s="107"/>
      <c r="L149" s="107"/>
      <c r="M149" s="107"/>
      <c r="N149" s="107"/>
      <c r="O149" s="107"/>
      <c r="P149" s="107"/>
      <c r="Q149" s="107"/>
      <c r="R149" s="107"/>
      <c r="S149" s="107"/>
      <c r="T149" s="107"/>
      <c r="U149" s="107"/>
      <c r="V149" s="107"/>
      <c r="W149" s="107"/>
      <c r="X149" s="107"/>
    </row>
    <row r="150" spans="1:24" ht="12.75">
      <c r="A150" s="109"/>
      <c r="B150" s="110"/>
      <c r="C150" s="110"/>
      <c r="D150" s="110"/>
      <c r="E150" s="110"/>
      <c r="F150" s="110"/>
      <c r="G150" s="110"/>
      <c r="H150" s="110"/>
      <c r="I150" s="118"/>
      <c r="J150" s="118"/>
      <c r="K150" s="107"/>
      <c r="L150" s="107"/>
      <c r="M150" s="107"/>
      <c r="N150" s="107"/>
      <c r="O150" s="107"/>
      <c r="P150" s="107"/>
      <c r="Q150" s="107"/>
      <c r="R150" s="107"/>
      <c r="S150" s="107"/>
      <c r="T150" s="107"/>
      <c r="U150" s="107"/>
      <c r="V150" s="107"/>
      <c r="W150" s="107"/>
      <c r="X150" s="107"/>
    </row>
    <row r="151" spans="1:24" ht="12.75">
      <c r="A151" s="109"/>
      <c r="B151" s="110"/>
      <c r="C151" s="110"/>
      <c r="D151" s="110"/>
      <c r="E151" s="110"/>
      <c r="F151" s="110"/>
      <c r="G151" s="110"/>
      <c r="H151" s="110"/>
      <c r="I151" s="118"/>
      <c r="J151" s="118"/>
      <c r="K151" s="107"/>
      <c r="L151" s="107"/>
      <c r="M151" s="107"/>
      <c r="N151" s="107"/>
      <c r="O151" s="107"/>
      <c r="P151" s="107"/>
      <c r="Q151" s="107"/>
      <c r="R151" s="107"/>
      <c r="S151" s="107"/>
      <c r="T151" s="107"/>
      <c r="U151" s="107"/>
      <c r="V151" s="107"/>
      <c r="W151" s="107"/>
      <c r="X151" s="107"/>
    </row>
    <row r="152" spans="1:24" ht="12.75">
      <c r="A152" s="109"/>
      <c r="B152" s="110"/>
      <c r="C152" s="110"/>
      <c r="D152" s="110"/>
      <c r="E152" s="110"/>
      <c r="F152" s="110"/>
      <c r="G152" s="110"/>
      <c r="H152" s="110"/>
      <c r="I152" s="118"/>
      <c r="J152" s="118"/>
      <c r="K152" s="107"/>
      <c r="L152" s="107"/>
      <c r="M152" s="107"/>
      <c r="N152" s="107"/>
      <c r="O152" s="107"/>
      <c r="P152" s="107"/>
      <c r="Q152" s="107"/>
      <c r="R152" s="107"/>
      <c r="S152" s="107"/>
      <c r="T152" s="107"/>
      <c r="U152" s="107"/>
      <c r="V152" s="107"/>
      <c r="W152" s="107"/>
      <c r="X152" s="107"/>
    </row>
    <row r="153" spans="1:24" ht="12.75">
      <c r="A153" s="109"/>
      <c r="B153" s="110"/>
      <c r="C153" s="110"/>
      <c r="D153" s="110"/>
      <c r="E153" s="110"/>
      <c r="F153" s="110"/>
      <c r="G153" s="110"/>
      <c r="H153" s="110"/>
      <c r="I153" s="118"/>
      <c r="J153" s="118"/>
      <c r="K153" s="107"/>
      <c r="L153" s="107"/>
      <c r="M153" s="107"/>
      <c r="N153" s="107"/>
      <c r="O153" s="107"/>
      <c r="P153" s="107"/>
      <c r="Q153" s="107"/>
      <c r="R153" s="107"/>
      <c r="S153" s="107"/>
      <c r="T153" s="107"/>
      <c r="U153" s="107"/>
      <c r="V153" s="107"/>
      <c r="W153" s="107"/>
      <c r="X153" s="107"/>
    </row>
    <row r="154" spans="1:24" ht="12.75">
      <c r="A154" s="109"/>
      <c r="B154" s="110"/>
      <c r="C154" s="110"/>
      <c r="D154" s="110"/>
      <c r="E154" s="110"/>
      <c r="F154" s="110"/>
      <c r="G154" s="110"/>
      <c r="H154" s="110"/>
      <c r="I154" s="118"/>
      <c r="J154" s="118"/>
      <c r="K154" s="107"/>
      <c r="L154" s="107"/>
      <c r="M154" s="107"/>
      <c r="N154" s="107"/>
      <c r="O154" s="107"/>
      <c r="P154" s="107"/>
      <c r="Q154" s="107"/>
      <c r="R154" s="107"/>
      <c r="S154" s="107"/>
      <c r="T154" s="107"/>
      <c r="U154" s="107"/>
      <c r="V154" s="107"/>
      <c r="W154" s="107"/>
      <c r="X154" s="107"/>
    </row>
    <row r="155" spans="1:24" ht="12.75">
      <c r="A155" s="109"/>
      <c r="B155" s="110"/>
      <c r="C155" s="110"/>
      <c r="D155" s="110"/>
      <c r="E155" s="110"/>
      <c r="F155" s="110"/>
      <c r="G155" s="110"/>
      <c r="H155" s="110"/>
      <c r="I155" s="118"/>
      <c r="J155" s="118"/>
      <c r="K155" s="107"/>
      <c r="L155" s="107"/>
      <c r="M155" s="107"/>
      <c r="N155" s="107"/>
      <c r="O155" s="107"/>
      <c r="P155" s="107"/>
      <c r="Q155" s="107"/>
      <c r="R155" s="107"/>
      <c r="S155" s="107"/>
      <c r="T155" s="107"/>
      <c r="U155" s="107"/>
      <c r="V155" s="107"/>
      <c r="W155" s="107"/>
      <c r="X155" s="107"/>
    </row>
    <row r="156" spans="1:24" ht="12.75">
      <c r="A156" s="109"/>
      <c r="B156" s="110"/>
      <c r="C156" s="110"/>
      <c r="D156" s="110"/>
      <c r="E156" s="110"/>
      <c r="F156" s="110"/>
      <c r="G156" s="110"/>
      <c r="H156" s="110"/>
      <c r="I156" s="118"/>
      <c r="J156" s="118"/>
      <c r="K156" s="107"/>
      <c r="L156" s="107"/>
      <c r="M156" s="107"/>
      <c r="N156" s="107"/>
      <c r="O156" s="107"/>
      <c r="P156" s="107"/>
      <c r="Q156" s="107"/>
      <c r="R156" s="107"/>
      <c r="S156" s="107"/>
      <c r="T156" s="107"/>
      <c r="U156" s="107"/>
      <c r="V156" s="107"/>
      <c r="W156" s="107"/>
      <c r="X156" s="107"/>
    </row>
    <row r="157" spans="1:24" ht="12.75">
      <c r="A157" s="109"/>
      <c r="B157" s="110"/>
      <c r="C157" s="110"/>
      <c r="D157" s="110"/>
      <c r="E157" s="110"/>
      <c r="F157" s="110"/>
      <c r="G157" s="110"/>
      <c r="H157" s="110"/>
      <c r="I157" s="118"/>
      <c r="J157" s="118"/>
      <c r="K157" s="107"/>
      <c r="L157" s="107"/>
      <c r="M157" s="107"/>
      <c r="N157" s="107"/>
      <c r="O157" s="107"/>
      <c r="P157" s="107"/>
      <c r="Q157" s="107"/>
      <c r="R157" s="107"/>
      <c r="S157" s="107"/>
      <c r="T157" s="107"/>
      <c r="U157" s="107"/>
      <c r="V157" s="107"/>
      <c r="W157" s="107"/>
      <c r="X157" s="107"/>
    </row>
    <row r="158" spans="1:24" ht="12.75">
      <c r="A158" s="109"/>
      <c r="B158" s="110"/>
      <c r="C158" s="110"/>
      <c r="D158" s="110"/>
      <c r="E158" s="110"/>
      <c r="F158" s="110"/>
      <c r="G158" s="110"/>
      <c r="H158" s="110"/>
      <c r="I158" s="118"/>
      <c r="J158" s="118"/>
      <c r="K158" s="107"/>
      <c r="L158" s="107"/>
      <c r="M158" s="107"/>
      <c r="N158" s="107"/>
      <c r="O158" s="107"/>
      <c r="P158" s="107"/>
      <c r="Q158" s="107"/>
      <c r="R158" s="107"/>
      <c r="S158" s="107"/>
      <c r="T158" s="107"/>
      <c r="U158" s="107"/>
      <c r="V158" s="107"/>
      <c r="W158" s="107"/>
      <c r="X158" s="107"/>
    </row>
    <row r="159" spans="1:24" ht="12.75">
      <c r="A159" s="109"/>
      <c r="B159" s="110"/>
      <c r="C159" s="110"/>
      <c r="D159" s="110"/>
      <c r="E159" s="110"/>
      <c r="F159" s="110"/>
      <c r="G159" s="110"/>
      <c r="H159" s="110"/>
      <c r="I159" s="118"/>
      <c r="J159" s="118"/>
      <c r="K159" s="107"/>
      <c r="L159" s="107"/>
      <c r="M159" s="107"/>
      <c r="N159" s="107"/>
      <c r="O159" s="107"/>
      <c r="P159" s="107"/>
      <c r="Q159" s="107"/>
      <c r="R159" s="107"/>
      <c r="S159" s="107"/>
      <c r="T159" s="107"/>
      <c r="U159" s="107"/>
      <c r="V159" s="107"/>
      <c r="W159" s="107"/>
      <c r="X159" s="107"/>
    </row>
    <row r="160" spans="1:24" ht="12.75">
      <c r="A160" s="109"/>
      <c r="B160" s="110"/>
      <c r="C160" s="110"/>
      <c r="D160" s="110"/>
      <c r="E160" s="110"/>
      <c r="F160" s="110"/>
      <c r="G160" s="110"/>
      <c r="H160" s="110"/>
      <c r="I160" s="118"/>
      <c r="J160" s="118"/>
      <c r="K160" s="107"/>
      <c r="L160" s="107"/>
      <c r="M160" s="107"/>
      <c r="N160" s="107"/>
      <c r="O160" s="107"/>
      <c r="P160" s="107"/>
      <c r="Q160" s="107"/>
      <c r="R160" s="107"/>
      <c r="S160" s="107"/>
      <c r="T160" s="107"/>
      <c r="U160" s="107"/>
      <c r="V160" s="107"/>
      <c r="W160" s="107"/>
      <c r="X160" s="107"/>
    </row>
    <row r="161" spans="1:24" ht="12.75">
      <c r="A161" s="109"/>
      <c r="B161" s="110"/>
      <c r="C161" s="110"/>
      <c r="D161" s="110"/>
      <c r="E161" s="110"/>
      <c r="F161" s="110"/>
      <c r="G161" s="110"/>
      <c r="H161" s="110"/>
      <c r="I161" s="118"/>
      <c r="J161" s="118"/>
      <c r="K161" s="107"/>
      <c r="L161" s="107"/>
      <c r="M161" s="107"/>
      <c r="N161" s="107"/>
      <c r="O161" s="107"/>
      <c r="P161" s="107"/>
      <c r="Q161" s="107"/>
      <c r="R161" s="107"/>
      <c r="S161" s="107"/>
      <c r="T161" s="107"/>
      <c r="U161" s="107"/>
      <c r="V161" s="107"/>
      <c r="W161" s="107"/>
      <c r="X161" s="107"/>
    </row>
    <row r="162" spans="1:24" ht="12.75">
      <c r="A162" s="109"/>
      <c r="B162" s="110"/>
      <c r="C162" s="110"/>
      <c r="D162" s="110"/>
      <c r="E162" s="110"/>
      <c r="F162" s="110"/>
      <c r="G162" s="110"/>
      <c r="H162" s="110"/>
      <c r="I162" s="118"/>
      <c r="J162" s="118"/>
      <c r="K162" s="107"/>
      <c r="L162" s="107"/>
      <c r="M162" s="107"/>
      <c r="N162" s="107"/>
      <c r="O162" s="107"/>
      <c r="P162" s="107"/>
      <c r="Q162" s="107"/>
      <c r="R162" s="107"/>
      <c r="S162" s="107"/>
      <c r="T162" s="107"/>
      <c r="U162" s="107"/>
      <c r="V162" s="107"/>
      <c r="W162" s="107"/>
      <c r="X162" s="107"/>
    </row>
    <row r="163" spans="1:24" ht="12.75">
      <c r="A163" s="109"/>
      <c r="B163" s="110"/>
      <c r="C163" s="110"/>
      <c r="D163" s="110"/>
      <c r="E163" s="110"/>
      <c r="F163" s="110"/>
      <c r="G163" s="110"/>
      <c r="H163" s="110"/>
      <c r="I163" s="118"/>
      <c r="J163" s="118"/>
      <c r="K163" s="107"/>
      <c r="L163" s="107"/>
      <c r="M163" s="107"/>
      <c r="N163" s="107"/>
      <c r="O163" s="107"/>
      <c r="P163" s="107"/>
      <c r="Q163" s="107"/>
      <c r="R163" s="107"/>
      <c r="S163" s="107"/>
      <c r="T163" s="107"/>
      <c r="U163" s="107"/>
      <c r="V163" s="107"/>
      <c r="W163" s="107"/>
      <c r="X163" s="107"/>
    </row>
    <row r="164" spans="1:24" ht="12.75">
      <c r="A164" s="109"/>
      <c r="B164" s="110"/>
      <c r="C164" s="110"/>
      <c r="D164" s="110"/>
      <c r="E164" s="110"/>
      <c r="F164" s="110"/>
      <c r="G164" s="110"/>
      <c r="H164" s="110"/>
      <c r="I164" s="118"/>
      <c r="J164" s="118"/>
      <c r="K164" s="107"/>
      <c r="L164" s="107"/>
      <c r="M164" s="107"/>
      <c r="N164" s="107"/>
      <c r="O164" s="107"/>
      <c r="P164" s="107"/>
      <c r="Q164" s="107"/>
      <c r="R164" s="107"/>
      <c r="S164" s="107"/>
      <c r="T164" s="107"/>
      <c r="U164" s="107"/>
      <c r="V164" s="107"/>
      <c r="W164" s="107"/>
      <c r="X164" s="107"/>
    </row>
    <row r="165" spans="1:24" ht="12.75">
      <c r="A165" s="109"/>
      <c r="B165" s="110"/>
      <c r="C165" s="110"/>
      <c r="D165" s="110"/>
      <c r="E165" s="110"/>
      <c r="F165" s="110"/>
      <c r="G165" s="110"/>
      <c r="H165" s="110"/>
      <c r="I165" s="118"/>
      <c r="J165" s="118"/>
      <c r="K165" s="107"/>
      <c r="L165" s="107"/>
      <c r="M165" s="107"/>
      <c r="N165" s="107"/>
      <c r="O165" s="107"/>
      <c r="P165" s="107"/>
      <c r="Q165" s="107"/>
      <c r="R165" s="107"/>
      <c r="S165" s="107"/>
      <c r="T165" s="107"/>
      <c r="U165" s="107"/>
      <c r="V165" s="107"/>
      <c r="W165" s="107"/>
      <c r="X165" s="107"/>
    </row>
    <row r="166" spans="1:24" ht="12.75">
      <c r="A166" s="109"/>
      <c r="B166" s="110"/>
      <c r="C166" s="110"/>
      <c r="D166" s="110"/>
      <c r="E166" s="110"/>
      <c r="F166" s="110"/>
      <c r="G166" s="110"/>
      <c r="H166" s="110"/>
      <c r="I166" s="118"/>
      <c r="J166" s="118"/>
      <c r="K166" s="107"/>
      <c r="L166" s="107"/>
      <c r="M166" s="107"/>
      <c r="N166" s="107"/>
      <c r="O166" s="107"/>
      <c r="P166" s="107"/>
      <c r="Q166" s="107"/>
      <c r="R166" s="107"/>
      <c r="S166" s="107"/>
      <c r="T166" s="107"/>
      <c r="U166" s="107"/>
      <c r="V166" s="107"/>
      <c r="W166" s="107"/>
      <c r="X166" s="107"/>
    </row>
    <row r="167" spans="1:24" ht="12.75">
      <c r="A167" s="109"/>
      <c r="B167" s="110"/>
      <c r="C167" s="110"/>
      <c r="D167" s="110"/>
      <c r="E167" s="110"/>
      <c r="F167" s="110"/>
      <c r="G167" s="110"/>
      <c r="H167" s="110"/>
      <c r="I167" s="118"/>
      <c r="J167" s="118"/>
      <c r="K167" s="107"/>
      <c r="L167" s="107"/>
      <c r="M167" s="107"/>
      <c r="N167" s="107"/>
      <c r="O167" s="107"/>
      <c r="P167" s="107"/>
      <c r="Q167" s="107"/>
      <c r="R167" s="107"/>
      <c r="S167" s="107"/>
      <c r="T167" s="107"/>
      <c r="U167" s="107"/>
      <c r="V167" s="107"/>
      <c r="W167" s="107"/>
      <c r="X167" s="107"/>
    </row>
    <row r="168" spans="1:24" ht="12.75">
      <c r="A168" s="109"/>
      <c r="B168" s="110"/>
      <c r="C168" s="110"/>
      <c r="D168" s="110"/>
      <c r="E168" s="110"/>
      <c r="F168" s="110"/>
      <c r="G168" s="110"/>
      <c r="H168" s="110"/>
      <c r="I168" s="118"/>
      <c r="J168" s="118"/>
      <c r="K168" s="107"/>
      <c r="L168" s="107"/>
      <c r="M168" s="107"/>
      <c r="N168" s="107"/>
      <c r="O168" s="107"/>
      <c r="P168" s="107"/>
      <c r="Q168" s="107"/>
      <c r="R168" s="107"/>
      <c r="S168" s="107"/>
      <c r="T168" s="107"/>
      <c r="U168" s="107"/>
      <c r="V168" s="107"/>
      <c r="W168" s="107"/>
      <c r="X168" s="107"/>
    </row>
    <row r="169" spans="1:24" ht="12.75">
      <c r="A169" s="109"/>
      <c r="B169" s="110"/>
      <c r="C169" s="110"/>
      <c r="D169" s="110"/>
      <c r="E169" s="110"/>
      <c r="F169" s="110"/>
      <c r="G169" s="110"/>
      <c r="H169" s="110"/>
      <c r="I169" s="118"/>
      <c r="J169" s="118"/>
      <c r="K169" s="107"/>
      <c r="L169" s="107"/>
      <c r="M169" s="107"/>
      <c r="N169" s="107"/>
      <c r="O169" s="107"/>
      <c r="P169" s="107"/>
      <c r="Q169" s="107"/>
      <c r="R169" s="107"/>
      <c r="S169" s="107"/>
      <c r="T169" s="107"/>
      <c r="U169" s="107"/>
      <c r="V169" s="107"/>
      <c r="W169" s="107"/>
      <c r="X169" s="107"/>
    </row>
    <row r="170" spans="1:24" ht="12.75">
      <c r="A170" s="109"/>
      <c r="B170" s="110"/>
      <c r="C170" s="110"/>
      <c r="D170" s="110"/>
      <c r="E170" s="110"/>
      <c r="F170" s="110"/>
      <c r="G170" s="110"/>
      <c r="H170" s="110"/>
      <c r="I170" s="118"/>
      <c r="J170" s="118"/>
      <c r="K170" s="107"/>
      <c r="L170" s="107"/>
      <c r="M170" s="107"/>
      <c r="N170" s="107"/>
      <c r="O170" s="107"/>
      <c r="P170" s="107"/>
      <c r="Q170" s="107"/>
      <c r="R170" s="107"/>
      <c r="S170" s="107"/>
      <c r="T170" s="107"/>
      <c r="U170" s="107"/>
      <c r="V170" s="107"/>
      <c r="W170" s="107"/>
      <c r="X170" s="107"/>
    </row>
    <row r="171" spans="1:24" ht="12.75">
      <c r="A171" s="109"/>
      <c r="B171" s="110"/>
      <c r="C171" s="110"/>
      <c r="D171" s="110"/>
      <c r="E171" s="110"/>
      <c r="F171" s="110"/>
      <c r="G171" s="110"/>
      <c r="H171" s="110"/>
      <c r="I171" s="118"/>
      <c r="J171" s="118"/>
      <c r="K171" s="107"/>
      <c r="L171" s="107"/>
      <c r="M171" s="107"/>
      <c r="N171" s="107"/>
      <c r="O171" s="107"/>
      <c r="P171" s="107"/>
      <c r="Q171" s="107"/>
      <c r="R171" s="107"/>
      <c r="S171" s="107"/>
      <c r="T171" s="107"/>
      <c r="U171" s="107"/>
      <c r="V171" s="107"/>
      <c r="W171" s="107"/>
      <c r="X171" s="107"/>
    </row>
    <row r="172" spans="1:24" ht="12.75">
      <c r="A172" s="109"/>
      <c r="B172" s="110"/>
      <c r="C172" s="110"/>
      <c r="D172" s="110"/>
      <c r="E172" s="110"/>
      <c r="F172" s="110"/>
      <c r="G172" s="110"/>
      <c r="H172" s="110"/>
      <c r="I172" s="118"/>
      <c r="J172" s="118"/>
      <c r="K172" s="107"/>
      <c r="L172" s="107"/>
      <c r="M172" s="107"/>
      <c r="N172" s="107"/>
      <c r="O172" s="107"/>
      <c r="P172" s="107"/>
      <c r="Q172" s="107"/>
      <c r="R172" s="107"/>
      <c r="S172" s="107"/>
      <c r="T172" s="107"/>
      <c r="U172" s="107"/>
      <c r="V172" s="107"/>
      <c r="W172" s="107"/>
      <c r="X172" s="107"/>
    </row>
    <row r="173" spans="1:24" ht="12.75">
      <c r="A173" s="109"/>
      <c r="B173" s="110"/>
      <c r="C173" s="110"/>
      <c r="D173" s="110"/>
      <c r="E173" s="110"/>
      <c r="F173" s="110"/>
      <c r="G173" s="110"/>
      <c r="H173" s="110"/>
      <c r="I173" s="118"/>
      <c r="J173" s="118"/>
      <c r="K173" s="107"/>
      <c r="L173" s="107"/>
      <c r="M173" s="107"/>
      <c r="N173" s="107"/>
      <c r="O173" s="107"/>
      <c r="P173" s="107"/>
      <c r="Q173" s="107"/>
      <c r="R173" s="107"/>
      <c r="S173" s="107"/>
      <c r="T173" s="107"/>
      <c r="U173" s="107"/>
      <c r="V173" s="107"/>
      <c r="W173" s="107"/>
      <c r="X173" s="107"/>
    </row>
    <row r="174" spans="1:24" ht="12.75">
      <c r="A174" s="109"/>
      <c r="B174" s="110"/>
      <c r="C174" s="110"/>
      <c r="D174" s="110"/>
      <c r="E174" s="110"/>
      <c r="F174" s="110"/>
      <c r="G174" s="110"/>
      <c r="H174" s="110"/>
      <c r="I174" s="118"/>
      <c r="J174" s="118"/>
      <c r="K174" s="107"/>
      <c r="L174" s="107"/>
      <c r="M174" s="107"/>
      <c r="N174" s="107"/>
      <c r="O174" s="107"/>
      <c r="P174" s="107"/>
      <c r="Q174" s="107"/>
      <c r="R174" s="107"/>
      <c r="S174" s="107"/>
      <c r="T174" s="107"/>
      <c r="U174" s="107"/>
      <c r="V174" s="107"/>
      <c r="W174" s="107"/>
      <c r="X174" s="107"/>
    </row>
    <row r="175" spans="1:24" ht="12.75">
      <c r="A175" s="109"/>
      <c r="B175" s="110"/>
      <c r="C175" s="110"/>
      <c r="D175" s="110"/>
      <c r="E175" s="110"/>
      <c r="F175" s="110"/>
      <c r="G175" s="110"/>
      <c r="H175" s="110"/>
      <c r="I175" s="118"/>
      <c r="J175" s="118"/>
      <c r="K175" s="107"/>
      <c r="L175" s="107"/>
      <c r="M175" s="107"/>
      <c r="N175" s="107"/>
      <c r="O175" s="107"/>
      <c r="P175" s="107"/>
      <c r="Q175" s="107"/>
      <c r="R175" s="107"/>
      <c r="S175" s="107"/>
      <c r="T175" s="107"/>
      <c r="U175" s="107"/>
      <c r="V175" s="107"/>
      <c r="W175" s="107"/>
      <c r="X175" s="107"/>
    </row>
    <row r="176" spans="1:24" ht="12.75">
      <c r="A176" s="109"/>
      <c r="B176" s="110"/>
      <c r="C176" s="110"/>
      <c r="D176" s="110"/>
      <c r="E176" s="110"/>
      <c r="F176" s="110"/>
      <c r="G176" s="110"/>
      <c r="H176" s="110"/>
      <c r="I176" s="118"/>
      <c r="J176" s="118"/>
      <c r="K176" s="107"/>
      <c r="L176" s="107"/>
      <c r="M176" s="107"/>
      <c r="N176" s="107"/>
      <c r="O176" s="107"/>
      <c r="P176" s="107"/>
      <c r="Q176" s="107"/>
      <c r="R176" s="107"/>
      <c r="S176" s="107"/>
      <c r="T176" s="107"/>
      <c r="U176" s="107"/>
      <c r="V176" s="107"/>
      <c r="W176" s="107"/>
      <c r="X176" s="107"/>
    </row>
    <row r="177" spans="1:24" ht="12.75">
      <c r="A177" s="109"/>
      <c r="B177" s="110"/>
      <c r="C177" s="110"/>
      <c r="D177" s="110"/>
      <c r="E177" s="110"/>
      <c r="F177" s="110"/>
      <c r="G177" s="110"/>
      <c r="H177" s="110"/>
      <c r="I177" s="118"/>
      <c r="J177" s="118"/>
      <c r="K177" s="107"/>
      <c r="L177" s="107"/>
      <c r="M177" s="107"/>
      <c r="N177" s="107"/>
      <c r="O177" s="107"/>
      <c r="P177" s="107"/>
      <c r="Q177" s="107"/>
      <c r="R177" s="107"/>
      <c r="S177" s="107"/>
      <c r="T177" s="107"/>
      <c r="U177" s="107"/>
      <c r="V177" s="107"/>
      <c r="W177" s="107"/>
      <c r="X177" s="107"/>
    </row>
    <row r="178" spans="1:24" ht="12.75">
      <c r="A178" s="109"/>
      <c r="B178" s="110"/>
      <c r="C178" s="110"/>
      <c r="D178" s="110"/>
      <c r="E178" s="110"/>
      <c r="F178" s="110"/>
      <c r="G178" s="110"/>
      <c r="H178" s="110"/>
      <c r="I178" s="118"/>
      <c r="J178" s="118"/>
      <c r="K178" s="107"/>
      <c r="L178" s="107"/>
      <c r="M178" s="107"/>
      <c r="N178" s="107"/>
      <c r="O178" s="107"/>
      <c r="P178" s="107"/>
      <c r="Q178" s="107"/>
      <c r="R178" s="107"/>
      <c r="S178" s="107"/>
      <c r="T178" s="107"/>
      <c r="U178" s="107"/>
      <c r="V178" s="107"/>
      <c r="W178" s="107"/>
      <c r="X178" s="107"/>
    </row>
    <row r="179" spans="1:24" ht="12.75">
      <c r="A179" s="109"/>
      <c r="B179" s="110"/>
      <c r="C179" s="110"/>
      <c r="D179" s="110"/>
      <c r="E179" s="110"/>
      <c r="F179" s="110"/>
      <c r="G179" s="110"/>
      <c r="H179" s="110"/>
      <c r="I179" s="118"/>
      <c r="J179" s="118"/>
      <c r="K179" s="107"/>
      <c r="L179" s="107"/>
      <c r="M179" s="107"/>
      <c r="N179" s="107"/>
      <c r="O179" s="107"/>
      <c r="P179" s="107"/>
      <c r="Q179" s="107"/>
      <c r="R179" s="107"/>
      <c r="S179" s="107"/>
      <c r="T179" s="107"/>
      <c r="U179" s="107"/>
      <c r="V179" s="107"/>
      <c r="W179" s="107"/>
      <c r="X179" s="107"/>
    </row>
    <row r="180" spans="1:24" ht="12.75">
      <c r="A180" s="109"/>
      <c r="B180" s="110"/>
      <c r="C180" s="110"/>
      <c r="D180" s="110"/>
      <c r="E180" s="110"/>
      <c r="F180" s="110"/>
      <c r="G180" s="110"/>
      <c r="H180" s="110"/>
      <c r="I180" s="118"/>
      <c r="J180" s="118"/>
      <c r="K180" s="107"/>
      <c r="L180" s="107"/>
      <c r="M180" s="107"/>
      <c r="N180" s="107"/>
      <c r="O180" s="107"/>
      <c r="P180" s="107"/>
      <c r="Q180" s="107"/>
      <c r="R180" s="107"/>
      <c r="S180" s="107"/>
      <c r="T180" s="107"/>
      <c r="U180" s="107"/>
      <c r="V180" s="107"/>
      <c r="W180" s="107"/>
      <c r="X180" s="107"/>
    </row>
    <row r="181" spans="1:24" ht="12.75">
      <c r="A181" s="109"/>
      <c r="B181" s="110"/>
      <c r="C181" s="110"/>
      <c r="D181" s="110"/>
      <c r="E181" s="110"/>
      <c r="F181" s="110"/>
      <c r="G181" s="110"/>
      <c r="H181" s="110"/>
      <c r="I181" s="118"/>
      <c r="J181" s="118"/>
      <c r="K181" s="107"/>
      <c r="L181" s="107"/>
      <c r="M181" s="107"/>
      <c r="N181" s="107"/>
      <c r="O181" s="107"/>
      <c r="P181" s="107"/>
      <c r="Q181" s="107"/>
      <c r="R181" s="107"/>
      <c r="S181" s="107"/>
      <c r="T181" s="107"/>
      <c r="U181" s="107"/>
      <c r="V181" s="107"/>
      <c r="W181" s="107"/>
      <c r="X181" s="107"/>
    </row>
    <row r="182" spans="1:24" ht="12.75">
      <c r="A182" s="109"/>
      <c r="B182" s="110"/>
      <c r="C182" s="110"/>
      <c r="D182" s="110"/>
      <c r="E182" s="110"/>
      <c r="F182" s="110"/>
      <c r="G182" s="110"/>
      <c r="H182" s="110"/>
      <c r="I182" s="118"/>
      <c r="J182" s="118"/>
      <c r="K182" s="107"/>
      <c r="L182" s="107"/>
      <c r="M182" s="107"/>
      <c r="N182" s="107"/>
      <c r="O182" s="107"/>
      <c r="P182" s="107"/>
      <c r="Q182" s="107"/>
      <c r="R182" s="107"/>
      <c r="S182" s="107"/>
      <c r="T182" s="107"/>
      <c r="U182" s="107"/>
      <c r="V182" s="107"/>
      <c r="W182" s="107"/>
      <c r="X182" s="107"/>
    </row>
    <row r="183" spans="1:24" ht="12.75">
      <c r="A183" s="109"/>
      <c r="B183" s="110"/>
      <c r="C183" s="110"/>
      <c r="D183" s="110"/>
      <c r="E183" s="110"/>
      <c r="F183" s="110"/>
      <c r="G183" s="110"/>
      <c r="H183" s="110"/>
      <c r="I183" s="118"/>
      <c r="J183" s="118"/>
      <c r="K183" s="107"/>
      <c r="L183" s="107"/>
      <c r="M183" s="107"/>
      <c r="N183" s="107"/>
      <c r="O183" s="107"/>
      <c r="P183" s="107"/>
      <c r="Q183" s="107"/>
      <c r="R183" s="107"/>
      <c r="S183" s="107"/>
      <c r="T183" s="107"/>
      <c r="U183" s="107"/>
      <c r="V183" s="107"/>
      <c r="W183" s="107"/>
      <c r="X183" s="107"/>
    </row>
    <row r="184" spans="1:24" ht="12.75">
      <c r="A184" s="109"/>
      <c r="B184" s="110"/>
      <c r="C184" s="110"/>
      <c r="D184" s="110"/>
      <c r="E184" s="110"/>
      <c r="F184" s="110"/>
      <c r="G184" s="110"/>
      <c r="H184" s="110"/>
      <c r="I184" s="118"/>
      <c r="J184" s="118"/>
      <c r="K184" s="107"/>
      <c r="L184" s="107"/>
      <c r="M184" s="107"/>
      <c r="N184" s="107"/>
      <c r="O184" s="107"/>
      <c r="P184" s="107"/>
      <c r="Q184" s="107"/>
      <c r="R184" s="107"/>
      <c r="S184" s="107"/>
      <c r="T184" s="107"/>
      <c r="U184" s="107"/>
      <c r="V184" s="107"/>
      <c r="W184" s="107"/>
      <c r="X184" s="107"/>
    </row>
    <row r="185" spans="1:24" ht="12.75">
      <c r="A185" s="109"/>
      <c r="B185" s="110"/>
      <c r="C185" s="110"/>
      <c r="D185" s="110"/>
      <c r="E185" s="110"/>
      <c r="F185" s="110"/>
      <c r="G185" s="110"/>
      <c r="H185" s="110"/>
      <c r="I185" s="118"/>
      <c r="J185" s="118"/>
      <c r="K185" s="107"/>
      <c r="L185" s="107"/>
      <c r="M185" s="107"/>
      <c r="N185" s="107"/>
      <c r="O185" s="107"/>
      <c r="P185" s="107"/>
      <c r="Q185" s="107"/>
      <c r="R185" s="107"/>
      <c r="S185" s="107"/>
      <c r="T185" s="107"/>
      <c r="U185" s="107"/>
      <c r="V185" s="107"/>
      <c r="W185" s="107"/>
      <c r="X185" s="107"/>
    </row>
    <row r="186" spans="1:24" ht="12.75">
      <c r="A186" s="109"/>
      <c r="B186" s="110"/>
      <c r="C186" s="110"/>
      <c r="D186" s="110"/>
      <c r="E186" s="110"/>
      <c r="F186" s="110"/>
      <c r="G186" s="110"/>
      <c r="H186" s="110"/>
      <c r="I186" s="118"/>
      <c r="J186" s="118"/>
      <c r="K186" s="107"/>
      <c r="L186" s="107"/>
      <c r="M186" s="107"/>
      <c r="N186" s="107"/>
      <c r="O186" s="107"/>
      <c r="P186" s="107"/>
      <c r="Q186" s="107"/>
      <c r="R186" s="107"/>
      <c r="S186" s="107"/>
      <c r="T186" s="107"/>
      <c r="U186" s="107"/>
      <c r="V186" s="107"/>
      <c r="W186" s="107"/>
      <c r="X186" s="107"/>
    </row>
    <row r="187" spans="1:24" ht="12.75">
      <c r="A187" s="109"/>
      <c r="B187" s="110"/>
      <c r="C187" s="110"/>
      <c r="D187" s="110"/>
      <c r="E187" s="110"/>
      <c r="F187" s="110"/>
      <c r="G187" s="110"/>
      <c r="H187" s="110"/>
      <c r="I187" s="118"/>
      <c r="J187" s="118"/>
      <c r="K187" s="107"/>
      <c r="L187" s="107"/>
      <c r="M187" s="107"/>
      <c r="N187" s="107"/>
      <c r="O187" s="107"/>
      <c r="P187" s="107"/>
      <c r="Q187" s="107"/>
      <c r="R187" s="107"/>
      <c r="S187" s="107"/>
      <c r="T187" s="107"/>
      <c r="U187" s="107"/>
      <c r="V187" s="107"/>
      <c r="W187" s="107"/>
      <c r="X187" s="107"/>
    </row>
    <row r="188" spans="1:24" ht="12.75">
      <c r="A188" s="109"/>
      <c r="B188" s="110"/>
      <c r="C188" s="110"/>
      <c r="D188" s="110"/>
      <c r="E188" s="110"/>
      <c r="F188" s="110"/>
      <c r="G188" s="110"/>
      <c r="H188" s="110"/>
      <c r="I188" s="118"/>
      <c r="J188" s="118"/>
      <c r="K188" s="107"/>
      <c r="L188" s="107"/>
      <c r="M188" s="107"/>
      <c r="N188" s="107"/>
      <c r="O188" s="107"/>
      <c r="P188" s="107"/>
      <c r="Q188" s="107"/>
      <c r="R188" s="107"/>
      <c r="S188" s="107"/>
      <c r="T188" s="107"/>
      <c r="U188" s="107"/>
      <c r="V188" s="107"/>
      <c r="W188" s="107"/>
      <c r="X188" s="107"/>
    </row>
    <row r="189" spans="1:24" ht="12.75">
      <c r="A189" s="109"/>
      <c r="B189" s="110"/>
      <c r="C189" s="110"/>
      <c r="D189" s="110"/>
      <c r="E189" s="110"/>
      <c r="F189" s="110"/>
      <c r="G189" s="110"/>
      <c r="H189" s="110"/>
      <c r="I189" s="118"/>
      <c r="J189" s="118"/>
      <c r="K189" s="107"/>
      <c r="L189" s="107"/>
      <c r="M189" s="107"/>
      <c r="N189" s="107"/>
      <c r="O189" s="107"/>
      <c r="P189" s="107"/>
      <c r="Q189" s="107"/>
      <c r="R189" s="107"/>
      <c r="S189" s="107"/>
      <c r="T189" s="107"/>
      <c r="U189" s="107"/>
      <c r="V189" s="107"/>
      <c r="W189" s="107"/>
      <c r="X189" s="107"/>
    </row>
    <row r="190" spans="1:24" ht="12.75">
      <c r="A190" s="109"/>
      <c r="B190" s="110"/>
      <c r="C190" s="110"/>
      <c r="D190" s="110"/>
      <c r="E190" s="110"/>
      <c r="F190" s="110"/>
      <c r="G190" s="110"/>
      <c r="H190" s="110"/>
      <c r="I190" s="118"/>
      <c r="J190" s="118"/>
      <c r="K190" s="107"/>
      <c r="L190" s="107"/>
      <c r="M190" s="107"/>
      <c r="N190" s="107"/>
      <c r="O190" s="107"/>
      <c r="P190" s="107"/>
      <c r="Q190" s="107"/>
      <c r="R190" s="107"/>
      <c r="S190" s="107"/>
      <c r="T190" s="107"/>
      <c r="U190" s="107"/>
      <c r="V190" s="107"/>
      <c r="W190" s="107"/>
      <c r="X190" s="107"/>
    </row>
    <row r="191" spans="1:24" ht="12.75">
      <c r="A191" s="109"/>
      <c r="B191" s="110"/>
      <c r="C191" s="110"/>
      <c r="D191" s="110"/>
      <c r="E191" s="110"/>
      <c r="F191" s="110"/>
      <c r="G191" s="110"/>
      <c r="H191" s="110"/>
      <c r="I191" s="118"/>
      <c r="J191" s="118"/>
      <c r="K191" s="107"/>
      <c r="L191" s="107"/>
      <c r="M191" s="107"/>
      <c r="N191" s="107"/>
      <c r="O191" s="107"/>
      <c r="P191" s="107"/>
      <c r="Q191" s="107"/>
      <c r="R191" s="107"/>
      <c r="S191" s="107"/>
      <c r="T191" s="107"/>
      <c r="U191" s="107"/>
      <c r="V191" s="107"/>
      <c r="W191" s="107"/>
      <c r="X191" s="107"/>
    </row>
    <row r="192" spans="1:24" ht="12.75">
      <c r="A192" s="109"/>
      <c r="B192" s="110"/>
      <c r="C192" s="110"/>
      <c r="D192" s="110"/>
      <c r="E192" s="110"/>
      <c r="F192" s="110"/>
      <c r="G192" s="110"/>
      <c r="H192" s="110"/>
      <c r="I192" s="118"/>
      <c r="J192" s="118"/>
      <c r="K192" s="107"/>
      <c r="L192" s="107"/>
      <c r="M192" s="107"/>
      <c r="N192" s="107"/>
      <c r="O192" s="107"/>
      <c r="P192" s="107"/>
      <c r="Q192" s="107"/>
      <c r="R192" s="107"/>
      <c r="S192" s="107"/>
      <c r="T192" s="107"/>
      <c r="U192" s="107"/>
      <c r="V192" s="107"/>
      <c r="W192" s="107"/>
      <c r="X192" s="107"/>
    </row>
    <row r="193" spans="1:24" ht="12.75">
      <c r="A193" s="109"/>
      <c r="B193" s="110"/>
      <c r="C193" s="110"/>
      <c r="D193" s="110"/>
      <c r="E193" s="110"/>
      <c r="F193" s="110"/>
      <c r="G193" s="110"/>
      <c r="H193" s="110"/>
      <c r="I193" s="118"/>
      <c r="J193" s="118"/>
      <c r="K193" s="107"/>
      <c r="L193" s="107"/>
      <c r="M193" s="107"/>
      <c r="N193" s="107"/>
      <c r="O193" s="107"/>
      <c r="P193" s="107"/>
      <c r="Q193" s="107"/>
      <c r="R193" s="107"/>
      <c r="S193" s="107"/>
      <c r="T193" s="107"/>
      <c r="U193" s="107"/>
      <c r="V193" s="107"/>
      <c r="W193" s="107"/>
      <c r="X193" s="107"/>
    </row>
    <row r="194" spans="1:24" ht="12.75">
      <c r="A194" s="109"/>
      <c r="B194" s="110"/>
      <c r="C194" s="110"/>
      <c r="D194" s="110"/>
      <c r="E194" s="110"/>
      <c r="F194" s="110"/>
      <c r="G194" s="110"/>
      <c r="H194" s="110"/>
      <c r="I194" s="118"/>
      <c r="J194" s="118"/>
      <c r="K194" s="107"/>
      <c r="L194" s="107"/>
      <c r="M194" s="107"/>
      <c r="N194" s="107"/>
      <c r="O194" s="107"/>
      <c r="P194" s="107"/>
      <c r="Q194" s="107"/>
      <c r="R194" s="107"/>
      <c r="S194" s="107"/>
      <c r="T194" s="107"/>
      <c r="U194" s="107"/>
      <c r="V194" s="107"/>
      <c r="W194" s="107"/>
      <c r="X194" s="107"/>
    </row>
    <row r="195" spans="1:24" ht="12.75">
      <c r="A195" s="109"/>
      <c r="B195" s="110"/>
      <c r="C195" s="110"/>
      <c r="D195" s="110"/>
      <c r="E195" s="110"/>
      <c r="F195" s="110"/>
      <c r="G195" s="110"/>
      <c r="H195" s="110"/>
      <c r="I195" s="118"/>
      <c r="J195" s="118"/>
      <c r="K195" s="107"/>
      <c r="L195" s="107"/>
      <c r="M195" s="107"/>
      <c r="N195" s="107"/>
      <c r="O195" s="107"/>
      <c r="P195" s="107"/>
      <c r="Q195" s="107"/>
      <c r="R195" s="107"/>
      <c r="S195" s="107"/>
      <c r="T195" s="107"/>
      <c r="U195" s="107"/>
      <c r="V195" s="107"/>
      <c r="W195" s="107"/>
      <c r="X195" s="107"/>
    </row>
    <row r="196" spans="1:24" ht="12.75">
      <c r="A196" s="109"/>
      <c r="B196" s="110"/>
      <c r="C196" s="110"/>
      <c r="D196" s="110"/>
      <c r="E196" s="110"/>
      <c r="F196" s="110"/>
      <c r="G196" s="110"/>
      <c r="H196" s="110"/>
      <c r="I196" s="118"/>
      <c r="J196" s="118"/>
      <c r="K196" s="107"/>
      <c r="L196" s="107"/>
      <c r="M196" s="107"/>
      <c r="N196" s="107"/>
      <c r="O196" s="107"/>
      <c r="P196" s="107"/>
      <c r="Q196" s="107"/>
      <c r="R196" s="107"/>
      <c r="S196" s="107"/>
      <c r="T196" s="107"/>
      <c r="U196" s="107"/>
      <c r="V196" s="107"/>
      <c r="W196" s="107"/>
      <c r="X196" s="107"/>
    </row>
    <row r="197" spans="1:24" ht="12.75">
      <c r="A197" s="109"/>
      <c r="B197" s="110"/>
      <c r="C197" s="110"/>
      <c r="D197" s="110"/>
      <c r="E197" s="110"/>
      <c r="F197" s="110"/>
      <c r="G197" s="110"/>
      <c r="H197" s="110"/>
      <c r="I197" s="118"/>
      <c r="J197" s="118"/>
      <c r="K197" s="107"/>
      <c r="L197" s="107"/>
      <c r="M197" s="107"/>
      <c r="N197" s="107"/>
      <c r="O197" s="107"/>
      <c r="P197" s="107"/>
      <c r="Q197" s="107"/>
      <c r="R197" s="107"/>
      <c r="S197" s="107"/>
      <c r="T197" s="107"/>
      <c r="U197" s="107"/>
      <c r="V197" s="107"/>
      <c r="W197" s="107"/>
      <c r="X197" s="107"/>
    </row>
    <row r="198" spans="1:24" ht="12.75">
      <c r="A198" s="109"/>
      <c r="B198" s="110"/>
      <c r="C198" s="110"/>
      <c r="D198" s="110"/>
      <c r="E198" s="110"/>
      <c r="F198" s="110"/>
      <c r="G198" s="110"/>
      <c r="H198" s="110"/>
      <c r="I198" s="118"/>
      <c r="J198" s="118"/>
      <c r="K198" s="107"/>
      <c r="L198" s="107"/>
      <c r="M198" s="107"/>
      <c r="N198" s="107"/>
      <c r="O198" s="107"/>
      <c r="P198" s="107"/>
      <c r="Q198" s="107"/>
      <c r="R198" s="107"/>
      <c r="S198" s="107"/>
      <c r="T198" s="107"/>
      <c r="U198" s="107"/>
      <c r="V198" s="107"/>
      <c r="W198" s="107"/>
      <c r="X198" s="107"/>
    </row>
    <row r="199" spans="1:24" ht="12.75">
      <c r="A199" s="109"/>
      <c r="B199" s="110"/>
      <c r="C199" s="110"/>
      <c r="D199" s="110"/>
      <c r="E199" s="110"/>
      <c r="F199" s="110"/>
      <c r="G199" s="110"/>
      <c r="H199" s="110"/>
      <c r="I199" s="118"/>
      <c r="J199" s="118"/>
      <c r="K199" s="107"/>
      <c r="L199" s="107"/>
      <c r="M199" s="107"/>
      <c r="N199" s="107"/>
      <c r="O199" s="107"/>
      <c r="P199" s="107"/>
      <c r="Q199" s="107"/>
      <c r="R199" s="107"/>
      <c r="S199" s="107"/>
      <c r="T199" s="107"/>
      <c r="U199" s="107"/>
      <c r="V199" s="107"/>
      <c r="W199" s="107"/>
      <c r="X199" s="107"/>
    </row>
    <row r="200" spans="1:24" ht="12.75">
      <c r="A200" s="109"/>
      <c r="B200" s="110"/>
      <c r="C200" s="110"/>
      <c r="D200" s="110"/>
      <c r="E200" s="110"/>
      <c r="F200" s="110"/>
      <c r="G200" s="110"/>
      <c r="H200" s="110"/>
      <c r="I200" s="118"/>
      <c r="J200" s="118"/>
      <c r="K200" s="107"/>
      <c r="L200" s="107"/>
      <c r="M200" s="107"/>
      <c r="N200" s="107"/>
      <c r="O200" s="107"/>
      <c r="P200" s="107"/>
      <c r="Q200" s="107"/>
      <c r="R200" s="107"/>
      <c r="S200" s="107"/>
      <c r="T200" s="107"/>
      <c r="U200" s="107"/>
      <c r="V200" s="107"/>
      <c r="W200" s="107"/>
      <c r="X200" s="107"/>
    </row>
    <row r="201" spans="1:24" ht="12.75">
      <c r="A201" s="109"/>
      <c r="B201" s="110"/>
      <c r="C201" s="110"/>
      <c r="D201" s="110"/>
      <c r="E201" s="110"/>
      <c r="F201" s="110"/>
      <c r="G201" s="110"/>
      <c r="H201" s="110"/>
      <c r="I201" s="118"/>
      <c r="J201" s="118"/>
      <c r="K201" s="107"/>
      <c r="L201" s="107"/>
      <c r="M201" s="107"/>
      <c r="N201" s="107"/>
      <c r="O201" s="107"/>
      <c r="P201" s="107"/>
      <c r="Q201" s="107"/>
      <c r="R201" s="107"/>
      <c r="S201" s="107"/>
      <c r="T201" s="107"/>
      <c r="U201" s="107"/>
      <c r="V201" s="107"/>
      <c r="W201" s="107"/>
      <c r="X201" s="107"/>
    </row>
    <row r="202" spans="1:24" ht="12.75">
      <c r="A202" s="109"/>
      <c r="B202" s="110"/>
      <c r="C202" s="110"/>
      <c r="D202" s="110"/>
      <c r="E202" s="110"/>
      <c r="F202" s="110"/>
      <c r="G202" s="110"/>
      <c r="H202" s="110"/>
      <c r="I202" s="118"/>
      <c r="J202" s="118"/>
      <c r="K202" s="107"/>
      <c r="L202" s="107"/>
      <c r="M202" s="107"/>
      <c r="N202" s="107"/>
      <c r="O202" s="107"/>
      <c r="P202" s="107"/>
      <c r="Q202" s="107"/>
      <c r="R202" s="107"/>
      <c r="S202" s="107"/>
      <c r="T202" s="107"/>
      <c r="U202" s="107"/>
      <c r="V202" s="107"/>
      <c r="W202" s="107"/>
      <c r="X202" s="107"/>
    </row>
    <row r="203" spans="1:24" ht="12.75">
      <c r="A203" s="109"/>
      <c r="B203" s="110"/>
      <c r="C203" s="110"/>
      <c r="D203" s="110"/>
      <c r="E203" s="110"/>
      <c r="F203" s="110"/>
      <c r="G203" s="110"/>
      <c r="H203" s="110"/>
      <c r="I203" s="118"/>
      <c r="J203" s="118"/>
      <c r="K203" s="107"/>
      <c r="L203" s="107"/>
      <c r="M203" s="107"/>
      <c r="N203" s="107"/>
      <c r="O203" s="107"/>
      <c r="P203" s="107"/>
      <c r="Q203" s="107"/>
      <c r="R203" s="107"/>
      <c r="S203" s="107"/>
      <c r="T203" s="107"/>
      <c r="U203" s="107"/>
      <c r="V203" s="107"/>
      <c r="W203" s="107"/>
      <c r="X203" s="107"/>
    </row>
    <row r="204" spans="1:24" ht="12.75">
      <c r="A204" s="109"/>
      <c r="B204" s="110"/>
      <c r="C204" s="110"/>
      <c r="D204" s="110"/>
      <c r="E204" s="110"/>
      <c r="F204" s="110"/>
      <c r="G204" s="110"/>
      <c r="H204" s="110"/>
      <c r="I204" s="118"/>
      <c r="J204" s="118"/>
      <c r="K204" s="107"/>
      <c r="L204" s="107"/>
      <c r="M204" s="107"/>
      <c r="N204" s="107"/>
      <c r="O204" s="107"/>
      <c r="P204" s="107"/>
      <c r="Q204" s="107"/>
      <c r="R204" s="107"/>
      <c r="S204" s="107"/>
      <c r="T204" s="107"/>
      <c r="U204" s="107"/>
      <c r="V204" s="107"/>
      <c r="W204" s="107"/>
      <c r="X204" s="107"/>
    </row>
    <row r="205" spans="1:24" ht="12.75">
      <c r="A205" s="109"/>
      <c r="B205" s="110"/>
      <c r="C205" s="110"/>
      <c r="D205" s="110"/>
      <c r="E205" s="110"/>
      <c r="F205" s="110"/>
      <c r="G205" s="110"/>
      <c r="H205" s="110"/>
      <c r="I205" s="118"/>
      <c r="J205" s="118"/>
      <c r="K205" s="107"/>
      <c r="L205" s="107"/>
      <c r="M205" s="107"/>
      <c r="N205" s="107"/>
      <c r="O205" s="107"/>
      <c r="P205" s="107"/>
      <c r="Q205" s="107"/>
      <c r="R205" s="107"/>
      <c r="S205" s="107"/>
      <c r="T205" s="107"/>
      <c r="U205" s="107"/>
      <c r="V205" s="107"/>
      <c r="W205" s="107"/>
      <c r="X205" s="107"/>
    </row>
    <row r="206" spans="1:24" ht="12.75">
      <c r="A206" s="109"/>
      <c r="B206" s="110"/>
      <c r="C206" s="110"/>
      <c r="D206" s="110"/>
      <c r="E206" s="110"/>
      <c r="F206" s="110"/>
      <c r="G206" s="110"/>
      <c r="H206" s="110"/>
      <c r="I206" s="118"/>
      <c r="J206" s="118"/>
      <c r="K206" s="107"/>
      <c r="L206" s="107"/>
      <c r="M206" s="107"/>
      <c r="N206" s="107"/>
      <c r="O206" s="107"/>
      <c r="P206" s="107"/>
      <c r="Q206" s="107"/>
      <c r="R206" s="107"/>
      <c r="S206" s="107"/>
      <c r="T206" s="107"/>
      <c r="U206" s="107"/>
      <c r="V206" s="107"/>
      <c r="W206" s="107"/>
      <c r="X206" s="107"/>
    </row>
    <row r="207" spans="1:24" ht="12.75">
      <c r="A207" s="109"/>
      <c r="B207" s="110"/>
      <c r="C207" s="110"/>
      <c r="D207" s="110"/>
      <c r="E207" s="110"/>
      <c r="F207" s="110"/>
      <c r="G207" s="110"/>
      <c r="H207" s="110"/>
      <c r="I207" s="118"/>
      <c r="J207" s="118"/>
      <c r="K207" s="107"/>
      <c r="L207" s="107"/>
      <c r="M207" s="107"/>
      <c r="N207" s="107"/>
      <c r="O207" s="107"/>
      <c r="P207" s="107"/>
      <c r="Q207" s="107"/>
      <c r="R207" s="107"/>
      <c r="S207" s="107"/>
      <c r="T207" s="107"/>
      <c r="U207" s="107"/>
      <c r="V207" s="107"/>
      <c r="W207" s="107"/>
      <c r="X207" s="107"/>
    </row>
    <row r="208" spans="1:24" ht="12.75">
      <c r="A208" s="109"/>
      <c r="B208" s="110"/>
      <c r="C208" s="110"/>
      <c r="D208" s="110"/>
      <c r="E208" s="110"/>
      <c r="F208" s="110"/>
      <c r="G208" s="110"/>
      <c r="H208" s="110"/>
      <c r="I208" s="118"/>
      <c r="J208" s="118"/>
      <c r="K208" s="107"/>
      <c r="L208" s="107"/>
      <c r="M208" s="107"/>
      <c r="N208" s="107"/>
      <c r="O208" s="107"/>
      <c r="P208" s="107"/>
      <c r="Q208" s="107"/>
      <c r="R208" s="107"/>
      <c r="S208" s="107"/>
      <c r="T208" s="107"/>
      <c r="U208" s="107"/>
      <c r="V208" s="107"/>
      <c r="W208" s="107"/>
      <c r="X208" s="107"/>
    </row>
    <row r="209" spans="1:24" ht="12.75">
      <c r="A209" s="109"/>
      <c r="B209" s="110"/>
      <c r="C209" s="110"/>
      <c r="D209" s="110"/>
      <c r="E209" s="110"/>
      <c r="F209" s="110"/>
      <c r="G209" s="110"/>
      <c r="H209" s="110"/>
      <c r="I209" s="118"/>
      <c r="J209" s="118"/>
      <c r="K209" s="107"/>
      <c r="L209" s="107"/>
      <c r="M209" s="107"/>
      <c r="N209" s="107"/>
      <c r="O209" s="107"/>
      <c r="P209" s="107"/>
      <c r="Q209" s="107"/>
      <c r="R209" s="107"/>
      <c r="S209" s="107"/>
      <c r="T209" s="107"/>
      <c r="U209" s="107"/>
      <c r="V209" s="107"/>
      <c r="W209" s="107"/>
      <c r="X209" s="107"/>
    </row>
    <row r="210" spans="1:24" ht="12.75">
      <c r="A210" s="109"/>
      <c r="B210" s="110"/>
      <c r="C210" s="110"/>
      <c r="D210" s="110"/>
      <c r="E210" s="110"/>
      <c r="F210" s="110"/>
      <c r="G210" s="110"/>
      <c r="H210" s="110"/>
      <c r="I210" s="118"/>
      <c r="J210" s="118"/>
      <c r="K210" s="107"/>
      <c r="L210" s="107"/>
      <c r="M210" s="107"/>
      <c r="N210" s="107"/>
      <c r="O210" s="107"/>
      <c r="P210" s="107"/>
      <c r="Q210" s="107"/>
      <c r="R210" s="107"/>
      <c r="S210" s="107"/>
      <c r="T210" s="107"/>
      <c r="U210" s="107"/>
      <c r="V210" s="107"/>
      <c r="W210" s="107"/>
      <c r="X210" s="107"/>
    </row>
    <row r="211" spans="1:24" ht="12.75">
      <c r="A211" s="109"/>
      <c r="B211" s="110"/>
      <c r="C211" s="110"/>
      <c r="D211" s="110"/>
      <c r="E211" s="110"/>
      <c r="F211" s="110"/>
      <c r="G211" s="110"/>
      <c r="H211" s="110"/>
      <c r="I211" s="118"/>
      <c r="J211" s="118"/>
      <c r="K211" s="107"/>
      <c r="L211" s="107"/>
      <c r="M211" s="107"/>
      <c r="N211" s="107"/>
      <c r="O211" s="107"/>
      <c r="P211" s="107"/>
      <c r="Q211" s="107"/>
      <c r="R211" s="107"/>
      <c r="S211" s="107"/>
      <c r="T211" s="107"/>
      <c r="U211" s="107"/>
      <c r="V211" s="107"/>
      <c r="W211" s="107"/>
      <c r="X211" s="107"/>
    </row>
    <row r="212" spans="1:24" ht="12.75">
      <c r="A212" s="109"/>
      <c r="B212" s="110"/>
      <c r="C212" s="110"/>
      <c r="D212" s="110"/>
      <c r="E212" s="110"/>
      <c r="F212" s="110"/>
      <c r="G212" s="110"/>
      <c r="H212" s="110"/>
      <c r="I212" s="118"/>
      <c r="J212" s="118"/>
      <c r="K212" s="107"/>
      <c r="L212" s="107"/>
      <c r="M212" s="107"/>
      <c r="N212" s="107"/>
      <c r="O212" s="107"/>
      <c r="P212" s="107"/>
      <c r="Q212" s="107"/>
      <c r="R212" s="107"/>
      <c r="S212" s="107"/>
      <c r="T212" s="107"/>
      <c r="U212" s="107"/>
      <c r="V212" s="107"/>
      <c r="W212" s="107"/>
      <c r="X212" s="107"/>
    </row>
    <row r="213" spans="1:24" ht="12.75">
      <c r="A213" s="109"/>
      <c r="B213" s="110"/>
      <c r="C213" s="110"/>
      <c r="D213" s="110"/>
      <c r="E213" s="110"/>
      <c r="F213" s="110"/>
      <c r="G213" s="110"/>
      <c r="H213" s="110"/>
      <c r="I213" s="118"/>
      <c r="J213" s="118"/>
      <c r="K213" s="107"/>
      <c r="L213" s="107"/>
      <c r="M213" s="107"/>
      <c r="N213" s="107"/>
      <c r="O213" s="107"/>
      <c r="P213" s="107"/>
      <c r="Q213" s="107"/>
      <c r="R213" s="107"/>
      <c r="S213" s="107"/>
      <c r="T213" s="107"/>
      <c r="U213" s="107"/>
      <c r="V213" s="107"/>
      <c r="W213" s="107"/>
      <c r="X213" s="107"/>
    </row>
    <row r="214" spans="1:24" ht="12.75">
      <c r="A214" s="109"/>
      <c r="B214" s="110"/>
      <c r="C214" s="110"/>
      <c r="D214" s="110"/>
      <c r="E214" s="110"/>
      <c r="F214" s="110"/>
      <c r="G214" s="110"/>
      <c r="H214" s="110"/>
      <c r="I214" s="118"/>
      <c r="J214" s="118"/>
      <c r="K214" s="107"/>
      <c r="L214" s="107"/>
      <c r="M214" s="107"/>
      <c r="N214" s="107"/>
      <c r="O214" s="107"/>
      <c r="P214" s="107"/>
      <c r="Q214" s="107"/>
      <c r="R214" s="107"/>
      <c r="S214" s="107"/>
      <c r="T214" s="107"/>
      <c r="U214" s="107"/>
      <c r="V214" s="107"/>
      <c r="W214" s="107"/>
      <c r="X214" s="107"/>
    </row>
    <row r="215" spans="1:24" ht="12.75">
      <c r="A215" s="109"/>
      <c r="B215" s="110"/>
      <c r="C215" s="110"/>
      <c r="D215" s="110"/>
      <c r="E215" s="110"/>
      <c r="F215" s="110"/>
      <c r="G215" s="110"/>
      <c r="H215" s="110"/>
      <c r="I215" s="118"/>
      <c r="J215" s="118"/>
      <c r="K215" s="107"/>
      <c r="L215" s="107"/>
      <c r="M215" s="107"/>
      <c r="N215" s="107"/>
      <c r="O215" s="107"/>
      <c r="P215" s="107"/>
      <c r="Q215" s="107"/>
      <c r="R215" s="107"/>
      <c r="S215" s="107"/>
      <c r="T215" s="107"/>
      <c r="U215" s="107"/>
      <c r="V215" s="107"/>
      <c r="W215" s="107"/>
      <c r="X215" s="107"/>
    </row>
    <row r="216" spans="1:24" ht="12.75">
      <c r="A216" s="109"/>
      <c r="B216" s="110"/>
      <c r="C216" s="110"/>
      <c r="D216" s="110"/>
      <c r="E216" s="110"/>
      <c r="F216" s="110"/>
      <c r="G216" s="110"/>
      <c r="H216" s="110"/>
      <c r="I216" s="118"/>
      <c r="J216" s="118"/>
      <c r="K216" s="107"/>
      <c r="L216" s="107"/>
      <c r="M216" s="107"/>
      <c r="N216" s="107"/>
      <c r="O216" s="107"/>
      <c r="P216" s="107"/>
      <c r="Q216" s="107"/>
      <c r="R216" s="107"/>
      <c r="S216" s="107"/>
      <c r="T216" s="107"/>
      <c r="U216" s="107"/>
      <c r="V216" s="107"/>
      <c r="W216" s="107"/>
      <c r="X216" s="107"/>
    </row>
    <row r="217" spans="1:24" ht="12.75">
      <c r="A217" s="109"/>
      <c r="B217" s="110"/>
      <c r="C217" s="110"/>
      <c r="D217" s="110"/>
      <c r="E217" s="110"/>
      <c r="F217" s="110"/>
      <c r="G217" s="110"/>
      <c r="H217" s="110"/>
      <c r="I217" s="118"/>
      <c r="J217" s="118"/>
      <c r="K217" s="107"/>
      <c r="L217" s="107"/>
      <c r="M217" s="107"/>
      <c r="N217" s="107"/>
      <c r="O217" s="107"/>
      <c r="P217" s="107"/>
      <c r="Q217" s="107"/>
      <c r="R217" s="107"/>
      <c r="S217" s="107"/>
      <c r="T217" s="107"/>
      <c r="U217" s="107"/>
      <c r="V217" s="107"/>
      <c r="W217" s="107"/>
      <c r="X217" s="107"/>
    </row>
    <row r="218" spans="1:24" ht="12.75">
      <c r="A218" s="109"/>
      <c r="B218" s="110"/>
      <c r="C218" s="110"/>
      <c r="D218" s="110"/>
      <c r="E218" s="110"/>
      <c r="F218" s="110"/>
      <c r="G218" s="110"/>
      <c r="H218" s="110"/>
      <c r="I218" s="118"/>
      <c r="J218" s="118"/>
      <c r="K218" s="107"/>
      <c r="L218" s="107"/>
      <c r="M218" s="107"/>
      <c r="N218" s="107"/>
      <c r="O218" s="107"/>
      <c r="P218" s="107"/>
      <c r="Q218" s="107"/>
      <c r="R218" s="107"/>
      <c r="S218" s="107"/>
      <c r="T218" s="107"/>
      <c r="U218" s="107"/>
      <c r="V218" s="107"/>
      <c r="W218" s="107"/>
      <c r="X218" s="107"/>
    </row>
    <row r="219" spans="1:24" ht="12.75">
      <c r="A219" s="109"/>
      <c r="B219" s="110"/>
      <c r="C219" s="110"/>
      <c r="D219" s="110"/>
      <c r="E219" s="110"/>
      <c r="F219" s="110"/>
      <c r="G219" s="110"/>
      <c r="H219" s="110"/>
      <c r="I219" s="118"/>
      <c r="J219" s="118"/>
      <c r="K219" s="107"/>
      <c r="L219" s="107"/>
      <c r="M219" s="107"/>
      <c r="N219" s="107"/>
      <c r="O219" s="107"/>
      <c r="P219" s="107"/>
      <c r="Q219" s="107"/>
      <c r="R219" s="107"/>
      <c r="S219" s="107"/>
      <c r="T219" s="107"/>
      <c r="U219" s="107"/>
      <c r="V219" s="107"/>
      <c r="W219" s="107"/>
      <c r="X219" s="107"/>
    </row>
    <row r="220" spans="1:24" ht="12.75">
      <c r="A220" s="109"/>
      <c r="B220" s="110"/>
      <c r="C220" s="110"/>
      <c r="D220" s="110"/>
      <c r="E220" s="110"/>
      <c r="F220" s="110"/>
      <c r="G220" s="110"/>
      <c r="H220" s="110"/>
      <c r="I220" s="118"/>
      <c r="J220" s="118"/>
      <c r="K220" s="107"/>
      <c r="L220" s="107"/>
      <c r="M220" s="107"/>
      <c r="N220" s="107"/>
      <c r="O220" s="107"/>
      <c r="P220" s="107"/>
      <c r="Q220" s="107"/>
      <c r="R220" s="107"/>
      <c r="S220" s="107"/>
      <c r="T220" s="107"/>
      <c r="U220" s="107"/>
      <c r="V220" s="107"/>
      <c r="W220" s="107"/>
      <c r="X220" s="107"/>
    </row>
    <row r="221" spans="1:24" ht="12.75">
      <c r="A221" s="109"/>
      <c r="B221" s="110"/>
      <c r="C221" s="110"/>
      <c r="D221" s="110"/>
      <c r="E221" s="110"/>
      <c r="F221" s="110"/>
      <c r="G221" s="110"/>
      <c r="H221" s="110"/>
      <c r="I221" s="118"/>
      <c r="J221" s="118"/>
      <c r="K221" s="107"/>
      <c r="L221" s="107"/>
      <c r="M221" s="107"/>
      <c r="N221" s="107"/>
      <c r="O221" s="107"/>
      <c r="P221" s="107"/>
      <c r="Q221" s="107"/>
      <c r="R221" s="107"/>
      <c r="S221" s="107"/>
      <c r="T221" s="107"/>
      <c r="U221" s="107"/>
      <c r="V221" s="107"/>
      <c r="W221" s="107"/>
      <c r="X221" s="107"/>
    </row>
    <row r="222" spans="1:24" ht="12.75">
      <c r="A222" s="109"/>
      <c r="B222" s="110"/>
      <c r="C222" s="110"/>
      <c r="D222" s="110"/>
      <c r="E222" s="110"/>
      <c r="F222" s="110"/>
      <c r="G222" s="110"/>
      <c r="H222" s="110"/>
      <c r="I222" s="118"/>
      <c r="J222" s="118"/>
      <c r="K222" s="107"/>
      <c r="L222" s="107"/>
      <c r="M222" s="107"/>
      <c r="N222" s="107"/>
      <c r="O222" s="107"/>
      <c r="P222" s="107"/>
      <c r="Q222" s="107"/>
      <c r="R222" s="107"/>
      <c r="S222" s="107"/>
      <c r="T222" s="107"/>
      <c r="U222" s="107"/>
      <c r="V222" s="107"/>
      <c r="W222" s="107"/>
      <c r="X222" s="107"/>
    </row>
    <row r="223" spans="1:24" ht="12.75">
      <c r="A223" s="109"/>
      <c r="B223" s="110"/>
      <c r="C223" s="110"/>
      <c r="D223" s="110"/>
      <c r="E223" s="110"/>
      <c r="F223" s="110"/>
      <c r="G223" s="110"/>
      <c r="H223" s="110"/>
      <c r="I223" s="118"/>
      <c r="J223" s="118"/>
      <c r="K223" s="107"/>
      <c r="L223" s="107"/>
      <c r="M223" s="107"/>
      <c r="N223" s="107"/>
      <c r="O223" s="107"/>
      <c r="P223" s="107"/>
      <c r="Q223" s="107"/>
      <c r="R223" s="107"/>
      <c r="S223" s="107"/>
      <c r="T223" s="107"/>
      <c r="U223" s="107"/>
      <c r="V223" s="107"/>
      <c r="W223" s="107"/>
      <c r="X223" s="107"/>
    </row>
    <row r="224" spans="1:24" ht="12.75">
      <c r="A224" s="109"/>
      <c r="B224" s="110"/>
      <c r="C224" s="110"/>
      <c r="D224" s="110"/>
      <c r="E224" s="110"/>
      <c r="F224" s="110"/>
      <c r="G224" s="110"/>
      <c r="H224" s="110"/>
      <c r="I224" s="118"/>
      <c r="J224" s="118"/>
      <c r="K224" s="107"/>
      <c r="L224" s="107"/>
      <c r="M224" s="107"/>
      <c r="N224" s="107"/>
      <c r="O224" s="107"/>
      <c r="P224" s="107"/>
      <c r="Q224" s="107"/>
      <c r="R224" s="107"/>
      <c r="S224" s="107"/>
      <c r="T224" s="107"/>
      <c r="U224" s="107"/>
      <c r="V224" s="107"/>
      <c r="W224" s="107"/>
      <c r="X224" s="107"/>
    </row>
    <row r="225" spans="1:24" ht="12.75">
      <c r="A225" s="109"/>
      <c r="B225" s="110"/>
      <c r="C225" s="110"/>
      <c r="D225" s="110"/>
      <c r="E225" s="110"/>
      <c r="F225" s="110"/>
      <c r="G225" s="110"/>
      <c r="H225" s="110"/>
      <c r="I225" s="118"/>
      <c r="J225" s="118"/>
      <c r="K225" s="107"/>
      <c r="L225" s="107"/>
      <c r="M225" s="107"/>
      <c r="N225" s="107"/>
      <c r="O225" s="107"/>
      <c r="P225" s="107"/>
      <c r="Q225" s="107"/>
      <c r="R225" s="107"/>
      <c r="S225" s="107"/>
      <c r="T225" s="107"/>
      <c r="U225" s="107"/>
      <c r="V225" s="107"/>
      <c r="W225" s="107"/>
      <c r="X225" s="107"/>
    </row>
    <row r="226" spans="1:24" ht="12.75">
      <c r="A226" s="109"/>
      <c r="B226" s="110"/>
      <c r="C226" s="110"/>
      <c r="D226" s="110"/>
      <c r="E226" s="110"/>
      <c r="F226" s="110"/>
      <c r="G226" s="110"/>
      <c r="H226" s="110"/>
      <c r="I226" s="118"/>
      <c r="J226" s="118"/>
      <c r="K226" s="107"/>
      <c r="L226" s="107"/>
      <c r="M226" s="107"/>
      <c r="N226" s="107"/>
      <c r="O226" s="107"/>
      <c r="P226" s="107"/>
      <c r="Q226" s="107"/>
      <c r="R226" s="107"/>
      <c r="S226" s="107"/>
      <c r="T226" s="107"/>
      <c r="U226" s="107"/>
      <c r="V226" s="107"/>
      <c r="W226" s="107"/>
      <c r="X226" s="107"/>
    </row>
    <row r="227" spans="1:24" ht="12.75">
      <c r="A227" s="109"/>
      <c r="B227" s="110"/>
      <c r="C227" s="110"/>
      <c r="D227" s="110"/>
      <c r="E227" s="110"/>
      <c r="F227" s="110"/>
      <c r="G227" s="110"/>
      <c r="H227" s="110"/>
      <c r="I227" s="118"/>
      <c r="J227" s="118"/>
      <c r="K227" s="107"/>
      <c r="L227" s="107"/>
      <c r="M227" s="107"/>
      <c r="N227" s="107"/>
      <c r="O227" s="107"/>
      <c r="P227" s="107"/>
      <c r="Q227" s="107"/>
      <c r="R227" s="107"/>
      <c r="S227" s="107"/>
      <c r="T227" s="107"/>
      <c r="U227" s="107"/>
      <c r="V227" s="107"/>
      <c r="W227" s="107"/>
      <c r="X227" s="107"/>
    </row>
    <row r="228" spans="1:24" ht="12.75">
      <c r="A228" s="109"/>
      <c r="B228" s="110"/>
      <c r="C228" s="110"/>
      <c r="D228" s="110"/>
      <c r="E228" s="110"/>
      <c r="F228" s="110"/>
      <c r="G228" s="110"/>
      <c r="H228" s="110"/>
      <c r="I228" s="118"/>
      <c r="J228" s="118"/>
      <c r="K228" s="107"/>
      <c r="L228" s="107"/>
      <c r="M228" s="107"/>
      <c r="N228" s="107"/>
      <c r="O228" s="107"/>
      <c r="P228" s="107"/>
      <c r="Q228" s="107"/>
      <c r="R228" s="107"/>
      <c r="S228" s="107"/>
      <c r="T228" s="107"/>
      <c r="U228" s="107"/>
      <c r="V228" s="107"/>
      <c r="W228" s="107"/>
      <c r="X228" s="107"/>
    </row>
    <row r="229" spans="1:24" ht="12.75">
      <c r="A229" s="109"/>
      <c r="B229" s="110"/>
      <c r="C229" s="110"/>
      <c r="D229" s="110"/>
      <c r="E229" s="110"/>
      <c r="F229" s="110"/>
      <c r="G229" s="110"/>
      <c r="H229" s="110"/>
      <c r="I229" s="118"/>
      <c r="J229" s="118"/>
      <c r="K229" s="107"/>
      <c r="L229" s="107"/>
      <c r="M229" s="107"/>
      <c r="N229" s="107"/>
      <c r="O229" s="107"/>
      <c r="P229" s="107"/>
      <c r="Q229" s="107"/>
      <c r="R229" s="107"/>
      <c r="S229" s="107"/>
      <c r="T229" s="107"/>
      <c r="U229" s="107"/>
      <c r="V229" s="107"/>
      <c r="W229" s="107"/>
      <c r="X229" s="107"/>
    </row>
    <row r="230" spans="1:24" ht="12.75">
      <c r="A230" s="109"/>
      <c r="B230" s="110"/>
      <c r="C230" s="110"/>
      <c r="D230" s="110"/>
      <c r="E230" s="110"/>
      <c r="F230" s="110"/>
      <c r="G230" s="110"/>
      <c r="H230" s="110"/>
      <c r="I230" s="118"/>
      <c r="J230" s="118"/>
      <c r="K230" s="107"/>
      <c r="L230" s="107"/>
      <c r="M230" s="107"/>
      <c r="N230" s="107"/>
      <c r="O230" s="107"/>
      <c r="P230" s="107"/>
      <c r="Q230" s="107"/>
      <c r="R230" s="107"/>
      <c r="S230" s="107"/>
      <c r="T230" s="107"/>
      <c r="U230" s="107"/>
      <c r="V230" s="107"/>
      <c r="W230" s="107"/>
      <c r="X230" s="107"/>
    </row>
    <row r="231" spans="1:24" ht="12.75">
      <c r="A231" s="109"/>
      <c r="B231" s="110"/>
      <c r="C231" s="110"/>
      <c r="D231" s="110"/>
      <c r="E231" s="110"/>
      <c r="F231" s="110"/>
      <c r="G231" s="110"/>
      <c r="H231" s="110"/>
      <c r="I231" s="118"/>
      <c r="J231" s="118"/>
      <c r="K231" s="107"/>
      <c r="L231" s="107"/>
      <c r="M231" s="107"/>
      <c r="N231" s="107"/>
      <c r="O231" s="107"/>
      <c r="P231" s="107"/>
      <c r="Q231" s="107"/>
      <c r="R231" s="107"/>
      <c r="S231" s="107"/>
      <c r="T231" s="107"/>
      <c r="U231" s="107"/>
      <c r="V231" s="107"/>
      <c r="W231" s="107"/>
      <c r="X231" s="107"/>
    </row>
    <row r="232" spans="1:24" ht="12.75">
      <c r="A232" s="109"/>
      <c r="B232" s="110"/>
      <c r="C232" s="110"/>
      <c r="D232" s="110"/>
      <c r="E232" s="110"/>
      <c r="F232" s="110"/>
      <c r="G232" s="110"/>
      <c r="H232" s="110"/>
      <c r="I232" s="118"/>
      <c r="J232" s="118"/>
      <c r="K232" s="107"/>
      <c r="L232" s="107"/>
      <c r="M232" s="107"/>
      <c r="N232" s="107"/>
      <c r="O232" s="107"/>
      <c r="P232" s="107"/>
      <c r="Q232" s="107"/>
      <c r="R232" s="107"/>
      <c r="S232" s="107"/>
      <c r="T232" s="107"/>
      <c r="U232" s="107"/>
      <c r="V232" s="107"/>
      <c r="W232" s="107"/>
      <c r="X232" s="107"/>
    </row>
    <row r="233" spans="1:24" ht="12.75">
      <c r="A233" s="109"/>
      <c r="B233" s="110"/>
      <c r="C233" s="110"/>
      <c r="D233" s="110"/>
      <c r="E233" s="110"/>
      <c r="F233" s="110"/>
      <c r="G233" s="110"/>
      <c r="H233" s="110"/>
      <c r="I233" s="118"/>
      <c r="J233" s="118"/>
      <c r="K233" s="107"/>
      <c r="L233" s="107"/>
      <c r="M233" s="107"/>
      <c r="N233" s="107"/>
      <c r="O233" s="107"/>
      <c r="P233" s="107"/>
      <c r="Q233" s="107"/>
      <c r="R233" s="107"/>
      <c r="S233" s="107"/>
      <c r="T233" s="107"/>
      <c r="U233" s="107"/>
      <c r="V233" s="107"/>
      <c r="W233" s="107"/>
      <c r="X233" s="107"/>
    </row>
    <row r="234" spans="1:24" ht="12.75">
      <c r="A234" s="109"/>
      <c r="B234" s="110"/>
      <c r="C234" s="110"/>
      <c r="D234" s="110"/>
      <c r="E234" s="110"/>
      <c r="F234" s="110"/>
      <c r="G234" s="110"/>
      <c r="H234" s="110"/>
      <c r="I234" s="118"/>
      <c r="J234" s="118"/>
      <c r="K234" s="107"/>
      <c r="L234" s="107"/>
      <c r="M234" s="107"/>
      <c r="N234" s="107"/>
      <c r="O234" s="107"/>
      <c r="P234" s="107"/>
      <c r="Q234" s="107"/>
      <c r="R234" s="107"/>
      <c r="S234" s="107"/>
      <c r="T234" s="107"/>
      <c r="U234" s="107"/>
      <c r="V234" s="107"/>
      <c r="W234" s="107"/>
      <c r="X234" s="107"/>
    </row>
    <row r="235" spans="1:24" ht="12.75">
      <c r="A235" s="109"/>
      <c r="B235" s="110"/>
      <c r="C235" s="110"/>
      <c r="D235" s="110"/>
      <c r="E235" s="110"/>
      <c r="F235" s="110"/>
      <c r="G235" s="110"/>
      <c r="H235" s="110"/>
      <c r="I235" s="118"/>
      <c r="J235" s="118"/>
      <c r="K235" s="107"/>
      <c r="L235" s="107"/>
      <c r="M235" s="107"/>
      <c r="N235" s="107"/>
      <c r="O235" s="107"/>
      <c r="P235" s="107"/>
      <c r="Q235" s="107"/>
      <c r="R235" s="107"/>
      <c r="S235" s="107"/>
      <c r="T235" s="107"/>
      <c r="U235" s="107"/>
      <c r="V235" s="107"/>
      <c r="W235" s="107"/>
      <c r="X235" s="107"/>
    </row>
    <row r="236" spans="1:24" ht="12.75">
      <c r="A236" s="109"/>
      <c r="B236" s="110"/>
      <c r="C236" s="110"/>
      <c r="D236" s="110"/>
      <c r="E236" s="110"/>
      <c r="F236" s="110"/>
      <c r="G236" s="110"/>
      <c r="H236" s="110"/>
      <c r="I236" s="118"/>
      <c r="J236" s="118"/>
      <c r="K236" s="107"/>
      <c r="L236" s="107"/>
      <c r="M236" s="107"/>
      <c r="N236" s="107"/>
      <c r="O236" s="107"/>
      <c r="P236" s="107"/>
      <c r="Q236" s="107"/>
      <c r="R236" s="107"/>
      <c r="S236" s="107"/>
      <c r="T236" s="107"/>
      <c r="U236" s="107"/>
      <c r="V236" s="107"/>
      <c r="W236" s="107"/>
      <c r="X236" s="107"/>
    </row>
    <row r="237" spans="1:24" ht="12.75">
      <c r="A237" s="109"/>
      <c r="B237" s="110"/>
      <c r="C237" s="110"/>
      <c r="D237" s="110"/>
      <c r="E237" s="110"/>
      <c r="F237" s="110"/>
      <c r="G237" s="110"/>
      <c r="H237" s="110"/>
      <c r="I237" s="118"/>
      <c r="J237" s="118"/>
      <c r="K237" s="107"/>
      <c r="L237" s="107"/>
      <c r="M237" s="107"/>
      <c r="N237" s="107"/>
      <c r="O237" s="107"/>
      <c r="P237" s="107"/>
      <c r="Q237" s="107"/>
      <c r="R237" s="107"/>
      <c r="S237" s="107"/>
      <c r="T237" s="107"/>
      <c r="U237" s="107"/>
      <c r="V237" s="107"/>
      <c r="W237" s="107"/>
      <c r="X237" s="107"/>
    </row>
    <row r="238" spans="1:24" ht="12.75">
      <c r="A238" s="109"/>
      <c r="B238" s="110"/>
      <c r="C238" s="110"/>
      <c r="D238" s="110"/>
      <c r="E238" s="110"/>
      <c r="F238" s="110"/>
      <c r="G238" s="110"/>
      <c r="H238" s="110"/>
      <c r="I238" s="118"/>
      <c r="J238" s="118"/>
      <c r="K238" s="107"/>
      <c r="L238" s="107"/>
      <c r="M238" s="107"/>
      <c r="N238" s="107"/>
      <c r="O238" s="107"/>
      <c r="P238" s="107"/>
      <c r="Q238" s="107"/>
      <c r="R238" s="107"/>
      <c r="S238" s="107"/>
      <c r="T238" s="107"/>
      <c r="U238" s="107"/>
      <c r="V238" s="107"/>
      <c r="W238" s="107"/>
      <c r="X238" s="107"/>
    </row>
    <row r="239" spans="1:24" ht="12.75">
      <c r="A239" s="109"/>
      <c r="B239" s="110"/>
      <c r="C239" s="110"/>
      <c r="D239" s="110"/>
      <c r="E239" s="110"/>
      <c r="F239" s="110"/>
      <c r="G239" s="110"/>
      <c r="H239" s="110"/>
      <c r="I239" s="118"/>
      <c r="J239" s="118"/>
      <c r="K239" s="107"/>
      <c r="L239" s="107"/>
      <c r="M239" s="107"/>
      <c r="N239" s="107"/>
      <c r="O239" s="107"/>
      <c r="P239" s="107"/>
      <c r="Q239" s="107"/>
      <c r="R239" s="107"/>
      <c r="S239" s="107"/>
      <c r="T239" s="107"/>
      <c r="U239" s="107"/>
      <c r="V239" s="107"/>
      <c r="W239" s="107"/>
      <c r="X239" s="107"/>
    </row>
    <row r="240" spans="1:24" ht="12.75">
      <c r="A240" s="109"/>
      <c r="B240" s="110"/>
      <c r="C240" s="110"/>
      <c r="D240" s="110"/>
      <c r="E240" s="110"/>
      <c r="F240" s="110"/>
      <c r="G240" s="110"/>
      <c r="H240" s="110"/>
      <c r="I240" s="118"/>
      <c r="J240" s="118"/>
      <c r="K240" s="107"/>
      <c r="L240" s="107"/>
      <c r="M240" s="107"/>
      <c r="N240" s="107"/>
      <c r="O240" s="107"/>
      <c r="P240" s="107"/>
      <c r="Q240" s="107"/>
      <c r="R240" s="107"/>
      <c r="S240" s="107"/>
      <c r="T240" s="107"/>
      <c r="U240" s="107"/>
      <c r="V240" s="107"/>
      <c r="W240" s="107"/>
      <c r="X240" s="107"/>
    </row>
    <row r="241" spans="1:24" ht="12.75">
      <c r="A241" s="109"/>
      <c r="B241" s="110"/>
      <c r="C241" s="110"/>
      <c r="D241" s="110"/>
      <c r="E241" s="110"/>
      <c r="F241" s="110"/>
      <c r="G241" s="110"/>
      <c r="H241" s="110"/>
      <c r="I241" s="118"/>
      <c r="J241" s="118"/>
      <c r="K241" s="107"/>
      <c r="L241" s="107"/>
      <c r="M241" s="107"/>
      <c r="N241" s="107"/>
      <c r="O241" s="107"/>
      <c r="P241" s="107"/>
      <c r="Q241" s="107"/>
      <c r="R241" s="107"/>
      <c r="S241" s="107"/>
      <c r="T241" s="107"/>
      <c r="U241" s="107"/>
      <c r="V241" s="107"/>
      <c r="W241" s="107"/>
      <c r="X241" s="107"/>
    </row>
    <row r="242" spans="1:24" ht="12.75">
      <c r="A242" s="109"/>
      <c r="B242" s="110"/>
      <c r="C242" s="110"/>
      <c r="D242" s="110"/>
      <c r="E242" s="110"/>
      <c r="F242" s="110"/>
      <c r="G242" s="110"/>
      <c r="H242" s="110"/>
      <c r="I242" s="118"/>
      <c r="J242" s="118"/>
      <c r="K242" s="107"/>
      <c r="L242" s="107"/>
      <c r="M242" s="107"/>
      <c r="N242" s="107"/>
      <c r="O242" s="107"/>
      <c r="P242" s="107"/>
      <c r="Q242" s="107"/>
      <c r="R242" s="107"/>
      <c r="S242" s="107"/>
      <c r="T242" s="107"/>
      <c r="U242" s="107"/>
      <c r="V242" s="107"/>
      <c r="W242" s="107"/>
      <c r="X242" s="107"/>
    </row>
    <row r="243" spans="1:24" ht="12.75">
      <c r="A243" s="109"/>
      <c r="B243" s="110"/>
      <c r="C243" s="110"/>
      <c r="D243" s="110"/>
      <c r="E243" s="110"/>
      <c r="F243" s="110"/>
      <c r="G243" s="110"/>
      <c r="H243" s="110"/>
      <c r="I243" s="118"/>
      <c r="J243" s="118"/>
      <c r="K243" s="107"/>
      <c r="L243" s="107"/>
      <c r="M243" s="107"/>
      <c r="N243" s="107"/>
      <c r="O243" s="107"/>
      <c r="P243" s="107"/>
      <c r="Q243" s="107"/>
      <c r="R243" s="107"/>
      <c r="S243" s="107"/>
      <c r="T243" s="107"/>
      <c r="U243" s="107"/>
      <c r="V243" s="107"/>
      <c r="W243" s="107"/>
      <c r="X243" s="107"/>
    </row>
    <row r="244" spans="1:24" ht="12.75">
      <c r="A244" s="109"/>
      <c r="B244" s="110"/>
      <c r="C244" s="110"/>
      <c r="D244" s="110"/>
      <c r="E244" s="110"/>
      <c r="F244" s="110"/>
      <c r="G244" s="110"/>
      <c r="H244" s="110"/>
      <c r="I244" s="118"/>
      <c r="J244" s="118"/>
      <c r="K244" s="107"/>
      <c r="L244" s="107"/>
      <c r="M244" s="107"/>
      <c r="N244" s="107"/>
      <c r="O244" s="107"/>
      <c r="P244" s="107"/>
      <c r="Q244" s="107"/>
      <c r="R244" s="107"/>
      <c r="S244" s="107"/>
      <c r="T244" s="107"/>
      <c r="U244" s="107"/>
      <c r="V244" s="107"/>
      <c r="W244" s="107"/>
      <c r="X244" s="107"/>
    </row>
    <row r="245" spans="1:24" ht="12.75">
      <c r="A245" s="109"/>
      <c r="B245" s="110"/>
      <c r="C245" s="110"/>
      <c r="D245" s="110"/>
      <c r="E245" s="110"/>
      <c r="F245" s="110"/>
      <c r="G245" s="110"/>
      <c r="H245" s="110"/>
      <c r="I245" s="118"/>
      <c r="J245" s="118"/>
      <c r="K245" s="107"/>
      <c r="L245" s="107"/>
      <c r="M245" s="107"/>
      <c r="N245" s="107"/>
      <c r="O245" s="107"/>
      <c r="P245" s="107"/>
      <c r="Q245" s="107"/>
      <c r="R245" s="107"/>
      <c r="S245" s="107"/>
      <c r="T245" s="107"/>
      <c r="U245" s="107"/>
      <c r="V245" s="107"/>
      <c r="W245" s="107"/>
      <c r="X245" s="107"/>
    </row>
    <row r="246" spans="1:24" ht="12.75">
      <c r="A246" s="109"/>
      <c r="B246" s="110"/>
      <c r="C246" s="110"/>
      <c r="D246" s="110"/>
      <c r="E246" s="110"/>
      <c r="F246" s="110"/>
      <c r="G246" s="110"/>
      <c r="H246" s="110"/>
      <c r="I246" s="118"/>
      <c r="J246" s="118"/>
      <c r="K246" s="107"/>
      <c r="L246" s="107"/>
      <c r="M246" s="107"/>
      <c r="N246" s="107"/>
      <c r="O246" s="107"/>
      <c r="P246" s="107"/>
      <c r="Q246" s="107"/>
      <c r="R246" s="107"/>
      <c r="S246" s="107"/>
      <c r="T246" s="107"/>
      <c r="U246" s="107"/>
      <c r="V246" s="107"/>
      <c r="W246" s="107"/>
      <c r="X246" s="107"/>
    </row>
    <row r="247" spans="1:24" ht="12.75">
      <c r="A247" s="109"/>
      <c r="B247" s="110"/>
      <c r="C247" s="110"/>
      <c r="D247" s="110"/>
      <c r="E247" s="110"/>
      <c r="F247" s="110"/>
      <c r="G247" s="110"/>
      <c r="H247" s="110"/>
      <c r="I247" s="118"/>
      <c r="J247" s="118"/>
      <c r="K247" s="107"/>
      <c r="L247" s="107"/>
      <c r="M247" s="107"/>
      <c r="N247" s="107"/>
      <c r="O247" s="107"/>
      <c r="P247" s="107"/>
      <c r="Q247" s="107"/>
      <c r="R247" s="107"/>
      <c r="S247" s="107"/>
      <c r="T247" s="107"/>
      <c r="U247" s="107"/>
      <c r="V247" s="107"/>
      <c r="W247" s="107"/>
      <c r="X247" s="107"/>
    </row>
    <row r="248" spans="1:24" ht="12.75">
      <c r="A248" s="109"/>
      <c r="B248" s="110"/>
      <c r="C248" s="110"/>
      <c r="D248" s="110"/>
      <c r="E248" s="110"/>
      <c r="F248" s="110"/>
      <c r="G248" s="110"/>
      <c r="H248" s="110"/>
      <c r="I248" s="118"/>
      <c r="J248" s="118"/>
      <c r="K248" s="107"/>
      <c r="L248" s="107"/>
      <c r="M248" s="107"/>
      <c r="N248" s="107"/>
      <c r="O248" s="107"/>
      <c r="P248" s="107"/>
      <c r="Q248" s="107"/>
      <c r="R248" s="107"/>
      <c r="S248" s="107"/>
      <c r="T248" s="107"/>
      <c r="U248" s="107"/>
      <c r="V248" s="107"/>
      <c r="W248" s="107"/>
      <c r="X248" s="107"/>
    </row>
    <row r="249" spans="1:24" ht="12.75">
      <c r="A249" s="109"/>
      <c r="B249" s="110"/>
      <c r="C249" s="110"/>
      <c r="D249" s="110"/>
      <c r="E249" s="110"/>
      <c r="F249" s="110"/>
      <c r="G249" s="110"/>
      <c r="H249" s="110"/>
      <c r="I249" s="118"/>
      <c r="J249" s="118"/>
      <c r="K249" s="107"/>
      <c r="L249" s="107"/>
      <c r="M249" s="107"/>
      <c r="N249" s="107"/>
      <c r="O249" s="107"/>
      <c r="P249" s="107"/>
      <c r="Q249" s="107"/>
      <c r="R249" s="107"/>
      <c r="S249" s="107"/>
      <c r="T249" s="107"/>
      <c r="U249" s="107"/>
      <c r="V249" s="107"/>
      <c r="W249" s="107"/>
      <c r="X249" s="107"/>
    </row>
    <row r="250" spans="1:24" ht="12.75">
      <c r="A250" s="109"/>
      <c r="B250" s="110"/>
      <c r="C250" s="110"/>
      <c r="D250" s="110"/>
      <c r="E250" s="110"/>
      <c r="F250" s="110"/>
      <c r="G250" s="110"/>
      <c r="H250" s="110"/>
      <c r="I250" s="118"/>
      <c r="J250" s="118"/>
      <c r="K250" s="107"/>
      <c r="L250" s="107"/>
      <c r="M250" s="107"/>
      <c r="N250" s="107"/>
      <c r="O250" s="107"/>
      <c r="P250" s="107"/>
      <c r="Q250" s="107"/>
      <c r="R250" s="107"/>
      <c r="S250" s="107"/>
      <c r="T250" s="107"/>
      <c r="U250" s="107"/>
      <c r="V250" s="107"/>
      <c r="W250" s="107"/>
      <c r="X250" s="107"/>
    </row>
    <row r="251" spans="1:24" ht="12.75">
      <c r="A251" s="109"/>
      <c r="B251" s="110"/>
      <c r="C251" s="110"/>
      <c r="D251" s="110"/>
      <c r="E251" s="110"/>
      <c r="F251" s="110"/>
      <c r="G251" s="110"/>
      <c r="H251" s="110"/>
      <c r="I251" s="118"/>
      <c r="J251" s="118"/>
      <c r="K251" s="107"/>
      <c r="L251" s="107"/>
      <c r="M251" s="107"/>
      <c r="N251" s="107"/>
      <c r="O251" s="107"/>
      <c r="P251" s="107"/>
      <c r="Q251" s="107"/>
      <c r="R251" s="107"/>
      <c r="S251" s="107"/>
      <c r="T251" s="107"/>
      <c r="U251" s="107"/>
      <c r="V251" s="107"/>
      <c r="W251" s="107"/>
      <c r="X251" s="107"/>
    </row>
    <row r="252" spans="1:24" ht="12.75">
      <c r="A252" s="109"/>
      <c r="B252" s="110"/>
      <c r="C252" s="110"/>
      <c r="D252" s="110"/>
      <c r="E252" s="110"/>
      <c r="F252" s="110"/>
      <c r="G252" s="110"/>
      <c r="H252" s="110"/>
      <c r="I252" s="118"/>
      <c r="J252" s="118"/>
      <c r="K252" s="107"/>
      <c r="L252" s="107"/>
      <c r="M252" s="107"/>
      <c r="N252" s="107"/>
      <c r="O252" s="107"/>
      <c r="P252" s="107"/>
      <c r="Q252" s="107"/>
      <c r="R252" s="107"/>
      <c r="S252" s="107"/>
      <c r="T252" s="107"/>
      <c r="U252" s="107"/>
      <c r="V252" s="107"/>
      <c r="W252" s="107"/>
      <c r="X252" s="107"/>
    </row>
    <row r="253" spans="1:24" ht="12.75">
      <c r="A253" s="109"/>
      <c r="B253" s="110"/>
      <c r="C253" s="110"/>
      <c r="D253" s="110"/>
      <c r="E253" s="110"/>
      <c r="F253" s="110"/>
      <c r="G253" s="110"/>
      <c r="H253" s="110"/>
      <c r="I253" s="118"/>
      <c r="J253" s="118"/>
      <c r="K253" s="107"/>
      <c r="L253" s="107"/>
      <c r="M253" s="107"/>
      <c r="N253" s="107"/>
      <c r="O253" s="107"/>
      <c r="P253" s="107"/>
      <c r="Q253" s="107"/>
      <c r="R253" s="107"/>
      <c r="S253" s="107"/>
      <c r="T253" s="107"/>
      <c r="U253" s="107"/>
      <c r="V253" s="107"/>
      <c r="W253" s="107"/>
      <c r="X253" s="107"/>
    </row>
    <row r="254" spans="1:24" ht="12.75">
      <c r="A254" s="109"/>
      <c r="B254" s="110"/>
      <c r="C254" s="110"/>
      <c r="D254" s="110"/>
      <c r="E254" s="110"/>
      <c r="F254" s="110"/>
      <c r="G254" s="110"/>
      <c r="H254" s="110"/>
      <c r="I254" s="118"/>
      <c r="J254" s="118"/>
      <c r="K254" s="107"/>
      <c r="L254" s="107"/>
      <c r="M254" s="107"/>
      <c r="N254" s="107"/>
      <c r="O254" s="107"/>
      <c r="P254" s="107"/>
      <c r="Q254" s="107"/>
      <c r="R254" s="107"/>
      <c r="S254" s="107"/>
      <c r="T254" s="107"/>
      <c r="U254" s="107"/>
      <c r="V254" s="107"/>
      <c r="W254" s="107"/>
      <c r="X254" s="107"/>
    </row>
    <row r="255" spans="1:24" ht="12.75">
      <c r="A255" s="109"/>
      <c r="B255" s="110"/>
      <c r="C255" s="110"/>
      <c r="D255" s="110"/>
      <c r="E255" s="110"/>
      <c r="F255" s="110"/>
      <c r="G255" s="110"/>
      <c r="H255" s="110"/>
      <c r="I255" s="118"/>
      <c r="J255" s="118"/>
      <c r="K255" s="107"/>
      <c r="L255" s="107"/>
      <c r="M255" s="107"/>
      <c r="N255" s="107"/>
      <c r="O255" s="107"/>
      <c r="P255" s="107"/>
      <c r="Q255" s="107"/>
      <c r="R255" s="107"/>
      <c r="S255" s="107"/>
      <c r="T255" s="107"/>
      <c r="U255" s="107"/>
      <c r="V255" s="107"/>
      <c r="W255" s="107"/>
      <c r="X255" s="107"/>
    </row>
    <row r="256" spans="1:24" ht="12.75">
      <c r="A256" s="109"/>
      <c r="B256" s="110"/>
      <c r="C256" s="110"/>
      <c r="D256" s="110"/>
      <c r="E256" s="110"/>
      <c r="F256" s="110"/>
      <c r="G256" s="110"/>
      <c r="H256" s="110"/>
      <c r="I256" s="118"/>
      <c r="J256" s="118"/>
      <c r="K256" s="107"/>
      <c r="L256" s="107"/>
      <c r="M256" s="107"/>
      <c r="N256" s="107"/>
      <c r="O256" s="107"/>
      <c r="P256" s="107"/>
      <c r="Q256" s="107"/>
      <c r="R256" s="107"/>
      <c r="S256" s="107"/>
      <c r="T256" s="107"/>
      <c r="U256" s="107"/>
      <c r="V256" s="107"/>
      <c r="W256" s="107"/>
      <c r="X256" s="107"/>
    </row>
    <row r="257" spans="1:24" ht="12.75">
      <c r="A257" s="109"/>
      <c r="B257" s="110"/>
      <c r="C257" s="110"/>
      <c r="D257" s="110"/>
      <c r="E257" s="110"/>
      <c r="F257" s="110"/>
      <c r="G257" s="110"/>
      <c r="H257" s="110"/>
      <c r="I257" s="118"/>
      <c r="J257" s="118"/>
      <c r="K257" s="107"/>
      <c r="L257" s="107"/>
      <c r="M257" s="107"/>
      <c r="N257" s="107"/>
      <c r="O257" s="107"/>
      <c r="P257" s="107"/>
      <c r="Q257" s="107"/>
      <c r="R257" s="107"/>
      <c r="S257" s="107"/>
      <c r="T257" s="107"/>
      <c r="U257" s="107"/>
      <c r="V257" s="107"/>
      <c r="W257" s="107"/>
      <c r="X257" s="107"/>
    </row>
    <row r="258" spans="1:24" ht="12.75">
      <c r="A258" s="109"/>
      <c r="B258" s="110"/>
      <c r="C258" s="110"/>
      <c r="D258" s="110"/>
      <c r="E258" s="110"/>
      <c r="F258" s="110"/>
      <c r="G258" s="110"/>
      <c r="H258" s="110"/>
      <c r="I258" s="118"/>
      <c r="J258" s="118"/>
      <c r="K258" s="107"/>
      <c r="L258" s="107"/>
      <c r="M258" s="107"/>
      <c r="N258" s="107"/>
      <c r="O258" s="107"/>
      <c r="P258" s="107"/>
      <c r="Q258" s="107"/>
      <c r="R258" s="107"/>
      <c r="S258" s="107"/>
      <c r="T258" s="107"/>
      <c r="U258" s="107"/>
      <c r="V258" s="107"/>
      <c r="W258" s="107"/>
      <c r="X258" s="107"/>
    </row>
    <row r="259" spans="1:24" ht="12.75">
      <c r="A259" s="109"/>
      <c r="B259" s="110"/>
      <c r="C259" s="110"/>
      <c r="D259" s="110"/>
      <c r="E259" s="110"/>
      <c r="F259" s="110"/>
      <c r="G259" s="110"/>
      <c r="H259" s="110"/>
      <c r="I259" s="118"/>
      <c r="J259" s="118"/>
      <c r="K259" s="107"/>
      <c r="L259" s="107"/>
      <c r="M259" s="107"/>
      <c r="N259" s="107"/>
      <c r="O259" s="107"/>
      <c r="P259" s="107"/>
      <c r="Q259" s="107"/>
      <c r="R259" s="107"/>
      <c r="S259" s="107"/>
      <c r="T259" s="107"/>
      <c r="U259" s="107"/>
      <c r="V259" s="107"/>
      <c r="W259" s="107"/>
      <c r="X259" s="107"/>
    </row>
    <row r="260" spans="1:24" ht="12.75">
      <c r="A260" s="109"/>
      <c r="B260" s="110"/>
      <c r="C260" s="110"/>
      <c r="D260" s="110"/>
      <c r="E260" s="110"/>
      <c r="F260" s="110"/>
      <c r="G260" s="110"/>
      <c r="H260" s="110"/>
      <c r="I260" s="118"/>
      <c r="J260" s="118"/>
      <c r="K260" s="107"/>
      <c r="L260" s="107"/>
      <c r="M260" s="107"/>
      <c r="N260" s="107"/>
      <c r="O260" s="107"/>
      <c r="P260" s="107"/>
      <c r="Q260" s="107"/>
      <c r="R260" s="107"/>
      <c r="S260" s="107"/>
      <c r="T260" s="107"/>
      <c r="U260" s="107"/>
      <c r="V260" s="107"/>
      <c r="W260" s="107"/>
      <c r="X260" s="107"/>
    </row>
    <row r="261" spans="1:24" ht="12.75">
      <c r="A261" s="109"/>
      <c r="B261" s="110"/>
      <c r="C261" s="110"/>
      <c r="D261" s="110"/>
      <c r="E261" s="110"/>
      <c r="F261" s="110"/>
      <c r="G261" s="110"/>
      <c r="H261" s="110"/>
      <c r="I261" s="118"/>
      <c r="J261" s="118"/>
      <c r="K261" s="107"/>
      <c r="L261" s="107"/>
      <c r="M261" s="107"/>
      <c r="N261" s="107"/>
      <c r="O261" s="107"/>
      <c r="P261" s="107"/>
      <c r="Q261" s="107"/>
      <c r="R261" s="107"/>
      <c r="S261" s="107"/>
      <c r="T261" s="107"/>
      <c r="U261" s="107"/>
      <c r="V261" s="107"/>
      <c r="W261" s="107"/>
      <c r="X261" s="107"/>
    </row>
    <row r="262" spans="1:24" ht="12.75">
      <c r="A262" s="109"/>
      <c r="B262" s="110"/>
      <c r="C262" s="110"/>
      <c r="D262" s="110"/>
      <c r="E262" s="110"/>
      <c r="F262" s="110"/>
      <c r="G262" s="110"/>
      <c r="H262" s="110"/>
      <c r="I262" s="118"/>
      <c r="J262" s="118"/>
      <c r="K262" s="107"/>
      <c r="L262" s="107"/>
      <c r="M262" s="107"/>
      <c r="N262" s="107"/>
      <c r="O262" s="107"/>
      <c r="P262" s="107"/>
      <c r="Q262" s="107"/>
      <c r="R262" s="107"/>
      <c r="S262" s="107"/>
      <c r="T262" s="107"/>
      <c r="U262" s="107"/>
      <c r="V262" s="107"/>
      <c r="W262" s="107"/>
      <c r="X262" s="107"/>
    </row>
    <row r="263" spans="1:24" ht="12.75">
      <c r="A263" s="109"/>
      <c r="B263" s="110"/>
      <c r="C263" s="110"/>
      <c r="D263" s="110"/>
      <c r="E263" s="110"/>
      <c r="F263" s="110"/>
      <c r="G263" s="110"/>
      <c r="H263" s="110"/>
      <c r="I263" s="118"/>
      <c r="J263" s="118"/>
      <c r="K263" s="107"/>
      <c r="L263" s="107"/>
      <c r="M263" s="107"/>
      <c r="N263" s="107"/>
      <c r="O263" s="107"/>
      <c r="P263" s="107"/>
      <c r="Q263" s="107"/>
      <c r="R263" s="107"/>
      <c r="S263" s="107"/>
      <c r="T263" s="107"/>
      <c r="U263" s="107"/>
      <c r="V263" s="107"/>
      <c r="W263" s="107"/>
      <c r="X263" s="107"/>
    </row>
    <row r="264" spans="1:24" ht="12.75">
      <c r="A264" s="109"/>
      <c r="B264" s="110"/>
      <c r="C264" s="110"/>
      <c r="D264" s="110"/>
      <c r="E264" s="110"/>
      <c r="F264" s="110"/>
      <c r="G264" s="110"/>
      <c r="H264" s="110"/>
      <c r="I264" s="118"/>
      <c r="J264" s="118"/>
      <c r="K264" s="107"/>
      <c r="L264" s="107"/>
      <c r="M264" s="107"/>
      <c r="N264" s="107"/>
      <c r="O264" s="107"/>
      <c r="P264" s="107"/>
      <c r="Q264" s="107"/>
      <c r="R264" s="107"/>
      <c r="S264" s="107"/>
      <c r="T264" s="107"/>
      <c r="U264" s="107"/>
      <c r="V264" s="107"/>
      <c r="W264" s="107"/>
      <c r="X264" s="107"/>
    </row>
    <row r="265" spans="1:24" ht="12.75">
      <c r="A265" s="109"/>
      <c r="B265" s="110"/>
      <c r="C265" s="110"/>
      <c r="D265" s="110"/>
      <c r="E265" s="110"/>
      <c r="F265" s="110"/>
      <c r="G265" s="110"/>
      <c r="H265" s="110"/>
      <c r="I265" s="118"/>
      <c r="J265" s="118"/>
      <c r="K265" s="107"/>
      <c r="L265" s="107"/>
      <c r="M265" s="107"/>
      <c r="N265" s="107"/>
      <c r="O265" s="107"/>
      <c r="P265" s="107"/>
      <c r="Q265" s="107"/>
      <c r="R265" s="107"/>
      <c r="S265" s="107"/>
      <c r="T265" s="107"/>
      <c r="U265" s="107"/>
      <c r="V265" s="107"/>
      <c r="W265" s="107"/>
      <c r="X265" s="107"/>
    </row>
    <row r="266" spans="1:24" ht="12.75">
      <c r="A266" s="109"/>
      <c r="B266" s="110"/>
      <c r="C266" s="110"/>
      <c r="D266" s="110"/>
      <c r="E266" s="110"/>
      <c r="F266" s="110"/>
      <c r="G266" s="110"/>
      <c r="H266" s="110"/>
      <c r="I266" s="118"/>
      <c r="J266" s="118"/>
      <c r="K266" s="107"/>
      <c r="L266" s="107"/>
      <c r="M266" s="107"/>
      <c r="N266" s="107"/>
      <c r="O266" s="107"/>
      <c r="P266" s="107"/>
      <c r="Q266" s="107"/>
      <c r="R266" s="107"/>
      <c r="S266" s="107"/>
      <c r="T266" s="107"/>
      <c r="U266" s="107"/>
      <c r="V266" s="107"/>
      <c r="W266" s="107"/>
      <c r="X266" s="107"/>
    </row>
    <row r="267" spans="1:24" ht="12.75">
      <c r="A267" s="109"/>
      <c r="B267" s="110"/>
      <c r="C267" s="110"/>
      <c r="D267" s="110"/>
      <c r="E267" s="110"/>
      <c r="F267" s="110"/>
      <c r="G267" s="110"/>
      <c r="H267" s="110"/>
      <c r="I267" s="118"/>
      <c r="J267" s="118"/>
      <c r="K267" s="107"/>
      <c r="L267" s="107"/>
      <c r="M267" s="107"/>
      <c r="N267" s="107"/>
      <c r="O267" s="107"/>
      <c r="P267" s="107"/>
      <c r="Q267" s="107"/>
      <c r="R267" s="107"/>
      <c r="S267" s="107"/>
      <c r="T267" s="107"/>
      <c r="U267" s="107"/>
      <c r="V267" s="107"/>
      <c r="W267" s="107"/>
      <c r="X267" s="107"/>
    </row>
    <row r="268" spans="1:24" ht="12.75">
      <c r="A268" s="109"/>
      <c r="B268" s="110"/>
      <c r="C268" s="110"/>
      <c r="D268" s="110"/>
      <c r="E268" s="110"/>
      <c r="F268" s="110"/>
      <c r="G268" s="110"/>
      <c r="H268" s="110"/>
      <c r="I268" s="118"/>
      <c r="J268" s="118"/>
      <c r="K268" s="107"/>
      <c r="L268" s="107"/>
      <c r="M268" s="107"/>
      <c r="N268" s="107"/>
      <c r="O268" s="107"/>
      <c r="P268" s="107"/>
      <c r="Q268" s="107"/>
      <c r="R268" s="107"/>
      <c r="S268" s="107"/>
      <c r="T268" s="107"/>
      <c r="U268" s="107"/>
      <c r="V268" s="107"/>
      <c r="W268" s="107"/>
      <c r="X268" s="107"/>
    </row>
    <row r="269" spans="1:24" ht="12.75">
      <c r="A269" s="109"/>
      <c r="B269" s="110"/>
      <c r="C269" s="110"/>
      <c r="D269" s="110"/>
      <c r="E269" s="110"/>
      <c r="F269" s="110"/>
      <c r="G269" s="110"/>
      <c r="H269" s="110"/>
      <c r="I269" s="118"/>
      <c r="J269" s="118"/>
      <c r="K269" s="107"/>
      <c r="L269" s="107"/>
      <c r="M269" s="107"/>
      <c r="N269" s="107"/>
      <c r="O269" s="107"/>
      <c r="P269" s="107"/>
      <c r="Q269" s="107"/>
      <c r="R269" s="107"/>
      <c r="S269" s="107"/>
      <c r="T269" s="107"/>
      <c r="U269" s="107"/>
      <c r="V269" s="107"/>
      <c r="W269" s="107"/>
      <c r="X269" s="107"/>
    </row>
    <row r="270" spans="1:24" ht="12.75">
      <c r="A270" s="109"/>
      <c r="B270" s="110"/>
      <c r="C270" s="110"/>
      <c r="D270" s="110"/>
      <c r="E270" s="110"/>
      <c r="F270" s="110"/>
      <c r="G270" s="110"/>
      <c r="H270" s="110"/>
      <c r="I270" s="118"/>
      <c r="J270" s="118"/>
      <c r="K270" s="107"/>
      <c r="L270" s="107"/>
      <c r="M270" s="107"/>
      <c r="N270" s="107"/>
      <c r="O270" s="107"/>
      <c r="P270" s="107"/>
      <c r="Q270" s="107"/>
      <c r="R270" s="107"/>
      <c r="S270" s="107"/>
      <c r="T270" s="107"/>
      <c r="U270" s="107"/>
      <c r="V270" s="107"/>
      <c r="W270" s="107"/>
      <c r="X270" s="107"/>
    </row>
    <row r="271" spans="1:24" ht="12.75">
      <c r="A271" s="109"/>
      <c r="B271" s="110"/>
      <c r="C271" s="110"/>
      <c r="D271" s="110"/>
      <c r="E271" s="110"/>
      <c r="F271" s="110"/>
      <c r="G271" s="110"/>
      <c r="H271" s="110"/>
      <c r="I271" s="118"/>
      <c r="J271" s="118"/>
      <c r="K271" s="107"/>
      <c r="L271" s="107"/>
      <c r="M271" s="107"/>
      <c r="N271" s="107"/>
      <c r="O271" s="107"/>
      <c r="P271" s="107"/>
      <c r="Q271" s="107"/>
      <c r="R271" s="107"/>
      <c r="S271" s="107"/>
      <c r="T271" s="107"/>
      <c r="U271" s="107"/>
      <c r="V271" s="107"/>
      <c r="W271" s="107"/>
      <c r="X271" s="107"/>
    </row>
    <row r="272" spans="1:24" ht="12.75">
      <c r="A272" s="109"/>
      <c r="B272" s="110"/>
      <c r="C272" s="110"/>
      <c r="D272" s="110"/>
      <c r="E272" s="110"/>
      <c r="F272" s="110"/>
      <c r="G272" s="110"/>
      <c r="H272" s="110"/>
      <c r="I272" s="118"/>
      <c r="J272" s="118"/>
      <c r="K272" s="107"/>
      <c r="L272" s="107"/>
      <c r="M272" s="107"/>
      <c r="N272" s="107"/>
      <c r="O272" s="107"/>
      <c r="P272" s="107"/>
      <c r="Q272" s="107"/>
      <c r="R272" s="107"/>
      <c r="S272" s="107"/>
      <c r="T272" s="107"/>
      <c r="U272" s="107"/>
      <c r="V272" s="107"/>
      <c r="W272" s="107"/>
      <c r="X272" s="107"/>
    </row>
    <row r="273" spans="1:24" ht="12.75">
      <c r="A273" s="109"/>
      <c r="B273" s="110"/>
      <c r="C273" s="110"/>
      <c r="D273" s="110"/>
      <c r="E273" s="110"/>
      <c r="F273" s="110"/>
      <c r="G273" s="110"/>
      <c r="H273" s="110"/>
      <c r="I273" s="118"/>
      <c r="J273" s="118"/>
      <c r="K273" s="107"/>
      <c r="L273" s="107"/>
      <c r="M273" s="107"/>
      <c r="N273" s="107"/>
      <c r="O273" s="107"/>
      <c r="P273" s="107"/>
      <c r="Q273" s="107"/>
      <c r="R273" s="107"/>
      <c r="S273" s="107"/>
      <c r="T273" s="107"/>
      <c r="U273" s="107"/>
      <c r="V273" s="107"/>
      <c r="W273" s="107"/>
      <c r="X273" s="107"/>
    </row>
    <row r="274" spans="1:24" ht="12.75">
      <c r="A274" s="109"/>
      <c r="B274" s="110"/>
      <c r="C274" s="110"/>
      <c r="D274" s="110"/>
      <c r="E274" s="110"/>
      <c r="F274" s="110"/>
      <c r="G274" s="110"/>
      <c r="H274" s="110"/>
      <c r="I274" s="118"/>
      <c r="J274" s="118"/>
      <c r="K274" s="107"/>
      <c r="L274" s="107"/>
      <c r="M274" s="107"/>
      <c r="N274" s="107"/>
      <c r="O274" s="107"/>
      <c r="P274" s="107"/>
      <c r="Q274" s="107"/>
      <c r="R274" s="107"/>
      <c r="S274" s="107"/>
      <c r="T274" s="107"/>
      <c r="U274" s="107"/>
      <c r="V274" s="107"/>
      <c r="W274" s="107"/>
      <c r="X274" s="107"/>
    </row>
    <row r="275" spans="1:24" ht="12.75">
      <c r="A275" s="109"/>
      <c r="B275" s="110"/>
      <c r="C275" s="110"/>
      <c r="D275" s="110"/>
      <c r="E275" s="110"/>
      <c r="F275" s="110"/>
      <c r="G275" s="110"/>
      <c r="H275" s="110"/>
      <c r="I275" s="118"/>
      <c r="J275" s="118"/>
      <c r="K275" s="107"/>
      <c r="L275" s="107"/>
      <c r="M275" s="107"/>
      <c r="N275" s="107"/>
      <c r="O275" s="107"/>
      <c r="P275" s="107"/>
      <c r="Q275" s="107"/>
      <c r="R275" s="107"/>
      <c r="S275" s="107"/>
      <c r="T275" s="107"/>
      <c r="U275" s="107"/>
      <c r="V275" s="107"/>
      <c r="W275" s="107"/>
      <c r="X275" s="107"/>
    </row>
    <row r="276" spans="1:24" ht="12.75">
      <c r="A276" s="109"/>
      <c r="B276" s="110"/>
      <c r="C276" s="110"/>
      <c r="D276" s="110"/>
      <c r="E276" s="110"/>
      <c r="F276" s="110"/>
      <c r="G276" s="110"/>
      <c r="H276" s="110"/>
      <c r="I276" s="118"/>
      <c r="J276" s="118"/>
      <c r="K276" s="107"/>
      <c r="L276" s="107"/>
      <c r="M276" s="107"/>
      <c r="N276" s="107"/>
      <c r="O276" s="107"/>
      <c r="P276" s="107"/>
      <c r="Q276" s="107"/>
      <c r="R276" s="107"/>
      <c r="S276" s="107"/>
      <c r="T276" s="107"/>
      <c r="U276" s="107"/>
      <c r="V276" s="107"/>
      <c r="W276" s="107"/>
      <c r="X276" s="107"/>
    </row>
    <row r="277" spans="1:24" ht="12.75">
      <c r="A277" s="109"/>
      <c r="B277" s="110"/>
      <c r="C277" s="110"/>
      <c r="D277" s="110"/>
      <c r="E277" s="110"/>
      <c r="F277" s="110"/>
      <c r="G277" s="110"/>
      <c r="H277" s="110"/>
      <c r="I277" s="118"/>
      <c r="J277" s="118"/>
      <c r="K277" s="107"/>
      <c r="L277" s="107"/>
      <c r="M277" s="107"/>
      <c r="N277" s="107"/>
      <c r="O277" s="107"/>
      <c r="P277" s="107"/>
      <c r="Q277" s="107"/>
      <c r="R277" s="107"/>
      <c r="S277" s="107"/>
      <c r="T277" s="107"/>
      <c r="U277" s="107"/>
      <c r="V277" s="107"/>
      <c r="W277" s="107"/>
      <c r="X277" s="107"/>
    </row>
    <row r="278" spans="1:24" ht="12.75">
      <c r="A278" s="109"/>
      <c r="B278" s="110"/>
      <c r="C278" s="110"/>
      <c r="D278" s="110"/>
      <c r="E278" s="110"/>
      <c r="F278" s="110"/>
      <c r="G278" s="110"/>
      <c r="H278" s="110"/>
      <c r="I278" s="118"/>
      <c r="J278" s="118"/>
      <c r="K278" s="107"/>
      <c r="L278" s="107"/>
      <c r="M278" s="107"/>
      <c r="N278" s="107"/>
      <c r="O278" s="107"/>
      <c r="P278" s="107"/>
      <c r="Q278" s="107"/>
      <c r="R278" s="107"/>
      <c r="S278" s="107"/>
      <c r="T278" s="107"/>
      <c r="U278" s="107"/>
      <c r="V278" s="107"/>
      <c r="W278" s="107"/>
      <c r="X278" s="107"/>
    </row>
    <row r="279" spans="1:24" ht="12.75">
      <c r="A279" s="109"/>
      <c r="B279" s="110"/>
      <c r="C279" s="110"/>
      <c r="D279" s="110"/>
      <c r="E279" s="110"/>
      <c r="F279" s="110"/>
      <c r="G279" s="110"/>
      <c r="H279" s="110"/>
      <c r="I279" s="118"/>
      <c r="J279" s="118"/>
      <c r="K279" s="107"/>
      <c r="L279" s="107"/>
      <c r="M279" s="107"/>
      <c r="N279" s="107"/>
      <c r="O279" s="107"/>
      <c r="P279" s="107"/>
      <c r="Q279" s="107"/>
      <c r="R279" s="107"/>
      <c r="S279" s="107"/>
      <c r="T279" s="107"/>
      <c r="U279" s="107"/>
      <c r="V279" s="107"/>
      <c r="W279" s="107"/>
      <c r="X279" s="107"/>
    </row>
    <row r="280" spans="1:24" ht="12.75">
      <c r="A280" s="109"/>
      <c r="B280" s="110"/>
      <c r="C280" s="110"/>
      <c r="D280" s="110"/>
      <c r="E280" s="110"/>
      <c r="F280" s="110"/>
      <c r="G280" s="110"/>
      <c r="H280" s="110"/>
      <c r="I280" s="118"/>
      <c r="J280" s="118"/>
      <c r="K280" s="107"/>
      <c r="L280" s="107"/>
      <c r="M280" s="107"/>
      <c r="N280" s="107"/>
      <c r="O280" s="107"/>
      <c r="P280" s="107"/>
      <c r="Q280" s="107"/>
      <c r="R280" s="107"/>
      <c r="S280" s="107"/>
      <c r="T280" s="107"/>
      <c r="U280" s="107"/>
      <c r="V280" s="107"/>
      <c r="W280" s="107"/>
      <c r="X280" s="107"/>
    </row>
    <row r="281" spans="1:24" ht="12.75">
      <c r="A281" s="109"/>
      <c r="B281" s="110"/>
      <c r="C281" s="110"/>
      <c r="D281" s="110"/>
      <c r="E281" s="110"/>
      <c r="F281" s="110"/>
      <c r="G281" s="110"/>
      <c r="H281" s="110"/>
      <c r="I281" s="118"/>
      <c r="J281" s="118"/>
      <c r="K281" s="107"/>
      <c r="L281" s="107"/>
      <c r="M281" s="107"/>
      <c r="N281" s="107"/>
      <c r="O281" s="107"/>
      <c r="P281" s="107"/>
      <c r="Q281" s="107"/>
      <c r="R281" s="107"/>
      <c r="S281" s="107"/>
      <c r="T281" s="107"/>
      <c r="U281" s="107"/>
      <c r="V281" s="107"/>
      <c r="W281" s="107"/>
      <c r="X281" s="107"/>
    </row>
    <row r="282" spans="1:24" ht="12.75">
      <c r="A282" s="109"/>
      <c r="B282" s="110"/>
      <c r="C282" s="110"/>
      <c r="D282" s="110"/>
      <c r="E282" s="110"/>
      <c r="F282" s="110"/>
      <c r="G282" s="110"/>
      <c r="H282" s="110"/>
      <c r="I282" s="118"/>
      <c r="J282" s="118"/>
      <c r="K282" s="107"/>
      <c r="L282" s="107"/>
      <c r="M282" s="107"/>
      <c r="N282" s="107"/>
      <c r="O282" s="107"/>
      <c r="P282" s="107"/>
      <c r="Q282" s="107"/>
      <c r="R282" s="107"/>
      <c r="S282" s="107"/>
      <c r="T282" s="107"/>
      <c r="U282" s="107"/>
      <c r="V282" s="107"/>
      <c r="W282" s="107"/>
      <c r="X282" s="107"/>
    </row>
    <row r="283" spans="1:24" ht="12.75">
      <c r="A283" s="109"/>
      <c r="B283" s="110"/>
      <c r="C283" s="110"/>
      <c r="D283" s="110"/>
      <c r="E283" s="110"/>
      <c r="F283" s="110"/>
      <c r="G283" s="110"/>
      <c r="H283" s="110"/>
      <c r="I283" s="118"/>
      <c r="J283" s="118"/>
      <c r="K283" s="107"/>
      <c r="L283" s="107"/>
      <c r="M283" s="107"/>
      <c r="N283" s="107"/>
      <c r="O283" s="107"/>
      <c r="P283" s="107"/>
      <c r="Q283" s="107"/>
      <c r="R283" s="107"/>
      <c r="S283" s="107"/>
      <c r="T283" s="107"/>
      <c r="U283" s="107"/>
      <c r="V283" s="107"/>
      <c r="W283" s="107"/>
      <c r="X283" s="107"/>
    </row>
    <row r="284" spans="1:24" ht="12.75">
      <c r="A284" s="109"/>
      <c r="B284" s="110"/>
      <c r="C284" s="110"/>
      <c r="D284" s="110"/>
      <c r="E284" s="110"/>
      <c r="F284" s="110"/>
      <c r="G284" s="110"/>
      <c r="H284" s="110"/>
      <c r="I284" s="118"/>
      <c r="J284" s="118"/>
      <c r="K284" s="107"/>
      <c r="L284" s="107"/>
      <c r="M284" s="107"/>
      <c r="N284" s="107"/>
      <c r="O284" s="107"/>
      <c r="P284" s="107"/>
      <c r="Q284" s="107"/>
      <c r="R284" s="107"/>
      <c r="S284" s="107"/>
      <c r="T284" s="107"/>
      <c r="U284" s="107"/>
      <c r="V284" s="107"/>
      <c r="W284" s="107"/>
      <c r="X284" s="107"/>
    </row>
    <row r="285" spans="1:24" ht="12.75">
      <c r="A285" s="109"/>
      <c r="B285" s="110"/>
      <c r="C285" s="110"/>
      <c r="D285" s="110"/>
      <c r="E285" s="110"/>
      <c r="F285" s="110"/>
      <c r="G285" s="110"/>
      <c r="H285" s="110"/>
      <c r="I285" s="118"/>
      <c r="J285" s="118"/>
      <c r="K285" s="107"/>
      <c r="L285" s="107"/>
      <c r="M285" s="107"/>
      <c r="N285" s="107"/>
      <c r="O285" s="107"/>
      <c r="P285" s="107"/>
      <c r="Q285" s="107"/>
      <c r="R285" s="107"/>
      <c r="S285" s="107"/>
      <c r="T285" s="107"/>
      <c r="U285" s="107"/>
      <c r="V285" s="107"/>
      <c r="W285" s="107"/>
      <c r="X285" s="107"/>
    </row>
    <row r="286" spans="1:24" ht="12.75">
      <c r="A286" s="109"/>
      <c r="B286" s="110"/>
      <c r="C286" s="110"/>
      <c r="D286" s="110"/>
      <c r="E286" s="110"/>
      <c r="F286" s="110"/>
      <c r="G286" s="110"/>
      <c r="H286" s="110"/>
      <c r="I286" s="118"/>
      <c r="J286" s="118"/>
      <c r="K286" s="107"/>
      <c r="L286" s="107"/>
      <c r="M286" s="107"/>
      <c r="N286" s="107"/>
      <c r="O286" s="107"/>
      <c r="P286" s="107"/>
      <c r="Q286" s="107"/>
      <c r="R286" s="107"/>
      <c r="S286" s="107"/>
      <c r="T286" s="107"/>
      <c r="U286" s="107"/>
      <c r="V286" s="107"/>
      <c r="W286" s="107"/>
      <c r="X286" s="107"/>
    </row>
    <row r="287" spans="1:24" ht="12.75">
      <c r="A287" s="109"/>
      <c r="B287" s="110"/>
      <c r="C287" s="110"/>
      <c r="D287" s="110"/>
      <c r="E287" s="110"/>
      <c r="F287" s="110"/>
      <c r="G287" s="110"/>
      <c r="H287" s="110"/>
      <c r="I287" s="118"/>
      <c r="J287" s="118"/>
      <c r="K287" s="107"/>
      <c r="L287" s="107"/>
      <c r="M287" s="107"/>
      <c r="N287" s="107"/>
      <c r="O287" s="107"/>
      <c r="P287" s="107"/>
      <c r="Q287" s="107"/>
      <c r="R287" s="107"/>
      <c r="S287" s="107"/>
      <c r="T287" s="107"/>
      <c r="U287" s="107"/>
      <c r="V287" s="107"/>
      <c r="W287" s="107"/>
      <c r="X287" s="107"/>
    </row>
    <row r="288" spans="1:24" ht="12.75">
      <c r="A288" s="109"/>
      <c r="B288" s="110"/>
      <c r="C288" s="110"/>
      <c r="D288" s="110"/>
      <c r="E288" s="110"/>
      <c r="F288" s="110"/>
      <c r="G288" s="110"/>
      <c r="H288" s="110"/>
      <c r="I288" s="118"/>
      <c r="J288" s="118"/>
      <c r="K288" s="107"/>
      <c r="L288" s="107"/>
      <c r="M288" s="107"/>
      <c r="N288" s="107"/>
      <c r="O288" s="107"/>
      <c r="P288" s="107"/>
      <c r="Q288" s="107"/>
      <c r="R288" s="107"/>
      <c r="S288" s="107"/>
      <c r="T288" s="107"/>
      <c r="U288" s="107"/>
      <c r="V288" s="107"/>
      <c r="W288" s="107"/>
      <c r="X288" s="107"/>
    </row>
    <row r="289" spans="1:24" ht="12.75">
      <c r="A289" s="109"/>
      <c r="B289" s="110"/>
      <c r="C289" s="110"/>
      <c r="D289" s="110"/>
      <c r="E289" s="110"/>
      <c r="F289" s="110"/>
      <c r="G289" s="110"/>
      <c r="H289" s="110"/>
      <c r="I289" s="118"/>
      <c r="J289" s="118"/>
      <c r="K289" s="107"/>
      <c r="L289" s="107"/>
      <c r="M289" s="107"/>
      <c r="N289" s="107"/>
      <c r="O289" s="107"/>
      <c r="P289" s="107"/>
      <c r="Q289" s="107"/>
      <c r="R289" s="107"/>
      <c r="S289" s="107"/>
      <c r="T289" s="107"/>
      <c r="U289" s="107"/>
      <c r="V289" s="107"/>
      <c r="W289" s="107"/>
      <c r="X289" s="107"/>
    </row>
    <row r="290" spans="1:24" ht="12.75">
      <c r="A290" s="109"/>
      <c r="B290" s="110"/>
      <c r="C290" s="110"/>
      <c r="D290" s="110"/>
      <c r="E290" s="110"/>
      <c r="F290" s="110"/>
      <c r="G290" s="110"/>
      <c r="H290" s="110"/>
      <c r="I290" s="118"/>
      <c r="J290" s="118"/>
      <c r="K290" s="107"/>
      <c r="L290" s="107"/>
      <c r="M290" s="107"/>
      <c r="N290" s="107"/>
      <c r="O290" s="107"/>
      <c r="P290" s="107"/>
      <c r="Q290" s="107"/>
      <c r="R290" s="107"/>
      <c r="S290" s="107"/>
      <c r="T290" s="107"/>
      <c r="U290" s="107"/>
      <c r="V290" s="107"/>
      <c r="W290" s="107"/>
      <c r="X290" s="107"/>
    </row>
    <row r="291" spans="1:24" ht="12.75">
      <c r="A291" s="109"/>
      <c r="B291" s="110"/>
      <c r="C291" s="110"/>
      <c r="D291" s="110"/>
      <c r="E291" s="110"/>
      <c r="F291" s="110"/>
      <c r="G291" s="110"/>
      <c r="H291" s="110"/>
      <c r="I291" s="118"/>
      <c r="J291" s="118"/>
      <c r="K291" s="107"/>
      <c r="L291" s="107"/>
      <c r="M291" s="107"/>
      <c r="N291" s="107"/>
      <c r="O291" s="107"/>
      <c r="P291" s="107"/>
      <c r="Q291" s="107"/>
      <c r="R291" s="107"/>
      <c r="S291" s="107"/>
      <c r="T291" s="107"/>
      <c r="U291" s="107"/>
      <c r="V291" s="107"/>
      <c r="W291" s="107"/>
      <c r="X291" s="107"/>
    </row>
    <row r="292" spans="1:24" ht="12.75">
      <c r="A292" s="109"/>
      <c r="B292" s="110"/>
      <c r="C292" s="110"/>
      <c r="D292" s="110"/>
      <c r="E292" s="110"/>
      <c r="F292" s="110"/>
      <c r="G292" s="110"/>
      <c r="H292" s="110"/>
      <c r="I292" s="118"/>
      <c r="J292" s="118"/>
      <c r="K292" s="107"/>
      <c r="L292" s="107"/>
      <c r="M292" s="107"/>
      <c r="N292" s="107"/>
      <c r="O292" s="107"/>
      <c r="P292" s="107"/>
      <c r="Q292" s="107"/>
      <c r="R292" s="107"/>
      <c r="S292" s="107"/>
      <c r="T292" s="107"/>
      <c r="U292" s="107"/>
      <c r="V292" s="107"/>
      <c r="W292" s="107"/>
      <c r="X292" s="107"/>
    </row>
    <row r="293" spans="1:24" ht="12.75">
      <c r="A293" s="109"/>
      <c r="B293" s="110"/>
      <c r="C293" s="110"/>
      <c r="D293" s="110"/>
      <c r="E293" s="110"/>
      <c r="F293" s="110"/>
      <c r="G293" s="110"/>
      <c r="H293" s="110"/>
      <c r="I293" s="118"/>
      <c r="J293" s="118"/>
      <c r="K293" s="107"/>
      <c r="L293" s="107"/>
      <c r="M293" s="107"/>
      <c r="N293" s="107"/>
      <c r="O293" s="107"/>
      <c r="P293" s="107"/>
      <c r="Q293" s="107"/>
      <c r="R293" s="107"/>
      <c r="S293" s="107"/>
      <c r="T293" s="107"/>
      <c r="U293" s="107"/>
      <c r="V293" s="107"/>
      <c r="W293" s="107"/>
      <c r="X293" s="107"/>
    </row>
    <row r="294" spans="1:24" ht="12.75">
      <c r="A294" s="109"/>
      <c r="B294" s="110"/>
      <c r="C294" s="110"/>
      <c r="D294" s="110"/>
      <c r="E294" s="110"/>
      <c r="F294" s="110"/>
      <c r="G294" s="110"/>
      <c r="H294" s="110"/>
      <c r="I294" s="118"/>
      <c r="J294" s="118"/>
      <c r="K294" s="107"/>
      <c r="L294" s="107"/>
      <c r="M294" s="107"/>
      <c r="N294" s="107"/>
      <c r="O294" s="107"/>
      <c r="P294" s="107"/>
      <c r="Q294" s="107"/>
      <c r="R294" s="107"/>
      <c r="S294" s="107"/>
      <c r="T294" s="107"/>
      <c r="U294" s="107"/>
      <c r="V294" s="107"/>
      <c r="W294" s="107"/>
      <c r="X294" s="107"/>
    </row>
    <row r="295" spans="1:24" ht="12.75">
      <c r="A295" s="109"/>
      <c r="B295" s="110"/>
      <c r="C295" s="110"/>
      <c r="D295" s="110"/>
      <c r="E295" s="110"/>
      <c r="F295" s="110"/>
      <c r="G295" s="110"/>
      <c r="H295" s="110"/>
      <c r="I295" s="118"/>
      <c r="J295" s="118"/>
      <c r="K295" s="107"/>
      <c r="L295" s="107"/>
      <c r="M295" s="107"/>
      <c r="N295" s="107"/>
      <c r="O295" s="107"/>
      <c r="P295" s="107"/>
      <c r="Q295" s="107"/>
      <c r="R295" s="107"/>
      <c r="S295" s="107"/>
      <c r="T295" s="107"/>
      <c r="U295" s="107"/>
      <c r="V295" s="107"/>
      <c r="W295" s="107"/>
      <c r="X295" s="107"/>
    </row>
    <row r="296" spans="1:24" ht="12.75">
      <c r="A296" s="109"/>
      <c r="B296" s="110"/>
      <c r="C296" s="110"/>
      <c r="D296" s="110"/>
      <c r="E296" s="110"/>
      <c r="F296" s="110"/>
      <c r="G296" s="110"/>
      <c r="H296" s="110"/>
      <c r="I296" s="118"/>
      <c r="J296" s="118"/>
      <c r="K296" s="107"/>
      <c r="L296" s="107"/>
      <c r="M296" s="107"/>
      <c r="N296" s="107"/>
      <c r="O296" s="107"/>
      <c r="P296" s="107"/>
      <c r="Q296" s="107"/>
      <c r="R296" s="107"/>
      <c r="S296" s="107"/>
      <c r="T296" s="107"/>
      <c r="U296" s="107"/>
      <c r="V296" s="107"/>
      <c r="W296" s="107"/>
      <c r="X296" s="107"/>
    </row>
    <row r="297" spans="1:24" ht="12.75">
      <c r="A297" s="109"/>
      <c r="B297" s="110"/>
      <c r="C297" s="110"/>
      <c r="D297" s="110"/>
      <c r="E297" s="110"/>
      <c r="F297" s="110"/>
      <c r="G297" s="110"/>
      <c r="H297" s="110"/>
      <c r="I297" s="118"/>
      <c r="J297" s="118"/>
      <c r="K297" s="107"/>
      <c r="L297" s="107"/>
      <c r="M297" s="107"/>
      <c r="N297" s="107"/>
      <c r="O297" s="107"/>
      <c r="P297" s="107"/>
      <c r="Q297" s="107"/>
      <c r="R297" s="107"/>
      <c r="S297" s="107"/>
      <c r="T297" s="107"/>
      <c r="U297" s="107"/>
      <c r="V297" s="107"/>
      <c r="W297" s="107"/>
      <c r="X297" s="107"/>
    </row>
    <row r="298" spans="1:24" ht="12.75">
      <c r="A298" s="109"/>
      <c r="B298" s="110"/>
      <c r="C298" s="110"/>
      <c r="D298" s="110"/>
      <c r="E298" s="110"/>
      <c r="F298" s="110"/>
      <c r="G298" s="110"/>
      <c r="H298" s="110"/>
      <c r="I298" s="118"/>
      <c r="J298" s="118"/>
      <c r="K298" s="107"/>
      <c r="L298" s="107"/>
      <c r="M298" s="107"/>
      <c r="N298" s="107"/>
      <c r="O298" s="107"/>
      <c r="P298" s="107"/>
      <c r="Q298" s="107"/>
      <c r="R298" s="107"/>
      <c r="S298" s="107"/>
      <c r="T298" s="107"/>
      <c r="U298" s="107"/>
      <c r="V298" s="107"/>
      <c r="W298" s="107"/>
      <c r="X298" s="107"/>
    </row>
    <row r="299" spans="1:24" ht="12.75">
      <c r="A299" s="109"/>
      <c r="B299" s="110"/>
      <c r="C299" s="110"/>
      <c r="D299" s="110"/>
      <c r="E299" s="110"/>
      <c r="F299" s="110"/>
      <c r="G299" s="110"/>
      <c r="H299" s="110"/>
      <c r="I299" s="118"/>
      <c r="J299" s="118"/>
      <c r="K299" s="107"/>
      <c r="L299" s="107"/>
      <c r="M299" s="107"/>
      <c r="N299" s="107"/>
      <c r="O299" s="107"/>
      <c r="P299" s="107"/>
      <c r="Q299" s="107"/>
      <c r="R299" s="107"/>
      <c r="S299" s="107"/>
      <c r="T299" s="107"/>
      <c r="U299" s="107"/>
      <c r="V299" s="107"/>
      <c r="W299" s="107"/>
      <c r="X299" s="107"/>
    </row>
    <row r="300" spans="1:24" ht="12.75">
      <c r="A300" s="109"/>
      <c r="B300" s="110"/>
      <c r="C300" s="110"/>
      <c r="D300" s="110"/>
      <c r="E300" s="110"/>
      <c r="F300" s="110"/>
      <c r="G300" s="110"/>
      <c r="H300" s="110"/>
      <c r="I300" s="118"/>
      <c r="J300" s="118"/>
      <c r="K300" s="107"/>
      <c r="L300" s="107"/>
      <c r="M300" s="107"/>
      <c r="N300" s="107"/>
      <c r="O300" s="107"/>
      <c r="P300" s="107"/>
      <c r="Q300" s="107"/>
      <c r="R300" s="107"/>
      <c r="S300" s="107"/>
      <c r="T300" s="107"/>
      <c r="U300" s="107"/>
      <c r="V300" s="107"/>
      <c r="W300" s="107"/>
      <c r="X300" s="107"/>
    </row>
    <row r="301" spans="1:24" ht="12.75">
      <c r="A301" s="109"/>
      <c r="B301" s="110"/>
      <c r="C301" s="110"/>
      <c r="D301" s="110"/>
      <c r="E301" s="110"/>
      <c r="F301" s="110"/>
      <c r="G301" s="110"/>
      <c r="H301" s="110"/>
      <c r="I301" s="118"/>
      <c r="J301" s="118"/>
      <c r="K301" s="107"/>
      <c r="L301" s="107"/>
      <c r="M301" s="107"/>
      <c r="N301" s="107"/>
      <c r="O301" s="107"/>
      <c r="P301" s="107"/>
      <c r="Q301" s="107"/>
      <c r="R301" s="107"/>
      <c r="S301" s="107"/>
      <c r="T301" s="107"/>
      <c r="U301" s="107"/>
      <c r="V301" s="107"/>
      <c r="W301" s="107"/>
      <c r="X301" s="107"/>
    </row>
    <row r="302" spans="1:24" ht="12.75">
      <c r="A302" s="109"/>
      <c r="B302" s="110"/>
      <c r="C302" s="110"/>
      <c r="D302" s="110"/>
      <c r="E302" s="110"/>
      <c r="F302" s="110"/>
      <c r="G302" s="110"/>
      <c r="H302" s="110"/>
      <c r="I302" s="118"/>
      <c r="J302" s="118"/>
      <c r="K302" s="107"/>
      <c r="L302" s="107"/>
      <c r="M302" s="107"/>
      <c r="N302" s="107"/>
      <c r="O302" s="107"/>
      <c r="P302" s="107"/>
      <c r="Q302" s="107"/>
      <c r="R302" s="107"/>
      <c r="S302" s="107"/>
      <c r="T302" s="107"/>
      <c r="U302" s="107"/>
      <c r="V302" s="107"/>
      <c r="W302" s="107"/>
      <c r="X302" s="107"/>
    </row>
    <row r="303" spans="1:24" ht="12.75">
      <c r="A303" s="109"/>
      <c r="B303" s="110"/>
      <c r="C303" s="110"/>
      <c r="D303" s="110"/>
      <c r="E303" s="110"/>
      <c r="F303" s="110"/>
      <c r="G303" s="110"/>
      <c r="H303" s="110"/>
      <c r="I303" s="118"/>
      <c r="J303" s="118"/>
      <c r="K303" s="107"/>
      <c r="L303" s="107"/>
      <c r="M303" s="107"/>
      <c r="N303" s="107"/>
      <c r="O303" s="107"/>
      <c r="P303" s="107"/>
      <c r="Q303" s="107"/>
      <c r="R303" s="107"/>
      <c r="S303" s="107"/>
      <c r="T303" s="107"/>
      <c r="U303" s="107"/>
      <c r="V303" s="107"/>
      <c r="W303" s="107"/>
      <c r="X303" s="107"/>
    </row>
    <row r="304" spans="1:24" ht="12.75">
      <c r="A304" s="109"/>
      <c r="B304" s="110"/>
      <c r="C304" s="110"/>
      <c r="D304" s="110"/>
      <c r="E304" s="110"/>
      <c r="F304" s="110"/>
      <c r="G304" s="110"/>
      <c r="H304" s="110"/>
      <c r="I304" s="118"/>
      <c r="J304" s="118"/>
      <c r="K304" s="107"/>
      <c r="L304" s="107"/>
      <c r="M304" s="107"/>
      <c r="N304" s="107"/>
      <c r="O304" s="107"/>
      <c r="P304" s="107"/>
      <c r="Q304" s="107"/>
      <c r="R304" s="107"/>
      <c r="S304" s="107"/>
      <c r="T304" s="107"/>
      <c r="U304" s="107"/>
      <c r="V304" s="107"/>
      <c r="W304" s="107"/>
      <c r="X304" s="107"/>
    </row>
    <row r="305" spans="1:24" ht="12.75">
      <c r="A305" s="109"/>
      <c r="B305" s="110"/>
      <c r="C305" s="110"/>
      <c r="D305" s="110"/>
      <c r="E305" s="110"/>
      <c r="F305" s="110"/>
      <c r="G305" s="110"/>
      <c r="H305" s="110"/>
      <c r="I305" s="118"/>
      <c r="J305" s="118"/>
      <c r="K305" s="107"/>
      <c r="L305" s="107"/>
      <c r="M305" s="107"/>
      <c r="N305" s="107"/>
      <c r="O305" s="107"/>
      <c r="P305" s="107"/>
      <c r="Q305" s="107"/>
      <c r="R305" s="107"/>
      <c r="S305" s="107"/>
      <c r="T305" s="107"/>
      <c r="U305" s="107"/>
      <c r="V305" s="107"/>
      <c r="W305" s="107"/>
      <c r="X305" s="107"/>
    </row>
    <row r="306" spans="1:24" ht="12.75">
      <c r="A306" s="109"/>
      <c r="B306" s="110"/>
      <c r="C306" s="110"/>
      <c r="D306" s="110"/>
      <c r="E306" s="110"/>
      <c r="F306" s="110"/>
      <c r="G306" s="110"/>
      <c r="H306" s="110"/>
      <c r="I306" s="118"/>
      <c r="J306" s="118"/>
      <c r="K306" s="107"/>
      <c r="L306" s="107"/>
      <c r="M306" s="107"/>
      <c r="N306" s="107"/>
      <c r="O306" s="107"/>
      <c r="P306" s="107"/>
      <c r="Q306" s="107"/>
      <c r="R306" s="107"/>
      <c r="S306" s="107"/>
      <c r="T306" s="107"/>
      <c r="U306" s="107"/>
      <c r="V306" s="107"/>
      <c r="W306" s="107"/>
      <c r="X306" s="107"/>
    </row>
    <row r="307" spans="1:24" ht="12.75">
      <c r="A307" s="109"/>
      <c r="B307" s="110"/>
      <c r="C307" s="110"/>
      <c r="D307" s="110"/>
      <c r="E307" s="110"/>
      <c r="F307" s="110"/>
      <c r="G307" s="110"/>
      <c r="H307" s="110"/>
      <c r="I307" s="118"/>
      <c r="J307" s="118"/>
      <c r="K307" s="107"/>
      <c r="L307" s="107"/>
      <c r="M307" s="107"/>
      <c r="N307" s="107"/>
      <c r="O307" s="107"/>
      <c r="P307" s="107"/>
      <c r="Q307" s="107"/>
      <c r="R307" s="107"/>
      <c r="S307" s="107"/>
      <c r="T307" s="107"/>
      <c r="U307" s="107"/>
      <c r="V307" s="107"/>
      <c r="W307" s="107"/>
      <c r="X307" s="107"/>
    </row>
    <row r="308" spans="1:24" ht="12.75">
      <c r="A308" s="109"/>
      <c r="B308" s="110"/>
      <c r="C308" s="110"/>
      <c r="D308" s="110"/>
      <c r="E308" s="110"/>
      <c r="F308" s="110"/>
      <c r="G308" s="110"/>
      <c r="H308" s="110"/>
      <c r="I308" s="118"/>
      <c r="J308" s="118"/>
      <c r="K308" s="107"/>
      <c r="L308" s="107"/>
      <c r="M308" s="107"/>
      <c r="N308" s="107"/>
      <c r="O308" s="107"/>
      <c r="P308" s="107"/>
      <c r="Q308" s="107"/>
      <c r="R308" s="107"/>
      <c r="S308" s="107"/>
      <c r="T308" s="107"/>
      <c r="U308" s="107"/>
      <c r="V308" s="107"/>
      <c r="W308" s="107"/>
      <c r="X308" s="107"/>
    </row>
    <row r="309" spans="1:24" ht="12.75">
      <c r="A309" s="109"/>
      <c r="B309" s="110"/>
      <c r="C309" s="110"/>
      <c r="D309" s="110"/>
      <c r="E309" s="110"/>
      <c r="F309" s="110"/>
      <c r="G309" s="110"/>
      <c r="H309" s="110"/>
      <c r="I309" s="118"/>
      <c r="J309" s="118"/>
      <c r="K309" s="107"/>
      <c r="L309" s="107"/>
      <c r="M309" s="107"/>
      <c r="N309" s="107"/>
      <c r="O309" s="107"/>
      <c r="P309" s="107"/>
      <c r="Q309" s="107"/>
      <c r="R309" s="107"/>
      <c r="S309" s="107"/>
      <c r="T309" s="107"/>
      <c r="U309" s="107"/>
      <c r="V309" s="107"/>
      <c r="W309" s="107"/>
      <c r="X309" s="107"/>
    </row>
    <row r="310" spans="1:24" ht="12.75">
      <c r="A310" s="109"/>
      <c r="B310" s="110"/>
      <c r="C310" s="110"/>
      <c r="D310" s="110"/>
      <c r="E310" s="110"/>
      <c r="F310" s="110"/>
      <c r="G310" s="110"/>
      <c r="H310" s="110"/>
      <c r="I310" s="118"/>
      <c r="J310" s="118"/>
      <c r="K310" s="107"/>
      <c r="L310" s="107"/>
      <c r="M310" s="107"/>
      <c r="N310" s="107"/>
      <c r="O310" s="107"/>
      <c r="P310" s="107"/>
      <c r="Q310" s="107"/>
      <c r="R310" s="107"/>
      <c r="S310" s="107"/>
      <c r="T310" s="107"/>
      <c r="U310" s="107"/>
      <c r="V310" s="107"/>
      <c r="W310" s="107"/>
      <c r="X310" s="107"/>
    </row>
    <row r="311" spans="1:24" ht="12.75">
      <c r="A311" s="109"/>
      <c r="B311" s="110"/>
      <c r="C311" s="110"/>
      <c r="D311" s="110"/>
      <c r="E311" s="110"/>
      <c r="F311" s="110"/>
      <c r="G311" s="110"/>
      <c r="H311" s="110"/>
      <c r="I311" s="118"/>
      <c r="J311" s="118"/>
      <c r="K311" s="107"/>
      <c r="L311" s="107"/>
      <c r="M311" s="107"/>
      <c r="N311" s="107"/>
      <c r="O311" s="107"/>
      <c r="P311" s="107"/>
      <c r="Q311" s="107"/>
      <c r="R311" s="107"/>
      <c r="S311" s="107"/>
      <c r="T311" s="107"/>
      <c r="U311" s="107"/>
      <c r="V311" s="107"/>
      <c r="W311" s="107"/>
      <c r="X311" s="107"/>
    </row>
    <row r="312" spans="1:24" ht="12.75">
      <c r="A312" s="109"/>
      <c r="B312" s="110"/>
      <c r="C312" s="110"/>
      <c r="D312" s="110"/>
      <c r="E312" s="110"/>
      <c r="F312" s="110"/>
      <c r="G312" s="110"/>
      <c r="H312" s="110"/>
      <c r="I312" s="118"/>
      <c r="J312" s="118"/>
      <c r="K312" s="107"/>
      <c r="L312" s="107"/>
      <c r="M312" s="107"/>
      <c r="N312" s="107"/>
      <c r="O312" s="107"/>
      <c r="P312" s="107"/>
      <c r="Q312" s="107"/>
      <c r="R312" s="107"/>
      <c r="S312" s="107"/>
      <c r="T312" s="107"/>
      <c r="U312" s="107"/>
      <c r="V312" s="107"/>
      <c r="W312" s="107"/>
      <c r="X312" s="107"/>
    </row>
    <row r="313" spans="1:24" ht="12.75">
      <c r="A313" s="109"/>
      <c r="B313" s="110"/>
      <c r="C313" s="110"/>
      <c r="D313" s="110"/>
      <c r="E313" s="110"/>
      <c r="F313" s="110"/>
      <c r="G313" s="110"/>
      <c r="H313" s="110"/>
      <c r="I313" s="118"/>
      <c r="J313" s="118"/>
      <c r="K313" s="107"/>
      <c r="L313" s="107"/>
      <c r="M313" s="107"/>
      <c r="N313" s="107"/>
      <c r="O313" s="107"/>
      <c r="P313" s="107"/>
      <c r="Q313" s="107"/>
      <c r="R313" s="107"/>
      <c r="S313" s="107"/>
      <c r="T313" s="107"/>
      <c r="U313" s="107"/>
      <c r="V313" s="107"/>
      <c r="W313" s="107"/>
      <c r="X313" s="107"/>
    </row>
    <row r="314" spans="1:24" ht="12.75">
      <c r="A314" s="109"/>
      <c r="B314" s="110"/>
      <c r="C314" s="110"/>
      <c r="D314" s="110"/>
      <c r="E314" s="110"/>
      <c r="F314" s="110"/>
      <c r="G314" s="110"/>
      <c r="H314" s="110"/>
      <c r="I314" s="118"/>
      <c r="J314" s="118"/>
      <c r="K314" s="107"/>
      <c r="L314" s="107"/>
      <c r="M314" s="107"/>
      <c r="N314" s="107"/>
      <c r="O314" s="107"/>
      <c r="P314" s="107"/>
      <c r="Q314" s="107"/>
      <c r="R314" s="107"/>
      <c r="S314" s="107"/>
      <c r="T314" s="107"/>
      <c r="U314" s="107"/>
      <c r="V314" s="107"/>
      <c r="W314" s="107"/>
      <c r="X314" s="107"/>
    </row>
    <row r="315" spans="1:24" ht="12.75">
      <c r="A315" s="109"/>
      <c r="B315" s="110"/>
      <c r="C315" s="110"/>
      <c r="D315" s="110"/>
      <c r="E315" s="110"/>
      <c r="F315" s="110"/>
      <c r="G315" s="110"/>
      <c r="H315" s="110"/>
      <c r="I315" s="118"/>
      <c r="J315" s="118"/>
      <c r="K315" s="107"/>
      <c r="L315" s="107"/>
      <c r="M315" s="107"/>
      <c r="N315" s="107"/>
      <c r="O315" s="107"/>
      <c r="P315" s="107"/>
      <c r="Q315" s="107"/>
      <c r="R315" s="107"/>
      <c r="S315" s="107"/>
      <c r="T315" s="107"/>
      <c r="U315" s="107"/>
      <c r="V315" s="107"/>
      <c r="W315" s="107"/>
      <c r="X315" s="107"/>
    </row>
    <row r="316" spans="1:24" ht="12.75">
      <c r="A316" s="109"/>
      <c r="B316" s="110"/>
      <c r="C316" s="110"/>
      <c r="D316" s="110"/>
      <c r="E316" s="110"/>
      <c r="F316" s="110"/>
      <c r="G316" s="110"/>
      <c r="H316" s="110"/>
      <c r="I316" s="118"/>
      <c r="J316" s="118"/>
      <c r="K316" s="107"/>
      <c r="L316" s="107"/>
      <c r="M316" s="107"/>
      <c r="N316" s="107"/>
      <c r="O316" s="107"/>
      <c r="P316" s="107"/>
      <c r="Q316" s="107"/>
      <c r="R316" s="107"/>
      <c r="S316" s="107"/>
      <c r="T316" s="107"/>
      <c r="U316" s="107"/>
      <c r="V316" s="107"/>
      <c r="W316" s="107"/>
      <c r="X316" s="107"/>
    </row>
    <row r="317" spans="1:24" ht="12.75">
      <c r="A317" s="109"/>
      <c r="B317" s="110"/>
      <c r="C317" s="110"/>
      <c r="D317" s="110"/>
      <c r="E317" s="110"/>
      <c r="F317" s="110"/>
      <c r="G317" s="110"/>
      <c r="H317" s="110"/>
      <c r="I317" s="118"/>
      <c r="J317" s="118"/>
      <c r="K317" s="107"/>
      <c r="L317" s="107"/>
      <c r="M317" s="107"/>
      <c r="N317" s="107"/>
      <c r="O317" s="107"/>
      <c r="P317" s="107"/>
      <c r="Q317" s="107"/>
      <c r="R317" s="107"/>
      <c r="S317" s="107"/>
      <c r="T317" s="107"/>
      <c r="U317" s="107"/>
      <c r="V317" s="107"/>
      <c r="W317" s="107"/>
      <c r="X317" s="107"/>
    </row>
    <row r="318" spans="1:24" ht="12.75">
      <c r="A318" s="109"/>
      <c r="B318" s="110"/>
      <c r="C318" s="110"/>
      <c r="D318" s="110"/>
      <c r="E318" s="110"/>
      <c r="F318" s="110"/>
      <c r="G318" s="110"/>
      <c r="H318" s="110"/>
      <c r="I318" s="118"/>
      <c r="J318" s="118"/>
      <c r="K318" s="107"/>
      <c r="L318" s="107"/>
      <c r="M318" s="107"/>
      <c r="N318" s="107"/>
      <c r="O318" s="107"/>
      <c r="P318" s="107"/>
      <c r="Q318" s="107"/>
      <c r="R318" s="107"/>
      <c r="S318" s="107"/>
      <c r="T318" s="107"/>
      <c r="U318" s="107"/>
      <c r="V318" s="107"/>
      <c r="W318" s="107"/>
      <c r="X318" s="107"/>
    </row>
    <row r="319" spans="1:24" ht="12.75">
      <c r="A319" s="109"/>
      <c r="B319" s="110"/>
      <c r="C319" s="110"/>
      <c r="D319" s="110"/>
      <c r="E319" s="110"/>
      <c r="F319" s="110"/>
      <c r="G319" s="110"/>
      <c r="H319" s="110"/>
      <c r="I319" s="118"/>
      <c r="J319" s="118"/>
      <c r="K319" s="107"/>
      <c r="L319" s="107"/>
      <c r="M319" s="107"/>
      <c r="N319" s="107"/>
      <c r="O319" s="107"/>
      <c r="P319" s="107"/>
      <c r="Q319" s="107"/>
      <c r="R319" s="107"/>
      <c r="S319" s="107"/>
      <c r="T319" s="107"/>
      <c r="U319" s="107"/>
      <c r="V319" s="107"/>
      <c r="W319" s="107"/>
      <c r="X319" s="107"/>
    </row>
    <row r="320" spans="1:24" ht="12.75">
      <c r="A320" s="109"/>
      <c r="B320" s="110"/>
      <c r="C320" s="110"/>
      <c r="D320" s="110"/>
      <c r="E320" s="110"/>
      <c r="F320" s="110"/>
      <c r="G320" s="110"/>
      <c r="H320" s="110"/>
      <c r="I320" s="118"/>
      <c r="J320" s="118"/>
      <c r="K320" s="107"/>
      <c r="L320" s="107"/>
      <c r="M320" s="107"/>
      <c r="N320" s="107"/>
      <c r="O320" s="107"/>
      <c r="P320" s="107"/>
      <c r="Q320" s="107"/>
      <c r="R320" s="107"/>
      <c r="S320" s="107"/>
      <c r="T320" s="107"/>
      <c r="U320" s="107"/>
      <c r="V320" s="107"/>
      <c r="W320" s="107"/>
      <c r="X320" s="107"/>
    </row>
    <row r="321" spans="1:24" ht="12.75">
      <c r="A321" s="109"/>
      <c r="B321" s="110"/>
      <c r="C321" s="110"/>
      <c r="D321" s="110"/>
      <c r="E321" s="110"/>
      <c r="F321" s="110"/>
      <c r="G321" s="110"/>
      <c r="H321" s="110"/>
      <c r="I321" s="118"/>
      <c r="J321" s="118"/>
      <c r="K321" s="107"/>
      <c r="L321" s="107"/>
      <c r="M321" s="107"/>
      <c r="N321" s="107"/>
      <c r="O321" s="107"/>
      <c r="P321" s="107"/>
      <c r="Q321" s="107"/>
      <c r="R321" s="107"/>
      <c r="S321" s="107"/>
      <c r="T321" s="107"/>
      <c r="U321" s="107"/>
      <c r="V321" s="107"/>
      <c r="W321" s="107"/>
      <c r="X321" s="107"/>
    </row>
    <row r="322" spans="1:24" ht="12.75">
      <c r="A322" s="109"/>
      <c r="B322" s="110"/>
      <c r="C322" s="110"/>
      <c r="D322" s="110"/>
      <c r="E322" s="110"/>
      <c r="F322" s="110"/>
      <c r="G322" s="110"/>
      <c r="H322" s="110"/>
      <c r="I322" s="118"/>
      <c r="J322" s="118"/>
      <c r="K322" s="107"/>
      <c r="L322" s="107"/>
      <c r="M322" s="107"/>
      <c r="N322" s="107"/>
      <c r="O322" s="107"/>
      <c r="P322" s="107"/>
      <c r="Q322" s="107"/>
      <c r="R322" s="107"/>
      <c r="S322" s="107"/>
      <c r="T322" s="107"/>
      <c r="U322" s="107"/>
      <c r="V322" s="107"/>
      <c r="W322" s="107"/>
      <c r="X322" s="107"/>
    </row>
    <row r="323" spans="1:24" ht="12.75">
      <c r="A323" s="109"/>
      <c r="B323" s="110"/>
      <c r="C323" s="110"/>
      <c r="D323" s="110"/>
      <c r="E323" s="110"/>
      <c r="F323" s="110"/>
      <c r="G323" s="110"/>
      <c r="H323" s="110"/>
      <c r="I323" s="118"/>
      <c r="J323" s="118"/>
      <c r="K323" s="107"/>
      <c r="L323" s="107"/>
      <c r="M323" s="107"/>
      <c r="N323" s="107"/>
      <c r="O323" s="107"/>
      <c r="P323" s="107"/>
      <c r="Q323" s="107"/>
      <c r="R323" s="107"/>
      <c r="S323" s="107"/>
      <c r="T323" s="107"/>
      <c r="U323" s="107"/>
      <c r="V323" s="107"/>
      <c r="W323" s="107"/>
      <c r="X323" s="107"/>
    </row>
    <row r="324" spans="1:24" ht="12.75">
      <c r="A324" s="109"/>
      <c r="B324" s="110"/>
      <c r="C324" s="110"/>
      <c r="D324" s="110"/>
      <c r="E324" s="110"/>
      <c r="F324" s="110"/>
      <c r="G324" s="110"/>
      <c r="H324" s="110"/>
      <c r="I324" s="118"/>
      <c r="J324" s="118"/>
      <c r="K324" s="107"/>
      <c r="L324" s="107"/>
      <c r="M324" s="107"/>
      <c r="N324" s="107"/>
      <c r="O324" s="107"/>
      <c r="P324" s="107"/>
      <c r="Q324" s="107"/>
      <c r="R324" s="107"/>
      <c r="S324" s="107"/>
      <c r="T324" s="107"/>
      <c r="U324" s="107"/>
      <c r="V324" s="107"/>
      <c r="W324" s="107"/>
      <c r="X324" s="107"/>
    </row>
    <row r="325" spans="1:24" ht="12.75">
      <c r="A325" s="109"/>
      <c r="B325" s="110"/>
      <c r="C325" s="110"/>
      <c r="D325" s="110"/>
      <c r="E325" s="110"/>
      <c r="F325" s="110"/>
      <c r="G325" s="110"/>
      <c r="H325" s="110"/>
      <c r="I325" s="118"/>
      <c r="J325" s="118"/>
      <c r="K325" s="107"/>
      <c r="L325" s="107"/>
      <c r="M325" s="107"/>
      <c r="N325" s="107"/>
      <c r="O325" s="107"/>
      <c r="P325" s="107"/>
      <c r="Q325" s="107"/>
      <c r="R325" s="107"/>
      <c r="S325" s="107"/>
      <c r="T325" s="107"/>
      <c r="U325" s="107"/>
      <c r="V325" s="107"/>
      <c r="W325" s="107"/>
      <c r="X325" s="107"/>
    </row>
    <row r="326" spans="1:24" ht="12.75">
      <c r="A326" s="109"/>
      <c r="B326" s="110"/>
      <c r="C326" s="110"/>
      <c r="D326" s="110"/>
      <c r="E326" s="110"/>
      <c r="F326" s="110"/>
      <c r="G326" s="110"/>
      <c r="H326" s="110"/>
      <c r="I326" s="118"/>
      <c r="J326" s="118"/>
      <c r="K326" s="107"/>
      <c r="L326" s="107"/>
      <c r="M326" s="107"/>
      <c r="N326" s="107"/>
      <c r="O326" s="107"/>
      <c r="P326" s="107"/>
      <c r="Q326" s="107"/>
      <c r="R326" s="107"/>
      <c r="S326" s="107"/>
      <c r="T326" s="107"/>
      <c r="U326" s="107"/>
      <c r="V326" s="107"/>
      <c r="W326" s="107"/>
      <c r="X326" s="107"/>
    </row>
    <row r="327" spans="1:24" ht="12.75">
      <c r="A327" s="109"/>
      <c r="B327" s="110"/>
      <c r="C327" s="110"/>
      <c r="D327" s="110"/>
      <c r="E327" s="110"/>
      <c r="F327" s="110"/>
      <c r="G327" s="110"/>
      <c r="H327" s="110"/>
      <c r="I327" s="118"/>
      <c r="J327" s="118"/>
      <c r="K327" s="107"/>
      <c r="L327" s="107"/>
      <c r="M327" s="107"/>
      <c r="N327" s="107"/>
      <c r="O327" s="107"/>
      <c r="P327" s="107"/>
      <c r="Q327" s="107"/>
      <c r="R327" s="107"/>
      <c r="S327" s="107"/>
      <c r="T327" s="107"/>
      <c r="U327" s="107"/>
      <c r="V327" s="107"/>
      <c r="W327" s="107"/>
      <c r="X327" s="107"/>
    </row>
    <row r="328" spans="1:24" ht="12.75">
      <c r="A328" s="109"/>
      <c r="B328" s="110"/>
      <c r="C328" s="110"/>
      <c r="D328" s="110"/>
      <c r="E328" s="110"/>
      <c r="F328" s="110"/>
      <c r="G328" s="110"/>
      <c r="H328" s="110"/>
      <c r="I328" s="118"/>
      <c r="J328" s="118"/>
      <c r="K328" s="107"/>
      <c r="L328" s="107"/>
      <c r="M328" s="107"/>
      <c r="N328" s="107"/>
      <c r="O328" s="107"/>
      <c r="P328" s="107"/>
      <c r="Q328" s="107"/>
      <c r="R328" s="107"/>
      <c r="S328" s="107"/>
      <c r="T328" s="107"/>
      <c r="U328" s="107"/>
      <c r="V328" s="107"/>
      <c r="W328" s="107"/>
      <c r="X328" s="107"/>
    </row>
    <row r="329" spans="1:24" ht="12.75">
      <c r="A329" s="109"/>
      <c r="B329" s="110"/>
      <c r="C329" s="110"/>
      <c r="D329" s="110"/>
      <c r="E329" s="110"/>
      <c r="F329" s="110"/>
      <c r="G329" s="110"/>
      <c r="H329" s="110"/>
      <c r="I329" s="118"/>
      <c r="J329" s="118"/>
      <c r="K329" s="107"/>
      <c r="L329" s="107"/>
      <c r="M329" s="107"/>
      <c r="N329" s="107"/>
      <c r="O329" s="107"/>
      <c r="P329" s="107"/>
      <c r="Q329" s="107"/>
      <c r="R329" s="107"/>
      <c r="S329" s="107"/>
      <c r="T329" s="107"/>
      <c r="U329" s="107"/>
      <c r="V329" s="107"/>
      <c r="W329" s="107"/>
      <c r="X329" s="107"/>
    </row>
    <row r="330" spans="1:24" ht="12.75">
      <c r="A330" s="109"/>
      <c r="B330" s="110"/>
      <c r="C330" s="110"/>
      <c r="D330" s="110"/>
      <c r="E330" s="110"/>
      <c r="F330" s="110"/>
      <c r="G330" s="110"/>
      <c r="H330" s="110"/>
      <c r="I330" s="118"/>
      <c r="J330" s="118"/>
      <c r="K330" s="107"/>
      <c r="L330" s="107"/>
      <c r="M330" s="107"/>
      <c r="N330" s="107"/>
      <c r="O330" s="107"/>
      <c r="P330" s="107"/>
      <c r="Q330" s="107"/>
      <c r="R330" s="107"/>
      <c r="S330" s="107"/>
      <c r="T330" s="107"/>
      <c r="U330" s="107"/>
      <c r="V330" s="107"/>
      <c r="W330" s="107"/>
      <c r="X330" s="107"/>
    </row>
    <row r="331" spans="1:24" ht="12.75">
      <c r="A331" s="109"/>
      <c r="B331" s="110"/>
      <c r="C331" s="110"/>
      <c r="D331" s="110"/>
      <c r="E331" s="110"/>
      <c r="F331" s="110"/>
      <c r="G331" s="110"/>
      <c r="H331" s="110"/>
      <c r="I331" s="118"/>
      <c r="J331" s="118"/>
      <c r="K331" s="107"/>
      <c r="L331" s="107"/>
      <c r="M331" s="107"/>
      <c r="N331" s="107"/>
      <c r="O331" s="107"/>
      <c r="P331" s="107"/>
      <c r="Q331" s="107"/>
      <c r="R331" s="107"/>
      <c r="S331" s="107"/>
      <c r="T331" s="107"/>
      <c r="U331" s="107"/>
      <c r="V331" s="107"/>
      <c r="W331" s="107"/>
      <c r="X331" s="107"/>
    </row>
    <row r="332" spans="1:24" ht="12.75">
      <c r="A332" s="109"/>
      <c r="B332" s="110"/>
      <c r="C332" s="110"/>
      <c r="D332" s="110"/>
      <c r="E332" s="110"/>
      <c r="F332" s="110"/>
      <c r="G332" s="110"/>
      <c r="H332" s="110"/>
      <c r="I332" s="118"/>
      <c r="J332" s="118"/>
      <c r="K332" s="107"/>
      <c r="L332" s="107"/>
      <c r="M332" s="107"/>
      <c r="N332" s="107"/>
      <c r="O332" s="107"/>
      <c r="P332" s="107"/>
      <c r="Q332" s="107"/>
      <c r="R332" s="107"/>
      <c r="S332" s="107"/>
      <c r="T332" s="107"/>
      <c r="U332" s="107"/>
      <c r="V332" s="107"/>
      <c r="W332" s="107"/>
      <c r="X332" s="107"/>
    </row>
    <row r="333" spans="1:24" ht="12.75">
      <c r="A333" s="109"/>
      <c r="B333" s="110"/>
      <c r="C333" s="110"/>
      <c r="D333" s="110"/>
      <c r="E333" s="110"/>
      <c r="F333" s="110"/>
      <c r="G333" s="110"/>
      <c r="H333" s="110"/>
      <c r="I333" s="118"/>
      <c r="J333" s="118"/>
      <c r="K333" s="107"/>
      <c r="L333" s="107"/>
      <c r="M333" s="107"/>
      <c r="N333" s="107"/>
      <c r="O333" s="107"/>
      <c r="P333" s="107"/>
      <c r="Q333" s="107"/>
      <c r="R333" s="107"/>
      <c r="S333" s="107"/>
      <c r="T333" s="107"/>
      <c r="U333" s="107"/>
      <c r="V333" s="107"/>
      <c r="W333" s="107"/>
      <c r="X333" s="107"/>
    </row>
    <row r="334" spans="1:24" ht="12.75">
      <c r="A334" s="109"/>
      <c r="B334" s="110"/>
      <c r="C334" s="110"/>
      <c r="D334" s="110"/>
      <c r="E334" s="110"/>
      <c r="F334" s="110"/>
      <c r="G334" s="110"/>
      <c r="H334" s="110"/>
      <c r="I334" s="118"/>
      <c r="J334" s="118"/>
      <c r="K334" s="107"/>
      <c r="L334" s="107"/>
      <c r="M334" s="107"/>
      <c r="N334" s="107"/>
      <c r="O334" s="107"/>
      <c r="P334" s="107"/>
      <c r="Q334" s="107"/>
      <c r="R334" s="107"/>
      <c r="S334" s="107"/>
      <c r="T334" s="107"/>
      <c r="U334" s="107"/>
      <c r="V334" s="107"/>
      <c r="W334" s="107"/>
      <c r="X334" s="107"/>
    </row>
    <row r="335" spans="1:24" ht="12.75">
      <c r="A335" s="109"/>
      <c r="B335" s="110"/>
      <c r="C335" s="110"/>
      <c r="D335" s="110"/>
      <c r="E335" s="110"/>
      <c r="F335" s="110"/>
      <c r="G335" s="110"/>
      <c r="H335" s="110"/>
      <c r="I335" s="118"/>
      <c r="J335" s="118"/>
      <c r="K335" s="107"/>
      <c r="L335" s="107"/>
      <c r="M335" s="107"/>
      <c r="N335" s="107"/>
      <c r="O335" s="107"/>
      <c r="P335" s="107"/>
      <c r="Q335" s="107"/>
      <c r="R335" s="107"/>
      <c r="S335" s="107"/>
      <c r="T335" s="107"/>
      <c r="U335" s="107"/>
      <c r="V335" s="107"/>
      <c r="W335" s="107"/>
      <c r="X335" s="107"/>
    </row>
    <row r="336" spans="1:24" ht="12.75">
      <c r="A336" s="109"/>
      <c r="B336" s="110"/>
      <c r="C336" s="110"/>
      <c r="D336" s="110"/>
      <c r="E336" s="110"/>
      <c r="F336" s="110"/>
      <c r="G336" s="110"/>
      <c r="H336" s="110"/>
      <c r="I336" s="118"/>
      <c r="J336" s="118"/>
      <c r="K336" s="107"/>
      <c r="L336" s="107"/>
      <c r="M336" s="107"/>
      <c r="N336" s="107"/>
      <c r="O336" s="107"/>
      <c r="P336" s="107"/>
      <c r="Q336" s="107"/>
      <c r="R336" s="107"/>
      <c r="S336" s="107"/>
      <c r="T336" s="107"/>
      <c r="U336" s="107"/>
      <c r="V336" s="107"/>
      <c r="W336" s="107"/>
      <c r="X336" s="107"/>
    </row>
    <row r="337" spans="1:24" ht="12.75">
      <c r="A337" s="109"/>
      <c r="B337" s="110"/>
      <c r="C337" s="110"/>
      <c r="D337" s="110"/>
      <c r="E337" s="110"/>
      <c r="F337" s="110"/>
      <c r="G337" s="110"/>
      <c r="H337" s="110"/>
      <c r="I337" s="118"/>
      <c r="J337" s="118"/>
      <c r="K337" s="107"/>
      <c r="L337" s="107"/>
      <c r="M337" s="107"/>
      <c r="N337" s="107"/>
      <c r="O337" s="107"/>
      <c r="P337" s="107"/>
      <c r="Q337" s="107"/>
      <c r="R337" s="107"/>
      <c r="S337" s="107"/>
      <c r="T337" s="107"/>
      <c r="U337" s="107"/>
      <c r="V337" s="107"/>
      <c r="W337" s="107"/>
      <c r="X337" s="107"/>
    </row>
    <row r="338" spans="1:24" ht="12.75">
      <c r="A338" s="109"/>
      <c r="B338" s="110"/>
      <c r="C338" s="110"/>
      <c r="D338" s="110"/>
      <c r="E338" s="110"/>
      <c r="F338" s="110"/>
      <c r="G338" s="110"/>
      <c r="H338" s="110"/>
      <c r="I338" s="118"/>
      <c r="J338" s="118"/>
      <c r="K338" s="107"/>
      <c r="L338" s="107"/>
      <c r="M338" s="107"/>
      <c r="N338" s="107"/>
      <c r="O338" s="107"/>
      <c r="P338" s="107"/>
      <c r="Q338" s="107"/>
      <c r="R338" s="107"/>
      <c r="S338" s="107"/>
      <c r="T338" s="107"/>
      <c r="U338" s="107"/>
      <c r="V338" s="107"/>
      <c r="W338" s="107"/>
      <c r="X338" s="107"/>
    </row>
    <row r="339" spans="1:24" ht="12.75">
      <c r="A339" s="109"/>
      <c r="B339" s="110"/>
      <c r="C339" s="110"/>
      <c r="D339" s="110"/>
      <c r="E339" s="110"/>
      <c r="F339" s="110"/>
      <c r="G339" s="110"/>
      <c r="H339" s="110"/>
      <c r="I339" s="118"/>
      <c r="J339" s="118"/>
      <c r="K339" s="107"/>
      <c r="L339" s="107"/>
      <c r="M339" s="107"/>
      <c r="N339" s="107"/>
      <c r="O339" s="107"/>
      <c r="P339" s="107"/>
      <c r="Q339" s="107"/>
      <c r="R339" s="107"/>
      <c r="S339" s="107"/>
      <c r="T339" s="107"/>
      <c r="U339" s="107"/>
      <c r="V339" s="107"/>
      <c r="W339" s="107"/>
      <c r="X339" s="107"/>
    </row>
    <row r="340" spans="1:24" ht="12.75">
      <c r="A340" s="109"/>
      <c r="B340" s="110"/>
      <c r="C340" s="110"/>
      <c r="D340" s="110"/>
      <c r="E340" s="110"/>
      <c r="F340" s="110"/>
      <c r="G340" s="110"/>
      <c r="H340" s="110"/>
      <c r="I340" s="118"/>
      <c r="J340" s="118"/>
      <c r="K340" s="107"/>
      <c r="L340" s="107"/>
      <c r="M340" s="107"/>
      <c r="N340" s="107"/>
      <c r="O340" s="107"/>
      <c r="P340" s="107"/>
      <c r="Q340" s="107"/>
      <c r="R340" s="107"/>
      <c r="S340" s="107"/>
      <c r="T340" s="107"/>
      <c r="U340" s="107"/>
      <c r="V340" s="107"/>
      <c r="W340" s="107"/>
      <c r="X340" s="107"/>
    </row>
    <row r="341" spans="1:24" ht="12.75">
      <c r="A341" s="109"/>
      <c r="B341" s="110"/>
      <c r="C341" s="110"/>
      <c r="D341" s="110"/>
      <c r="E341" s="110"/>
      <c r="F341" s="110"/>
      <c r="G341" s="110"/>
      <c r="H341" s="110"/>
      <c r="I341" s="118"/>
      <c r="J341" s="118"/>
      <c r="K341" s="107"/>
      <c r="L341" s="107"/>
      <c r="M341" s="107"/>
      <c r="N341" s="107"/>
      <c r="O341" s="107"/>
      <c r="P341" s="107"/>
      <c r="Q341" s="107"/>
      <c r="R341" s="107"/>
      <c r="S341" s="107"/>
      <c r="T341" s="107"/>
      <c r="U341" s="107"/>
      <c r="V341" s="107"/>
      <c r="W341" s="107"/>
      <c r="X341" s="107"/>
    </row>
    <row r="342" spans="1:24" ht="12.75">
      <c r="A342" s="109"/>
      <c r="B342" s="110"/>
      <c r="C342" s="110"/>
      <c r="D342" s="110"/>
      <c r="E342" s="110"/>
      <c r="F342" s="110"/>
      <c r="G342" s="110"/>
      <c r="H342" s="110"/>
      <c r="I342" s="118"/>
      <c r="J342" s="118"/>
      <c r="K342" s="107"/>
      <c r="L342" s="107"/>
      <c r="M342" s="107"/>
      <c r="N342" s="107"/>
      <c r="O342" s="107"/>
      <c r="P342" s="107"/>
      <c r="Q342" s="107"/>
      <c r="R342" s="107"/>
      <c r="S342" s="107"/>
      <c r="T342" s="107"/>
      <c r="U342" s="107"/>
      <c r="V342" s="107"/>
      <c r="W342" s="107"/>
      <c r="X342" s="107"/>
    </row>
    <row r="343" spans="1:24" ht="12.75">
      <c r="A343" s="109"/>
      <c r="B343" s="110"/>
      <c r="C343" s="110"/>
      <c r="D343" s="110"/>
      <c r="E343" s="110"/>
      <c r="F343" s="110"/>
      <c r="G343" s="110"/>
      <c r="H343" s="110"/>
      <c r="I343" s="118"/>
      <c r="J343" s="118"/>
      <c r="K343" s="107"/>
      <c r="L343" s="107"/>
      <c r="M343" s="107"/>
      <c r="N343" s="107"/>
      <c r="O343" s="107"/>
      <c r="P343" s="107"/>
      <c r="Q343" s="107"/>
      <c r="R343" s="107"/>
      <c r="S343" s="107"/>
      <c r="T343" s="107"/>
      <c r="U343" s="107"/>
      <c r="V343" s="107"/>
      <c r="W343" s="107"/>
      <c r="X343" s="107"/>
    </row>
    <row r="344" spans="1:24" ht="12.75">
      <c r="A344" s="109"/>
      <c r="B344" s="110"/>
      <c r="C344" s="110"/>
      <c r="D344" s="110"/>
      <c r="E344" s="110"/>
      <c r="F344" s="110"/>
      <c r="G344" s="110"/>
      <c r="H344" s="110"/>
      <c r="I344" s="118"/>
      <c r="J344" s="118"/>
      <c r="K344" s="107"/>
      <c r="L344" s="107"/>
      <c r="M344" s="107"/>
      <c r="N344" s="107"/>
      <c r="O344" s="107"/>
      <c r="P344" s="107"/>
      <c r="Q344" s="107"/>
      <c r="R344" s="107"/>
      <c r="S344" s="107"/>
      <c r="T344" s="107"/>
      <c r="U344" s="107"/>
      <c r="V344" s="107"/>
      <c r="W344" s="107"/>
      <c r="X344" s="107"/>
    </row>
    <row r="345" spans="1:24" ht="12.75">
      <c r="A345" s="109"/>
      <c r="B345" s="110"/>
      <c r="C345" s="110"/>
      <c r="D345" s="110"/>
      <c r="E345" s="110"/>
      <c r="F345" s="110"/>
      <c r="G345" s="110"/>
      <c r="H345" s="110"/>
      <c r="I345" s="118"/>
      <c r="J345" s="118"/>
      <c r="K345" s="107"/>
      <c r="L345" s="107"/>
      <c r="M345" s="107"/>
      <c r="N345" s="107"/>
      <c r="O345" s="107"/>
      <c r="P345" s="107"/>
      <c r="Q345" s="107"/>
      <c r="R345" s="107"/>
      <c r="S345" s="107"/>
      <c r="T345" s="107"/>
      <c r="U345" s="107"/>
      <c r="V345" s="107"/>
      <c r="W345" s="107"/>
      <c r="X345" s="107"/>
    </row>
    <row r="346" spans="1:24" ht="12.75">
      <c r="A346" s="109"/>
      <c r="B346" s="110"/>
      <c r="C346" s="110"/>
      <c r="D346" s="110"/>
      <c r="E346" s="110"/>
      <c r="F346" s="110"/>
      <c r="G346" s="110"/>
      <c r="H346" s="110"/>
      <c r="I346" s="118"/>
      <c r="J346" s="118"/>
      <c r="K346" s="107"/>
      <c r="L346" s="107"/>
      <c r="M346" s="107"/>
      <c r="N346" s="107"/>
      <c r="O346" s="107"/>
      <c r="P346" s="107"/>
      <c r="Q346" s="107"/>
      <c r="R346" s="107"/>
      <c r="S346" s="107"/>
      <c r="T346" s="107"/>
      <c r="U346" s="107"/>
      <c r="V346" s="107"/>
      <c r="W346" s="107"/>
      <c r="X346" s="107"/>
    </row>
    <row r="347" spans="1:24" ht="12.75">
      <c r="A347" s="109"/>
      <c r="B347" s="110"/>
      <c r="C347" s="110"/>
      <c r="D347" s="110"/>
      <c r="E347" s="110"/>
      <c r="F347" s="110"/>
      <c r="G347" s="110"/>
      <c r="H347" s="110"/>
      <c r="I347" s="118"/>
      <c r="J347" s="118"/>
      <c r="K347" s="107"/>
      <c r="L347" s="107"/>
      <c r="M347" s="107"/>
      <c r="N347" s="107"/>
      <c r="O347" s="107"/>
      <c r="P347" s="107"/>
      <c r="Q347" s="107"/>
      <c r="R347" s="107"/>
      <c r="S347" s="107"/>
      <c r="T347" s="107"/>
      <c r="U347" s="107"/>
      <c r="V347" s="107"/>
      <c r="W347" s="107"/>
      <c r="X347" s="107"/>
    </row>
    <row r="348" spans="1:24" ht="12.75">
      <c r="A348" s="109"/>
      <c r="B348" s="110"/>
      <c r="C348" s="110"/>
      <c r="D348" s="110"/>
      <c r="E348" s="110"/>
      <c r="F348" s="110"/>
      <c r="G348" s="110"/>
      <c r="H348" s="110"/>
      <c r="I348" s="118"/>
      <c r="J348" s="118"/>
      <c r="K348" s="107"/>
      <c r="L348" s="107"/>
      <c r="M348" s="107"/>
      <c r="N348" s="107"/>
      <c r="O348" s="107"/>
      <c r="P348" s="107"/>
      <c r="Q348" s="107"/>
      <c r="R348" s="107"/>
      <c r="S348" s="107"/>
      <c r="T348" s="107"/>
      <c r="U348" s="107"/>
      <c r="V348" s="107"/>
      <c r="W348" s="107"/>
      <c r="X348" s="107"/>
    </row>
    <row r="349" spans="1:24" ht="12.75">
      <c r="A349" s="109"/>
      <c r="B349" s="110"/>
      <c r="C349" s="110"/>
      <c r="D349" s="110"/>
      <c r="E349" s="110"/>
      <c r="F349" s="110"/>
      <c r="G349" s="110"/>
      <c r="H349" s="110"/>
      <c r="I349" s="118"/>
      <c r="J349" s="118"/>
      <c r="K349" s="107"/>
      <c r="L349" s="107"/>
      <c r="M349" s="107"/>
      <c r="N349" s="107"/>
      <c r="O349" s="107"/>
      <c r="P349" s="107"/>
      <c r="Q349" s="107"/>
      <c r="R349" s="107"/>
      <c r="S349" s="107"/>
      <c r="T349" s="107"/>
      <c r="U349" s="107"/>
      <c r="V349" s="107"/>
      <c r="W349" s="107"/>
      <c r="X349" s="107"/>
    </row>
    <row r="350" spans="1:24" ht="12.75">
      <c r="A350" s="109"/>
      <c r="B350" s="110"/>
      <c r="C350" s="110"/>
      <c r="D350" s="110"/>
      <c r="E350" s="110"/>
      <c r="F350" s="110"/>
      <c r="G350" s="110"/>
      <c r="H350" s="110"/>
      <c r="I350" s="118"/>
      <c r="J350" s="118"/>
      <c r="K350" s="107"/>
      <c r="L350" s="107"/>
      <c r="M350" s="107"/>
      <c r="N350" s="107"/>
      <c r="O350" s="107"/>
      <c r="P350" s="107"/>
      <c r="Q350" s="107"/>
      <c r="R350" s="107"/>
      <c r="S350" s="107"/>
      <c r="T350" s="107"/>
      <c r="U350" s="107"/>
      <c r="V350" s="107"/>
      <c r="W350" s="107"/>
      <c r="X350" s="107"/>
    </row>
    <row r="351" spans="1:24" ht="12.75">
      <c r="A351" s="109"/>
      <c r="B351" s="110"/>
      <c r="C351" s="110"/>
      <c r="D351" s="110"/>
      <c r="E351" s="110"/>
      <c r="F351" s="110"/>
      <c r="G351" s="110"/>
      <c r="H351" s="110"/>
      <c r="I351" s="118"/>
      <c r="J351" s="118"/>
      <c r="K351" s="107"/>
      <c r="L351" s="107"/>
      <c r="M351" s="107"/>
      <c r="N351" s="107"/>
      <c r="O351" s="107"/>
      <c r="P351" s="107"/>
      <c r="Q351" s="107"/>
      <c r="R351" s="107"/>
      <c r="S351" s="107"/>
      <c r="T351" s="107"/>
      <c r="U351" s="107"/>
      <c r="V351" s="107"/>
      <c r="W351" s="107"/>
      <c r="X351" s="107"/>
    </row>
    <row r="352" spans="1:24" ht="12.75">
      <c r="A352" s="109"/>
      <c r="B352" s="110"/>
      <c r="C352" s="110"/>
      <c r="D352" s="110"/>
      <c r="E352" s="110"/>
      <c r="F352" s="110"/>
      <c r="G352" s="110"/>
      <c r="H352" s="110"/>
      <c r="I352" s="118"/>
      <c r="J352" s="118"/>
      <c r="K352" s="107"/>
      <c r="L352" s="107"/>
      <c r="M352" s="107"/>
      <c r="N352" s="107"/>
      <c r="O352" s="107"/>
      <c r="P352" s="107"/>
      <c r="Q352" s="107"/>
      <c r="R352" s="107"/>
      <c r="S352" s="107"/>
      <c r="T352" s="107"/>
      <c r="U352" s="107"/>
      <c r="V352" s="107"/>
      <c r="W352" s="107"/>
      <c r="X352" s="107"/>
    </row>
    <row r="353" spans="1:24" ht="12.75">
      <c r="A353" s="109"/>
      <c r="B353" s="110"/>
      <c r="C353" s="110"/>
      <c r="D353" s="110"/>
      <c r="E353" s="110"/>
      <c r="F353" s="110"/>
      <c r="G353" s="110"/>
      <c r="H353" s="110"/>
      <c r="I353" s="118"/>
      <c r="J353" s="118"/>
      <c r="K353" s="107"/>
      <c r="L353" s="107"/>
      <c r="M353" s="107"/>
      <c r="N353" s="107"/>
      <c r="O353" s="107"/>
      <c r="P353" s="107"/>
      <c r="Q353" s="107"/>
      <c r="R353" s="107"/>
      <c r="S353" s="107"/>
      <c r="T353" s="107"/>
      <c r="U353" s="107"/>
      <c r="V353" s="107"/>
      <c r="W353" s="107"/>
      <c r="X353" s="107"/>
    </row>
    <row r="354" spans="1:24" ht="12.75">
      <c r="A354" s="109"/>
      <c r="B354" s="110"/>
      <c r="C354" s="110"/>
      <c r="D354" s="110"/>
      <c r="E354" s="110"/>
      <c r="F354" s="110"/>
      <c r="G354" s="110"/>
      <c r="H354" s="110"/>
      <c r="I354" s="118"/>
      <c r="J354" s="118"/>
      <c r="K354" s="107"/>
      <c r="L354" s="107"/>
      <c r="M354" s="107"/>
      <c r="N354" s="107"/>
      <c r="O354" s="107"/>
      <c r="P354" s="107"/>
      <c r="Q354" s="107"/>
      <c r="R354" s="107"/>
      <c r="S354" s="107"/>
      <c r="T354" s="107"/>
      <c r="U354" s="107"/>
      <c r="V354" s="107"/>
      <c r="W354" s="107"/>
      <c r="X354" s="107"/>
    </row>
    <row r="355" spans="1:24" ht="12.75">
      <c r="A355" s="109"/>
      <c r="B355" s="110"/>
      <c r="C355" s="110"/>
      <c r="D355" s="110"/>
      <c r="E355" s="110"/>
      <c r="F355" s="110"/>
      <c r="G355" s="110"/>
      <c r="H355" s="110"/>
      <c r="I355" s="118"/>
      <c r="J355" s="118"/>
      <c r="K355" s="107"/>
      <c r="L355" s="107"/>
      <c r="M355" s="107"/>
      <c r="N355" s="107"/>
      <c r="O355" s="107"/>
      <c r="P355" s="107"/>
      <c r="Q355" s="107"/>
      <c r="R355" s="107"/>
      <c r="S355" s="107"/>
      <c r="T355" s="107"/>
      <c r="U355" s="107"/>
      <c r="V355" s="107"/>
      <c r="W355" s="107"/>
      <c r="X355" s="107"/>
    </row>
    <row r="356" spans="1:24" ht="12.75">
      <c r="A356" s="109"/>
      <c r="B356" s="110"/>
      <c r="C356" s="110"/>
      <c r="D356" s="110"/>
      <c r="E356" s="110"/>
      <c r="F356" s="110"/>
      <c r="G356" s="110"/>
      <c r="H356" s="110"/>
      <c r="I356" s="118"/>
      <c r="J356" s="118"/>
      <c r="K356" s="107"/>
      <c r="L356" s="107"/>
      <c r="M356" s="107"/>
      <c r="N356" s="107"/>
      <c r="O356" s="107"/>
      <c r="P356" s="107"/>
      <c r="Q356" s="107"/>
      <c r="R356" s="107"/>
      <c r="S356" s="107"/>
      <c r="T356" s="107"/>
      <c r="U356" s="107"/>
      <c r="V356" s="107"/>
      <c r="W356" s="107"/>
      <c r="X356" s="107"/>
    </row>
    <row r="357" spans="1:24" ht="12.75">
      <c r="A357" s="109"/>
      <c r="B357" s="110"/>
      <c r="C357" s="110"/>
      <c r="D357" s="110"/>
      <c r="E357" s="110"/>
      <c r="F357" s="110"/>
      <c r="G357" s="110"/>
      <c r="H357" s="110"/>
      <c r="I357" s="118"/>
      <c r="J357" s="118"/>
      <c r="K357" s="107"/>
      <c r="L357" s="107"/>
      <c r="M357" s="107"/>
      <c r="N357" s="107"/>
      <c r="O357" s="107"/>
      <c r="P357" s="107"/>
      <c r="Q357" s="107"/>
      <c r="R357" s="107"/>
      <c r="S357" s="107"/>
      <c r="T357" s="107"/>
      <c r="U357" s="107"/>
      <c r="V357" s="107"/>
      <c r="W357" s="107"/>
      <c r="X357" s="107"/>
    </row>
    <row r="358" spans="1:24" ht="12.75">
      <c r="A358" s="109"/>
      <c r="B358" s="110"/>
      <c r="C358" s="110"/>
      <c r="D358" s="110"/>
      <c r="E358" s="110"/>
      <c r="F358" s="110"/>
      <c r="G358" s="110"/>
      <c r="H358" s="110"/>
      <c r="I358" s="118"/>
      <c r="J358" s="118"/>
      <c r="K358" s="107"/>
      <c r="L358" s="107"/>
      <c r="M358" s="107"/>
      <c r="N358" s="107"/>
      <c r="O358" s="107"/>
      <c r="P358" s="107"/>
      <c r="Q358" s="107"/>
      <c r="R358" s="107"/>
      <c r="S358" s="107"/>
      <c r="T358" s="107"/>
      <c r="U358" s="107"/>
      <c r="V358" s="107"/>
      <c r="W358" s="107"/>
      <c r="X358" s="107"/>
    </row>
    <row r="359" spans="1:24" ht="12.75">
      <c r="A359" s="109"/>
      <c r="B359" s="110"/>
      <c r="C359" s="110"/>
      <c r="D359" s="110"/>
      <c r="E359" s="110"/>
      <c r="F359" s="110"/>
      <c r="G359" s="110"/>
      <c r="H359" s="110"/>
      <c r="I359" s="118"/>
      <c r="J359" s="118"/>
      <c r="K359" s="107"/>
      <c r="L359" s="107"/>
      <c r="M359" s="107"/>
      <c r="N359" s="107"/>
      <c r="O359" s="107"/>
      <c r="P359" s="107"/>
      <c r="Q359" s="107"/>
      <c r="R359" s="107"/>
      <c r="S359" s="107"/>
      <c r="T359" s="107"/>
      <c r="U359" s="107"/>
      <c r="V359" s="107"/>
      <c r="W359" s="107"/>
      <c r="X359" s="107"/>
    </row>
    <row r="360" spans="1:24" ht="12.75">
      <c r="A360" s="109"/>
      <c r="B360" s="110"/>
      <c r="C360" s="110"/>
      <c r="D360" s="110"/>
      <c r="E360" s="110"/>
      <c r="F360" s="110"/>
      <c r="G360" s="110"/>
      <c r="H360" s="110"/>
      <c r="I360" s="118"/>
      <c r="J360" s="118"/>
      <c r="K360" s="107"/>
      <c r="L360" s="107"/>
      <c r="M360" s="107"/>
      <c r="N360" s="107"/>
      <c r="O360" s="107"/>
      <c r="P360" s="107"/>
      <c r="Q360" s="107"/>
      <c r="R360" s="107"/>
      <c r="S360" s="107"/>
      <c r="T360" s="107"/>
      <c r="U360" s="107"/>
      <c r="V360" s="107"/>
      <c r="W360" s="107"/>
      <c r="X360" s="107"/>
    </row>
    <row r="361" spans="1:24" ht="12.75">
      <c r="A361" s="109"/>
      <c r="B361" s="110"/>
      <c r="C361" s="110"/>
      <c r="D361" s="110"/>
      <c r="E361" s="110"/>
      <c r="F361" s="110"/>
      <c r="G361" s="110"/>
      <c r="H361" s="110"/>
      <c r="I361" s="118"/>
      <c r="J361" s="118"/>
      <c r="K361" s="107"/>
      <c r="L361" s="107"/>
      <c r="M361" s="107"/>
      <c r="N361" s="107"/>
      <c r="O361" s="107"/>
      <c r="P361" s="107"/>
      <c r="Q361" s="107"/>
      <c r="R361" s="107"/>
      <c r="S361" s="107"/>
      <c r="T361" s="107"/>
      <c r="U361" s="107"/>
      <c r="V361" s="107"/>
      <c r="W361" s="107"/>
      <c r="X361" s="107"/>
    </row>
    <row r="362" spans="1:24" ht="12.75">
      <c r="A362" s="109"/>
      <c r="B362" s="110"/>
      <c r="C362" s="110"/>
      <c r="D362" s="110"/>
      <c r="E362" s="110"/>
      <c r="F362" s="110"/>
      <c r="G362" s="110"/>
      <c r="H362" s="110"/>
      <c r="I362" s="118"/>
      <c r="J362" s="118"/>
      <c r="K362" s="107"/>
      <c r="L362" s="107"/>
      <c r="M362" s="107"/>
      <c r="N362" s="107"/>
      <c r="O362" s="107"/>
      <c r="P362" s="107"/>
      <c r="Q362" s="107"/>
      <c r="R362" s="107"/>
      <c r="S362" s="107"/>
      <c r="T362" s="107"/>
      <c r="U362" s="107"/>
      <c r="V362" s="107"/>
      <c r="W362" s="107"/>
      <c r="X362" s="107"/>
    </row>
    <row r="363" spans="1:24" ht="12.75">
      <c r="A363" s="109"/>
      <c r="B363" s="110"/>
      <c r="C363" s="110"/>
      <c r="D363" s="110"/>
      <c r="E363" s="110"/>
      <c r="F363" s="110"/>
      <c r="G363" s="110"/>
      <c r="H363" s="110"/>
      <c r="I363" s="118"/>
      <c r="J363" s="118"/>
      <c r="K363" s="107"/>
      <c r="L363" s="107"/>
      <c r="M363" s="107"/>
      <c r="N363" s="107"/>
      <c r="O363" s="107"/>
      <c r="P363" s="107"/>
      <c r="Q363" s="107"/>
      <c r="R363" s="107"/>
      <c r="S363" s="107"/>
      <c r="T363" s="107"/>
      <c r="U363" s="107"/>
      <c r="V363" s="107"/>
      <c r="W363" s="107"/>
      <c r="X363" s="107"/>
    </row>
    <row r="364" spans="1:24" ht="12.75">
      <c r="A364" s="109"/>
      <c r="B364" s="110"/>
      <c r="C364" s="110"/>
      <c r="D364" s="110"/>
      <c r="E364" s="110"/>
      <c r="F364" s="110"/>
      <c r="G364" s="110"/>
      <c r="H364" s="110"/>
      <c r="I364" s="118"/>
      <c r="J364" s="118"/>
      <c r="K364" s="107"/>
      <c r="L364" s="107"/>
      <c r="M364" s="107"/>
      <c r="N364" s="107"/>
      <c r="O364" s="107"/>
      <c r="P364" s="107"/>
      <c r="Q364" s="107"/>
      <c r="R364" s="107"/>
      <c r="S364" s="107"/>
      <c r="T364" s="107"/>
      <c r="U364" s="107"/>
      <c r="V364" s="107"/>
      <c r="W364" s="107"/>
      <c r="X364" s="107"/>
    </row>
    <row r="365" spans="1:24" ht="12.75">
      <c r="A365" s="109"/>
      <c r="B365" s="110"/>
      <c r="C365" s="110"/>
      <c r="D365" s="110"/>
      <c r="E365" s="110"/>
      <c r="F365" s="110"/>
      <c r="G365" s="110"/>
      <c r="H365" s="110"/>
      <c r="I365" s="118"/>
      <c r="J365" s="118"/>
      <c r="K365" s="107"/>
      <c r="L365" s="107"/>
      <c r="M365" s="107"/>
      <c r="N365" s="107"/>
      <c r="O365" s="107"/>
      <c r="P365" s="107"/>
      <c r="Q365" s="107"/>
      <c r="R365" s="107"/>
      <c r="S365" s="107"/>
      <c r="T365" s="107"/>
      <c r="U365" s="107"/>
      <c r="V365" s="107"/>
      <c r="W365" s="107"/>
      <c r="X365" s="107"/>
    </row>
    <row r="366" spans="1:24" ht="12.75">
      <c r="A366" s="109"/>
      <c r="B366" s="110"/>
      <c r="C366" s="110"/>
      <c r="D366" s="110"/>
      <c r="E366" s="110"/>
      <c r="F366" s="110"/>
      <c r="G366" s="110"/>
      <c r="H366" s="110"/>
      <c r="I366" s="118"/>
      <c r="J366" s="118"/>
      <c r="K366" s="107"/>
      <c r="L366" s="107"/>
      <c r="M366" s="107"/>
      <c r="N366" s="107"/>
      <c r="O366" s="107"/>
      <c r="P366" s="107"/>
      <c r="Q366" s="107"/>
      <c r="R366" s="107"/>
      <c r="S366" s="107"/>
      <c r="T366" s="107"/>
      <c r="U366" s="107"/>
      <c r="V366" s="107"/>
      <c r="W366" s="107"/>
      <c r="X366" s="107"/>
    </row>
    <row r="367" spans="1:24" ht="12.75">
      <c r="A367" s="109"/>
      <c r="B367" s="110"/>
      <c r="C367" s="110"/>
      <c r="D367" s="110"/>
      <c r="E367" s="110"/>
      <c r="F367" s="110"/>
      <c r="G367" s="110"/>
      <c r="H367" s="110"/>
      <c r="I367" s="118"/>
      <c r="J367" s="118"/>
      <c r="K367" s="107"/>
      <c r="L367" s="107"/>
      <c r="M367" s="107"/>
      <c r="N367" s="107"/>
      <c r="O367" s="107"/>
      <c r="P367" s="107"/>
      <c r="Q367" s="107"/>
      <c r="R367" s="107"/>
      <c r="S367" s="107"/>
      <c r="T367" s="107"/>
      <c r="U367" s="107"/>
      <c r="V367" s="107"/>
      <c r="W367" s="107"/>
      <c r="X367" s="107"/>
    </row>
    <row r="368" spans="1:24" ht="12.75">
      <c r="A368" s="109"/>
      <c r="B368" s="110"/>
      <c r="C368" s="110"/>
      <c r="D368" s="110"/>
      <c r="E368" s="110"/>
      <c r="F368" s="110"/>
      <c r="G368" s="110"/>
      <c r="H368" s="110"/>
      <c r="I368" s="118"/>
      <c r="J368" s="118"/>
      <c r="K368" s="107"/>
      <c r="L368" s="107"/>
      <c r="M368" s="107"/>
      <c r="N368" s="107"/>
      <c r="O368" s="107"/>
      <c r="P368" s="107"/>
      <c r="Q368" s="107"/>
      <c r="R368" s="107"/>
      <c r="S368" s="107"/>
      <c r="T368" s="107"/>
      <c r="U368" s="107"/>
      <c r="V368" s="107"/>
      <c r="W368" s="107"/>
      <c r="X368" s="107"/>
    </row>
    <row r="369" spans="1:24" ht="12.75">
      <c r="A369" s="109"/>
      <c r="B369" s="110"/>
      <c r="C369" s="110"/>
      <c r="D369" s="110"/>
      <c r="E369" s="110"/>
      <c r="F369" s="110"/>
      <c r="G369" s="110"/>
      <c r="H369" s="110"/>
      <c r="I369" s="118"/>
      <c r="J369" s="118"/>
      <c r="K369" s="107"/>
      <c r="L369" s="107"/>
      <c r="M369" s="107"/>
      <c r="N369" s="107"/>
      <c r="O369" s="107"/>
      <c r="P369" s="107"/>
      <c r="Q369" s="107"/>
      <c r="R369" s="107"/>
      <c r="S369" s="107"/>
      <c r="T369" s="107"/>
      <c r="U369" s="107"/>
      <c r="V369" s="107"/>
      <c r="W369" s="107"/>
      <c r="X369" s="107"/>
    </row>
    <row r="370" spans="1:24" ht="12.75">
      <c r="A370" s="109"/>
      <c r="B370" s="110"/>
      <c r="C370" s="110"/>
      <c r="D370" s="110"/>
      <c r="E370" s="110"/>
      <c r="F370" s="110"/>
      <c r="G370" s="110"/>
      <c r="H370" s="110"/>
      <c r="I370" s="118"/>
      <c r="J370" s="118"/>
      <c r="K370" s="107"/>
      <c r="L370" s="107"/>
      <c r="M370" s="107"/>
      <c r="N370" s="107"/>
      <c r="O370" s="107"/>
      <c r="P370" s="107"/>
      <c r="Q370" s="107"/>
      <c r="R370" s="107"/>
      <c r="S370" s="107"/>
      <c r="T370" s="107"/>
      <c r="U370" s="107"/>
      <c r="V370" s="107"/>
      <c r="W370" s="107"/>
      <c r="X370" s="107"/>
    </row>
    <row r="371" spans="1:24" ht="12.75">
      <c r="A371" s="109"/>
      <c r="B371" s="110"/>
      <c r="C371" s="110"/>
      <c r="D371" s="110"/>
      <c r="E371" s="110"/>
      <c r="F371" s="110"/>
      <c r="G371" s="110"/>
      <c r="H371" s="110"/>
      <c r="I371" s="118"/>
      <c r="J371" s="118"/>
      <c r="K371" s="107"/>
      <c r="L371" s="107"/>
      <c r="M371" s="107"/>
      <c r="N371" s="107"/>
      <c r="O371" s="107"/>
      <c r="P371" s="107"/>
      <c r="Q371" s="107"/>
      <c r="R371" s="107"/>
      <c r="S371" s="107"/>
      <c r="T371" s="107"/>
      <c r="U371" s="107"/>
      <c r="V371" s="107"/>
      <c r="W371" s="107"/>
      <c r="X371" s="107"/>
    </row>
    <row r="372" spans="1:24" ht="12.75">
      <c r="A372" s="109"/>
      <c r="B372" s="110"/>
      <c r="C372" s="110"/>
      <c r="D372" s="110"/>
      <c r="E372" s="110"/>
      <c r="F372" s="110"/>
      <c r="G372" s="110"/>
      <c r="H372" s="110"/>
      <c r="I372" s="118"/>
      <c r="J372" s="118"/>
      <c r="K372" s="107"/>
      <c r="L372" s="107"/>
      <c r="M372" s="107"/>
      <c r="N372" s="107"/>
      <c r="O372" s="107"/>
      <c r="P372" s="107"/>
      <c r="Q372" s="107"/>
      <c r="R372" s="107"/>
      <c r="S372" s="107"/>
      <c r="T372" s="107"/>
      <c r="U372" s="107"/>
      <c r="V372" s="107"/>
      <c r="W372" s="107"/>
      <c r="X372" s="107"/>
    </row>
    <row r="373" spans="1:24" ht="12.75">
      <c r="A373" s="109"/>
      <c r="B373" s="110"/>
      <c r="C373" s="110"/>
      <c r="D373" s="110"/>
      <c r="E373" s="110"/>
      <c r="F373" s="110"/>
      <c r="G373" s="110"/>
      <c r="H373" s="110"/>
      <c r="I373" s="118"/>
      <c r="J373" s="118"/>
      <c r="K373" s="107"/>
      <c r="L373" s="107"/>
      <c r="M373" s="107"/>
      <c r="N373" s="107"/>
      <c r="O373" s="107"/>
      <c r="P373" s="107"/>
      <c r="Q373" s="107"/>
      <c r="R373" s="107"/>
      <c r="S373" s="107"/>
      <c r="T373" s="107"/>
      <c r="U373" s="107"/>
      <c r="V373" s="107"/>
      <c r="W373" s="107"/>
      <c r="X373" s="107"/>
    </row>
    <row r="374" spans="1:24" ht="12.75">
      <c r="A374" s="109"/>
      <c r="B374" s="110"/>
      <c r="C374" s="110"/>
      <c r="D374" s="110"/>
      <c r="E374" s="110"/>
      <c r="F374" s="110"/>
      <c r="G374" s="110"/>
      <c r="H374" s="110"/>
      <c r="I374" s="118"/>
      <c r="J374" s="118"/>
      <c r="K374" s="107"/>
      <c r="L374" s="107"/>
      <c r="M374" s="107"/>
      <c r="N374" s="107"/>
      <c r="O374" s="107"/>
      <c r="P374" s="107"/>
      <c r="Q374" s="107"/>
      <c r="R374" s="107"/>
      <c r="S374" s="107"/>
      <c r="T374" s="107"/>
      <c r="U374" s="107"/>
      <c r="V374" s="107"/>
      <c r="W374" s="107"/>
      <c r="X374" s="107"/>
    </row>
    <row r="375" spans="1:24" ht="12.75">
      <c r="A375" s="109"/>
      <c r="B375" s="110"/>
      <c r="C375" s="110"/>
      <c r="D375" s="110"/>
      <c r="E375" s="110"/>
      <c r="F375" s="110"/>
      <c r="G375" s="110"/>
      <c r="H375" s="110"/>
      <c r="I375" s="118"/>
      <c r="J375" s="118"/>
      <c r="K375" s="107"/>
      <c r="L375" s="107"/>
      <c r="M375" s="107"/>
      <c r="N375" s="107"/>
      <c r="O375" s="107"/>
      <c r="P375" s="107"/>
      <c r="Q375" s="107"/>
      <c r="R375" s="107"/>
      <c r="S375" s="107"/>
      <c r="T375" s="107"/>
      <c r="U375" s="107"/>
      <c r="V375" s="107"/>
      <c r="W375" s="107"/>
      <c r="X375" s="107"/>
    </row>
    <row r="376" spans="1:24" ht="12.75">
      <c r="A376" s="109"/>
      <c r="B376" s="110"/>
      <c r="C376" s="110"/>
      <c r="D376" s="110"/>
      <c r="E376" s="110"/>
      <c r="F376" s="110"/>
      <c r="G376" s="110"/>
      <c r="H376" s="110"/>
      <c r="I376" s="118"/>
      <c r="J376" s="118"/>
      <c r="K376" s="107"/>
      <c r="L376" s="107"/>
      <c r="M376" s="107"/>
      <c r="N376" s="107"/>
      <c r="O376" s="107"/>
      <c r="P376" s="107"/>
      <c r="Q376" s="107"/>
      <c r="R376" s="107"/>
      <c r="S376" s="107"/>
      <c r="T376" s="107"/>
      <c r="U376" s="107"/>
      <c r="V376" s="107"/>
      <c r="W376" s="107"/>
      <c r="X376" s="107"/>
    </row>
    <row r="377" spans="1:24" ht="12.75">
      <c r="A377" s="109"/>
      <c r="B377" s="110"/>
      <c r="C377" s="110"/>
      <c r="D377" s="110"/>
      <c r="E377" s="110"/>
      <c r="F377" s="110"/>
      <c r="G377" s="110"/>
      <c r="H377" s="110"/>
      <c r="I377" s="118"/>
      <c r="J377" s="118"/>
      <c r="K377" s="107"/>
      <c r="L377" s="107"/>
      <c r="M377" s="107"/>
      <c r="N377" s="107"/>
      <c r="O377" s="107"/>
      <c r="P377" s="107"/>
      <c r="Q377" s="107"/>
      <c r="R377" s="107"/>
      <c r="S377" s="107"/>
      <c r="T377" s="107"/>
      <c r="U377" s="107"/>
      <c r="V377" s="107"/>
      <c r="W377" s="107"/>
      <c r="X377" s="107"/>
    </row>
    <row r="378" spans="1:24" ht="12.75">
      <c r="A378" s="109"/>
      <c r="B378" s="110"/>
      <c r="C378" s="110"/>
      <c r="D378" s="110"/>
      <c r="E378" s="110"/>
      <c r="F378" s="110"/>
      <c r="G378" s="110"/>
      <c r="H378" s="110"/>
      <c r="I378" s="118"/>
      <c r="J378" s="118"/>
      <c r="K378" s="107"/>
      <c r="L378" s="107"/>
      <c r="M378" s="107"/>
      <c r="N378" s="107"/>
      <c r="O378" s="107"/>
      <c r="P378" s="107"/>
      <c r="Q378" s="107"/>
      <c r="R378" s="107"/>
      <c r="S378" s="107"/>
      <c r="T378" s="107"/>
      <c r="U378" s="107"/>
      <c r="V378" s="107"/>
      <c r="W378" s="107"/>
      <c r="X378" s="107"/>
    </row>
    <row r="379" spans="1:24" ht="12.75">
      <c r="A379" s="109"/>
      <c r="B379" s="110"/>
      <c r="C379" s="110"/>
      <c r="D379" s="110"/>
      <c r="E379" s="110"/>
      <c r="F379" s="110"/>
      <c r="G379" s="110"/>
      <c r="H379" s="110"/>
      <c r="I379" s="118"/>
      <c r="J379" s="118"/>
      <c r="K379" s="107"/>
      <c r="L379" s="107"/>
      <c r="M379" s="107"/>
      <c r="N379" s="107"/>
      <c r="O379" s="107"/>
      <c r="P379" s="107"/>
      <c r="Q379" s="107"/>
      <c r="R379" s="107"/>
      <c r="S379" s="107"/>
      <c r="T379" s="107"/>
      <c r="U379" s="107"/>
      <c r="V379" s="107"/>
      <c r="W379" s="107"/>
      <c r="X379" s="107"/>
    </row>
    <row r="380" spans="1:24" ht="12.75">
      <c r="A380" s="109"/>
      <c r="B380" s="110"/>
      <c r="C380" s="110"/>
      <c r="D380" s="110"/>
      <c r="E380" s="110"/>
      <c r="F380" s="110"/>
      <c r="G380" s="110"/>
      <c r="H380" s="110"/>
      <c r="I380" s="118"/>
      <c r="J380" s="118"/>
      <c r="K380" s="107"/>
      <c r="L380" s="107"/>
      <c r="M380" s="107"/>
      <c r="N380" s="107"/>
      <c r="O380" s="107"/>
      <c r="P380" s="107"/>
      <c r="Q380" s="107"/>
      <c r="R380" s="107"/>
      <c r="S380" s="107"/>
      <c r="T380" s="107"/>
      <c r="U380" s="107"/>
      <c r="V380" s="107"/>
      <c r="W380" s="107"/>
      <c r="X380" s="107"/>
    </row>
    <row r="381" spans="1:24" ht="12.75">
      <c r="A381" s="109"/>
      <c r="B381" s="110"/>
      <c r="C381" s="110"/>
      <c r="D381" s="110"/>
      <c r="E381" s="110"/>
      <c r="F381" s="110"/>
      <c r="G381" s="110"/>
      <c r="H381" s="110"/>
      <c r="I381" s="118"/>
      <c r="J381" s="118"/>
      <c r="K381" s="107"/>
      <c r="L381" s="107"/>
      <c r="M381" s="107"/>
      <c r="N381" s="107"/>
      <c r="O381" s="107"/>
      <c r="P381" s="107"/>
      <c r="Q381" s="107"/>
      <c r="R381" s="107"/>
      <c r="S381" s="107"/>
      <c r="T381" s="107"/>
      <c r="U381" s="107"/>
      <c r="V381" s="107"/>
      <c r="W381" s="107"/>
      <c r="X381" s="107"/>
    </row>
    <row r="382" spans="1:24" ht="12.75">
      <c r="A382" s="109"/>
      <c r="B382" s="110"/>
      <c r="C382" s="110"/>
      <c r="D382" s="110"/>
      <c r="E382" s="110"/>
      <c r="F382" s="110"/>
      <c r="G382" s="110"/>
      <c r="H382" s="110"/>
      <c r="I382" s="118"/>
      <c r="J382" s="118"/>
      <c r="K382" s="107"/>
      <c r="L382" s="107"/>
      <c r="M382" s="107"/>
      <c r="N382" s="107"/>
      <c r="O382" s="107"/>
      <c r="P382" s="107"/>
      <c r="Q382" s="107"/>
      <c r="R382" s="107"/>
      <c r="S382" s="107"/>
      <c r="T382" s="107"/>
      <c r="U382" s="107"/>
      <c r="V382" s="107"/>
      <c r="W382" s="107"/>
      <c r="X382" s="107"/>
    </row>
    <row r="383" spans="1:24" ht="12.75">
      <c r="A383" s="109"/>
      <c r="B383" s="110"/>
      <c r="C383" s="110"/>
      <c r="D383" s="110"/>
      <c r="E383" s="110"/>
      <c r="F383" s="110"/>
      <c r="G383" s="110"/>
      <c r="H383" s="110"/>
      <c r="I383" s="118"/>
      <c r="J383" s="118"/>
      <c r="K383" s="107"/>
      <c r="L383" s="107"/>
      <c r="M383" s="107"/>
      <c r="N383" s="107"/>
      <c r="O383" s="107"/>
      <c r="P383" s="107"/>
      <c r="Q383" s="107"/>
      <c r="R383" s="107"/>
      <c r="S383" s="107"/>
      <c r="T383" s="107"/>
      <c r="U383" s="107"/>
      <c r="V383" s="107"/>
      <c r="W383" s="107"/>
      <c r="X383" s="107"/>
    </row>
    <row r="384" spans="1:24" ht="12.75">
      <c r="A384" s="109"/>
      <c r="B384" s="110"/>
      <c r="C384" s="110"/>
      <c r="D384" s="110"/>
      <c r="E384" s="110"/>
      <c r="F384" s="110"/>
      <c r="G384" s="110"/>
      <c r="H384" s="110"/>
      <c r="I384" s="118"/>
      <c r="J384" s="118"/>
      <c r="K384" s="107"/>
      <c r="L384" s="107"/>
      <c r="M384" s="107"/>
      <c r="N384" s="107"/>
      <c r="O384" s="107"/>
      <c r="P384" s="107"/>
      <c r="Q384" s="107"/>
      <c r="R384" s="107"/>
      <c r="S384" s="107"/>
      <c r="T384" s="107"/>
      <c r="U384" s="107"/>
      <c r="V384" s="107"/>
      <c r="W384" s="107"/>
      <c r="X384" s="107"/>
    </row>
    <row r="385" spans="1:24" ht="12.75">
      <c r="A385" s="109"/>
      <c r="B385" s="110"/>
      <c r="C385" s="110"/>
      <c r="D385" s="110"/>
      <c r="E385" s="110"/>
      <c r="F385" s="110"/>
      <c r="G385" s="110"/>
      <c r="H385" s="110"/>
      <c r="I385" s="118"/>
      <c r="J385" s="118"/>
      <c r="K385" s="107"/>
      <c r="L385" s="107"/>
      <c r="M385" s="107"/>
      <c r="N385" s="107"/>
      <c r="O385" s="107"/>
      <c r="P385" s="107"/>
      <c r="Q385" s="107"/>
      <c r="R385" s="107"/>
      <c r="S385" s="107"/>
      <c r="T385" s="107"/>
      <c r="U385" s="107"/>
      <c r="V385" s="107"/>
      <c r="W385" s="107"/>
      <c r="X385" s="107"/>
    </row>
    <row r="386" spans="1:24" ht="12.75">
      <c r="A386" s="109"/>
      <c r="B386" s="110"/>
      <c r="C386" s="110"/>
      <c r="D386" s="110"/>
      <c r="E386" s="110"/>
      <c r="F386" s="110"/>
      <c r="G386" s="110"/>
      <c r="H386" s="110"/>
      <c r="I386" s="118"/>
      <c r="J386" s="118"/>
      <c r="K386" s="107"/>
      <c r="L386" s="107"/>
      <c r="M386" s="107"/>
      <c r="N386" s="107"/>
      <c r="O386" s="107"/>
      <c r="P386" s="107"/>
      <c r="Q386" s="107"/>
      <c r="R386" s="107"/>
      <c r="S386" s="107"/>
      <c r="T386" s="107"/>
      <c r="U386" s="107"/>
      <c r="V386" s="107"/>
      <c r="W386" s="107"/>
      <c r="X386" s="107"/>
    </row>
    <row r="387" spans="1:24" ht="12.75">
      <c r="A387" s="109"/>
      <c r="B387" s="110"/>
      <c r="C387" s="110"/>
      <c r="D387" s="110"/>
      <c r="E387" s="110"/>
      <c r="F387" s="110"/>
      <c r="G387" s="110"/>
      <c r="H387" s="110"/>
      <c r="I387" s="118"/>
      <c r="J387" s="118"/>
      <c r="K387" s="107"/>
      <c r="L387" s="107"/>
      <c r="M387" s="107"/>
      <c r="N387" s="107"/>
      <c r="O387" s="107"/>
      <c r="P387" s="107"/>
      <c r="Q387" s="107"/>
      <c r="R387" s="107"/>
      <c r="S387" s="107"/>
      <c r="T387" s="107"/>
      <c r="U387" s="107"/>
      <c r="V387" s="107"/>
      <c r="W387" s="107"/>
      <c r="X387" s="107"/>
    </row>
    <row r="388" spans="1:24" ht="12.75">
      <c r="A388" s="109"/>
      <c r="B388" s="110"/>
      <c r="C388" s="110"/>
      <c r="D388" s="110"/>
      <c r="E388" s="110"/>
      <c r="F388" s="110"/>
      <c r="G388" s="110"/>
      <c r="H388" s="110"/>
      <c r="I388" s="118"/>
      <c r="J388" s="118"/>
      <c r="K388" s="107"/>
      <c r="L388" s="107"/>
      <c r="M388" s="107"/>
      <c r="N388" s="107"/>
      <c r="O388" s="107"/>
      <c r="P388" s="107"/>
      <c r="Q388" s="107"/>
      <c r="R388" s="107"/>
      <c r="S388" s="107"/>
      <c r="T388" s="107"/>
      <c r="U388" s="107"/>
      <c r="V388" s="107"/>
      <c r="W388" s="107"/>
      <c r="X388" s="107"/>
    </row>
    <row r="389" spans="1:24" ht="12.75">
      <c r="A389" s="109"/>
      <c r="B389" s="110"/>
      <c r="C389" s="110"/>
      <c r="D389" s="110"/>
      <c r="E389" s="110"/>
      <c r="F389" s="110"/>
      <c r="G389" s="110"/>
      <c r="H389" s="110"/>
      <c r="I389" s="118"/>
      <c r="J389" s="118"/>
      <c r="K389" s="107"/>
      <c r="L389" s="107"/>
      <c r="M389" s="107"/>
      <c r="N389" s="107"/>
      <c r="O389" s="107"/>
      <c r="P389" s="107"/>
      <c r="Q389" s="107"/>
      <c r="R389" s="107"/>
      <c r="S389" s="107"/>
      <c r="T389" s="107"/>
      <c r="U389" s="107"/>
      <c r="V389" s="107"/>
      <c r="W389" s="107"/>
      <c r="X389" s="107"/>
    </row>
    <row r="390" spans="1:24" ht="12.75">
      <c r="A390" s="109"/>
      <c r="B390" s="110"/>
      <c r="C390" s="110"/>
      <c r="D390" s="110"/>
      <c r="E390" s="110"/>
      <c r="F390" s="110"/>
      <c r="G390" s="110"/>
      <c r="H390" s="110"/>
      <c r="I390" s="118"/>
      <c r="J390" s="118"/>
      <c r="K390" s="107"/>
      <c r="L390" s="107"/>
      <c r="M390" s="107"/>
      <c r="N390" s="107"/>
      <c r="O390" s="107"/>
      <c r="P390" s="107"/>
      <c r="Q390" s="107"/>
      <c r="R390" s="107"/>
      <c r="S390" s="107"/>
      <c r="T390" s="107"/>
      <c r="U390" s="107"/>
      <c r="V390" s="107"/>
      <c r="W390" s="107"/>
      <c r="X390" s="107"/>
    </row>
    <row r="391" spans="1:24" ht="12.75">
      <c r="A391" s="109"/>
      <c r="B391" s="110"/>
      <c r="C391" s="110"/>
      <c r="D391" s="110"/>
      <c r="E391" s="110"/>
      <c r="F391" s="110"/>
      <c r="G391" s="110"/>
      <c r="H391" s="110"/>
      <c r="I391" s="118"/>
      <c r="J391" s="118"/>
      <c r="K391" s="107"/>
      <c r="L391" s="107"/>
      <c r="M391" s="107"/>
      <c r="N391" s="107"/>
      <c r="O391" s="107"/>
      <c r="P391" s="107"/>
      <c r="Q391" s="107"/>
      <c r="R391" s="107"/>
      <c r="S391" s="107"/>
      <c r="T391" s="107"/>
      <c r="U391" s="107"/>
      <c r="V391" s="107"/>
      <c r="W391" s="107"/>
      <c r="X391" s="107"/>
    </row>
    <row r="392" spans="1:24" ht="12.75">
      <c r="A392" s="109"/>
      <c r="B392" s="110"/>
      <c r="C392" s="110"/>
      <c r="D392" s="110"/>
      <c r="E392" s="110"/>
      <c r="F392" s="110"/>
      <c r="G392" s="110"/>
      <c r="H392" s="110"/>
      <c r="I392" s="118"/>
      <c r="J392" s="118"/>
      <c r="K392" s="107"/>
      <c r="L392" s="107"/>
      <c r="M392" s="107"/>
      <c r="N392" s="107"/>
      <c r="O392" s="107"/>
      <c r="P392" s="107"/>
      <c r="Q392" s="107"/>
      <c r="R392" s="107"/>
      <c r="S392" s="107"/>
      <c r="T392" s="107"/>
      <c r="U392" s="107"/>
      <c r="V392" s="107"/>
      <c r="W392" s="107"/>
      <c r="X392" s="107"/>
    </row>
    <row r="393" spans="1:24" ht="12.75">
      <c r="A393" s="109"/>
      <c r="B393" s="110"/>
      <c r="C393" s="110"/>
      <c r="D393" s="110"/>
      <c r="E393" s="110"/>
      <c r="F393" s="110"/>
      <c r="G393" s="110"/>
      <c r="H393" s="110"/>
      <c r="I393" s="118"/>
      <c r="J393" s="118"/>
      <c r="K393" s="107"/>
      <c r="L393" s="107"/>
      <c r="M393" s="107"/>
      <c r="N393" s="107"/>
      <c r="O393" s="107"/>
      <c r="P393" s="107"/>
      <c r="Q393" s="107"/>
      <c r="R393" s="107"/>
      <c r="S393" s="107"/>
      <c r="T393" s="107"/>
      <c r="U393" s="107"/>
      <c r="V393" s="107"/>
      <c r="W393" s="107"/>
      <c r="X393" s="107"/>
    </row>
    <row r="394" spans="1:24" ht="12.75">
      <c r="A394" s="109"/>
      <c r="B394" s="110"/>
      <c r="C394" s="110"/>
      <c r="D394" s="110"/>
      <c r="E394" s="110"/>
      <c r="F394" s="110"/>
      <c r="G394" s="110"/>
      <c r="H394" s="110"/>
      <c r="I394" s="118"/>
      <c r="J394" s="118"/>
      <c r="K394" s="107"/>
      <c r="L394" s="107"/>
      <c r="M394" s="107"/>
      <c r="N394" s="107"/>
      <c r="O394" s="107"/>
      <c r="P394" s="107"/>
      <c r="Q394" s="107"/>
      <c r="R394" s="107"/>
      <c r="S394" s="107"/>
      <c r="T394" s="107"/>
      <c r="U394" s="107"/>
      <c r="V394" s="107"/>
      <c r="W394" s="107"/>
      <c r="X394" s="107"/>
    </row>
    <row r="395" spans="1:24" ht="12.75">
      <c r="A395" s="109"/>
      <c r="B395" s="110"/>
      <c r="C395" s="110"/>
      <c r="D395" s="110"/>
      <c r="E395" s="110"/>
      <c r="F395" s="110"/>
      <c r="G395" s="110"/>
      <c r="H395" s="110"/>
      <c r="I395" s="118"/>
      <c r="J395" s="118"/>
      <c r="K395" s="107"/>
      <c r="L395" s="107"/>
      <c r="M395" s="107"/>
      <c r="N395" s="107"/>
      <c r="O395" s="107"/>
      <c r="P395" s="107"/>
      <c r="Q395" s="107"/>
      <c r="R395" s="107"/>
      <c r="S395" s="107"/>
      <c r="T395" s="107"/>
      <c r="U395" s="107"/>
      <c r="V395" s="107"/>
      <c r="W395" s="107"/>
      <c r="X395" s="107"/>
    </row>
    <row r="396" spans="1:24" ht="12.75">
      <c r="A396" s="109"/>
      <c r="B396" s="110"/>
      <c r="C396" s="110"/>
      <c r="D396" s="110"/>
      <c r="E396" s="110"/>
      <c r="F396" s="110"/>
      <c r="G396" s="110"/>
      <c r="H396" s="110"/>
      <c r="I396" s="118"/>
      <c r="J396" s="118"/>
      <c r="K396" s="107"/>
      <c r="L396" s="107"/>
      <c r="M396" s="107"/>
      <c r="N396" s="107"/>
      <c r="O396" s="107"/>
      <c r="P396" s="107"/>
      <c r="Q396" s="107"/>
      <c r="R396" s="107"/>
      <c r="S396" s="107"/>
      <c r="T396" s="107"/>
      <c r="U396" s="107"/>
      <c r="V396" s="107"/>
      <c r="W396" s="107"/>
      <c r="X396" s="107"/>
    </row>
    <row r="397" spans="1:24" ht="12.75">
      <c r="A397" s="109"/>
      <c r="B397" s="110"/>
      <c r="C397" s="110"/>
      <c r="D397" s="110"/>
      <c r="E397" s="110"/>
      <c r="F397" s="110"/>
      <c r="G397" s="110"/>
      <c r="H397" s="110"/>
      <c r="I397" s="118"/>
      <c r="J397" s="118"/>
      <c r="K397" s="107"/>
      <c r="L397" s="107"/>
      <c r="M397" s="107"/>
      <c r="N397" s="107"/>
      <c r="O397" s="107"/>
      <c r="P397" s="107"/>
      <c r="Q397" s="107"/>
      <c r="R397" s="107"/>
      <c r="S397" s="107"/>
      <c r="T397" s="107"/>
      <c r="U397" s="107"/>
      <c r="V397" s="107"/>
      <c r="W397" s="107"/>
      <c r="X397" s="107"/>
    </row>
    <row r="398" spans="1:24" ht="12.75">
      <c r="A398" s="109"/>
      <c r="B398" s="110"/>
      <c r="C398" s="110"/>
      <c r="D398" s="110"/>
      <c r="E398" s="110"/>
      <c r="F398" s="110"/>
      <c r="G398" s="110"/>
      <c r="H398" s="110"/>
      <c r="I398" s="118"/>
      <c r="J398" s="118"/>
      <c r="K398" s="107"/>
      <c r="L398" s="107"/>
      <c r="M398" s="107"/>
      <c r="N398" s="107"/>
      <c r="O398" s="107"/>
      <c r="P398" s="107"/>
      <c r="Q398" s="107"/>
      <c r="R398" s="107"/>
      <c r="S398" s="107"/>
      <c r="T398" s="107"/>
      <c r="U398" s="107"/>
      <c r="V398" s="107"/>
      <c r="W398" s="107"/>
      <c r="X398" s="107"/>
    </row>
    <row r="399" spans="1:24" ht="12.75">
      <c r="A399" s="109"/>
      <c r="B399" s="110"/>
      <c r="C399" s="110"/>
      <c r="D399" s="110"/>
      <c r="E399" s="110"/>
      <c r="F399" s="110"/>
      <c r="G399" s="110"/>
      <c r="H399" s="110"/>
      <c r="I399" s="118"/>
      <c r="J399" s="118"/>
      <c r="K399" s="107"/>
      <c r="L399" s="107"/>
      <c r="M399" s="107"/>
      <c r="N399" s="107"/>
      <c r="O399" s="107"/>
      <c r="P399" s="107"/>
      <c r="Q399" s="107"/>
      <c r="R399" s="107"/>
      <c r="S399" s="107"/>
      <c r="T399" s="107"/>
      <c r="U399" s="107"/>
      <c r="V399" s="107"/>
      <c r="W399" s="107"/>
      <c r="X399" s="107"/>
    </row>
    <row r="400" spans="1:24" ht="12.75">
      <c r="A400" s="109"/>
      <c r="B400" s="110"/>
      <c r="C400" s="110"/>
      <c r="D400" s="110"/>
      <c r="E400" s="110"/>
      <c r="F400" s="110"/>
      <c r="G400" s="110"/>
      <c r="H400" s="110"/>
      <c r="I400" s="118"/>
      <c r="J400" s="118"/>
      <c r="K400" s="107"/>
      <c r="L400" s="107"/>
      <c r="M400" s="107"/>
      <c r="N400" s="107"/>
      <c r="O400" s="107"/>
      <c r="P400" s="107"/>
      <c r="Q400" s="107"/>
      <c r="R400" s="107"/>
      <c r="S400" s="107"/>
      <c r="T400" s="107"/>
      <c r="U400" s="107"/>
      <c r="V400" s="107"/>
      <c r="W400" s="107"/>
      <c r="X400" s="107"/>
    </row>
    <row r="401" spans="1:24" ht="12.75">
      <c r="A401" s="109"/>
      <c r="B401" s="110"/>
      <c r="C401" s="110"/>
      <c r="D401" s="110"/>
      <c r="E401" s="110"/>
      <c r="F401" s="110"/>
      <c r="G401" s="110"/>
      <c r="H401" s="110"/>
      <c r="I401" s="118"/>
      <c r="J401" s="118"/>
      <c r="K401" s="107"/>
      <c r="L401" s="107"/>
      <c r="M401" s="107"/>
      <c r="N401" s="107"/>
      <c r="O401" s="107"/>
      <c r="P401" s="107"/>
      <c r="Q401" s="107"/>
      <c r="R401" s="107"/>
      <c r="S401" s="107"/>
      <c r="T401" s="107"/>
      <c r="U401" s="107"/>
      <c r="V401" s="107"/>
      <c r="W401" s="107"/>
      <c r="X401" s="107"/>
    </row>
    <row r="402" spans="1:24" ht="12.75">
      <c r="A402" s="109"/>
      <c r="B402" s="110"/>
      <c r="C402" s="110"/>
      <c r="D402" s="110"/>
      <c r="E402" s="110"/>
      <c r="F402" s="110"/>
      <c r="G402" s="110"/>
      <c r="H402" s="110"/>
      <c r="I402" s="118"/>
      <c r="J402" s="118"/>
      <c r="K402" s="107"/>
      <c r="L402" s="107"/>
      <c r="M402" s="107"/>
      <c r="N402" s="107"/>
      <c r="O402" s="107"/>
      <c r="P402" s="107"/>
      <c r="Q402" s="107"/>
      <c r="R402" s="107"/>
      <c r="S402" s="107"/>
      <c r="T402" s="107"/>
      <c r="U402" s="107"/>
      <c r="V402" s="107"/>
      <c r="W402" s="107"/>
      <c r="X402" s="107"/>
    </row>
    <row r="403" spans="1:24" ht="12.75">
      <c r="A403" s="109"/>
      <c r="B403" s="110"/>
      <c r="C403" s="110"/>
      <c r="D403" s="110"/>
      <c r="E403" s="110"/>
      <c r="F403" s="110"/>
      <c r="G403" s="110"/>
      <c r="H403" s="110"/>
      <c r="I403" s="118"/>
      <c r="J403" s="118"/>
      <c r="K403" s="107"/>
      <c r="L403" s="107"/>
      <c r="M403" s="107"/>
      <c r="N403" s="107"/>
      <c r="O403" s="107"/>
      <c r="P403" s="107"/>
      <c r="Q403" s="107"/>
      <c r="R403" s="107"/>
      <c r="S403" s="107"/>
      <c r="T403" s="107"/>
      <c r="U403" s="107"/>
      <c r="V403" s="107"/>
      <c r="W403" s="107"/>
      <c r="X403" s="107"/>
    </row>
    <row r="404" spans="1:24" ht="12.75">
      <c r="A404" s="109"/>
      <c r="B404" s="110"/>
      <c r="C404" s="110"/>
      <c r="D404" s="110"/>
      <c r="E404" s="110"/>
      <c r="F404" s="110"/>
      <c r="G404" s="110"/>
      <c r="H404" s="110"/>
      <c r="I404" s="118"/>
      <c r="J404" s="118"/>
      <c r="K404" s="107"/>
      <c r="L404" s="107"/>
      <c r="M404" s="107"/>
      <c r="N404" s="107"/>
      <c r="O404" s="107"/>
      <c r="P404" s="107"/>
      <c r="Q404" s="107"/>
      <c r="R404" s="107"/>
      <c r="S404" s="107"/>
      <c r="T404" s="107"/>
      <c r="U404" s="107"/>
      <c r="V404" s="107"/>
      <c r="W404" s="107"/>
      <c r="X404" s="107"/>
    </row>
    <row r="405" spans="1:24" ht="12.75">
      <c r="A405" s="109"/>
      <c r="B405" s="110"/>
      <c r="C405" s="110"/>
      <c r="D405" s="110"/>
      <c r="E405" s="110"/>
      <c r="F405" s="110"/>
      <c r="G405" s="110"/>
      <c r="H405" s="110"/>
      <c r="I405" s="118"/>
      <c r="J405" s="118"/>
      <c r="K405" s="107"/>
      <c r="L405" s="107"/>
      <c r="M405" s="107"/>
      <c r="N405" s="107"/>
      <c r="O405" s="107"/>
      <c r="P405" s="107"/>
      <c r="Q405" s="107"/>
      <c r="R405" s="107"/>
      <c r="S405" s="107"/>
      <c r="T405" s="107"/>
      <c r="U405" s="107"/>
      <c r="V405" s="107"/>
      <c r="W405" s="107"/>
      <c r="X405" s="107"/>
    </row>
    <row r="406" spans="1:24" ht="12.75">
      <c r="A406" s="109"/>
      <c r="B406" s="110"/>
      <c r="C406" s="110"/>
      <c r="D406" s="110"/>
      <c r="E406" s="110"/>
      <c r="F406" s="110"/>
      <c r="G406" s="110"/>
      <c r="H406" s="110"/>
      <c r="I406" s="118"/>
      <c r="J406" s="118"/>
      <c r="K406" s="107"/>
      <c r="L406" s="107"/>
      <c r="M406" s="107"/>
      <c r="N406" s="107"/>
      <c r="O406" s="107"/>
      <c r="P406" s="107"/>
      <c r="Q406" s="107"/>
      <c r="R406" s="107"/>
      <c r="S406" s="107"/>
      <c r="T406" s="107"/>
      <c r="U406" s="107"/>
      <c r="V406" s="107"/>
      <c r="W406" s="107"/>
      <c r="X406" s="107"/>
    </row>
    <row r="407" spans="1:24" ht="12.75">
      <c r="A407" s="109"/>
      <c r="B407" s="110"/>
      <c r="C407" s="110"/>
      <c r="D407" s="110"/>
      <c r="E407" s="110"/>
      <c r="F407" s="110"/>
      <c r="G407" s="110"/>
      <c r="H407" s="110"/>
      <c r="I407" s="118"/>
      <c r="J407" s="118"/>
      <c r="K407" s="107"/>
      <c r="L407" s="107"/>
      <c r="M407" s="107"/>
      <c r="N407" s="107"/>
      <c r="O407" s="107"/>
      <c r="P407" s="107"/>
      <c r="Q407" s="107"/>
      <c r="R407" s="107"/>
      <c r="S407" s="107"/>
      <c r="T407" s="107"/>
      <c r="U407" s="107"/>
      <c r="V407" s="107"/>
      <c r="W407" s="107"/>
      <c r="X407" s="107"/>
    </row>
    <row r="408" spans="1:24" ht="12.75">
      <c r="A408" s="109"/>
      <c r="B408" s="110"/>
      <c r="C408" s="110"/>
      <c r="D408" s="110"/>
      <c r="E408" s="110"/>
      <c r="F408" s="110"/>
      <c r="G408" s="110"/>
      <c r="H408" s="110"/>
      <c r="I408" s="118"/>
      <c r="J408" s="118"/>
      <c r="K408" s="107"/>
      <c r="L408" s="107"/>
      <c r="M408" s="107"/>
      <c r="N408" s="107"/>
      <c r="O408" s="107"/>
      <c r="P408" s="107"/>
      <c r="Q408" s="107"/>
      <c r="R408" s="107"/>
      <c r="S408" s="107"/>
      <c r="T408" s="107"/>
      <c r="U408" s="107"/>
      <c r="V408" s="107"/>
      <c r="W408" s="107"/>
      <c r="X408" s="107"/>
    </row>
    <row r="409" spans="1:24" ht="12.75">
      <c r="A409" s="109"/>
      <c r="B409" s="110"/>
      <c r="C409" s="110"/>
      <c r="D409" s="110"/>
      <c r="E409" s="110"/>
      <c r="F409" s="110"/>
      <c r="G409" s="110"/>
      <c r="H409" s="110"/>
      <c r="I409" s="118"/>
      <c r="J409" s="118"/>
      <c r="K409" s="107"/>
      <c r="L409" s="107"/>
      <c r="M409" s="107"/>
      <c r="N409" s="107"/>
      <c r="O409" s="107"/>
      <c r="P409" s="107"/>
      <c r="Q409" s="107"/>
      <c r="R409" s="107"/>
      <c r="S409" s="107"/>
      <c r="T409" s="107"/>
      <c r="U409" s="107"/>
      <c r="V409" s="107"/>
      <c r="W409" s="107"/>
      <c r="X409" s="107"/>
    </row>
    <row r="410" spans="1:24" ht="12.75">
      <c r="A410" s="109"/>
      <c r="B410" s="110"/>
      <c r="C410" s="110"/>
      <c r="D410" s="110"/>
      <c r="E410" s="110"/>
      <c r="F410" s="110"/>
      <c r="G410" s="110"/>
      <c r="H410" s="110"/>
      <c r="I410" s="118"/>
      <c r="J410" s="118"/>
      <c r="K410" s="107"/>
      <c r="L410" s="107"/>
      <c r="M410" s="107"/>
      <c r="N410" s="107"/>
      <c r="O410" s="107"/>
      <c r="P410" s="107"/>
      <c r="Q410" s="107"/>
      <c r="R410" s="107"/>
      <c r="S410" s="107"/>
      <c r="T410" s="107"/>
      <c r="U410" s="107"/>
      <c r="V410" s="107"/>
      <c r="W410" s="107"/>
      <c r="X410" s="107"/>
    </row>
    <row r="411" spans="1:24" ht="12.75">
      <c r="A411" s="109"/>
      <c r="B411" s="110"/>
      <c r="C411" s="110"/>
      <c r="D411" s="110"/>
      <c r="E411" s="110"/>
      <c r="F411" s="110"/>
      <c r="G411" s="110"/>
      <c r="H411" s="110"/>
      <c r="I411" s="118"/>
      <c r="J411" s="118"/>
      <c r="K411" s="107"/>
      <c r="L411" s="107"/>
      <c r="M411" s="107"/>
      <c r="N411" s="107"/>
      <c r="O411" s="107"/>
      <c r="P411" s="107"/>
      <c r="Q411" s="107"/>
      <c r="R411" s="107"/>
      <c r="S411" s="107"/>
      <c r="T411" s="107"/>
      <c r="U411" s="107"/>
      <c r="V411" s="107"/>
      <c r="W411" s="107"/>
      <c r="X411" s="107"/>
    </row>
    <row r="412" spans="1:24" ht="12.75">
      <c r="A412" s="109"/>
      <c r="B412" s="110"/>
      <c r="C412" s="110"/>
      <c r="D412" s="110"/>
      <c r="E412" s="110"/>
      <c r="F412" s="110"/>
      <c r="G412" s="110"/>
      <c r="H412" s="110"/>
      <c r="I412" s="118"/>
      <c r="J412" s="118"/>
      <c r="K412" s="107"/>
      <c r="L412" s="107"/>
      <c r="M412" s="107"/>
      <c r="N412" s="107"/>
      <c r="O412" s="107"/>
      <c r="P412" s="107"/>
      <c r="Q412" s="107"/>
      <c r="R412" s="107"/>
      <c r="S412" s="107"/>
      <c r="T412" s="107"/>
      <c r="U412" s="107"/>
      <c r="V412" s="107"/>
      <c r="W412" s="107"/>
      <c r="X412" s="107"/>
    </row>
    <row r="413" spans="1:24" ht="12.75">
      <c r="A413" s="109"/>
      <c r="B413" s="110"/>
      <c r="C413" s="110"/>
      <c r="D413" s="110"/>
      <c r="E413" s="110"/>
      <c r="F413" s="110"/>
      <c r="G413" s="110"/>
      <c r="H413" s="110"/>
      <c r="I413" s="118"/>
      <c r="J413" s="118"/>
      <c r="K413" s="107"/>
      <c r="L413" s="107"/>
      <c r="M413" s="107"/>
      <c r="N413" s="107"/>
      <c r="O413" s="107"/>
      <c r="P413" s="107"/>
      <c r="Q413" s="107"/>
      <c r="R413" s="107"/>
      <c r="S413" s="107"/>
      <c r="T413" s="107"/>
      <c r="U413" s="107"/>
      <c r="V413" s="107"/>
      <c r="W413" s="107"/>
      <c r="X413" s="107"/>
    </row>
    <row r="414" spans="1:24" ht="12.75">
      <c r="A414" s="109"/>
      <c r="B414" s="110"/>
      <c r="C414" s="110"/>
      <c r="D414" s="110"/>
      <c r="E414" s="110"/>
      <c r="F414" s="110"/>
      <c r="G414" s="110"/>
      <c r="H414" s="110"/>
      <c r="I414" s="118"/>
      <c r="J414" s="118"/>
      <c r="K414" s="107"/>
      <c r="L414" s="107"/>
      <c r="M414" s="107"/>
      <c r="N414" s="107"/>
      <c r="O414" s="107"/>
      <c r="P414" s="107"/>
      <c r="Q414" s="107"/>
      <c r="R414" s="107"/>
      <c r="S414" s="107"/>
      <c r="T414" s="107"/>
      <c r="U414" s="107"/>
      <c r="V414" s="107"/>
      <c r="W414" s="107"/>
      <c r="X414" s="107"/>
    </row>
    <row r="415" spans="1:24" ht="12.75">
      <c r="A415" s="109"/>
      <c r="B415" s="110"/>
      <c r="C415" s="110"/>
      <c r="D415" s="110"/>
      <c r="E415" s="110"/>
      <c r="F415" s="110"/>
      <c r="G415" s="110"/>
      <c r="H415" s="110"/>
      <c r="I415" s="118"/>
      <c r="J415" s="118"/>
      <c r="K415" s="107"/>
      <c r="L415" s="107"/>
      <c r="M415" s="107"/>
      <c r="N415" s="107"/>
      <c r="O415" s="107"/>
      <c r="P415" s="107"/>
      <c r="Q415" s="107"/>
      <c r="R415" s="107"/>
      <c r="S415" s="107"/>
      <c r="T415" s="107"/>
      <c r="U415" s="107"/>
      <c r="V415" s="107"/>
      <c r="W415" s="107"/>
      <c r="X415" s="107"/>
    </row>
    <row r="416" spans="1:24" ht="12.75">
      <c r="A416" s="109"/>
      <c r="B416" s="110"/>
      <c r="C416" s="110"/>
      <c r="D416" s="110"/>
      <c r="E416" s="110"/>
      <c r="F416" s="110"/>
      <c r="G416" s="110"/>
      <c r="H416" s="110"/>
      <c r="I416" s="118"/>
      <c r="J416" s="118"/>
      <c r="K416" s="107"/>
      <c r="L416" s="107"/>
      <c r="M416" s="107"/>
      <c r="N416" s="107"/>
      <c r="O416" s="107"/>
      <c r="P416" s="107"/>
      <c r="Q416" s="107"/>
      <c r="R416" s="107"/>
      <c r="S416" s="107"/>
      <c r="T416" s="107"/>
      <c r="U416" s="107"/>
      <c r="V416" s="107"/>
      <c r="W416" s="107"/>
      <c r="X416" s="107"/>
    </row>
    <row r="417" spans="1:24" ht="12.75">
      <c r="A417" s="109"/>
      <c r="B417" s="110"/>
      <c r="C417" s="110"/>
      <c r="D417" s="110"/>
      <c r="E417" s="110"/>
      <c r="F417" s="110"/>
      <c r="G417" s="110"/>
      <c r="H417" s="110"/>
      <c r="I417" s="118"/>
      <c r="J417" s="118"/>
      <c r="K417" s="107"/>
      <c r="L417" s="107"/>
      <c r="M417" s="107"/>
      <c r="N417" s="107"/>
      <c r="O417" s="107"/>
      <c r="P417" s="107"/>
      <c r="Q417" s="107"/>
      <c r="R417" s="107"/>
      <c r="S417" s="107"/>
      <c r="T417" s="107"/>
      <c r="U417" s="107"/>
      <c r="V417" s="107"/>
      <c r="W417" s="107"/>
      <c r="X417" s="107"/>
    </row>
    <row r="418" spans="1:24" ht="12.75">
      <c r="A418" s="109"/>
      <c r="B418" s="110"/>
      <c r="C418" s="110"/>
      <c r="D418" s="110"/>
      <c r="E418" s="110"/>
      <c r="F418" s="110"/>
      <c r="G418" s="110"/>
      <c r="H418" s="110"/>
      <c r="I418" s="118"/>
      <c r="J418" s="118"/>
      <c r="K418" s="107"/>
      <c r="L418" s="107"/>
      <c r="M418" s="107"/>
      <c r="N418" s="107"/>
      <c r="O418" s="107"/>
      <c r="P418" s="107"/>
      <c r="Q418" s="107"/>
      <c r="R418" s="107"/>
      <c r="S418" s="107"/>
      <c r="T418" s="107"/>
      <c r="U418" s="107"/>
      <c r="V418" s="107"/>
      <c r="W418" s="107"/>
      <c r="X418" s="107"/>
    </row>
    <row r="419" spans="1:24" ht="12.75">
      <c r="A419" s="109"/>
      <c r="B419" s="110"/>
      <c r="C419" s="110"/>
      <c r="D419" s="110"/>
      <c r="E419" s="110"/>
      <c r="F419" s="110"/>
      <c r="G419" s="110"/>
      <c r="H419" s="110"/>
      <c r="I419" s="118"/>
      <c r="J419" s="118"/>
      <c r="K419" s="107"/>
      <c r="L419" s="107"/>
      <c r="M419" s="107"/>
      <c r="N419" s="107"/>
      <c r="O419" s="107"/>
      <c r="P419" s="107"/>
      <c r="Q419" s="107"/>
      <c r="R419" s="107"/>
      <c r="S419" s="107"/>
      <c r="T419" s="107"/>
      <c r="U419" s="107"/>
      <c r="V419" s="107"/>
      <c r="W419" s="107"/>
      <c r="X419" s="107"/>
    </row>
    <row r="420" spans="1:24" ht="12.75">
      <c r="A420" s="109"/>
      <c r="B420" s="110"/>
      <c r="C420" s="110"/>
      <c r="D420" s="110"/>
      <c r="E420" s="110"/>
      <c r="F420" s="110"/>
      <c r="G420" s="110"/>
      <c r="H420" s="110"/>
      <c r="I420" s="118"/>
      <c r="J420" s="118"/>
      <c r="K420" s="107"/>
      <c r="L420" s="107"/>
      <c r="M420" s="107"/>
      <c r="N420" s="107"/>
      <c r="O420" s="107"/>
      <c r="P420" s="107"/>
      <c r="Q420" s="107"/>
      <c r="R420" s="107"/>
      <c r="S420" s="107"/>
      <c r="T420" s="107"/>
      <c r="U420" s="107"/>
      <c r="V420" s="107"/>
      <c r="W420" s="107"/>
      <c r="X420" s="107"/>
    </row>
    <row r="421" spans="1:24" ht="12.75">
      <c r="A421" s="109"/>
      <c r="B421" s="110"/>
      <c r="C421" s="110"/>
      <c r="D421" s="110"/>
      <c r="E421" s="110"/>
      <c r="F421" s="110"/>
      <c r="G421" s="110"/>
      <c r="H421" s="110"/>
      <c r="I421" s="118"/>
      <c r="J421" s="118"/>
      <c r="K421" s="107"/>
      <c r="L421" s="107"/>
      <c r="M421" s="107"/>
      <c r="N421" s="107"/>
      <c r="O421" s="107"/>
      <c r="P421" s="107"/>
      <c r="Q421" s="107"/>
      <c r="R421" s="107"/>
      <c r="S421" s="107"/>
      <c r="T421" s="107"/>
      <c r="U421" s="107"/>
      <c r="V421" s="107"/>
      <c r="W421" s="107"/>
      <c r="X421" s="107"/>
    </row>
    <row r="422" spans="1:24" ht="12.75">
      <c r="A422" s="109"/>
      <c r="B422" s="110"/>
      <c r="C422" s="110"/>
      <c r="D422" s="110"/>
      <c r="E422" s="110"/>
      <c r="F422" s="110"/>
      <c r="G422" s="110"/>
      <c r="H422" s="110"/>
      <c r="I422" s="118"/>
      <c r="J422" s="118"/>
      <c r="K422" s="107"/>
      <c r="L422" s="107"/>
      <c r="M422" s="107"/>
      <c r="N422" s="107"/>
      <c r="O422" s="107"/>
      <c r="P422" s="107"/>
      <c r="Q422" s="107"/>
      <c r="R422" s="107"/>
      <c r="S422" s="107"/>
      <c r="T422" s="107"/>
      <c r="U422" s="107"/>
      <c r="V422" s="107"/>
      <c r="W422" s="107"/>
      <c r="X422" s="107"/>
    </row>
    <row r="423" spans="1:24" ht="12.75">
      <c r="A423" s="109"/>
      <c r="B423" s="110"/>
      <c r="C423" s="110"/>
      <c r="D423" s="110"/>
      <c r="E423" s="110"/>
      <c r="F423" s="110"/>
      <c r="G423" s="110"/>
      <c r="H423" s="110"/>
      <c r="I423" s="118"/>
      <c r="J423" s="118"/>
      <c r="K423" s="107"/>
      <c r="L423" s="107"/>
      <c r="M423" s="107"/>
      <c r="N423" s="107"/>
      <c r="O423" s="107"/>
      <c r="P423" s="107"/>
      <c r="Q423" s="107"/>
      <c r="R423" s="107"/>
      <c r="S423" s="107"/>
      <c r="T423" s="107"/>
      <c r="U423" s="107"/>
      <c r="V423" s="107"/>
      <c r="W423" s="107"/>
      <c r="X423" s="107"/>
    </row>
    <row r="424" spans="1:24" ht="12.75">
      <c r="A424" s="109"/>
      <c r="B424" s="110"/>
      <c r="C424" s="110"/>
      <c r="D424" s="110"/>
      <c r="E424" s="110"/>
      <c r="F424" s="110"/>
      <c r="G424" s="110"/>
      <c r="H424" s="110"/>
      <c r="I424" s="118"/>
      <c r="J424" s="118"/>
      <c r="K424" s="107"/>
      <c r="L424" s="107"/>
      <c r="M424" s="107"/>
      <c r="N424" s="107"/>
      <c r="O424" s="107"/>
      <c r="P424" s="107"/>
      <c r="Q424" s="107"/>
      <c r="R424" s="107"/>
      <c r="S424" s="107"/>
      <c r="T424" s="107"/>
      <c r="U424" s="107"/>
      <c r="V424" s="107"/>
      <c r="W424" s="107"/>
      <c r="X424" s="107"/>
    </row>
    <row r="425" spans="1:24" ht="12.75">
      <c r="A425" s="109"/>
      <c r="B425" s="110"/>
      <c r="C425" s="110"/>
      <c r="D425" s="110"/>
      <c r="E425" s="110"/>
      <c r="F425" s="110"/>
      <c r="G425" s="110"/>
      <c r="H425" s="110"/>
      <c r="I425" s="118"/>
      <c r="J425" s="118"/>
      <c r="K425" s="107"/>
      <c r="L425" s="107"/>
      <c r="M425" s="107"/>
      <c r="N425" s="107"/>
      <c r="O425" s="107"/>
      <c r="P425" s="107"/>
      <c r="Q425" s="107"/>
      <c r="R425" s="107"/>
      <c r="S425" s="107"/>
      <c r="T425" s="107"/>
      <c r="U425" s="107"/>
      <c r="V425" s="107"/>
      <c r="W425" s="107"/>
      <c r="X425" s="107"/>
    </row>
    <row r="426" spans="1:24" ht="12.75">
      <c r="A426" s="109"/>
      <c r="B426" s="110"/>
      <c r="C426" s="110"/>
      <c r="D426" s="110"/>
      <c r="E426" s="110"/>
      <c r="F426" s="110"/>
      <c r="G426" s="110"/>
      <c r="H426" s="110"/>
      <c r="I426" s="118"/>
      <c r="J426" s="118"/>
      <c r="K426" s="107"/>
      <c r="L426" s="107"/>
      <c r="M426" s="107"/>
      <c r="N426" s="107"/>
      <c r="O426" s="107"/>
      <c r="P426" s="107"/>
      <c r="Q426" s="107"/>
      <c r="R426" s="107"/>
      <c r="S426" s="107"/>
      <c r="T426" s="107"/>
      <c r="U426" s="107"/>
      <c r="V426" s="107"/>
      <c r="W426" s="107"/>
      <c r="X426" s="107"/>
    </row>
    <row r="427" spans="1:24" ht="12.75">
      <c r="A427" s="109"/>
      <c r="B427" s="110"/>
      <c r="C427" s="110"/>
      <c r="D427" s="110"/>
      <c r="E427" s="110"/>
      <c r="F427" s="110"/>
      <c r="G427" s="110"/>
      <c r="H427" s="110"/>
      <c r="I427" s="118"/>
      <c r="J427" s="118"/>
      <c r="K427" s="107"/>
      <c r="L427" s="107"/>
      <c r="M427" s="107"/>
      <c r="N427" s="107"/>
      <c r="O427" s="107"/>
      <c r="P427" s="107"/>
      <c r="Q427" s="107"/>
      <c r="R427" s="107"/>
      <c r="S427" s="107"/>
      <c r="T427" s="107"/>
      <c r="U427" s="107"/>
      <c r="V427" s="107"/>
      <c r="W427" s="107"/>
      <c r="X427" s="107"/>
    </row>
    <row r="428" spans="1:24" ht="12.75">
      <c r="A428" s="109"/>
      <c r="B428" s="110"/>
      <c r="C428" s="110"/>
      <c r="D428" s="110"/>
      <c r="E428" s="110"/>
      <c r="F428" s="110"/>
      <c r="G428" s="110"/>
      <c r="H428" s="110"/>
      <c r="I428" s="118"/>
      <c r="J428" s="118"/>
      <c r="K428" s="107"/>
      <c r="L428" s="107"/>
      <c r="M428" s="107"/>
      <c r="N428" s="107"/>
      <c r="O428" s="107"/>
      <c r="P428" s="107"/>
      <c r="Q428" s="107"/>
      <c r="R428" s="107"/>
      <c r="S428" s="107"/>
      <c r="T428" s="107"/>
      <c r="U428" s="107"/>
      <c r="V428" s="107"/>
      <c r="W428" s="107"/>
      <c r="X428" s="107"/>
    </row>
    <row r="429" spans="1:24" ht="12.75">
      <c r="A429" s="109"/>
      <c r="B429" s="110"/>
      <c r="C429" s="110"/>
      <c r="D429" s="110"/>
      <c r="E429" s="110"/>
      <c r="F429" s="110"/>
      <c r="G429" s="110"/>
      <c r="H429" s="110"/>
      <c r="I429" s="118"/>
      <c r="J429" s="118"/>
      <c r="K429" s="107"/>
      <c r="L429" s="107"/>
      <c r="M429" s="107"/>
      <c r="N429" s="107"/>
      <c r="O429" s="107"/>
      <c r="P429" s="107"/>
      <c r="Q429" s="107"/>
      <c r="R429" s="107"/>
      <c r="S429" s="107"/>
      <c r="T429" s="107"/>
      <c r="U429" s="107"/>
      <c r="V429" s="107"/>
      <c r="W429" s="107"/>
      <c r="X429" s="107"/>
    </row>
    <row r="430" spans="1:24" ht="12.75">
      <c r="A430" s="109"/>
      <c r="B430" s="110"/>
      <c r="C430" s="110"/>
      <c r="D430" s="110"/>
      <c r="E430" s="110"/>
      <c r="F430" s="110"/>
      <c r="G430" s="110"/>
      <c r="H430" s="110"/>
      <c r="I430" s="118"/>
      <c r="J430" s="118"/>
      <c r="K430" s="107"/>
      <c r="L430" s="107"/>
      <c r="M430" s="107"/>
      <c r="N430" s="107"/>
      <c r="O430" s="107"/>
      <c r="P430" s="107"/>
      <c r="Q430" s="107"/>
      <c r="R430" s="107"/>
      <c r="S430" s="107"/>
      <c r="T430" s="107"/>
      <c r="U430" s="107"/>
      <c r="V430" s="107"/>
      <c r="W430" s="107"/>
      <c r="X430" s="107"/>
    </row>
    <row r="431" spans="1:24" ht="12.75">
      <c r="A431" s="109"/>
      <c r="B431" s="110"/>
      <c r="C431" s="110"/>
      <c r="D431" s="110"/>
      <c r="E431" s="110"/>
      <c r="F431" s="110"/>
      <c r="G431" s="110"/>
      <c r="H431" s="110"/>
      <c r="I431" s="118"/>
      <c r="J431" s="118"/>
      <c r="K431" s="107"/>
      <c r="L431" s="107"/>
      <c r="M431" s="107"/>
      <c r="N431" s="107"/>
      <c r="O431" s="107"/>
      <c r="P431" s="107"/>
      <c r="Q431" s="107"/>
      <c r="R431" s="107"/>
      <c r="S431" s="107"/>
      <c r="T431" s="107"/>
      <c r="U431" s="107"/>
      <c r="V431" s="107"/>
      <c r="W431" s="107"/>
      <c r="X431" s="107"/>
    </row>
    <row r="432" spans="1:24" ht="12.75">
      <c r="A432" s="109"/>
      <c r="B432" s="110"/>
      <c r="C432" s="110"/>
      <c r="D432" s="110"/>
      <c r="E432" s="110"/>
      <c r="F432" s="110"/>
      <c r="G432" s="110"/>
      <c r="H432" s="110"/>
      <c r="I432" s="118"/>
      <c r="J432" s="118"/>
      <c r="K432" s="107"/>
      <c r="L432" s="107"/>
      <c r="M432" s="107"/>
      <c r="N432" s="107"/>
      <c r="O432" s="107"/>
      <c r="P432" s="107"/>
      <c r="Q432" s="107"/>
      <c r="R432" s="107"/>
      <c r="S432" s="107"/>
      <c r="T432" s="107"/>
      <c r="U432" s="107"/>
      <c r="V432" s="107"/>
      <c r="W432" s="107"/>
      <c r="X432" s="107"/>
    </row>
    <row r="433" spans="1:24" ht="12.75">
      <c r="A433" s="109"/>
      <c r="B433" s="110"/>
      <c r="C433" s="110"/>
      <c r="D433" s="110"/>
      <c r="E433" s="110"/>
      <c r="F433" s="110"/>
      <c r="G433" s="110"/>
      <c r="H433" s="110"/>
      <c r="I433" s="118"/>
      <c r="J433" s="118"/>
      <c r="K433" s="107"/>
      <c r="L433" s="107"/>
      <c r="M433" s="107"/>
      <c r="N433" s="107"/>
      <c r="O433" s="107"/>
      <c r="P433" s="107"/>
      <c r="Q433" s="107"/>
      <c r="R433" s="107"/>
      <c r="S433" s="107"/>
      <c r="T433" s="107"/>
      <c r="U433" s="107"/>
      <c r="V433" s="107"/>
      <c r="W433" s="107"/>
      <c r="X433" s="107"/>
    </row>
    <row r="434" spans="1:24" ht="12.75">
      <c r="A434" s="109"/>
      <c r="B434" s="110"/>
      <c r="C434" s="110"/>
      <c r="D434" s="110"/>
      <c r="E434" s="110"/>
      <c r="F434" s="110"/>
      <c r="G434" s="110"/>
      <c r="H434" s="110"/>
      <c r="I434" s="118"/>
      <c r="J434" s="118"/>
      <c r="K434" s="107"/>
      <c r="L434" s="107"/>
      <c r="M434" s="107"/>
      <c r="N434" s="107"/>
      <c r="O434" s="107"/>
      <c r="P434" s="107"/>
      <c r="Q434" s="107"/>
      <c r="R434" s="107"/>
      <c r="S434" s="107"/>
      <c r="T434" s="107"/>
      <c r="U434" s="107"/>
      <c r="V434" s="107"/>
      <c r="W434" s="107"/>
      <c r="X434" s="107"/>
    </row>
    <row r="435" spans="1:24" ht="12.75">
      <c r="A435" s="109"/>
      <c r="B435" s="110"/>
      <c r="C435" s="110"/>
      <c r="D435" s="110"/>
      <c r="E435" s="110"/>
      <c r="F435" s="110"/>
      <c r="G435" s="110"/>
      <c r="H435" s="110"/>
      <c r="I435" s="118"/>
      <c r="J435" s="118"/>
      <c r="K435" s="107"/>
      <c r="L435" s="107"/>
      <c r="M435" s="107"/>
      <c r="N435" s="107"/>
      <c r="O435" s="107"/>
      <c r="P435" s="107"/>
      <c r="Q435" s="107"/>
      <c r="R435" s="107"/>
      <c r="S435" s="107"/>
      <c r="T435" s="107"/>
      <c r="U435" s="107"/>
      <c r="V435" s="107"/>
      <c r="W435" s="107"/>
      <c r="X435" s="107"/>
    </row>
    <row r="436" spans="1:24" ht="12.75">
      <c r="A436" s="109"/>
      <c r="B436" s="110"/>
      <c r="C436" s="110"/>
      <c r="D436" s="110"/>
      <c r="E436" s="110"/>
      <c r="F436" s="110"/>
      <c r="G436" s="110"/>
      <c r="H436" s="110"/>
      <c r="I436" s="118"/>
      <c r="J436" s="118"/>
      <c r="K436" s="107"/>
      <c r="L436" s="107"/>
      <c r="M436" s="107"/>
      <c r="N436" s="107"/>
      <c r="O436" s="107"/>
      <c r="P436" s="107"/>
      <c r="Q436" s="107"/>
      <c r="R436" s="107"/>
      <c r="S436" s="107"/>
      <c r="T436" s="107"/>
      <c r="U436" s="107"/>
      <c r="V436" s="107"/>
      <c r="W436" s="107"/>
      <c r="X436" s="107"/>
    </row>
    <row r="437" spans="1:24" ht="12.75">
      <c r="A437" s="109"/>
      <c r="B437" s="110"/>
      <c r="C437" s="110"/>
      <c r="D437" s="110"/>
      <c r="E437" s="110"/>
      <c r="F437" s="110"/>
      <c r="G437" s="110"/>
      <c r="H437" s="110"/>
      <c r="I437" s="118"/>
      <c r="J437" s="118"/>
      <c r="K437" s="107"/>
      <c r="L437" s="107"/>
      <c r="M437" s="107"/>
      <c r="N437" s="107"/>
      <c r="O437" s="107"/>
      <c r="P437" s="107"/>
      <c r="Q437" s="107"/>
      <c r="R437" s="107"/>
      <c r="S437" s="107"/>
      <c r="T437" s="107"/>
      <c r="U437" s="107"/>
      <c r="V437" s="107"/>
      <c r="W437" s="107"/>
      <c r="X437" s="107"/>
    </row>
    <row r="438" spans="1:24" ht="12.75">
      <c r="A438" s="109"/>
      <c r="B438" s="110"/>
      <c r="C438" s="110"/>
      <c r="D438" s="110"/>
      <c r="E438" s="110"/>
      <c r="F438" s="110"/>
      <c r="G438" s="110"/>
      <c r="H438" s="110"/>
      <c r="I438" s="118"/>
      <c r="J438" s="118"/>
      <c r="K438" s="107"/>
      <c r="L438" s="107"/>
      <c r="M438" s="107"/>
      <c r="N438" s="107"/>
      <c r="O438" s="107"/>
      <c r="P438" s="107"/>
      <c r="Q438" s="107"/>
      <c r="R438" s="107"/>
      <c r="S438" s="107"/>
      <c r="T438" s="107"/>
      <c r="U438" s="107"/>
      <c r="V438" s="107"/>
      <c r="W438" s="107"/>
      <c r="X438" s="107"/>
    </row>
    <row r="439" spans="1:24" ht="12.75">
      <c r="A439" s="109"/>
      <c r="B439" s="110"/>
      <c r="C439" s="110"/>
      <c r="D439" s="110"/>
      <c r="E439" s="110"/>
      <c r="F439" s="110"/>
      <c r="G439" s="110"/>
      <c r="H439" s="110"/>
      <c r="I439" s="118"/>
      <c r="J439" s="118"/>
      <c r="K439" s="107"/>
      <c r="L439" s="107"/>
      <c r="M439" s="107"/>
      <c r="N439" s="107"/>
      <c r="O439" s="107"/>
      <c r="P439" s="107"/>
      <c r="Q439" s="107"/>
      <c r="R439" s="107"/>
      <c r="S439" s="107"/>
      <c r="T439" s="107"/>
      <c r="U439" s="107"/>
      <c r="V439" s="107"/>
      <c r="W439" s="107"/>
      <c r="X439" s="107"/>
    </row>
    <row r="440" spans="1:24" ht="12.75">
      <c r="A440" s="109"/>
      <c r="B440" s="110"/>
      <c r="C440" s="110"/>
      <c r="D440" s="110"/>
      <c r="E440" s="110"/>
      <c r="F440" s="110"/>
      <c r="G440" s="110"/>
      <c r="H440" s="110"/>
      <c r="I440" s="118"/>
      <c r="J440" s="118"/>
      <c r="K440" s="107"/>
      <c r="L440" s="107"/>
      <c r="M440" s="107"/>
      <c r="N440" s="107"/>
      <c r="O440" s="107"/>
      <c r="P440" s="107"/>
      <c r="Q440" s="107"/>
      <c r="R440" s="107"/>
      <c r="S440" s="107"/>
      <c r="T440" s="107"/>
      <c r="U440" s="107"/>
      <c r="V440" s="107"/>
      <c r="W440" s="107"/>
      <c r="X440" s="107"/>
    </row>
    <row r="441" spans="1:24" ht="12.75">
      <c r="A441" s="109"/>
      <c r="B441" s="110"/>
      <c r="C441" s="110"/>
      <c r="D441" s="110"/>
      <c r="E441" s="110"/>
      <c r="F441" s="110"/>
      <c r="G441" s="110"/>
      <c r="H441" s="110"/>
      <c r="I441" s="118"/>
      <c r="J441" s="118"/>
      <c r="K441" s="107"/>
      <c r="L441" s="107"/>
      <c r="M441" s="107"/>
      <c r="N441" s="107"/>
      <c r="O441" s="107"/>
      <c r="P441" s="107"/>
      <c r="Q441" s="107"/>
      <c r="R441" s="107"/>
      <c r="S441" s="107"/>
      <c r="T441" s="107"/>
      <c r="U441" s="107"/>
      <c r="V441" s="107"/>
      <c r="W441" s="107"/>
      <c r="X441" s="107"/>
    </row>
    <row r="442" spans="1:24" ht="12.75">
      <c r="A442" s="109"/>
      <c r="B442" s="110"/>
      <c r="C442" s="110"/>
      <c r="D442" s="110"/>
      <c r="E442" s="110"/>
      <c r="F442" s="110"/>
      <c r="G442" s="110"/>
      <c r="H442" s="110"/>
      <c r="I442" s="118"/>
      <c r="J442" s="118"/>
      <c r="K442" s="107"/>
      <c r="L442" s="107"/>
      <c r="M442" s="107"/>
      <c r="N442" s="107"/>
      <c r="O442" s="107"/>
      <c r="P442" s="107"/>
      <c r="Q442" s="107"/>
      <c r="R442" s="107"/>
      <c r="S442" s="107"/>
      <c r="T442" s="107"/>
      <c r="U442" s="107"/>
      <c r="V442" s="107"/>
      <c r="W442" s="107"/>
      <c r="X442" s="107"/>
    </row>
    <row r="443" spans="1:24" ht="12.75">
      <c r="A443" s="109"/>
      <c r="B443" s="110"/>
      <c r="C443" s="110"/>
      <c r="D443" s="110"/>
      <c r="E443" s="110"/>
      <c r="F443" s="110"/>
      <c r="G443" s="110"/>
      <c r="H443" s="110"/>
      <c r="I443" s="118"/>
      <c r="J443" s="118"/>
      <c r="K443" s="107"/>
      <c r="L443" s="107"/>
      <c r="M443" s="107"/>
      <c r="N443" s="107"/>
      <c r="O443" s="107"/>
      <c r="P443" s="107"/>
      <c r="Q443" s="107"/>
      <c r="R443" s="107"/>
      <c r="S443" s="107"/>
      <c r="T443" s="107"/>
      <c r="U443" s="107"/>
      <c r="V443" s="107"/>
      <c r="W443" s="107"/>
      <c r="X443" s="107"/>
    </row>
    <row r="444" spans="1:24" ht="12.75">
      <c r="A444" s="109"/>
      <c r="B444" s="110"/>
      <c r="C444" s="110"/>
      <c r="D444" s="110"/>
      <c r="E444" s="110"/>
      <c r="F444" s="110"/>
      <c r="G444" s="110"/>
      <c r="H444" s="110"/>
      <c r="I444" s="118"/>
      <c r="J444" s="118"/>
      <c r="K444" s="107"/>
      <c r="L444" s="107"/>
      <c r="M444" s="107"/>
      <c r="N444" s="107"/>
      <c r="O444" s="107"/>
      <c r="P444" s="107"/>
      <c r="Q444" s="107"/>
      <c r="R444" s="107"/>
      <c r="S444" s="107"/>
      <c r="T444" s="107"/>
      <c r="U444" s="107"/>
      <c r="V444" s="107"/>
      <c r="W444" s="107"/>
      <c r="X444" s="107"/>
    </row>
    <row r="445" spans="1:24" ht="12.75">
      <c r="A445" s="109"/>
      <c r="B445" s="110"/>
      <c r="C445" s="110"/>
      <c r="D445" s="110"/>
      <c r="E445" s="110"/>
      <c r="F445" s="110"/>
      <c r="G445" s="110"/>
      <c r="H445" s="110"/>
      <c r="I445" s="118"/>
      <c r="J445" s="118"/>
      <c r="K445" s="107"/>
      <c r="L445" s="107"/>
      <c r="M445" s="107"/>
      <c r="N445" s="107"/>
      <c r="O445" s="107"/>
      <c r="P445" s="107"/>
      <c r="Q445" s="107"/>
      <c r="R445" s="107"/>
      <c r="S445" s="107"/>
      <c r="T445" s="107"/>
      <c r="U445" s="107"/>
      <c r="V445" s="107"/>
      <c r="W445" s="107"/>
      <c r="X445" s="107"/>
    </row>
    <row r="446" spans="1:24" ht="12.75">
      <c r="A446" s="109"/>
      <c r="B446" s="110"/>
      <c r="C446" s="110"/>
      <c r="D446" s="110"/>
      <c r="E446" s="110"/>
      <c r="F446" s="110"/>
      <c r="G446" s="110"/>
      <c r="H446" s="110"/>
      <c r="I446" s="118"/>
      <c r="J446" s="118"/>
      <c r="K446" s="107"/>
      <c r="L446" s="107"/>
      <c r="M446" s="107"/>
      <c r="N446" s="107"/>
      <c r="O446" s="107"/>
      <c r="P446" s="107"/>
      <c r="Q446" s="107"/>
      <c r="R446" s="107"/>
      <c r="S446" s="107"/>
      <c r="T446" s="107"/>
      <c r="U446" s="107"/>
      <c r="V446" s="107"/>
      <c r="W446" s="107"/>
      <c r="X446" s="107"/>
    </row>
    <row r="447" spans="1:24" ht="12.75">
      <c r="A447" s="109"/>
      <c r="B447" s="110"/>
      <c r="C447" s="110"/>
      <c r="D447" s="110"/>
      <c r="E447" s="110"/>
      <c r="F447" s="110"/>
      <c r="G447" s="110"/>
      <c r="H447" s="110"/>
      <c r="I447" s="118"/>
      <c r="J447" s="118"/>
      <c r="K447" s="107"/>
      <c r="L447" s="107"/>
      <c r="M447" s="107"/>
      <c r="N447" s="107"/>
      <c r="O447" s="107"/>
      <c r="P447" s="107"/>
      <c r="Q447" s="107"/>
      <c r="R447" s="107"/>
      <c r="S447" s="107"/>
      <c r="T447" s="107"/>
      <c r="U447" s="107"/>
      <c r="V447" s="107"/>
      <c r="W447" s="107"/>
      <c r="X447" s="107"/>
    </row>
    <row r="448" spans="1:24" ht="12.75">
      <c r="A448" s="109"/>
      <c r="B448" s="110"/>
      <c r="C448" s="110"/>
      <c r="D448" s="110"/>
      <c r="E448" s="110"/>
      <c r="F448" s="110"/>
      <c r="G448" s="110"/>
      <c r="H448" s="110"/>
      <c r="I448" s="118"/>
      <c r="J448" s="118"/>
      <c r="K448" s="107"/>
      <c r="L448" s="107"/>
      <c r="M448" s="107"/>
      <c r="N448" s="107"/>
      <c r="O448" s="107"/>
      <c r="P448" s="107"/>
      <c r="Q448" s="107"/>
      <c r="R448" s="107"/>
      <c r="S448" s="107"/>
      <c r="T448" s="107"/>
      <c r="U448" s="107"/>
      <c r="V448" s="107"/>
      <c r="W448" s="107"/>
      <c r="X448" s="107"/>
    </row>
    <row r="449" spans="1:24" ht="12.75">
      <c r="A449" s="109"/>
      <c r="B449" s="110"/>
      <c r="C449" s="110"/>
      <c r="D449" s="110"/>
      <c r="E449" s="110"/>
      <c r="F449" s="110"/>
      <c r="G449" s="110"/>
      <c r="H449" s="110"/>
      <c r="I449" s="118"/>
      <c r="J449" s="118"/>
      <c r="K449" s="107"/>
      <c r="L449" s="107"/>
      <c r="M449" s="107"/>
      <c r="N449" s="107"/>
      <c r="O449" s="107"/>
      <c r="P449" s="107"/>
      <c r="Q449" s="107"/>
      <c r="R449" s="107"/>
      <c r="S449" s="107"/>
      <c r="T449" s="107"/>
      <c r="U449" s="107"/>
      <c r="V449" s="107"/>
      <c r="W449" s="107"/>
      <c r="X449" s="107"/>
    </row>
    <row r="450" spans="1:24" ht="12.75">
      <c r="A450" s="109"/>
      <c r="B450" s="110"/>
      <c r="C450" s="110"/>
      <c r="D450" s="110"/>
      <c r="E450" s="110"/>
      <c r="F450" s="110"/>
      <c r="G450" s="110"/>
      <c r="H450" s="110"/>
      <c r="I450" s="118"/>
      <c r="J450" s="118"/>
      <c r="K450" s="107"/>
      <c r="L450" s="107"/>
      <c r="M450" s="107"/>
      <c r="N450" s="107"/>
      <c r="O450" s="107"/>
      <c r="P450" s="107"/>
      <c r="Q450" s="107"/>
      <c r="R450" s="107"/>
      <c r="S450" s="107"/>
      <c r="T450" s="107"/>
      <c r="U450" s="107"/>
      <c r="V450" s="107"/>
      <c r="W450" s="107"/>
      <c r="X450" s="107"/>
    </row>
    <row r="451" spans="1:24" ht="12.75">
      <c r="A451" s="109"/>
      <c r="B451" s="110"/>
      <c r="C451" s="110"/>
      <c r="D451" s="110"/>
      <c r="E451" s="110"/>
      <c r="F451" s="110"/>
      <c r="G451" s="110"/>
      <c r="H451" s="110"/>
      <c r="I451" s="118"/>
      <c r="J451" s="118"/>
      <c r="K451" s="107"/>
      <c r="L451" s="107"/>
      <c r="M451" s="107"/>
      <c r="N451" s="107"/>
      <c r="O451" s="107"/>
      <c r="P451" s="107"/>
      <c r="Q451" s="107"/>
      <c r="R451" s="107"/>
      <c r="S451" s="107"/>
      <c r="T451" s="107"/>
      <c r="U451" s="107"/>
      <c r="V451" s="107"/>
      <c r="W451" s="107"/>
      <c r="X451" s="107"/>
    </row>
    <row r="452" spans="1:24" ht="12.75">
      <c r="A452" s="109"/>
      <c r="B452" s="110"/>
      <c r="C452" s="110"/>
      <c r="D452" s="110"/>
      <c r="E452" s="110"/>
      <c r="F452" s="110"/>
      <c r="G452" s="110"/>
      <c r="H452" s="110"/>
      <c r="I452" s="118"/>
      <c r="J452" s="118"/>
      <c r="K452" s="107"/>
      <c r="L452" s="107"/>
      <c r="M452" s="107"/>
      <c r="N452" s="107"/>
      <c r="O452" s="107"/>
      <c r="P452" s="107"/>
      <c r="Q452" s="107"/>
      <c r="R452" s="107"/>
      <c r="S452" s="107"/>
      <c r="T452" s="107"/>
      <c r="U452" s="107"/>
      <c r="V452" s="107"/>
      <c r="W452" s="107"/>
      <c r="X452" s="107"/>
    </row>
    <row r="453" spans="1:24" ht="12.75">
      <c r="A453" s="109"/>
      <c r="B453" s="110"/>
      <c r="C453" s="110"/>
      <c r="D453" s="110"/>
      <c r="E453" s="110"/>
      <c r="F453" s="110"/>
      <c r="G453" s="110"/>
      <c r="H453" s="110"/>
      <c r="I453" s="118"/>
      <c r="J453" s="118"/>
      <c r="K453" s="107"/>
      <c r="L453" s="107"/>
      <c r="M453" s="107"/>
      <c r="N453" s="107"/>
      <c r="O453" s="107"/>
      <c r="P453" s="107"/>
      <c r="Q453" s="107"/>
      <c r="R453" s="107"/>
      <c r="S453" s="107"/>
      <c r="T453" s="107"/>
      <c r="U453" s="107"/>
      <c r="V453" s="107"/>
      <c r="W453" s="107"/>
      <c r="X453" s="107"/>
    </row>
    <row r="454" spans="1:24" ht="12.75">
      <c r="A454" s="109"/>
      <c r="B454" s="110"/>
      <c r="C454" s="110"/>
      <c r="D454" s="110"/>
      <c r="E454" s="110"/>
      <c r="F454" s="110"/>
      <c r="G454" s="110"/>
      <c r="H454" s="110"/>
      <c r="I454" s="118"/>
      <c r="J454" s="118"/>
      <c r="K454" s="107"/>
      <c r="L454" s="107"/>
      <c r="M454" s="107"/>
      <c r="N454" s="107"/>
      <c r="O454" s="107"/>
      <c r="P454" s="107"/>
      <c r="Q454" s="107"/>
      <c r="R454" s="107"/>
      <c r="S454" s="107"/>
      <c r="T454" s="107"/>
      <c r="U454" s="107"/>
      <c r="V454" s="107"/>
      <c r="W454" s="107"/>
      <c r="X454" s="107"/>
    </row>
    <row r="455" spans="1:24" ht="12.75">
      <c r="A455" s="109"/>
      <c r="B455" s="110"/>
      <c r="C455" s="110"/>
      <c r="D455" s="110"/>
      <c r="E455" s="110"/>
      <c r="F455" s="110"/>
      <c r="G455" s="110"/>
      <c r="H455" s="110"/>
      <c r="I455" s="118"/>
      <c r="J455" s="118"/>
      <c r="K455" s="107"/>
      <c r="L455" s="107"/>
      <c r="M455" s="107"/>
      <c r="N455" s="107"/>
      <c r="O455" s="107"/>
      <c r="P455" s="107"/>
      <c r="Q455" s="107"/>
      <c r="R455" s="107"/>
      <c r="S455" s="107"/>
      <c r="T455" s="107"/>
      <c r="U455" s="107"/>
      <c r="V455" s="107"/>
      <c r="W455" s="107"/>
      <c r="X455" s="107"/>
    </row>
    <row r="456" spans="1:24" ht="12.75">
      <c r="A456" s="109"/>
      <c r="B456" s="110"/>
      <c r="C456" s="110"/>
      <c r="D456" s="110"/>
      <c r="E456" s="110"/>
      <c r="F456" s="110"/>
      <c r="G456" s="110"/>
      <c r="H456" s="110"/>
      <c r="I456" s="118"/>
      <c r="J456" s="118"/>
      <c r="K456" s="107"/>
      <c r="L456" s="107"/>
      <c r="M456" s="107"/>
      <c r="N456" s="107"/>
      <c r="O456" s="107"/>
      <c r="P456" s="107"/>
      <c r="Q456" s="107"/>
      <c r="R456" s="107"/>
      <c r="S456" s="107"/>
      <c r="T456" s="107"/>
      <c r="U456" s="107"/>
      <c r="V456" s="107"/>
      <c r="W456" s="107"/>
      <c r="X456" s="107"/>
    </row>
    <row r="457" spans="1:24" ht="12.75">
      <c r="A457" s="109"/>
      <c r="B457" s="110"/>
      <c r="C457" s="110"/>
      <c r="D457" s="110"/>
      <c r="E457" s="110"/>
      <c r="F457" s="110"/>
      <c r="G457" s="110"/>
      <c r="H457" s="110"/>
      <c r="I457" s="118"/>
      <c r="J457" s="118"/>
      <c r="K457" s="107"/>
      <c r="L457" s="107"/>
      <c r="M457" s="107"/>
      <c r="N457" s="107"/>
      <c r="O457" s="107"/>
      <c r="P457" s="107"/>
      <c r="Q457" s="107"/>
      <c r="R457" s="107"/>
      <c r="S457" s="107"/>
      <c r="T457" s="107"/>
      <c r="U457" s="107"/>
      <c r="V457" s="107"/>
      <c r="W457" s="107"/>
      <c r="X457" s="107"/>
    </row>
    <row r="458" spans="1:24" ht="12.75">
      <c r="A458" s="109"/>
      <c r="B458" s="110"/>
      <c r="C458" s="110"/>
      <c r="D458" s="110"/>
      <c r="E458" s="110"/>
      <c r="F458" s="110"/>
      <c r="G458" s="110"/>
      <c r="H458" s="110"/>
      <c r="I458" s="118"/>
      <c r="J458" s="118"/>
      <c r="K458" s="107"/>
      <c r="L458" s="107"/>
      <c r="M458" s="107"/>
      <c r="N458" s="107"/>
      <c r="O458" s="107"/>
      <c r="P458" s="107"/>
      <c r="Q458" s="107"/>
      <c r="R458" s="107"/>
      <c r="S458" s="107"/>
      <c r="T458" s="107"/>
      <c r="U458" s="107"/>
      <c r="V458" s="107"/>
      <c r="W458" s="107"/>
      <c r="X458" s="107"/>
    </row>
    <row r="459" spans="1:24" ht="12.75">
      <c r="A459" s="109"/>
      <c r="B459" s="110"/>
      <c r="C459" s="110"/>
      <c r="D459" s="110"/>
      <c r="E459" s="110"/>
      <c r="F459" s="110"/>
      <c r="G459" s="110"/>
      <c r="H459" s="110"/>
      <c r="I459" s="118"/>
      <c r="J459" s="118"/>
      <c r="K459" s="107"/>
      <c r="L459" s="107"/>
      <c r="M459" s="107"/>
      <c r="N459" s="107"/>
      <c r="O459" s="107"/>
      <c r="P459" s="107"/>
      <c r="Q459" s="107"/>
      <c r="R459" s="107"/>
      <c r="S459" s="107"/>
      <c r="T459" s="107"/>
      <c r="U459" s="107"/>
      <c r="V459" s="107"/>
      <c r="W459" s="107"/>
      <c r="X459" s="107"/>
    </row>
    <row r="460" spans="1:24" ht="12.75">
      <c r="A460" s="109"/>
      <c r="B460" s="110"/>
      <c r="C460" s="110"/>
      <c r="D460" s="110"/>
      <c r="E460" s="110"/>
      <c r="F460" s="110"/>
      <c r="G460" s="110"/>
      <c r="H460" s="110"/>
      <c r="I460" s="118"/>
      <c r="J460" s="118"/>
      <c r="K460" s="107"/>
      <c r="L460" s="107"/>
      <c r="M460" s="107"/>
      <c r="N460" s="107"/>
      <c r="O460" s="107"/>
      <c r="P460" s="107"/>
      <c r="Q460" s="107"/>
      <c r="R460" s="107"/>
      <c r="S460" s="107"/>
      <c r="T460" s="107"/>
      <c r="U460" s="107"/>
      <c r="V460" s="107"/>
      <c r="W460" s="107"/>
      <c r="X460" s="107"/>
    </row>
    <row r="461" spans="1:24" ht="12.75">
      <c r="A461" s="109"/>
      <c r="B461" s="110"/>
      <c r="C461" s="110"/>
      <c r="D461" s="110"/>
      <c r="E461" s="110"/>
      <c r="F461" s="110"/>
      <c r="G461" s="110"/>
      <c r="H461" s="110"/>
      <c r="I461" s="118"/>
      <c r="J461" s="118"/>
      <c r="K461" s="107"/>
      <c r="L461" s="107"/>
      <c r="M461" s="107"/>
      <c r="N461" s="107"/>
      <c r="O461" s="107"/>
      <c r="P461" s="107"/>
      <c r="Q461" s="107"/>
      <c r="R461" s="107"/>
      <c r="S461" s="107"/>
      <c r="T461" s="107"/>
      <c r="U461" s="107"/>
      <c r="V461" s="107"/>
      <c r="W461" s="107"/>
      <c r="X461" s="107"/>
    </row>
    <row r="462" spans="1:24" ht="12.75">
      <c r="A462" s="109"/>
      <c r="B462" s="110"/>
      <c r="C462" s="110"/>
      <c r="D462" s="110"/>
      <c r="E462" s="110"/>
      <c r="F462" s="110"/>
      <c r="G462" s="110"/>
      <c r="H462" s="110"/>
      <c r="I462" s="118"/>
      <c r="J462" s="118"/>
      <c r="K462" s="107"/>
      <c r="L462" s="107"/>
      <c r="M462" s="107"/>
      <c r="N462" s="107"/>
      <c r="O462" s="107"/>
      <c r="P462" s="107"/>
      <c r="Q462" s="107"/>
      <c r="R462" s="107"/>
      <c r="S462" s="107"/>
      <c r="T462" s="107"/>
      <c r="U462" s="107"/>
      <c r="V462" s="107"/>
      <c r="W462" s="107"/>
      <c r="X462" s="107"/>
    </row>
    <row r="463" spans="1:24" ht="12.75">
      <c r="A463" s="109"/>
      <c r="B463" s="110"/>
      <c r="C463" s="110"/>
      <c r="D463" s="110"/>
      <c r="E463" s="110"/>
      <c r="F463" s="110"/>
      <c r="G463" s="110"/>
      <c r="H463" s="110"/>
      <c r="I463" s="118"/>
      <c r="J463" s="118"/>
      <c r="K463" s="107"/>
      <c r="L463" s="107"/>
      <c r="M463" s="107"/>
      <c r="N463" s="107"/>
      <c r="O463" s="107"/>
      <c r="P463" s="107"/>
      <c r="Q463" s="107"/>
      <c r="R463" s="107"/>
      <c r="S463" s="107"/>
      <c r="T463" s="107"/>
      <c r="U463" s="107"/>
      <c r="V463" s="107"/>
      <c r="W463" s="107"/>
      <c r="X463" s="107"/>
    </row>
    <row r="464" spans="1:24" ht="12.75">
      <c r="A464" s="109"/>
      <c r="B464" s="110"/>
      <c r="C464" s="110"/>
      <c r="D464" s="110"/>
      <c r="E464" s="110"/>
      <c r="F464" s="110"/>
      <c r="G464" s="110"/>
      <c r="H464" s="110"/>
      <c r="I464" s="118"/>
      <c r="J464" s="118"/>
      <c r="K464" s="107"/>
      <c r="L464" s="107"/>
      <c r="M464" s="107"/>
      <c r="N464" s="107"/>
      <c r="O464" s="107"/>
      <c r="P464" s="107"/>
      <c r="Q464" s="107"/>
      <c r="R464" s="107"/>
      <c r="S464" s="107"/>
      <c r="T464" s="107"/>
      <c r="U464" s="107"/>
      <c r="V464" s="107"/>
      <c r="W464" s="107"/>
      <c r="X464" s="107"/>
    </row>
    <row r="465" spans="1:24" ht="12.75">
      <c r="A465" s="109"/>
      <c r="B465" s="110"/>
      <c r="C465" s="110"/>
      <c r="D465" s="110"/>
      <c r="E465" s="110"/>
      <c r="F465" s="110"/>
      <c r="G465" s="110"/>
      <c r="H465" s="110"/>
      <c r="I465" s="118"/>
      <c r="J465" s="118"/>
      <c r="K465" s="107"/>
      <c r="L465" s="107"/>
      <c r="M465" s="107"/>
      <c r="N465" s="107"/>
      <c r="O465" s="107"/>
      <c r="P465" s="107"/>
      <c r="Q465" s="107"/>
      <c r="R465" s="107"/>
      <c r="S465" s="107"/>
      <c r="T465" s="107"/>
      <c r="U465" s="107"/>
      <c r="V465" s="107"/>
      <c r="W465" s="107"/>
      <c r="X465" s="107"/>
    </row>
    <row r="466" spans="1:24" ht="12.75">
      <c r="A466" s="109"/>
      <c r="B466" s="110"/>
      <c r="C466" s="110"/>
      <c r="D466" s="110"/>
      <c r="E466" s="110"/>
      <c r="F466" s="110"/>
      <c r="G466" s="110"/>
      <c r="H466" s="110"/>
      <c r="I466" s="118"/>
      <c r="J466" s="118"/>
      <c r="K466" s="107"/>
      <c r="L466" s="107"/>
      <c r="M466" s="107"/>
      <c r="N466" s="107"/>
      <c r="O466" s="107"/>
      <c r="P466" s="107"/>
      <c r="Q466" s="107"/>
      <c r="R466" s="107"/>
      <c r="S466" s="107"/>
      <c r="T466" s="107"/>
      <c r="U466" s="107"/>
      <c r="V466" s="107"/>
      <c r="W466" s="107"/>
      <c r="X466" s="107"/>
    </row>
    <row r="467" spans="1:24" ht="12.75">
      <c r="A467" s="109"/>
      <c r="B467" s="110"/>
      <c r="C467" s="110"/>
      <c r="D467" s="110"/>
      <c r="E467" s="110"/>
      <c r="F467" s="110"/>
      <c r="G467" s="110"/>
      <c r="H467" s="110"/>
      <c r="I467" s="118"/>
      <c r="J467" s="118"/>
      <c r="K467" s="107"/>
      <c r="L467" s="107"/>
      <c r="M467" s="107"/>
      <c r="N467" s="107"/>
      <c r="O467" s="107"/>
      <c r="P467" s="107"/>
      <c r="Q467" s="107"/>
      <c r="R467" s="107"/>
      <c r="S467" s="107"/>
      <c r="T467" s="107"/>
      <c r="U467" s="107"/>
      <c r="V467" s="107"/>
      <c r="W467" s="107"/>
      <c r="X467" s="107"/>
    </row>
    <row r="468" spans="1:24" ht="12.75">
      <c r="A468" s="109"/>
      <c r="B468" s="110"/>
      <c r="C468" s="110"/>
      <c r="D468" s="110"/>
      <c r="E468" s="110"/>
      <c r="F468" s="110"/>
      <c r="G468" s="110"/>
      <c r="H468" s="110"/>
      <c r="I468" s="118"/>
      <c r="J468" s="118"/>
      <c r="K468" s="107"/>
      <c r="L468" s="107"/>
      <c r="M468" s="107"/>
      <c r="N468" s="107"/>
      <c r="O468" s="107"/>
      <c r="P468" s="107"/>
      <c r="Q468" s="107"/>
      <c r="R468" s="107"/>
      <c r="S468" s="107"/>
      <c r="T468" s="107"/>
      <c r="U468" s="107"/>
      <c r="V468" s="107"/>
      <c r="W468" s="107"/>
      <c r="X468" s="107"/>
    </row>
    <row r="469" spans="1:24" ht="12.75">
      <c r="A469" s="109"/>
      <c r="B469" s="110"/>
      <c r="C469" s="110"/>
      <c r="D469" s="110"/>
      <c r="E469" s="110"/>
      <c r="F469" s="110"/>
      <c r="G469" s="110"/>
      <c r="H469" s="110"/>
      <c r="I469" s="118"/>
      <c r="J469" s="118"/>
      <c r="K469" s="107"/>
      <c r="L469" s="107"/>
      <c r="M469" s="107"/>
      <c r="N469" s="107"/>
      <c r="O469" s="107"/>
      <c r="P469" s="107"/>
      <c r="Q469" s="107"/>
      <c r="R469" s="107"/>
      <c r="S469" s="107"/>
      <c r="T469" s="107"/>
      <c r="U469" s="107"/>
      <c r="V469" s="107"/>
      <c r="W469" s="107"/>
      <c r="X469" s="107"/>
    </row>
    <row r="470" spans="1:24" ht="12.75">
      <c r="A470" s="109"/>
      <c r="B470" s="110"/>
      <c r="C470" s="110"/>
      <c r="D470" s="110"/>
      <c r="E470" s="110"/>
      <c r="F470" s="110"/>
      <c r="G470" s="110"/>
      <c r="H470" s="110"/>
      <c r="I470" s="118"/>
      <c r="J470" s="118"/>
      <c r="K470" s="107"/>
      <c r="L470" s="107"/>
      <c r="M470" s="107"/>
      <c r="N470" s="107"/>
      <c r="O470" s="107"/>
      <c r="P470" s="107"/>
      <c r="Q470" s="107"/>
      <c r="R470" s="107"/>
      <c r="S470" s="107"/>
      <c r="T470" s="107"/>
      <c r="U470" s="107"/>
      <c r="V470" s="107"/>
      <c r="W470" s="107"/>
      <c r="X470" s="107"/>
    </row>
    <row r="471" spans="1:24" ht="12.75">
      <c r="A471" s="109"/>
      <c r="B471" s="110"/>
      <c r="C471" s="110"/>
      <c r="D471" s="110"/>
      <c r="E471" s="110"/>
      <c r="F471" s="110"/>
      <c r="G471" s="110"/>
      <c r="H471" s="110"/>
      <c r="I471" s="118"/>
      <c r="J471" s="118"/>
      <c r="K471" s="107"/>
      <c r="L471" s="107"/>
      <c r="M471" s="107"/>
      <c r="N471" s="107"/>
      <c r="O471" s="107"/>
      <c r="P471" s="107"/>
      <c r="Q471" s="107"/>
      <c r="R471" s="107"/>
      <c r="S471" s="107"/>
      <c r="T471" s="107"/>
      <c r="U471" s="107"/>
      <c r="V471" s="107"/>
      <c r="W471" s="107"/>
      <c r="X471" s="107"/>
    </row>
    <row r="472" spans="1:24" ht="12.75">
      <c r="A472" s="109"/>
      <c r="B472" s="110"/>
      <c r="C472" s="110"/>
      <c r="D472" s="110"/>
      <c r="E472" s="110"/>
      <c r="F472" s="110"/>
      <c r="G472" s="110"/>
      <c r="H472" s="110"/>
      <c r="I472" s="118"/>
      <c r="J472" s="118"/>
      <c r="K472" s="107"/>
      <c r="L472" s="107"/>
      <c r="M472" s="107"/>
      <c r="N472" s="107"/>
      <c r="O472" s="107"/>
      <c r="P472" s="107"/>
      <c r="Q472" s="107"/>
      <c r="R472" s="107"/>
      <c r="S472" s="107"/>
      <c r="T472" s="107"/>
      <c r="U472" s="107"/>
      <c r="V472" s="107"/>
      <c r="W472" s="107"/>
      <c r="X472" s="107"/>
    </row>
    <row r="473" spans="1:24" ht="12.75">
      <c r="A473" s="109"/>
      <c r="B473" s="110"/>
      <c r="C473" s="110"/>
      <c r="D473" s="110"/>
      <c r="E473" s="110"/>
      <c r="F473" s="110"/>
      <c r="G473" s="110"/>
      <c r="H473" s="110"/>
      <c r="I473" s="118"/>
      <c r="J473" s="118"/>
      <c r="K473" s="107"/>
      <c r="L473" s="107"/>
      <c r="M473" s="107"/>
      <c r="N473" s="107"/>
      <c r="O473" s="107"/>
      <c r="P473" s="107"/>
      <c r="Q473" s="107"/>
      <c r="R473" s="107"/>
      <c r="S473" s="107"/>
      <c r="T473" s="107"/>
      <c r="U473" s="107"/>
      <c r="V473" s="107"/>
      <c r="W473" s="107"/>
      <c r="X473" s="107"/>
    </row>
    <row r="474" spans="1:24" ht="12.75">
      <c r="A474" s="109"/>
      <c r="B474" s="110"/>
      <c r="C474" s="110"/>
      <c r="D474" s="110"/>
      <c r="E474" s="110"/>
      <c r="F474" s="110"/>
      <c r="G474" s="110"/>
      <c r="H474" s="110"/>
      <c r="I474" s="118"/>
      <c r="J474" s="118"/>
      <c r="K474" s="107"/>
      <c r="L474" s="107"/>
      <c r="M474" s="107"/>
      <c r="N474" s="107"/>
      <c r="O474" s="107"/>
      <c r="P474" s="107"/>
      <c r="Q474" s="107"/>
      <c r="R474" s="107"/>
      <c r="S474" s="107"/>
      <c r="T474" s="107"/>
      <c r="U474" s="107"/>
      <c r="V474" s="107"/>
      <c r="W474" s="107"/>
      <c r="X474" s="107"/>
    </row>
    <row r="475" spans="1:24" ht="12.75">
      <c r="A475" s="109"/>
      <c r="B475" s="110"/>
      <c r="C475" s="110"/>
      <c r="D475" s="110"/>
      <c r="E475" s="110"/>
      <c r="F475" s="110"/>
      <c r="G475" s="110"/>
      <c r="H475" s="110"/>
      <c r="I475" s="118"/>
      <c r="J475" s="118"/>
      <c r="K475" s="107"/>
      <c r="L475" s="107"/>
      <c r="M475" s="107"/>
      <c r="N475" s="107"/>
      <c r="O475" s="107"/>
      <c r="P475" s="107"/>
      <c r="Q475" s="107"/>
      <c r="R475" s="107"/>
      <c r="S475" s="107"/>
      <c r="T475" s="107"/>
      <c r="U475" s="107"/>
      <c r="V475" s="107"/>
      <c r="W475" s="107"/>
      <c r="X475" s="107"/>
    </row>
    <row r="476" spans="1:24" ht="12.75">
      <c r="A476" s="109"/>
      <c r="B476" s="110"/>
      <c r="C476" s="110"/>
      <c r="D476" s="110"/>
      <c r="E476" s="110"/>
      <c r="F476" s="110"/>
      <c r="G476" s="110"/>
      <c r="H476" s="110"/>
      <c r="I476" s="118"/>
      <c r="J476" s="118"/>
      <c r="K476" s="107"/>
      <c r="L476" s="107"/>
      <c r="M476" s="107"/>
      <c r="N476" s="107"/>
      <c r="O476" s="107"/>
      <c r="P476" s="107"/>
      <c r="Q476" s="107"/>
      <c r="R476" s="107"/>
      <c r="S476" s="107"/>
      <c r="T476" s="107"/>
      <c r="U476" s="107"/>
      <c r="V476" s="107"/>
      <c r="W476" s="107"/>
      <c r="X476" s="107"/>
    </row>
    <row r="477" spans="1:24" ht="12.75">
      <c r="A477" s="109"/>
      <c r="B477" s="110"/>
      <c r="C477" s="110"/>
      <c r="D477" s="110"/>
      <c r="E477" s="110"/>
      <c r="F477" s="110"/>
      <c r="G477" s="110"/>
      <c r="H477" s="110"/>
      <c r="I477" s="118"/>
      <c r="J477" s="118"/>
      <c r="K477" s="107"/>
      <c r="L477" s="107"/>
      <c r="M477" s="107"/>
      <c r="N477" s="107"/>
      <c r="O477" s="107"/>
      <c r="P477" s="107"/>
      <c r="Q477" s="107"/>
      <c r="R477" s="107"/>
      <c r="S477" s="107"/>
      <c r="T477" s="107"/>
      <c r="U477" s="107"/>
      <c r="V477" s="107"/>
      <c r="W477" s="107"/>
      <c r="X477" s="107"/>
    </row>
    <row r="478" spans="1:24" ht="12.75">
      <c r="A478" s="109"/>
      <c r="B478" s="110"/>
      <c r="C478" s="110"/>
      <c r="D478" s="110"/>
      <c r="E478" s="110"/>
      <c r="F478" s="110"/>
      <c r="G478" s="110"/>
      <c r="H478" s="110"/>
      <c r="I478" s="118"/>
      <c r="J478" s="118"/>
      <c r="K478" s="107"/>
      <c r="L478" s="107"/>
      <c r="M478" s="107"/>
      <c r="N478" s="107"/>
      <c r="O478" s="107"/>
      <c r="P478" s="107"/>
      <c r="Q478" s="107"/>
      <c r="R478" s="107"/>
      <c r="S478" s="107"/>
      <c r="T478" s="107"/>
      <c r="U478" s="107"/>
      <c r="V478" s="107"/>
      <c r="W478" s="107"/>
      <c r="X478" s="107"/>
    </row>
    <row r="479" spans="1:24" ht="12.75">
      <c r="A479" s="109"/>
      <c r="B479" s="110"/>
      <c r="C479" s="110"/>
      <c r="D479" s="110"/>
      <c r="E479" s="110"/>
      <c r="F479" s="110"/>
      <c r="G479" s="110"/>
      <c r="H479" s="110"/>
      <c r="I479" s="118"/>
      <c r="J479" s="118"/>
      <c r="K479" s="107"/>
      <c r="L479" s="107"/>
      <c r="M479" s="107"/>
      <c r="N479" s="107"/>
      <c r="O479" s="107"/>
      <c r="P479" s="107"/>
      <c r="Q479" s="107"/>
      <c r="R479" s="107"/>
      <c r="S479" s="107"/>
      <c r="T479" s="107"/>
      <c r="U479" s="107"/>
      <c r="V479" s="107"/>
      <c r="W479" s="107"/>
      <c r="X479" s="107"/>
    </row>
    <row r="480" spans="1:24" ht="12.75">
      <c r="A480" s="109"/>
      <c r="B480" s="110"/>
      <c r="C480" s="110"/>
      <c r="D480" s="110"/>
      <c r="E480" s="110"/>
      <c r="F480" s="110"/>
      <c r="G480" s="110"/>
      <c r="H480" s="110"/>
      <c r="I480" s="118"/>
      <c r="J480" s="118"/>
      <c r="K480" s="107"/>
      <c r="L480" s="107"/>
      <c r="M480" s="107"/>
      <c r="N480" s="107"/>
      <c r="O480" s="107"/>
      <c r="P480" s="107"/>
      <c r="Q480" s="107"/>
      <c r="R480" s="107"/>
      <c r="S480" s="107"/>
      <c r="T480" s="107"/>
      <c r="U480" s="107"/>
      <c r="V480" s="107"/>
      <c r="W480" s="107"/>
      <c r="X480" s="107"/>
    </row>
    <row r="481" spans="1:24" ht="12.75">
      <c r="A481" s="109"/>
      <c r="B481" s="110"/>
      <c r="C481" s="110"/>
      <c r="D481" s="110"/>
      <c r="E481" s="110"/>
      <c r="F481" s="110"/>
      <c r="G481" s="110"/>
      <c r="H481" s="110"/>
      <c r="I481" s="118"/>
      <c r="J481" s="118"/>
      <c r="K481" s="107"/>
      <c r="L481" s="107"/>
      <c r="M481" s="107"/>
      <c r="N481" s="107"/>
      <c r="O481" s="107"/>
      <c r="P481" s="107"/>
      <c r="Q481" s="107"/>
      <c r="R481" s="107"/>
      <c r="S481" s="107"/>
      <c r="T481" s="107"/>
      <c r="U481" s="107"/>
      <c r="V481" s="107"/>
      <c r="W481" s="107"/>
      <c r="X481" s="107"/>
    </row>
    <row r="482" spans="1:24" ht="12.75">
      <c r="A482" s="109"/>
      <c r="B482" s="110"/>
      <c r="C482" s="110"/>
      <c r="D482" s="110"/>
      <c r="E482" s="110"/>
      <c r="F482" s="110"/>
      <c r="G482" s="110"/>
      <c r="H482" s="110"/>
      <c r="I482" s="118"/>
      <c r="J482" s="118"/>
      <c r="K482" s="107"/>
      <c r="L482" s="107"/>
      <c r="M482" s="107"/>
      <c r="N482" s="107"/>
      <c r="O482" s="107"/>
      <c r="P482" s="107"/>
      <c r="Q482" s="107"/>
      <c r="R482" s="107"/>
      <c r="S482" s="107"/>
      <c r="T482" s="107"/>
      <c r="U482" s="107"/>
      <c r="V482" s="107"/>
      <c r="W482" s="107"/>
      <c r="X482" s="107"/>
    </row>
    <row r="483" spans="1:24" ht="12.75">
      <c r="A483" s="109"/>
      <c r="B483" s="110"/>
      <c r="C483" s="110"/>
      <c r="D483" s="110"/>
      <c r="E483" s="110"/>
      <c r="F483" s="110"/>
      <c r="G483" s="110"/>
      <c r="H483" s="110"/>
      <c r="I483" s="118"/>
      <c r="J483" s="118"/>
      <c r="K483" s="107"/>
      <c r="L483" s="107"/>
      <c r="M483" s="107"/>
      <c r="N483" s="107"/>
      <c r="O483" s="107"/>
      <c r="P483" s="107"/>
      <c r="Q483" s="107"/>
      <c r="R483" s="107"/>
      <c r="S483" s="107"/>
      <c r="T483" s="107"/>
      <c r="U483" s="107"/>
      <c r="V483" s="107"/>
      <c r="W483" s="107"/>
      <c r="X483" s="107"/>
    </row>
    <row r="484" spans="1:24" ht="12.75">
      <c r="A484" s="109"/>
      <c r="B484" s="110"/>
      <c r="C484" s="110"/>
      <c r="D484" s="110"/>
      <c r="E484" s="110"/>
      <c r="F484" s="110"/>
      <c r="G484" s="110"/>
      <c r="H484" s="110"/>
      <c r="I484" s="118"/>
      <c r="J484" s="118"/>
      <c r="K484" s="107"/>
      <c r="L484" s="107"/>
      <c r="M484" s="107"/>
      <c r="N484" s="107"/>
      <c r="O484" s="107"/>
      <c r="P484" s="107"/>
      <c r="Q484" s="107"/>
      <c r="R484" s="107"/>
      <c r="S484" s="107"/>
      <c r="T484" s="107"/>
      <c r="U484" s="107"/>
      <c r="V484" s="107"/>
      <c r="W484" s="107"/>
      <c r="X484" s="107"/>
    </row>
    <row r="485" spans="1:24" ht="12.75">
      <c r="A485" s="109"/>
      <c r="B485" s="110"/>
      <c r="C485" s="110"/>
      <c r="D485" s="110"/>
      <c r="E485" s="110"/>
      <c r="F485" s="110"/>
      <c r="G485" s="110"/>
      <c r="H485" s="110"/>
      <c r="I485" s="118"/>
      <c r="J485" s="118"/>
      <c r="K485" s="107"/>
      <c r="L485" s="107"/>
      <c r="M485" s="107"/>
      <c r="N485" s="107"/>
      <c r="O485" s="107"/>
      <c r="P485" s="107"/>
      <c r="Q485" s="107"/>
      <c r="R485" s="107"/>
      <c r="S485" s="107"/>
      <c r="T485" s="107"/>
      <c r="U485" s="107"/>
      <c r="V485" s="107"/>
      <c r="W485" s="107"/>
      <c r="X485" s="107"/>
    </row>
    <row r="486" spans="1:24" ht="12.75">
      <c r="A486" s="109"/>
      <c r="B486" s="110"/>
      <c r="C486" s="110"/>
      <c r="D486" s="110"/>
      <c r="E486" s="110"/>
      <c r="F486" s="110"/>
      <c r="G486" s="110"/>
      <c r="H486" s="110"/>
      <c r="I486" s="118"/>
      <c r="J486" s="118"/>
      <c r="K486" s="107"/>
      <c r="L486" s="107"/>
      <c r="M486" s="107"/>
      <c r="N486" s="107"/>
      <c r="O486" s="107"/>
      <c r="P486" s="107"/>
      <c r="Q486" s="107"/>
      <c r="R486" s="107"/>
      <c r="S486" s="107"/>
      <c r="T486" s="107"/>
      <c r="U486" s="107"/>
      <c r="V486" s="107"/>
      <c r="W486" s="107"/>
      <c r="X486" s="107"/>
    </row>
    <row r="487" spans="1:24" ht="12.75">
      <c r="A487" s="109"/>
      <c r="B487" s="110"/>
      <c r="C487" s="110"/>
      <c r="D487" s="110"/>
      <c r="E487" s="110"/>
      <c r="F487" s="110"/>
      <c r="G487" s="110"/>
      <c r="H487" s="110"/>
      <c r="I487" s="118"/>
      <c r="J487" s="118"/>
      <c r="K487" s="107"/>
      <c r="L487" s="107"/>
      <c r="M487" s="107"/>
      <c r="N487" s="107"/>
      <c r="O487" s="107"/>
      <c r="P487" s="107"/>
      <c r="Q487" s="107"/>
      <c r="R487" s="107"/>
      <c r="S487" s="107"/>
      <c r="T487" s="107"/>
      <c r="U487" s="107"/>
      <c r="V487" s="107"/>
      <c r="W487" s="107"/>
      <c r="X487" s="107"/>
    </row>
    <row r="488" spans="1:24" ht="12.75">
      <c r="A488" s="109"/>
      <c r="B488" s="110"/>
      <c r="C488" s="110"/>
      <c r="D488" s="110"/>
      <c r="E488" s="110"/>
      <c r="F488" s="110"/>
      <c r="G488" s="110"/>
      <c r="H488" s="110"/>
      <c r="I488" s="118"/>
      <c r="J488" s="118"/>
      <c r="K488" s="107"/>
      <c r="L488" s="107"/>
      <c r="M488" s="107"/>
      <c r="N488" s="107"/>
      <c r="O488" s="107"/>
      <c r="P488" s="107"/>
      <c r="Q488" s="107"/>
      <c r="R488" s="107"/>
      <c r="S488" s="107"/>
      <c r="T488" s="107"/>
      <c r="U488" s="107"/>
      <c r="V488" s="107"/>
      <c r="W488" s="107"/>
      <c r="X488" s="107"/>
    </row>
    <row r="489" spans="1:24" ht="12.75">
      <c r="A489" s="109"/>
      <c r="B489" s="110"/>
      <c r="C489" s="110"/>
      <c r="D489" s="110"/>
      <c r="E489" s="110"/>
      <c r="F489" s="110"/>
      <c r="G489" s="110"/>
      <c r="H489" s="110"/>
      <c r="I489" s="118"/>
      <c r="J489" s="118"/>
      <c r="K489" s="107"/>
      <c r="L489" s="107"/>
      <c r="M489" s="107"/>
      <c r="N489" s="107"/>
      <c r="O489" s="107"/>
      <c r="P489" s="107"/>
      <c r="Q489" s="107"/>
      <c r="R489" s="107"/>
      <c r="S489" s="107"/>
      <c r="T489" s="107"/>
      <c r="U489" s="107"/>
      <c r="V489" s="107"/>
      <c r="W489" s="107"/>
      <c r="X489" s="107"/>
    </row>
    <row r="490" spans="1:24" ht="12.75">
      <c r="A490" s="109"/>
      <c r="B490" s="110"/>
      <c r="C490" s="110"/>
      <c r="D490" s="110"/>
      <c r="E490" s="110"/>
      <c r="F490" s="110"/>
      <c r="G490" s="110"/>
      <c r="H490" s="110"/>
      <c r="I490" s="118"/>
      <c r="J490" s="118"/>
      <c r="K490" s="107"/>
      <c r="L490" s="107"/>
      <c r="M490" s="107"/>
      <c r="N490" s="107"/>
      <c r="O490" s="107"/>
      <c r="P490" s="107"/>
      <c r="Q490" s="107"/>
      <c r="R490" s="107"/>
      <c r="S490" s="107"/>
      <c r="T490" s="107"/>
      <c r="U490" s="107"/>
      <c r="V490" s="107"/>
      <c r="W490" s="107"/>
      <c r="X490" s="107"/>
    </row>
    <row r="491" spans="1:24" ht="12.75">
      <c r="A491" s="109"/>
      <c r="B491" s="110"/>
      <c r="C491" s="110"/>
      <c r="D491" s="110"/>
      <c r="E491" s="110"/>
      <c r="F491" s="110"/>
      <c r="G491" s="110"/>
      <c r="H491" s="110"/>
      <c r="I491" s="118"/>
      <c r="J491" s="118"/>
      <c r="K491" s="107"/>
      <c r="L491" s="107"/>
      <c r="M491" s="107"/>
      <c r="N491" s="107"/>
      <c r="O491" s="107"/>
      <c r="P491" s="107"/>
      <c r="Q491" s="107"/>
      <c r="R491" s="107"/>
      <c r="S491" s="107"/>
      <c r="T491" s="107"/>
      <c r="U491" s="107"/>
      <c r="V491" s="107"/>
      <c r="W491" s="107"/>
      <c r="X491" s="107"/>
    </row>
    <row r="492" spans="1:24" ht="12.75">
      <c r="A492" s="109"/>
      <c r="B492" s="110"/>
      <c r="C492" s="110"/>
      <c r="D492" s="110"/>
      <c r="E492" s="110"/>
      <c r="F492" s="110"/>
      <c r="G492" s="110"/>
      <c r="H492" s="110"/>
      <c r="I492" s="118"/>
      <c r="J492" s="118"/>
      <c r="K492" s="107"/>
      <c r="L492" s="107"/>
      <c r="M492" s="107"/>
      <c r="N492" s="107"/>
      <c r="O492" s="107"/>
      <c r="P492" s="107"/>
      <c r="Q492" s="107"/>
      <c r="R492" s="107"/>
      <c r="S492" s="107"/>
      <c r="T492" s="107"/>
      <c r="U492" s="107"/>
      <c r="V492" s="107"/>
      <c r="W492" s="107"/>
      <c r="X492" s="107"/>
    </row>
    <row r="493" spans="1:24" ht="12.75">
      <c r="A493" s="109"/>
      <c r="B493" s="110"/>
      <c r="C493" s="110"/>
      <c r="D493" s="110"/>
      <c r="E493" s="110"/>
      <c r="F493" s="110"/>
      <c r="G493" s="110"/>
      <c r="H493" s="110"/>
      <c r="I493" s="118"/>
      <c r="J493" s="118"/>
      <c r="K493" s="107"/>
      <c r="L493" s="107"/>
      <c r="M493" s="107"/>
      <c r="N493" s="107"/>
      <c r="O493" s="107"/>
      <c r="P493" s="107"/>
      <c r="Q493" s="107"/>
      <c r="R493" s="107"/>
      <c r="S493" s="107"/>
      <c r="T493" s="107"/>
      <c r="U493" s="107"/>
      <c r="V493" s="107"/>
      <c r="W493" s="107"/>
      <c r="X493" s="107"/>
    </row>
    <row r="494" spans="1:24" ht="12.75">
      <c r="A494" s="109"/>
      <c r="B494" s="110"/>
      <c r="C494" s="110"/>
      <c r="D494" s="110"/>
      <c r="E494" s="110"/>
      <c r="F494" s="110"/>
      <c r="G494" s="110"/>
      <c r="H494" s="110"/>
      <c r="I494" s="118"/>
      <c r="J494" s="118"/>
      <c r="K494" s="107"/>
      <c r="L494" s="107"/>
      <c r="M494" s="107"/>
      <c r="N494" s="107"/>
      <c r="O494" s="107"/>
      <c r="P494" s="107"/>
      <c r="Q494" s="107"/>
      <c r="R494" s="107"/>
      <c r="S494" s="107"/>
      <c r="T494" s="107"/>
      <c r="U494" s="107"/>
      <c r="V494" s="107"/>
      <c r="W494" s="107"/>
      <c r="X494" s="107"/>
    </row>
    <row r="495" spans="1:24" ht="12.75">
      <c r="A495" s="109"/>
      <c r="B495" s="110"/>
      <c r="C495" s="110"/>
      <c r="D495" s="110"/>
      <c r="E495" s="110"/>
      <c r="F495" s="110"/>
      <c r="G495" s="110"/>
      <c r="H495" s="110"/>
      <c r="I495" s="118"/>
      <c r="J495" s="118"/>
      <c r="K495" s="107"/>
      <c r="L495" s="107"/>
      <c r="M495" s="107"/>
      <c r="N495" s="107"/>
      <c r="O495" s="107"/>
      <c r="P495" s="107"/>
      <c r="Q495" s="107"/>
      <c r="R495" s="107"/>
      <c r="S495" s="107"/>
      <c r="T495" s="107"/>
      <c r="U495" s="107"/>
      <c r="V495" s="107"/>
      <c r="W495" s="107"/>
      <c r="X495" s="107"/>
    </row>
    <row r="496" spans="1:24" ht="12.75">
      <c r="A496" s="109"/>
      <c r="B496" s="110"/>
      <c r="C496" s="110"/>
      <c r="D496" s="110"/>
      <c r="E496" s="110"/>
      <c r="F496" s="110"/>
      <c r="G496" s="110"/>
      <c r="H496" s="110"/>
      <c r="I496" s="118"/>
      <c r="J496" s="118"/>
      <c r="K496" s="107"/>
      <c r="L496" s="107"/>
      <c r="M496" s="107"/>
      <c r="N496" s="107"/>
      <c r="O496" s="107"/>
      <c r="P496" s="107"/>
      <c r="Q496" s="107"/>
      <c r="R496" s="107"/>
      <c r="S496" s="107"/>
      <c r="T496" s="107"/>
      <c r="U496" s="107"/>
      <c r="V496" s="107"/>
      <c r="W496" s="107"/>
      <c r="X496" s="107"/>
    </row>
    <row r="497" spans="1:24" ht="12.75">
      <c r="A497" s="109"/>
      <c r="B497" s="110"/>
      <c r="C497" s="110"/>
      <c r="D497" s="110"/>
      <c r="E497" s="110"/>
      <c r="F497" s="110"/>
      <c r="G497" s="110"/>
      <c r="H497" s="110"/>
      <c r="I497" s="118"/>
      <c r="J497" s="118"/>
      <c r="K497" s="107"/>
      <c r="L497" s="107"/>
      <c r="M497" s="107"/>
      <c r="N497" s="107"/>
      <c r="O497" s="107"/>
      <c r="P497" s="107"/>
      <c r="Q497" s="107"/>
      <c r="R497" s="107"/>
      <c r="S497" s="107"/>
      <c r="T497" s="107"/>
      <c r="U497" s="107"/>
      <c r="V497" s="107"/>
      <c r="W497" s="107"/>
      <c r="X497" s="107"/>
    </row>
    <row r="498" spans="1:24" ht="12.75">
      <c r="A498" s="109"/>
      <c r="B498" s="110"/>
      <c r="C498" s="110"/>
      <c r="D498" s="110"/>
      <c r="E498" s="110"/>
      <c r="F498" s="110"/>
      <c r="G498" s="110"/>
      <c r="H498" s="110"/>
      <c r="I498" s="118"/>
      <c r="J498" s="118"/>
      <c r="K498" s="107"/>
      <c r="L498" s="107"/>
      <c r="M498" s="107"/>
      <c r="N498" s="107"/>
      <c r="O498" s="107"/>
      <c r="P498" s="107"/>
      <c r="Q498" s="107"/>
      <c r="R498" s="107"/>
      <c r="S498" s="107"/>
      <c r="T498" s="107"/>
      <c r="U498" s="107"/>
      <c r="V498" s="107"/>
      <c r="W498" s="107"/>
      <c r="X498" s="107"/>
    </row>
    <row r="499" spans="1:24" ht="12.75">
      <c r="A499" s="109"/>
      <c r="B499" s="110"/>
      <c r="C499" s="110"/>
      <c r="D499" s="110"/>
      <c r="E499" s="110"/>
      <c r="F499" s="110"/>
      <c r="G499" s="110"/>
      <c r="H499" s="110"/>
      <c r="I499" s="118"/>
      <c r="J499" s="118"/>
      <c r="K499" s="107"/>
      <c r="L499" s="107"/>
      <c r="M499" s="107"/>
      <c r="N499" s="107"/>
      <c r="O499" s="107"/>
      <c r="P499" s="107"/>
      <c r="Q499" s="107"/>
      <c r="R499" s="107"/>
      <c r="S499" s="107"/>
      <c r="T499" s="107"/>
      <c r="U499" s="107"/>
      <c r="V499" s="107"/>
      <c r="W499" s="107"/>
      <c r="X499" s="107"/>
    </row>
    <row r="500" spans="1:24" ht="12.75">
      <c r="A500" s="109"/>
      <c r="B500" s="110"/>
      <c r="C500" s="110"/>
      <c r="D500" s="110"/>
      <c r="E500" s="110"/>
      <c r="F500" s="110"/>
      <c r="G500" s="110"/>
      <c r="H500" s="110"/>
      <c r="I500" s="118"/>
      <c r="J500" s="118"/>
      <c r="K500" s="107"/>
      <c r="L500" s="107"/>
      <c r="M500" s="107"/>
      <c r="N500" s="107"/>
      <c r="O500" s="107"/>
      <c r="P500" s="107"/>
      <c r="Q500" s="107"/>
      <c r="R500" s="107"/>
      <c r="S500" s="107"/>
      <c r="T500" s="107"/>
      <c r="U500" s="107"/>
      <c r="V500" s="107"/>
      <c r="W500" s="107"/>
      <c r="X500" s="107"/>
    </row>
    <row r="501" spans="1:24" ht="12.75">
      <c r="A501" s="109"/>
      <c r="B501" s="110"/>
      <c r="C501" s="110"/>
      <c r="D501" s="110"/>
      <c r="E501" s="110"/>
      <c r="F501" s="110"/>
      <c r="G501" s="110"/>
      <c r="H501" s="110"/>
      <c r="I501" s="118"/>
      <c r="J501" s="118"/>
      <c r="K501" s="107"/>
      <c r="L501" s="107"/>
      <c r="M501" s="107"/>
      <c r="N501" s="107"/>
      <c r="O501" s="107"/>
      <c r="P501" s="107"/>
      <c r="Q501" s="107"/>
      <c r="R501" s="107"/>
      <c r="S501" s="107"/>
      <c r="T501" s="107"/>
      <c r="U501" s="107"/>
      <c r="V501" s="107"/>
      <c r="W501" s="107"/>
      <c r="X501" s="107"/>
    </row>
    <row r="502" spans="1:24" ht="12.75">
      <c r="A502" s="109"/>
      <c r="B502" s="110"/>
      <c r="C502" s="110"/>
      <c r="D502" s="110"/>
      <c r="E502" s="110"/>
      <c r="F502" s="110"/>
      <c r="G502" s="110"/>
      <c r="H502" s="110"/>
      <c r="I502" s="118"/>
      <c r="J502" s="118"/>
      <c r="K502" s="107"/>
      <c r="L502" s="107"/>
      <c r="M502" s="107"/>
      <c r="N502" s="107"/>
      <c r="O502" s="107"/>
      <c r="P502" s="107"/>
      <c r="Q502" s="107"/>
      <c r="R502" s="107"/>
      <c r="S502" s="107"/>
      <c r="T502" s="107"/>
      <c r="U502" s="107"/>
      <c r="V502" s="107"/>
      <c r="W502" s="107"/>
      <c r="X502" s="107"/>
    </row>
    <row r="503" spans="1:24" ht="12.75">
      <c r="A503" s="109"/>
      <c r="B503" s="110"/>
      <c r="C503" s="110"/>
      <c r="D503" s="110"/>
      <c r="E503" s="110"/>
      <c r="F503" s="110"/>
      <c r="G503" s="110"/>
      <c r="H503" s="110"/>
      <c r="I503" s="118"/>
      <c r="J503" s="118"/>
      <c r="K503" s="107"/>
      <c r="L503" s="107"/>
      <c r="M503" s="107"/>
      <c r="N503" s="107"/>
      <c r="O503" s="107"/>
      <c r="P503" s="107"/>
      <c r="Q503" s="107"/>
      <c r="R503" s="107"/>
      <c r="S503" s="107"/>
      <c r="T503" s="107"/>
      <c r="U503" s="107"/>
      <c r="V503" s="107"/>
      <c r="W503" s="107"/>
      <c r="X503" s="107"/>
    </row>
    <row r="504" spans="1:24" ht="12.75">
      <c r="A504" s="109"/>
      <c r="B504" s="110"/>
      <c r="C504" s="110"/>
      <c r="D504" s="110"/>
      <c r="E504" s="110"/>
      <c r="F504" s="110"/>
      <c r="G504" s="110"/>
      <c r="H504" s="110"/>
      <c r="I504" s="118"/>
      <c r="J504" s="118"/>
      <c r="K504" s="107"/>
      <c r="L504" s="107"/>
      <c r="M504" s="107"/>
      <c r="N504" s="107"/>
      <c r="O504" s="107"/>
      <c r="P504" s="107"/>
      <c r="Q504" s="107"/>
      <c r="R504" s="107"/>
      <c r="S504" s="107"/>
      <c r="T504" s="107"/>
      <c r="U504" s="107"/>
      <c r="V504" s="107"/>
      <c r="W504" s="107"/>
      <c r="X504" s="107"/>
    </row>
    <row r="505" spans="1:24" ht="12.75">
      <c r="A505" s="109"/>
      <c r="B505" s="110"/>
      <c r="C505" s="110"/>
      <c r="D505" s="110"/>
      <c r="E505" s="110"/>
      <c r="F505" s="110"/>
      <c r="G505" s="110"/>
      <c r="H505" s="110"/>
      <c r="I505" s="118"/>
      <c r="J505" s="118"/>
      <c r="K505" s="107"/>
      <c r="L505" s="107"/>
      <c r="M505" s="107"/>
      <c r="N505" s="107"/>
      <c r="O505" s="107"/>
      <c r="P505" s="107"/>
      <c r="Q505" s="107"/>
      <c r="R505" s="107"/>
      <c r="S505" s="107"/>
      <c r="T505" s="107"/>
      <c r="U505" s="107"/>
      <c r="V505" s="107"/>
      <c r="W505" s="107"/>
      <c r="X505" s="107"/>
    </row>
    <row r="506" spans="1:24" ht="12.75">
      <c r="A506" s="109"/>
      <c r="B506" s="110"/>
      <c r="C506" s="110"/>
      <c r="D506" s="110"/>
      <c r="E506" s="110"/>
      <c r="F506" s="110"/>
      <c r="G506" s="110"/>
      <c r="H506" s="110"/>
      <c r="I506" s="118"/>
      <c r="J506" s="118"/>
      <c r="K506" s="107"/>
      <c r="L506" s="107"/>
      <c r="M506" s="107"/>
      <c r="N506" s="107"/>
      <c r="O506" s="107"/>
      <c r="P506" s="107"/>
      <c r="Q506" s="107"/>
      <c r="R506" s="107"/>
      <c r="S506" s="107"/>
      <c r="T506" s="107"/>
      <c r="U506" s="107"/>
      <c r="V506" s="107"/>
      <c r="W506" s="107"/>
      <c r="X506" s="107"/>
    </row>
    <row r="507" spans="1:24" ht="12.75">
      <c r="A507" s="109"/>
      <c r="B507" s="110"/>
      <c r="C507" s="110"/>
      <c r="D507" s="110"/>
      <c r="E507" s="110"/>
      <c r="F507" s="110"/>
      <c r="G507" s="110"/>
      <c r="H507" s="110"/>
      <c r="I507" s="118"/>
      <c r="J507" s="118"/>
      <c r="K507" s="107"/>
      <c r="L507" s="107"/>
      <c r="M507" s="107"/>
      <c r="N507" s="107"/>
      <c r="O507" s="107"/>
      <c r="P507" s="107"/>
      <c r="Q507" s="107"/>
      <c r="R507" s="107"/>
      <c r="S507" s="107"/>
      <c r="T507" s="107"/>
      <c r="U507" s="107"/>
      <c r="V507" s="107"/>
      <c r="W507" s="107"/>
      <c r="X507" s="107"/>
    </row>
    <row r="508" spans="1:24" ht="12.75">
      <c r="A508" s="109"/>
      <c r="B508" s="110"/>
      <c r="C508" s="110"/>
      <c r="D508" s="110"/>
      <c r="E508" s="110"/>
      <c r="F508" s="110"/>
      <c r="G508" s="110"/>
      <c r="H508" s="110"/>
      <c r="I508" s="118"/>
      <c r="J508" s="118"/>
      <c r="K508" s="107"/>
      <c r="L508" s="107"/>
      <c r="M508" s="107"/>
      <c r="N508" s="107"/>
      <c r="O508" s="107"/>
      <c r="P508" s="107"/>
      <c r="Q508" s="107"/>
      <c r="R508" s="107"/>
      <c r="S508" s="107"/>
      <c r="T508" s="107"/>
      <c r="U508" s="107"/>
      <c r="V508" s="107"/>
      <c r="W508" s="107"/>
      <c r="X508" s="107"/>
    </row>
    <row r="509" spans="1:24" ht="12.75">
      <c r="A509" s="109"/>
      <c r="B509" s="110"/>
      <c r="C509" s="110"/>
      <c r="D509" s="110"/>
      <c r="E509" s="110"/>
      <c r="F509" s="110"/>
      <c r="G509" s="110"/>
      <c r="H509" s="110"/>
      <c r="I509" s="118"/>
      <c r="J509" s="118"/>
      <c r="K509" s="107"/>
      <c r="L509" s="107"/>
      <c r="M509" s="107"/>
      <c r="N509" s="107"/>
      <c r="O509" s="107"/>
      <c r="P509" s="107"/>
      <c r="Q509" s="107"/>
      <c r="R509" s="107"/>
      <c r="S509" s="107"/>
      <c r="T509" s="107"/>
      <c r="U509" s="107"/>
      <c r="V509" s="107"/>
      <c r="W509" s="107"/>
      <c r="X509" s="107"/>
    </row>
    <row r="510" spans="1:24" ht="12.75">
      <c r="A510" s="109"/>
      <c r="B510" s="110"/>
      <c r="C510" s="110"/>
      <c r="D510" s="110"/>
      <c r="E510" s="110"/>
      <c r="F510" s="110"/>
      <c r="G510" s="110"/>
      <c r="H510" s="110"/>
      <c r="I510" s="118"/>
      <c r="J510" s="118"/>
      <c r="K510" s="107"/>
      <c r="L510" s="107"/>
      <c r="M510" s="107"/>
      <c r="N510" s="107"/>
      <c r="O510" s="107"/>
      <c r="P510" s="107"/>
      <c r="Q510" s="107"/>
      <c r="R510" s="107"/>
      <c r="S510" s="107"/>
      <c r="T510" s="107"/>
      <c r="U510" s="107"/>
      <c r="V510" s="107"/>
      <c r="W510" s="107"/>
      <c r="X510" s="107"/>
    </row>
    <row r="511" spans="1:24" ht="12.75">
      <c r="A511" s="109"/>
      <c r="B511" s="110"/>
      <c r="C511" s="110"/>
      <c r="D511" s="110"/>
      <c r="E511" s="110"/>
      <c r="F511" s="110"/>
      <c r="G511" s="110"/>
      <c r="H511" s="110"/>
      <c r="I511" s="118"/>
      <c r="J511" s="118"/>
      <c r="K511" s="107"/>
      <c r="L511" s="107"/>
      <c r="M511" s="107"/>
      <c r="N511" s="107"/>
      <c r="O511" s="107"/>
      <c r="P511" s="107"/>
      <c r="Q511" s="107"/>
      <c r="R511" s="107"/>
      <c r="S511" s="107"/>
      <c r="T511" s="107"/>
      <c r="U511" s="107"/>
      <c r="V511" s="107"/>
      <c r="W511" s="107"/>
      <c r="X511" s="107"/>
    </row>
    <row r="512" spans="1:24" ht="12.75">
      <c r="A512" s="109"/>
      <c r="B512" s="110"/>
      <c r="C512" s="110"/>
      <c r="D512" s="110"/>
      <c r="E512" s="110"/>
      <c r="F512" s="110"/>
      <c r="G512" s="110"/>
      <c r="H512" s="110"/>
      <c r="I512" s="118"/>
      <c r="J512" s="118"/>
      <c r="K512" s="107"/>
      <c r="L512" s="107"/>
      <c r="M512" s="107"/>
      <c r="N512" s="107"/>
      <c r="O512" s="107"/>
      <c r="P512" s="107"/>
      <c r="Q512" s="107"/>
      <c r="R512" s="107"/>
      <c r="S512" s="107"/>
      <c r="T512" s="107"/>
      <c r="U512" s="107"/>
      <c r="V512" s="107"/>
      <c r="W512" s="107"/>
      <c r="X512" s="107"/>
    </row>
    <row r="513" spans="1:24" ht="12.75">
      <c r="A513" s="109"/>
      <c r="B513" s="110"/>
      <c r="C513" s="110"/>
      <c r="D513" s="110"/>
      <c r="E513" s="110"/>
      <c r="F513" s="110"/>
      <c r="G513" s="110"/>
      <c r="H513" s="110"/>
      <c r="I513" s="118"/>
      <c r="J513" s="118"/>
      <c r="K513" s="107"/>
      <c r="L513" s="107"/>
      <c r="M513" s="107"/>
      <c r="N513" s="107"/>
      <c r="O513" s="107"/>
      <c r="P513" s="107"/>
      <c r="Q513" s="107"/>
      <c r="R513" s="107"/>
      <c r="S513" s="107"/>
      <c r="T513" s="107"/>
      <c r="U513" s="107"/>
      <c r="V513" s="107"/>
      <c r="W513" s="107"/>
      <c r="X513" s="107"/>
    </row>
    <row r="514" spans="1:24" ht="12.75">
      <c r="A514" s="109"/>
      <c r="B514" s="110"/>
      <c r="C514" s="110"/>
      <c r="D514" s="110"/>
      <c r="E514" s="110"/>
      <c r="F514" s="110"/>
      <c r="G514" s="110"/>
      <c r="H514" s="110"/>
      <c r="I514" s="118"/>
      <c r="J514" s="118"/>
      <c r="K514" s="107"/>
      <c r="L514" s="107"/>
      <c r="M514" s="107"/>
      <c r="N514" s="107"/>
      <c r="O514" s="107"/>
      <c r="P514" s="107"/>
      <c r="Q514" s="107"/>
      <c r="R514" s="107"/>
      <c r="S514" s="107"/>
      <c r="T514" s="107"/>
      <c r="U514" s="107"/>
      <c r="V514" s="107"/>
      <c r="W514" s="107"/>
      <c r="X514" s="107"/>
    </row>
    <row r="515" spans="1:24" ht="12.75">
      <c r="A515" s="109"/>
      <c r="B515" s="110"/>
      <c r="C515" s="110"/>
      <c r="D515" s="110"/>
      <c r="E515" s="110"/>
      <c r="F515" s="110"/>
      <c r="G515" s="110"/>
      <c r="H515" s="110"/>
      <c r="I515" s="118"/>
      <c r="J515" s="118"/>
      <c r="K515" s="107"/>
      <c r="L515" s="107"/>
      <c r="M515" s="107"/>
      <c r="N515" s="107"/>
      <c r="O515" s="107"/>
      <c r="P515" s="107"/>
      <c r="Q515" s="107"/>
      <c r="R515" s="107"/>
      <c r="S515" s="107"/>
      <c r="T515" s="107"/>
      <c r="U515" s="107"/>
      <c r="V515" s="107"/>
      <c r="W515" s="107"/>
      <c r="X515" s="107"/>
    </row>
    <row r="516" spans="1:24" ht="12.75">
      <c r="A516" s="109"/>
      <c r="B516" s="110"/>
      <c r="C516" s="110"/>
      <c r="D516" s="110"/>
      <c r="E516" s="110"/>
      <c r="F516" s="110"/>
      <c r="G516" s="110"/>
      <c r="H516" s="110"/>
      <c r="I516" s="118"/>
      <c r="J516" s="118"/>
      <c r="K516" s="107"/>
      <c r="L516" s="107"/>
      <c r="M516" s="107"/>
      <c r="N516" s="107"/>
      <c r="O516" s="107"/>
      <c r="P516" s="107"/>
      <c r="Q516" s="107"/>
      <c r="R516" s="107"/>
      <c r="S516" s="107"/>
      <c r="T516" s="107"/>
      <c r="U516" s="107"/>
      <c r="V516" s="107"/>
      <c r="W516" s="107"/>
      <c r="X516" s="107"/>
    </row>
    <row r="517" spans="1:24" ht="12.75">
      <c r="A517" s="109"/>
      <c r="B517" s="110"/>
      <c r="C517" s="110"/>
      <c r="D517" s="110"/>
      <c r="E517" s="110"/>
      <c r="F517" s="110"/>
      <c r="G517" s="110"/>
      <c r="H517" s="110"/>
      <c r="I517" s="118"/>
      <c r="J517" s="118"/>
      <c r="K517" s="107"/>
      <c r="L517" s="107"/>
      <c r="M517" s="107"/>
      <c r="N517" s="107"/>
      <c r="O517" s="107"/>
      <c r="P517" s="107"/>
      <c r="Q517" s="107"/>
      <c r="R517" s="107"/>
      <c r="S517" s="107"/>
      <c r="T517" s="107"/>
      <c r="U517" s="107"/>
      <c r="V517" s="107"/>
      <c r="W517" s="107"/>
      <c r="X517" s="107"/>
    </row>
    <row r="518" spans="1:24" ht="12.75">
      <c r="A518" s="109"/>
      <c r="B518" s="110"/>
      <c r="C518" s="110"/>
      <c r="D518" s="110"/>
      <c r="E518" s="110"/>
      <c r="F518" s="110"/>
      <c r="G518" s="110"/>
      <c r="H518" s="110"/>
      <c r="I518" s="118"/>
      <c r="J518" s="118"/>
      <c r="K518" s="107"/>
      <c r="L518" s="107"/>
      <c r="M518" s="107"/>
      <c r="N518" s="107"/>
      <c r="O518" s="107"/>
      <c r="P518" s="107"/>
      <c r="Q518" s="107"/>
      <c r="R518" s="107"/>
      <c r="S518" s="107"/>
      <c r="T518" s="107"/>
      <c r="U518" s="107"/>
      <c r="V518" s="107"/>
      <c r="W518" s="107"/>
      <c r="X518" s="107"/>
    </row>
    <row r="519" spans="1:24" ht="12.75">
      <c r="A519" s="109"/>
      <c r="B519" s="110"/>
      <c r="C519" s="110"/>
      <c r="D519" s="110"/>
      <c r="E519" s="110"/>
      <c r="F519" s="110"/>
      <c r="G519" s="110"/>
      <c r="H519" s="110"/>
      <c r="I519" s="118"/>
      <c r="J519" s="118"/>
      <c r="K519" s="107"/>
      <c r="L519" s="107"/>
      <c r="M519" s="107"/>
      <c r="N519" s="107"/>
      <c r="O519" s="107"/>
      <c r="P519" s="107"/>
      <c r="Q519" s="107"/>
      <c r="R519" s="107"/>
      <c r="S519" s="107"/>
      <c r="T519" s="107"/>
      <c r="U519" s="107"/>
      <c r="V519" s="107"/>
      <c r="W519" s="107"/>
      <c r="X519" s="107"/>
    </row>
    <row r="520" spans="1:24" ht="12.75">
      <c r="A520" s="109"/>
      <c r="B520" s="110"/>
      <c r="C520" s="110"/>
      <c r="D520" s="110"/>
      <c r="E520" s="110"/>
      <c r="F520" s="110"/>
      <c r="G520" s="110"/>
      <c r="H520" s="110"/>
      <c r="I520" s="118"/>
      <c r="J520" s="118"/>
      <c r="K520" s="107"/>
      <c r="L520" s="107"/>
      <c r="M520" s="107"/>
      <c r="N520" s="107"/>
      <c r="O520" s="107"/>
      <c r="P520" s="107"/>
      <c r="Q520" s="107"/>
      <c r="R520" s="107"/>
      <c r="S520" s="107"/>
      <c r="T520" s="107"/>
      <c r="U520" s="107"/>
      <c r="V520" s="107"/>
      <c r="W520" s="107"/>
      <c r="X520" s="107"/>
    </row>
    <row r="521" spans="1:24" ht="12.75">
      <c r="A521" s="109"/>
      <c r="B521" s="110"/>
      <c r="C521" s="110"/>
      <c r="D521" s="110"/>
      <c r="E521" s="110"/>
      <c r="F521" s="110"/>
      <c r="G521" s="110"/>
      <c r="H521" s="110"/>
      <c r="I521" s="118"/>
      <c r="J521" s="118"/>
      <c r="K521" s="107"/>
      <c r="L521" s="107"/>
      <c r="M521" s="107"/>
      <c r="N521" s="107"/>
      <c r="O521" s="107"/>
      <c r="P521" s="107"/>
      <c r="Q521" s="107"/>
      <c r="R521" s="107"/>
      <c r="S521" s="107"/>
      <c r="T521" s="107"/>
      <c r="U521" s="107"/>
      <c r="V521" s="107"/>
      <c r="W521" s="107"/>
      <c r="X521" s="107"/>
    </row>
    <row r="522" spans="1:24" ht="12.75">
      <c r="A522" s="109"/>
      <c r="B522" s="110"/>
      <c r="C522" s="110"/>
      <c r="D522" s="110"/>
      <c r="E522" s="110"/>
      <c r="F522" s="110"/>
      <c r="G522" s="110"/>
      <c r="H522" s="110"/>
      <c r="I522" s="118"/>
      <c r="J522" s="118"/>
      <c r="K522" s="107"/>
      <c r="L522" s="107"/>
      <c r="M522" s="107"/>
      <c r="N522" s="107"/>
      <c r="O522" s="107"/>
      <c r="P522" s="107"/>
      <c r="Q522" s="107"/>
      <c r="R522" s="107"/>
      <c r="S522" s="107"/>
      <c r="T522" s="107"/>
      <c r="U522" s="107"/>
      <c r="V522" s="107"/>
      <c r="W522" s="107"/>
      <c r="X522" s="107"/>
    </row>
    <row r="523" spans="1:24" ht="12.75">
      <c r="A523" s="109"/>
      <c r="B523" s="110"/>
      <c r="C523" s="110"/>
      <c r="D523" s="110"/>
      <c r="E523" s="110"/>
      <c r="F523" s="110"/>
      <c r="G523" s="110"/>
      <c r="H523" s="110"/>
      <c r="I523" s="118"/>
      <c r="J523" s="118"/>
      <c r="K523" s="107"/>
      <c r="L523" s="107"/>
      <c r="M523" s="107"/>
      <c r="N523" s="107"/>
      <c r="O523" s="107"/>
      <c r="P523" s="107"/>
      <c r="Q523" s="107"/>
      <c r="R523" s="107"/>
      <c r="S523" s="107"/>
      <c r="T523" s="107"/>
      <c r="U523" s="107"/>
      <c r="V523" s="107"/>
      <c r="W523" s="107"/>
      <c r="X523" s="107"/>
    </row>
    <row r="524" spans="1:24" ht="12.75">
      <c r="A524" s="109"/>
      <c r="B524" s="110"/>
      <c r="C524" s="110"/>
      <c r="D524" s="110"/>
      <c r="E524" s="110"/>
      <c r="F524" s="110"/>
      <c r="G524" s="110"/>
      <c r="H524" s="110"/>
      <c r="I524" s="118"/>
      <c r="J524" s="118"/>
      <c r="K524" s="107"/>
      <c r="L524" s="107"/>
      <c r="M524" s="107"/>
      <c r="N524" s="107"/>
      <c r="O524" s="107"/>
      <c r="P524" s="107"/>
      <c r="Q524" s="107"/>
      <c r="R524" s="107"/>
      <c r="S524" s="107"/>
      <c r="T524" s="107"/>
      <c r="U524" s="107"/>
      <c r="V524" s="107"/>
      <c r="W524" s="107"/>
      <c r="X524" s="107"/>
    </row>
    <row r="525" spans="1:24" ht="12.75">
      <c r="A525" s="109"/>
      <c r="B525" s="110"/>
      <c r="C525" s="110"/>
      <c r="D525" s="110"/>
      <c r="E525" s="110"/>
      <c r="F525" s="110"/>
      <c r="G525" s="110"/>
      <c r="H525" s="110"/>
      <c r="I525" s="118"/>
      <c r="J525" s="118"/>
      <c r="K525" s="107"/>
      <c r="L525" s="107"/>
      <c r="M525" s="107"/>
      <c r="N525" s="107"/>
      <c r="O525" s="107"/>
      <c r="P525" s="107"/>
      <c r="Q525" s="107"/>
      <c r="R525" s="107"/>
      <c r="S525" s="107"/>
      <c r="T525" s="107"/>
      <c r="U525" s="107"/>
      <c r="V525" s="107"/>
      <c r="W525" s="107"/>
      <c r="X525" s="107"/>
    </row>
    <row r="526" spans="1:24" ht="12.75">
      <c r="A526" s="109"/>
      <c r="B526" s="110"/>
      <c r="C526" s="110"/>
      <c r="D526" s="110"/>
      <c r="E526" s="110"/>
      <c r="F526" s="110"/>
      <c r="G526" s="110"/>
      <c r="H526" s="110"/>
      <c r="I526" s="118"/>
      <c r="J526" s="118"/>
      <c r="K526" s="107"/>
      <c r="L526" s="107"/>
      <c r="M526" s="107"/>
      <c r="N526" s="107"/>
      <c r="O526" s="107"/>
      <c r="P526" s="107"/>
      <c r="Q526" s="107"/>
      <c r="R526" s="107"/>
      <c r="S526" s="107"/>
      <c r="T526" s="107"/>
      <c r="U526" s="107"/>
      <c r="V526" s="107"/>
      <c r="W526" s="107"/>
      <c r="X526" s="107"/>
    </row>
    <row r="527" spans="1:24" ht="12.75">
      <c r="A527" s="109"/>
      <c r="B527" s="110"/>
      <c r="C527" s="110"/>
      <c r="D527" s="110"/>
      <c r="E527" s="110"/>
      <c r="F527" s="110"/>
      <c r="G527" s="110"/>
      <c r="H527" s="110"/>
      <c r="I527" s="118"/>
      <c r="J527" s="118"/>
      <c r="K527" s="107"/>
      <c r="L527" s="107"/>
      <c r="M527" s="107"/>
      <c r="N527" s="107"/>
      <c r="O527" s="107"/>
      <c r="P527" s="107"/>
      <c r="Q527" s="107"/>
      <c r="R527" s="107"/>
      <c r="S527" s="107"/>
      <c r="T527" s="107"/>
      <c r="U527" s="107"/>
      <c r="V527" s="107"/>
      <c r="W527" s="107"/>
      <c r="X527" s="107"/>
    </row>
    <row r="528" spans="1:24" ht="12.75">
      <c r="A528" s="109"/>
      <c r="B528" s="110"/>
      <c r="C528" s="110"/>
      <c r="D528" s="110"/>
      <c r="E528" s="110"/>
      <c r="F528" s="110"/>
      <c r="G528" s="110"/>
      <c r="H528" s="110"/>
      <c r="I528" s="118"/>
      <c r="J528" s="118"/>
      <c r="K528" s="107"/>
      <c r="L528" s="107"/>
      <c r="M528" s="107"/>
      <c r="N528" s="107"/>
      <c r="O528" s="107"/>
      <c r="P528" s="107"/>
      <c r="Q528" s="107"/>
      <c r="R528" s="107"/>
      <c r="S528" s="107"/>
      <c r="T528" s="107"/>
      <c r="U528" s="107"/>
      <c r="V528" s="107"/>
      <c r="W528" s="107"/>
      <c r="X528" s="107"/>
    </row>
    <row r="529" spans="1:24" ht="12.75">
      <c r="A529" s="109"/>
      <c r="B529" s="110"/>
      <c r="C529" s="110"/>
      <c r="D529" s="110"/>
      <c r="E529" s="110"/>
      <c r="F529" s="110"/>
      <c r="G529" s="110"/>
      <c r="H529" s="110"/>
      <c r="I529" s="118"/>
      <c r="J529" s="118"/>
      <c r="K529" s="107"/>
      <c r="L529" s="107"/>
      <c r="M529" s="107"/>
      <c r="N529" s="107"/>
      <c r="O529" s="107"/>
      <c r="P529" s="107"/>
      <c r="Q529" s="107"/>
      <c r="R529" s="107"/>
      <c r="S529" s="107"/>
      <c r="T529" s="107"/>
      <c r="U529" s="107"/>
      <c r="V529" s="107"/>
      <c r="W529" s="107"/>
      <c r="X529" s="107"/>
    </row>
    <row r="530" spans="1:24" ht="12.75">
      <c r="A530" s="109"/>
      <c r="B530" s="110"/>
      <c r="C530" s="110"/>
      <c r="D530" s="110"/>
      <c r="E530" s="110"/>
      <c r="F530" s="110"/>
      <c r="G530" s="110"/>
      <c r="H530" s="110"/>
      <c r="I530" s="118"/>
      <c r="J530" s="118"/>
      <c r="K530" s="107"/>
      <c r="L530" s="107"/>
      <c r="M530" s="107"/>
      <c r="N530" s="107"/>
      <c r="O530" s="107"/>
      <c r="P530" s="107"/>
      <c r="Q530" s="107"/>
      <c r="R530" s="107"/>
      <c r="S530" s="107"/>
      <c r="T530" s="107"/>
      <c r="U530" s="107"/>
      <c r="V530" s="107"/>
      <c r="W530" s="107"/>
      <c r="X530" s="107"/>
    </row>
    <row r="531" spans="1:24" ht="12.75">
      <c r="A531" s="109"/>
      <c r="B531" s="110"/>
      <c r="C531" s="110"/>
      <c r="D531" s="110"/>
      <c r="E531" s="110"/>
      <c r="F531" s="110"/>
      <c r="G531" s="110"/>
      <c r="H531" s="110"/>
      <c r="I531" s="118"/>
      <c r="J531" s="118"/>
      <c r="K531" s="107"/>
      <c r="L531" s="107"/>
      <c r="M531" s="107"/>
      <c r="N531" s="107"/>
      <c r="O531" s="107"/>
      <c r="P531" s="107"/>
      <c r="Q531" s="107"/>
      <c r="R531" s="107"/>
      <c r="S531" s="107"/>
      <c r="T531" s="107"/>
      <c r="U531" s="107"/>
      <c r="V531" s="107"/>
      <c r="W531" s="107"/>
      <c r="X531" s="107"/>
    </row>
    <row r="532" spans="1:24" ht="12.75">
      <c r="A532" s="109"/>
      <c r="B532" s="110"/>
      <c r="C532" s="110"/>
      <c r="D532" s="110"/>
      <c r="E532" s="110"/>
      <c r="F532" s="110"/>
      <c r="G532" s="110"/>
      <c r="H532" s="110"/>
      <c r="I532" s="118"/>
      <c r="J532" s="118"/>
      <c r="K532" s="107"/>
      <c r="L532" s="107"/>
      <c r="M532" s="107"/>
      <c r="N532" s="107"/>
      <c r="O532" s="107"/>
      <c r="P532" s="107"/>
      <c r="Q532" s="107"/>
      <c r="R532" s="107"/>
      <c r="S532" s="107"/>
      <c r="T532" s="107"/>
      <c r="U532" s="107"/>
      <c r="V532" s="107"/>
      <c r="W532" s="107"/>
      <c r="X532" s="107"/>
    </row>
    <row r="533" spans="1:24" ht="12.75">
      <c r="A533" s="109"/>
      <c r="B533" s="110"/>
      <c r="C533" s="110"/>
      <c r="D533" s="110"/>
      <c r="E533" s="110"/>
      <c r="F533" s="110"/>
      <c r="G533" s="110"/>
      <c r="H533" s="110"/>
      <c r="I533" s="118"/>
      <c r="J533" s="118"/>
      <c r="K533" s="107"/>
      <c r="L533" s="107"/>
      <c r="M533" s="107"/>
      <c r="N533" s="107"/>
      <c r="O533" s="107"/>
      <c r="P533" s="107"/>
      <c r="Q533" s="107"/>
      <c r="R533" s="107"/>
      <c r="S533" s="107"/>
      <c r="T533" s="107"/>
      <c r="U533" s="107"/>
      <c r="V533" s="107"/>
      <c r="W533" s="107"/>
      <c r="X533" s="107"/>
    </row>
    <row r="534" spans="1:24" ht="12.75">
      <c r="A534" s="109"/>
      <c r="B534" s="110"/>
      <c r="C534" s="110"/>
      <c r="D534" s="110"/>
      <c r="E534" s="110"/>
      <c r="F534" s="110"/>
      <c r="G534" s="110"/>
      <c r="H534" s="110"/>
      <c r="I534" s="118"/>
      <c r="J534" s="118"/>
      <c r="K534" s="107"/>
      <c r="L534" s="107"/>
      <c r="M534" s="107"/>
      <c r="N534" s="107"/>
      <c r="O534" s="107"/>
      <c r="P534" s="107"/>
      <c r="Q534" s="107"/>
      <c r="R534" s="107"/>
      <c r="S534" s="107"/>
      <c r="T534" s="107"/>
      <c r="U534" s="107"/>
      <c r="V534" s="107"/>
      <c r="W534" s="107"/>
      <c r="X534" s="107"/>
    </row>
    <row r="535" spans="1:24" ht="12.75">
      <c r="A535" s="109"/>
      <c r="B535" s="110"/>
      <c r="C535" s="110"/>
      <c r="D535" s="110"/>
      <c r="E535" s="110"/>
      <c r="F535" s="110"/>
      <c r="G535" s="110"/>
      <c r="H535" s="110"/>
      <c r="I535" s="118"/>
      <c r="J535" s="118"/>
      <c r="K535" s="107"/>
      <c r="L535" s="107"/>
      <c r="M535" s="107"/>
      <c r="N535" s="107"/>
      <c r="O535" s="107"/>
      <c r="P535" s="107"/>
      <c r="Q535" s="107"/>
      <c r="R535" s="107"/>
      <c r="S535" s="107"/>
      <c r="T535" s="107"/>
      <c r="U535" s="107"/>
      <c r="V535" s="107"/>
      <c r="W535" s="107"/>
      <c r="X535" s="107"/>
    </row>
    <row r="536" spans="1:24" ht="12.75">
      <c r="A536" s="109"/>
      <c r="B536" s="110"/>
      <c r="C536" s="110"/>
      <c r="D536" s="110"/>
      <c r="E536" s="110"/>
      <c r="F536" s="110"/>
      <c r="G536" s="110"/>
      <c r="H536" s="110"/>
      <c r="I536" s="118"/>
      <c r="J536" s="118"/>
      <c r="K536" s="107"/>
      <c r="L536" s="107"/>
      <c r="M536" s="107"/>
      <c r="N536" s="107"/>
      <c r="O536" s="107"/>
      <c r="P536" s="107"/>
      <c r="Q536" s="107"/>
      <c r="R536" s="107"/>
      <c r="S536" s="107"/>
      <c r="T536" s="107"/>
      <c r="U536" s="107"/>
      <c r="V536" s="107"/>
      <c r="W536" s="107"/>
      <c r="X536" s="107"/>
    </row>
    <row r="537" spans="1:24" ht="12.75">
      <c r="A537" s="109"/>
      <c r="B537" s="110"/>
      <c r="C537" s="110"/>
      <c r="D537" s="110"/>
      <c r="E537" s="110"/>
      <c r="F537" s="110"/>
      <c r="G537" s="110"/>
      <c r="H537" s="110"/>
      <c r="I537" s="118"/>
      <c r="J537" s="118"/>
      <c r="K537" s="107"/>
      <c r="L537" s="107"/>
      <c r="M537" s="107"/>
      <c r="N537" s="107"/>
      <c r="O537" s="107"/>
      <c r="P537" s="107"/>
      <c r="Q537" s="107"/>
      <c r="R537" s="107"/>
      <c r="S537" s="107"/>
      <c r="T537" s="107"/>
      <c r="U537" s="107"/>
      <c r="V537" s="107"/>
      <c r="W537" s="107"/>
      <c r="X537" s="107"/>
    </row>
    <row r="538" spans="1:24" ht="12.75">
      <c r="A538" s="109"/>
      <c r="B538" s="110"/>
      <c r="C538" s="110"/>
      <c r="D538" s="110"/>
      <c r="E538" s="110"/>
      <c r="F538" s="110"/>
      <c r="G538" s="110"/>
      <c r="H538" s="110"/>
      <c r="I538" s="118"/>
      <c r="J538" s="118"/>
      <c r="K538" s="107"/>
      <c r="L538" s="107"/>
      <c r="M538" s="107"/>
      <c r="N538" s="107"/>
      <c r="O538" s="107"/>
      <c r="P538" s="107"/>
      <c r="Q538" s="107"/>
      <c r="R538" s="107"/>
      <c r="S538" s="107"/>
      <c r="T538" s="107"/>
      <c r="U538" s="107"/>
      <c r="V538" s="107"/>
      <c r="W538" s="107"/>
      <c r="X538" s="107"/>
    </row>
    <row r="539" spans="1:24" ht="12.75">
      <c r="A539" s="109"/>
      <c r="B539" s="110"/>
      <c r="C539" s="110"/>
      <c r="D539" s="110"/>
      <c r="E539" s="110"/>
      <c r="F539" s="110"/>
      <c r="G539" s="110"/>
      <c r="H539" s="110"/>
      <c r="I539" s="118"/>
      <c r="J539" s="118"/>
      <c r="K539" s="107"/>
      <c r="L539" s="107"/>
      <c r="M539" s="107"/>
      <c r="N539" s="107"/>
      <c r="O539" s="107"/>
      <c r="P539" s="107"/>
      <c r="Q539" s="107"/>
      <c r="R539" s="107"/>
      <c r="S539" s="107"/>
      <c r="T539" s="107"/>
      <c r="U539" s="107"/>
      <c r="V539" s="107"/>
      <c r="W539" s="107"/>
      <c r="X539" s="107"/>
    </row>
    <row r="540" spans="1:24" ht="12.75">
      <c r="A540" s="109"/>
      <c r="B540" s="110"/>
      <c r="C540" s="110"/>
      <c r="D540" s="110"/>
      <c r="E540" s="110"/>
      <c r="F540" s="110"/>
      <c r="G540" s="110"/>
      <c r="H540" s="110"/>
      <c r="I540" s="118"/>
      <c r="J540" s="118"/>
      <c r="K540" s="107"/>
      <c r="L540" s="107"/>
      <c r="M540" s="107"/>
      <c r="N540" s="107"/>
      <c r="O540" s="107"/>
      <c r="P540" s="107"/>
      <c r="Q540" s="107"/>
      <c r="R540" s="107"/>
      <c r="S540" s="107"/>
      <c r="T540" s="107"/>
      <c r="U540" s="107"/>
      <c r="V540" s="107"/>
      <c r="W540" s="107"/>
      <c r="X540" s="107"/>
    </row>
    <row r="541" spans="1:24" ht="12.75">
      <c r="A541" s="109"/>
      <c r="B541" s="110"/>
      <c r="C541" s="110"/>
      <c r="D541" s="110"/>
      <c r="E541" s="110"/>
      <c r="F541" s="110"/>
      <c r="G541" s="110"/>
      <c r="H541" s="110"/>
      <c r="I541" s="118"/>
      <c r="J541" s="118"/>
      <c r="K541" s="107"/>
      <c r="L541" s="107"/>
      <c r="M541" s="107"/>
      <c r="N541" s="107"/>
      <c r="O541" s="107"/>
      <c r="P541" s="107"/>
      <c r="Q541" s="107"/>
      <c r="R541" s="107"/>
      <c r="S541" s="107"/>
      <c r="T541" s="107"/>
      <c r="U541" s="107"/>
      <c r="V541" s="107"/>
      <c r="W541" s="107"/>
      <c r="X541" s="107"/>
    </row>
    <row r="542" spans="1:24" ht="12.75">
      <c r="A542" s="109"/>
      <c r="B542" s="110"/>
      <c r="C542" s="110"/>
      <c r="D542" s="110"/>
      <c r="E542" s="110"/>
      <c r="F542" s="110"/>
      <c r="G542" s="110"/>
      <c r="H542" s="110"/>
      <c r="I542" s="118"/>
      <c r="J542" s="118"/>
      <c r="K542" s="107"/>
      <c r="L542" s="107"/>
      <c r="M542" s="107"/>
      <c r="N542" s="107"/>
      <c r="O542" s="107"/>
      <c r="P542" s="107"/>
      <c r="Q542" s="107"/>
      <c r="R542" s="107"/>
      <c r="S542" s="107"/>
      <c r="T542" s="107"/>
      <c r="U542" s="107"/>
      <c r="V542" s="107"/>
      <c r="W542" s="107"/>
      <c r="X542" s="107"/>
    </row>
    <row r="543" spans="1:24" ht="12.75">
      <c r="A543" s="109"/>
      <c r="B543" s="110"/>
      <c r="C543" s="110"/>
      <c r="D543" s="110"/>
      <c r="E543" s="110"/>
      <c r="F543" s="110"/>
      <c r="G543" s="110"/>
      <c r="H543" s="110"/>
      <c r="I543" s="118"/>
      <c r="J543" s="118"/>
      <c r="K543" s="107"/>
      <c r="L543" s="107"/>
      <c r="M543" s="107"/>
      <c r="N543" s="107"/>
      <c r="O543" s="107"/>
      <c r="P543" s="107"/>
      <c r="Q543" s="107"/>
      <c r="R543" s="107"/>
      <c r="S543" s="107"/>
      <c r="T543" s="107"/>
      <c r="U543" s="107"/>
      <c r="V543" s="107"/>
      <c r="W543" s="107"/>
      <c r="X543" s="107"/>
    </row>
    <row r="544" spans="1:24" ht="12.75">
      <c r="A544" s="109"/>
      <c r="B544" s="110"/>
      <c r="C544" s="110"/>
      <c r="D544" s="110"/>
      <c r="E544" s="110"/>
      <c r="F544" s="110"/>
      <c r="G544" s="110"/>
      <c r="H544" s="110"/>
      <c r="I544" s="118"/>
      <c r="J544" s="118"/>
      <c r="K544" s="107"/>
      <c r="L544" s="107"/>
      <c r="M544" s="107"/>
      <c r="N544" s="107"/>
      <c r="O544" s="107"/>
      <c r="P544" s="107"/>
      <c r="Q544" s="107"/>
      <c r="R544" s="107"/>
      <c r="S544" s="107"/>
      <c r="T544" s="107"/>
      <c r="U544" s="107"/>
      <c r="V544" s="107"/>
      <c r="W544" s="107"/>
      <c r="X544" s="107"/>
    </row>
    <row r="545" spans="1:24" ht="12.75">
      <c r="A545" s="109"/>
      <c r="B545" s="110"/>
      <c r="C545" s="110"/>
      <c r="D545" s="110"/>
      <c r="E545" s="110"/>
      <c r="F545" s="110"/>
      <c r="G545" s="110"/>
      <c r="H545" s="110"/>
      <c r="I545" s="118"/>
      <c r="J545" s="118"/>
      <c r="K545" s="107"/>
      <c r="L545" s="107"/>
      <c r="M545" s="107"/>
      <c r="N545" s="107"/>
      <c r="O545" s="107"/>
      <c r="P545" s="107"/>
      <c r="Q545" s="107"/>
      <c r="R545" s="107"/>
      <c r="S545" s="107"/>
      <c r="T545" s="107"/>
      <c r="U545" s="107"/>
      <c r="V545" s="107"/>
      <c r="W545" s="107"/>
      <c r="X545" s="107"/>
    </row>
    <row r="546" spans="1:24" ht="12.75">
      <c r="A546" s="109"/>
      <c r="B546" s="110"/>
      <c r="C546" s="110"/>
      <c r="D546" s="110"/>
      <c r="E546" s="110"/>
      <c r="F546" s="110"/>
      <c r="G546" s="110"/>
      <c r="H546" s="110"/>
      <c r="I546" s="118"/>
      <c r="J546" s="118"/>
      <c r="K546" s="107"/>
      <c r="L546" s="107"/>
      <c r="M546" s="107"/>
      <c r="N546" s="107"/>
      <c r="O546" s="107"/>
      <c r="P546" s="107"/>
      <c r="Q546" s="107"/>
      <c r="R546" s="107"/>
      <c r="S546" s="107"/>
      <c r="T546" s="107"/>
      <c r="U546" s="107"/>
      <c r="V546" s="107"/>
      <c r="W546" s="107"/>
      <c r="X546" s="107"/>
    </row>
    <row r="547" spans="1:24" ht="12.75">
      <c r="A547" s="109"/>
      <c r="B547" s="110"/>
      <c r="C547" s="110"/>
      <c r="D547" s="110"/>
      <c r="E547" s="110"/>
      <c r="F547" s="110"/>
      <c r="G547" s="110"/>
      <c r="H547" s="110"/>
      <c r="I547" s="118"/>
      <c r="J547" s="118"/>
      <c r="K547" s="107"/>
      <c r="L547" s="107"/>
      <c r="M547" s="107"/>
      <c r="N547" s="107"/>
      <c r="O547" s="107"/>
      <c r="P547" s="107"/>
      <c r="Q547" s="107"/>
      <c r="R547" s="107"/>
      <c r="S547" s="107"/>
      <c r="T547" s="107"/>
      <c r="U547" s="107"/>
      <c r="V547" s="107"/>
      <c r="W547" s="107"/>
      <c r="X547" s="107"/>
    </row>
    <row r="548" spans="1:24" ht="12.75">
      <c r="A548" s="109"/>
      <c r="B548" s="110"/>
      <c r="C548" s="110"/>
      <c r="D548" s="110"/>
      <c r="E548" s="110"/>
      <c r="F548" s="110"/>
      <c r="G548" s="110"/>
      <c r="H548" s="110"/>
      <c r="I548" s="118"/>
      <c r="J548" s="118"/>
      <c r="K548" s="107"/>
      <c r="L548" s="107"/>
      <c r="M548" s="107"/>
      <c r="N548" s="107"/>
      <c r="O548" s="107"/>
      <c r="P548" s="107"/>
      <c r="Q548" s="107"/>
      <c r="R548" s="107"/>
      <c r="S548" s="107"/>
      <c r="T548" s="107"/>
      <c r="U548" s="107"/>
      <c r="V548" s="107"/>
      <c r="W548" s="107"/>
      <c r="X548" s="107"/>
    </row>
    <row r="549" spans="1:24" ht="12.75">
      <c r="A549" s="109"/>
      <c r="B549" s="110"/>
      <c r="C549" s="110"/>
      <c r="D549" s="110"/>
      <c r="E549" s="110"/>
      <c r="F549" s="110"/>
      <c r="G549" s="110"/>
      <c r="H549" s="110"/>
      <c r="I549" s="118"/>
      <c r="J549" s="118"/>
      <c r="K549" s="107"/>
      <c r="L549" s="107"/>
      <c r="M549" s="107"/>
      <c r="N549" s="107"/>
      <c r="O549" s="107"/>
      <c r="P549" s="107"/>
      <c r="Q549" s="107"/>
      <c r="R549" s="107"/>
      <c r="S549" s="107"/>
      <c r="T549" s="107"/>
      <c r="U549" s="107"/>
      <c r="V549" s="107"/>
      <c r="W549" s="107"/>
      <c r="X549" s="107"/>
    </row>
    <row r="550" spans="1:24" ht="12.75">
      <c r="A550" s="109"/>
      <c r="B550" s="110"/>
      <c r="C550" s="110"/>
      <c r="D550" s="110"/>
      <c r="E550" s="110"/>
      <c r="F550" s="110"/>
      <c r="G550" s="110"/>
      <c r="H550" s="110"/>
      <c r="I550" s="118"/>
      <c r="J550" s="118"/>
      <c r="K550" s="107"/>
      <c r="L550" s="107"/>
      <c r="M550" s="107"/>
      <c r="N550" s="107"/>
      <c r="O550" s="107"/>
      <c r="P550" s="107"/>
      <c r="Q550" s="107"/>
      <c r="R550" s="107"/>
      <c r="S550" s="107"/>
      <c r="T550" s="107"/>
      <c r="U550" s="107"/>
      <c r="V550" s="107"/>
      <c r="W550" s="107"/>
      <c r="X550" s="107"/>
    </row>
    <row r="551" spans="1:24" ht="12.75">
      <c r="A551" s="109"/>
      <c r="B551" s="110"/>
      <c r="C551" s="110"/>
      <c r="D551" s="110"/>
      <c r="E551" s="110"/>
      <c r="F551" s="110"/>
      <c r="G551" s="110"/>
      <c r="H551" s="110"/>
      <c r="I551" s="118"/>
      <c r="J551" s="118"/>
      <c r="K551" s="107"/>
      <c r="L551" s="107"/>
      <c r="M551" s="107"/>
      <c r="N551" s="107"/>
      <c r="O551" s="107"/>
      <c r="P551" s="107"/>
      <c r="Q551" s="107"/>
      <c r="R551" s="107"/>
      <c r="S551" s="107"/>
      <c r="T551" s="107"/>
      <c r="U551" s="107"/>
      <c r="V551" s="107"/>
      <c r="W551" s="107"/>
      <c r="X551" s="107"/>
    </row>
    <row r="552" spans="1:24" ht="12.75">
      <c r="A552" s="109"/>
      <c r="B552" s="110"/>
      <c r="C552" s="110"/>
      <c r="D552" s="110"/>
      <c r="E552" s="110"/>
      <c r="F552" s="110"/>
      <c r="G552" s="110"/>
      <c r="H552" s="110"/>
      <c r="I552" s="118"/>
      <c r="J552" s="118"/>
      <c r="K552" s="107"/>
      <c r="L552" s="107"/>
      <c r="M552" s="107"/>
      <c r="N552" s="107"/>
      <c r="O552" s="107"/>
      <c r="P552" s="107"/>
      <c r="Q552" s="107"/>
      <c r="R552" s="107"/>
      <c r="S552" s="107"/>
      <c r="T552" s="107"/>
      <c r="U552" s="107"/>
      <c r="V552" s="107"/>
      <c r="W552" s="107"/>
      <c r="X552" s="107"/>
    </row>
    <row r="553" spans="1:24" ht="12.75">
      <c r="A553" s="109"/>
      <c r="B553" s="110"/>
      <c r="C553" s="110"/>
      <c r="D553" s="110"/>
      <c r="E553" s="110"/>
      <c r="F553" s="110"/>
      <c r="G553" s="110"/>
      <c r="H553" s="110"/>
      <c r="I553" s="118"/>
      <c r="J553" s="118"/>
      <c r="K553" s="107"/>
      <c r="L553" s="107"/>
      <c r="M553" s="107"/>
      <c r="N553" s="107"/>
      <c r="O553" s="107"/>
      <c r="P553" s="107"/>
      <c r="Q553" s="107"/>
      <c r="R553" s="107"/>
      <c r="S553" s="107"/>
      <c r="T553" s="107"/>
      <c r="U553" s="107"/>
      <c r="V553" s="107"/>
      <c r="W553" s="107"/>
      <c r="X553" s="107"/>
    </row>
    <row r="554" spans="1:24" ht="12.75">
      <c r="A554" s="109"/>
      <c r="B554" s="110"/>
      <c r="C554" s="110"/>
      <c r="D554" s="110"/>
      <c r="E554" s="110"/>
      <c r="F554" s="110"/>
      <c r="G554" s="110"/>
      <c r="H554" s="110"/>
      <c r="I554" s="118"/>
      <c r="J554" s="118"/>
      <c r="K554" s="107"/>
      <c r="L554" s="107"/>
      <c r="M554" s="107"/>
      <c r="N554" s="107"/>
      <c r="O554" s="107"/>
      <c r="P554" s="107"/>
      <c r="Q554" s="107"/>
      <c r="R554" s="107"/>
      <c r="S554" s="107"/>
      <c r="T554" s="107"/>
      <c r="U554" s="107"/>
      <c r="V554" s="107"/>
      <c r="W554" s="107"/>
      <c r="X554" s="107"/>
    </row>
    <row r="555" spans="1:24" ht="12.75">
      <c r="A555" s="109"/>
      <c r="B555" s="110"/>
      <c r="C555" s="110"/>
      <c r="D555" s="110"/>
      <c r="E555" s="110"/>
      <c r="F555" s="110"/>
      <c r="G555" s="110"/>
      <c r="H555" s="110"/>
      <c r="I555" s="118"/>
      <c r="J555" s="118"/>
      <c r="K555" s="107"/>
      <c r="L555" s="107"/>
      <c r="M555" s="107"/>
      <c r="N555" s="107"/>
      <c r="O555" s="107"/>
      <c r="P555" s="107"/>
      <c r="Q555" s="107"/>
      <c r="R555" s="107"/>
      <c r="S555" s="107"/>
      <c r="T555" s="107"/>
      <c r="U555" s="107"/>
      <c r="V555" s="107"/>
      <c r="W555" s="107"/>
      <c r="X555" s="107"/>
    </row>
    <row r="556" spans="1:24" ht="12.75">
      <c r="A556" s="109"/>
      <c r="B556" s="110"/>
      <c r="C556" s="110"/>
      <c r="D556" s="110"/>
      <c r="E556" s="110"/>
      <c r="F556" s="110"/>
      <c r="G556" s="110"/>
      <c r="H556" s="110"/>
      <c r="I556" s="118"/>
      <c r="J556" s="118"/>
      <c r="K556" s="107"/>
      <c r="L556" s="107"/>
      <c r="M556" s="107"/>
      <c r="N556" s="107"/>
      <c r="O556" s="107"/>
      <c r="P556" s="107"/>
      <c r="Q556" s="107"/>
      <c r="R556" s="107"/>
      <c r="S556" s="107"/>
      <c r="T556" s="107"/>
      <c r="U556" s="107"/>
      <c r="V556" s="107"/>
      <c r="W556" s="107"/>
      <c r="X556" s="107"/>
    </row>
    <row r="557" spans="1:24" ht="12.75">
      <c r="A557" s="109"/>
      <c r="B557" s="110"/>
      <c r="C557" s="110"/>
      <c r="D557" s="110"/>
      <c r="E557" s="110"/>
      <c r="F557" s="110"/>
      <c r="G557" s="110"/>
      <c r="H557" s="110"/>
      <c r="I557" s="118"/>
      <c r="J557" s="118"/>
      <c r="K557" s="107"/>
      <c r="L557" s="107"/>
      <c r="M557" s="107"/>
      <c r="N557" s="107"/>
      <c r="O557" s="107"/>
      <c r="P557" s="107"/>
      <c r="Q557" s="107"/>
      <c r="R557" s="107"/>
      <c r="S557" s="107"/>
      <c r="T557" s="107"/>
      <c r="U557" s="107"/>
      <c r="V557" s="107"/>
      <c r="W557" s="107"/>
      <c r="X557" s="107"/>
    </row>
    <row r="558" spans="1:24" ht="12.75">
      <c r="A558" s="109"/>
      <c r="B558" s="110"/>
      <c r="C558" s="110"/>
      <c r="D558" s="110"/>
      <c r="E558" s="110"/>
      <c r="F558" s="110"/>
      <c r="G558" s="110"/>
      <c r="H558" s="110"/>
      <c r="I558" s="118"/>
      <c r="J558" s="118"/>
      <c r="K558" s="107"/>
      <c r="L558" s="107"/>
      <c r="M558" s="107"/>
      <c r="N558" s="107"/>
      <c r="O558" s="107"/>
      <c r="P558" s="107"/>
      <c r="Q558" s="107"/>
      <c r="R558" s="107"/>
      <c r="S558" s="107"/>
      <c r="T558" s="107"/>
      <c r="U558" s="107"/>
      <c r="V558" s="107"/>
      <c r="W558" s="107"/>
      <c r="X558" s="107"/>
    </row>
    <row r="559" spans="1:24" ht="12.75">
      <c r="A559" s="109"/>
      <c r="B559" s="110"/>
      <c r="C559" s="110"/>
      <c r="D559" s="110"/>
      <c r="E559" s="110"/>
      <c r="F559" s="110"/>
      <c r="G559" s="110"/>
      <c r="H559" s="110"/>
      <c r="I559" s="118"/>
      <c r="J559" s="118"/>
      <c r="K559" s="107"/>
      <c r="L559" s="107"/>
      <c r="M559" s="107"/>
      <c r="N559" s="107"/>
      <c r="O559" s="107"/>
      <c r="P559" s="107"/>
      <c r="Q559" s="107"/>
      <c r="R559" s="107"/>
      <c r="S559" s="107"/>
      <c r="T559" s="107"/>
      <c r="U559" s="107"/>
      <c r="V559" s="107"/>
      <c r="W559" s="107"/>
      <c r="X559" s="107"/>
    </row>
    <row r="560" spans="1:24" ht="12.75">
      <c r="A560" s="109"/>
      <c r="B560" s="110"/>
      <c r="C560" s="110"/>
      <c r="D560" s="110"/>
      <c r="E560" s="110"/>
      <c r="F560" s="110"/>
      <c r="G560" s="110"/>
      <c r="H560" s="110"/>
      <c r="I560" s="118"/>
      <c r="J560" s="118"/>
      <c r="K560" s="107"/>
      <c r="L560" s="107"/>
      <c r="M560" s="107"/>
      <c r="N560" s="107"/>
      <c r="O560" s="107"/>
      <c r="P560" s="107"/>
      <c r="Q560" s="107"/>
      <c r="R560" s="107"/>
      <c r="S560" s="107"/>
      <c r="T560" s="107"/>
      <c r="U560" s="107"/>
      <c r="V560" s="107"/>
      <c r="W560" s="107"/>
      <c r="X560" s="107"/>
    </row>
    <row r="561" spans="1:24" ht="12.75">
      <c r="A561" s="109"/>
      <c r="B561" s="110"/>
      <c r="C561" s="110"/>
      <c r="D561" s="110"/>
      <c r="E561" s="110"/>
      <c r="F561" s="110"/>
      <c r="G561" s="110"/>
      <c r="H561" s="110"/>
      <c r="I561" s="118"/>
      <c r="J561" s="118"/>
      <c r="K561" s="107"/>
      <c r="L561" s="107"/>
      <c r="M561" s="107"/>
      <c r="N561" s="107"/>
      <c r="O561" s="107"/>
      <c r="P561" s="107"/>
      <c r="Q561" s="107"/>
      <c r="R561" s="107"/>
      <c r="S561" s="107"/>
      <c r="T561" s="107"/>
      <c r="U561" s="107"/>
      <c r="V561" s="107"/>
      <c r="W561" s="107"/>
      <c r="X561" s="107"/>
    </row>
    <row r="562" spans="1:24" ht="12.75">
      <c r="A562" s="109"/>
      <c r="B562" s="110"/>
      <c r="C562" s="110"/>
      <c r="D562" s="110"/>
      <c r="E562" s="110"/>
      <c r="F562" s="110"/>
      <c r="G562" s="110"/>
      <c r="H562" s="110"/>
      <c r="I562" s="118"/>
      <c r="J562" s="118"/>
      <c r="K562" s="107"/>
      <c r="L562" s="107"/>
      <c r="M562" s="107"/>
      <c r="N562" s="107"/>
      <c r="O562" s="107"/>
      <c r="P562" s="107"/>
      <c r="Q562" s="107"/>
      <c r="R562" s="107"/>
      <c r="S562" s="107"/>
      <c r="T562" s="107"/>
      <c r="U562" s="107"/>
      <c r="V562" s="107"/>
      <c r="W562" s="107"/>
      <c r="X562" s="107"/>
    </row>
    <row r="563" spans="1:24" ht="12.75">
      <c r="A563" s="109"/>
      <c r="B563" s="110"/>
      <c r="C563" s="110"/>
      <c r="D563" s="110"/>
      <c r="E563" s="110"/>
      <c r="F563" s="110"/>
      <c r="G563" s="110"/>
      <c r="H563" s="110"/>
      <c r="I563" s="118"/>
      <c r="J563" s="118"/>
      <c r="K563" s="107"/>
      <c r="L563" s="107"/>
      <c r="M563" s="107"/>
      <c r="N563" s="107"/>
      <c r="O563" s="107"/>
      <c r="P563" s="107"/>
      <c r="Q563" s="107"/>
      <c r="R563" s="107"/>
      <c r="S563" s="107"/>
      <c r="T563" s="107"/>
      <c r="U563" s="107"/>
      <c r="V563" s="107"/>
      <c r="W563" s="107"/>
      <c r="X563" s="107"/>
    </row>
    <row r="564" spans="1:24" ht="12.75">
      <c r="A564" s="109"/>
      <c r="B564" s="110"/>
      <c r="C564" s="110"/>
      <c r="D564" s="110"/>
      <c r="E564" s="110"/>
      <c r="F564" s="110"/>
      <c r="G564" s="110"/>
      <c r="H564" s="110"/>
      <c r="I564" s="118"/>
      <c r="J564" s="118"/>
      <c r="K564" s="107"/>
      <c r="L564" s="107"/>
      <c r="M564" s="107"/>
      <c r="N564" s="107"/>
      <c r="O564" s="107"/>
      <c r="P564" s="107"/>
      <c r="Q564" s="107"/>
      <c r="R564" s="107"/>
      <c r="S564" s="107"/>
      <c r="T564" s="107"/>
      <c r="U564" s="107"/>
      <c r="V564" s="107"/>
      <c r="W564" s="107"/>
      <c r="X564" s="107"/>
    </row>
    <row r="565" spans="1:24" ht="12.75">
      <c r="A565" s="109"/>
      <c r="B565" s="110"/>
      <c r="C565" s="110"/>
      <c r="D565" s="110"/>
      <c r="E565" s="110"/>
      <c r="F565" s="110"/>
      <c r="G565" s="110"/>
      <c r="H565" s="110"/>
      <c r="I565" s="118"/>
      <c r="J565" s="118"/>
      <c r="K565" s="107"/>
      <c r="L565" s="107"/>
      <c r="M565" s="107"/>
      <c r="N565" s="107"/>
      <c r="O565" s="107"/>
      <c r="P565" s="107"/>
      <c r="Q565" s="107"/>
      <c r="R565" s="107"/>
      <c r="S565" s="107"/>
      <c r="T565" s="107"/>
      <c r="U565" s="107"/>
      <c r="V565" s="107"/>
      <c r="W565" s="107"/>
      <c r="X565" s="107"/>
    </row>
    <row r="566" spans="1:24" ht="12.75">
      <c r="A566" s="109"/>
      <c r="B566" s="110"/>
      <c r="C566" s="110"/>
      <c r="D566" s="110"/>
      <c r="E566" s="110"/>
      <c r="F566" s="110"/>
      <c r="G566" s="110"/>
      <c r="H566" s="110"/>
      <c r="I566" s="118"/>
      <c r="J566" s="118"/>
      <c r="K566" s="107"/>
      <c r="L566" s="107"/>
      <c r="M566" s="107"/>
      <c r="N566" s="107"/>
      <c r="O566" s="107"/>
      <c r="P566" s="107"/>
      <c r="Q566" s="107"/>
      <c r="R566" s="107"/>
      <c r="S566" s="107"/>
      <c r="T566" s="107"/>
      <c r="U566" s="107"/>
      <c r="V566" s="107"/>
      <c r="W566" s="107"/>
      <c r="X566" s="107"/>
    </row>
    <row r="567" spans="1:24" ht="12.75">
      <c r="A567" s="109"/>
      <c r="B567" s="110"/>
      <c r="C567" s="110"/>
      <c r="D567" s="110"/>
      <c r="E567" s="110"/>
      <c r="F567" s="110"/>
      <c r="G567" s="110"/>
      <c r="H567" s="110"/>
      <c r="I567" s="118"/>
      <c r="J567" s="118"/>
      <c r="K567" s="107"/>
      <c r="L567" s="107"/>
      <c r="M567" s="107"/>
      <c r="N567" s="107"/>
      <c r="O567" s="107"/>
      <c r="P567" s="107"/>
      <c r="Q567" s="107"/>
      <c r="R567" s="107"/>
      <c r="S567" s="107"/>
      <c r="T567" s="107"/>
      <c r="U567" s="107"/>
      <c r="V567" s="107"/>
      <c r="W567" s="107"/>
      <c r="X567" s="107"/>
    </row>
    <row r="568" spans="1:24" ht="12.75">
      <c r="A568" s="109"/>
      <c r="B568" s="110"/>
      <c r="C568" s="110"/>
      <c r="D568" s="110"/>
      <c r="E568" s="110"/>
      <c r="F568" s="110"/>
      <c r="G568" s="110"/>
      <c r="H568" s="110"/>
      <c r="I568" s="118"/>
      <c r="J568" s="118"/>
      <c r="K568" s="107"/>
      <c r="L568" s="107"/>
      <c r="M568" s="107"/>
      <c r="N568" s="107"/>
      <c r="O568" s="107"/>
      <c r="P568" s="107"/>
      <c r="Q568" s="107"/>
      <c r="R568" s="107"/>
      <c r="S568" s="107"/>
      <c r="T568" s="107"/>
      <c r="U568" s="107"/>
      <c r="V568" s="107"/>
      <c r="W568" s="107"/>
      <c r="X568" s="107"/>
    </row>
    <row r="569" spans="1:24" ht="12.75">
      <c r="A569" s="109"/>
      <c r="B569" s="110"/>
      <c r="C569" s="110"/>
      <c r="D569" s="110"/>
      <c r="E569" s="110"/>
      <c r="F569" s="110"/>
      <c r="G569" s="110"/>
      <c r="H569" s="110"/>
      <c r="I569" s="118"/>
      <c r="J569" s="118"/>
      <c r="K569" s="107"/>
      <c r="L569" s="107"/>
      <c r="M569" s="107"/>
      <c r="N569" s="107"/>
      <c r="O569" s="107"/>
      <c r="P569" s="107"/>
      <c r="Q569" s="107"/>
      <c r="R569" s="107"/>
      <c r="S569" s="107"/>
      <c r="T569" s="107"/>
      <c r="U569" s="107"/>
      <c r="V569" s="107"/>
      <c r="W569" s="107"/>
      <c r="X569" s="107"/>
    </row>
    <row r="570" spans="1:24" ht="12.75">
      <c r="A570" s="109"/>
      <c r="B570" s="110"/>
      <c r="C570" s="110"/>
      <c r="D570" s="110"/>
      <c r="E570" s="110"/>
      <c r="F570" s="110"/>
      <c r="G570" s="110"/>
      <c r="H570" s="110"/>
      <c r="I570" s="118"/>
      <c r="J570" s="118"/>
      <c r="K570" s="107"/>
      <c r="L570" s="107"/>
      <c r="M570" s="107"/>
      <c r="N570" s="107"/>
      <c r="O570" s="107"/>
      <c r="P570" s="107"/>
      <c r="Q570" s="107"/>
      <c r="R570" s="107"/>
      <c r="S570" s="107"/>
      <c r="T570" s="107"/>
      <c r="U570" s="107"/>
      <c r="V570" s="107"/>
      <c r="W570" s="107"/>
      <c r="X570" s="107"/>
    </row>
    <row r="571" spans="1:24" ht="12.75">
      <c r="A571" s="109"/>
      <c r="B571" s="110"/>
      <c r="C571" s="110"/>
      <c r="D571" s="110"/>
      <c r="E571" s="110"/>
      <c r="F571" s="110"/>
      <c r="G571" s="110"/>
      <c r="H571" s="110"/>
      <c r="I571" s="118"/>
      <c r="J571" s="118"/>
      <c r="K571" s="107"/>
      <c r="L571" s="107"/>
      <c r="M571" s="107"/>
      <c r="N571" s="107"/>
      <c r="O571" s="107"/>
      <c r="P571" s="107"/>
      <c r="Q571" s="107"/>
      <c r="R571" s="107"/>
      <c r="S571" s="107"/>
      <c r="T571" s="107"/>
      <c r="U571" s="107"/>
      <c r="V571" s="107"/>
      <c r="W571" s="107"/>
      <c r="X571" s="107"/>
    </row>
    <row r="572" spans="1:24" ht="12.75">
      <c r="A572" s="109"/>
      <c r="B572" s="110"/>
      <c r="C572" s="110"/>
      <c r="D572" s="110"/>
      <c r="E572" s="110"/>
      <c r="F572" s="110"/>
      <c r="G572" s="110"/>
      <c r="H572" s="110"/>
      <c r="I572" s="118"/>
      <c r="J572" s="118"/>
      <c r="K572" s="107"/>
      <c r="L572" s="107"/>
      <c r="M572" s="107"/>
      <c r="N572" s="107"/>
      <c r="O572" s="107"/>
      <c r="P572" s="107"/>
      <c r="Q572" s="107"/>
      <c r="R572" s="107"/>
      <c r="S572" s="107"/>
      <c r="T572" s="107"/>
      <c r="U572" s="107"/>
      <c r="V572" s="107"/>
      <c r="W572" s="107"/>
      <c r="X572" s="107"/>
    </row>
    <row r="573" spans="1:24" ht="12.75">
      <c r="A573" s="109"/>
      <c r="B573" s="110"/>
      <c r="C573" s="110"/>
      <c r="D573" s="110"/>
      <c r="E573" s="110"/>
      <c r="F573" s="110"/>
      <c r="G573" s="110"/>
      <c r="H573" s="110"/>
      <c r="I573" s="118"/>
      <c r="J573" s="118"/>
      <c r="K573" s="107"/>
      <c r="L573" s="107"/>
      <c r="M573" s="107"/>
      <c r="N573" s="107"/>
      <c r="O573" s="107"/>
      <c r="P573" s="107"/>
      <c r="Q573" s="107"/>
      <c r="R573" s="107"/>
      <c r="S573" s="107"/>
      <c r="T573" s="107"/>
      <c r="U573" s="107"/>
      <c r="V573" s="107"/>
      <c r="W573" s="107"/>
      <c r="X573" s="107"/>
    </row>
    <row r="574" spans="1:24" ht="12.75">
      <c r="A574" s="109"/>
      <c r="B574" s="110"/>
      <c r="C574" s="110"/>
      <c r="D574" s="110"/>
      <c r="E574" s="110"/>
      <c r="F574" s="110"/>
      <c r="G574" s="110"/>
      <c r="H574" s="110"/>
      <c r="I574" s="118"/>
      <c r="J574" s="118"/>
      <c r="K574" s="107"/>
      <c r="L574" s="107"/>
      <c r="M574" s="107"/>
      <c r="N574" s="107"/>
      <c r="O574" s="107"/>
      <c r="P574" s="107"/>
      <c r="Q574" s="107"/>
      <c r="R574" s="107"/>
      <c r="S574" s="107"/>
      <c r="T574" s="107"/>
      <c r="U574" s="107"/>
      <c r="V574" s="107"/>
      <c r="W574" s="107"/>
      <c r="X574" s="107"/>
    </row>
    <row r="575" spans="1:24" ht="12.75">
      <c r="A575" s="109"/>
      <c r="B575" s="110"/>
      <c r="C575" s="110"/>
      <c r="D575" s="110"/>
      <c r="E575" s="110"/>
      <c r="F575" s="110"/>
      <c r="G575" s="110"/>
      <c r="H575" s="110"/>
      <c r="I575" s="118"/>
      <c r="J575" s="118"/>
      <c r="K575" s="107"/>
      <c r="L575" s="107"/>
      <c r="M575" s="107"/>
      <c r="N575" s="107"/>
      <c r="O575" s="107"/>
      <c r="P575" s="107"/>
      <c r="Q575" s="107"/>
      <c r="R575" s="107"/>
      <c r="S575" s="107"/>
      <c r="T575" s="107"/>
      <c r="U575" s="107"/>
      <c r="V575" s="107"/>
      <c r="W575" s="107"/>
      <c r="X575" s="107"/>
    </row>
    <row r="576" spans="1:24" ht="12.75">
      <c r="A576" s="109"/>
      <c r="B576" s="110"/>
      <c r="C576" s="110"/>
      <c r="D576" s="110"/>
      <c r="E576" s="110"/>
      <c r="F576" s="110"/>
      <c r="G576" s="110"/>
      <c r="H576" s="110"/>
      <c r="I576" s="118"/>
      <c r="J576" s="118"/>
      <c r="K576" s="107"/>
      <c r="L576" s="107"/>
      <c r="M576" s="107"/>
      <c r="N576" s="107"/>
      <c r="O576" s="107"/>
      <c r="P576" s="107"/>
      <c r="Q576" s="107"/>
      <c r="R576" s="107"/>
      <c r="S576" s="107"/>
      <c r="T576" s="107"/>
      <c r="U576" s="107"/>
      <c r="V576" s="107"/>
      <c r="W576" s="107"/>
      <c r="X576" s="107"/>
    </row>
    <row r="577" spans="1:24" ht="12.75">
      <c r="A577" s="109"/>
      <c r="B577" s="110"/>
      <c r="C577" s="110"/>
      <c r="D577" s="110"/>
      <c r="E577" s="110"/>
      <c r="F577" s="110"/>
      <c r="G577" s="110"/>
      <c r="H577" s="110"/>
      <c r="I577" s="118"/>
      <c r="J577" s="118"/>
      <c r="K577" s="107"/>
      <c r="L577" s="107"/>
      <c r="M577" s="107"/>
      <c r="N577" s="107"/>
      <c r="O577" s="107"/>
      <c r="P577" s="107"/>
      <c r="Q577" s="107"/>
      <c r="R577" s="107"/>
      <c r="S577" s="107"/>
      <c r="T577" s="107"/>
      <c r="U577" s="107"/>
      <c r="V577" s="107"/>
      <c r="W577" s="107"/>
      <c r="X577" s="107"/>
    </row>
    <row r="578" spans="1:24" ht="12.75">
      <c r="A578" s="109"/>
      <c r="B578" s="110"/>
      <c r="C578" s="110"/>
      <c r="D578" s="110"/>
      <c r="E578" s="110"/>
      <c r="F578" s="110"/>
      <c r="G578" s="110"/>
      <c r="H578" s="110"/>
      <c r="I578" s="118"/>
      <c r="J578" s="118"/>
      <c r="K578" s="107"/>
      <c r="L578" s="107"/>
      <c r="M578" s="107"/>
      <c r="N578" s="107"/>
      <c r="O578" s="107"/>
      <c r="P578" s="107"/>
      <c r="Q578" s="107"/>
      <c r="R578" s="107"/>
      <c r="S578" s="107"/>
      <c r="T578" s="107"/>
      <c r="U578" s="107"/>
      <c r="V578" s="107"/>
      <c r="W578" s="107"/>
      <c r="X578" s="107"/>
    </row>
    <row r="579" spans="1:24" ht="12.75">
      <c r="A579" s="109"/>
      <c r="B579" s="110"/>
      <c r="C579" s="110"/>
      <c r="D579" s="110"/>
      <c r="E579" s="110"/>
      <c r="F579" s="110"/>
      <c r="G579" s="110"/>
      <c r="H579" s="110"/>
      <c r="I579" s="118"/>
      <c r="J579" s="118"/>
      <c r="K579" s="107"/>
      <c r="L579" s="107"/>
      <c r="M579" s="107"/>
      <c r="N579" s="107"/>
      <c r="O579" s="107"/>
      <c r="P579" s="107"/>
      <c r="Q579" s="107"/>
      <c r="R579" s="107"/>
      <c r="S579" s="107"/>
      <c r="T579" s="107"/>
      <c r="U579" s="107"/>
      <c r="V579" s="107"/>
      <c r="W579" s="107"/>
      <c r="X579" s="107"/>
    </row>
    <row r="580" spans="1:24" ht="12.75">
      <c r="A580" s="109"/>
      <c r="B580" s="110"/>
      <c r="C580" s="110"/>
      <c r="D580" s="110"/>
      <c r="E580" s="110"/>
      <c r="F580" s="110"/>
      <c r="G580" s="110"/>
      <c r="H580" s="110"/>
      <c r="I580" s="118"/>
      <c r="J580" s="118"/>
      <c r="K580" s="107"/>
      <c r="L580" s="107"/>
      <c r="M580" s="107"/>
      <c r="N580" s="107"/>
      <c r="O580" s="107"/>
      <c r="P580" s="107"/>
      <c r="Q580" s="107"/>
      <c r="R580" s="107"/>
      <c r="S580" s="107"/>
      <c r="T580" s="107"/>
      <c r="U580" s="107"/>
      <c r="V580" s="107"/>
      <c r="W580" s="107"/>
      <c r="X580" s="107"/>
    </row>
    <row r="581" spans="1:24" ht="12.75">
      <c r="A581" s="109"/>
      <c r="B581" s="110"/>
      <c r="C581" s="110"/>
      <c r="D581" s="110"/>
      <c r="E581" s="110"/>
      <c r="F581" s="110"/>
      <c r="G581" s="110"/>
      <c r="H581" s="110"/>
      <c r="I581" s="118"/>
      <c r="J581" s="118"/>
      <c r="K581" s="107"/>
      <c r="L581" s="107"/>
      <c r="M581" s="107"/>
      <c r="N581" s="107"/>
      <c r="O581" s="107"/>
      <c r="P581" s="107"/>
      <c r="Q581" s="107"/>
      <c r="R581" s="107"/>
      <c r="S581" s="107"/>
      <c r="T581" s="107"/>
      <c r="U581" s="107"/>
      <c r="V581" s="107"/>
      <c r="W581" s="107"/>
      <c r="X581" s="107"/>
    </row>
    <row r="582" spans="1:24" ht="12.75">
      <c r="A582" s="109"/>
      <c r="B582" s="110"/>
      <c r="C582" s="110"/>
      <c r="D582" s="110"/>
      <c r="E582" s="110"/>
      <c r="F582" s="110"/>
      <c r="G582" s="110"/>
      <c r="H582" s="110"/>
      <c r="I582" s="118"/>
      <c r="J582" s="118"/>
      <c r="K582" s="107"/>
      <c r="L582" s="107"/>
      <c r="M582" s="107"/>
      <c r="N582" s="107"/>
      <c r="O582" s="107"/>
      <c r="P582" s="107"/>
      <c r="Q582" s="107"/>
      <c r="R582" s="107"/>
      <c r="S582" s="107"/>
      <c r="T582" s="107"/>
      <c r="U582" s="107"/>
      <c r="V582" s="107"/>
      <c r="W582" s="107"/>
      <c r="X582" s="107"/>
    </row>
    <row r="583" spans="1:24" ht="12.75">
      <c r="A583" s="109"/>
      <c r="B583" s="110"/>
      <c r="C583" s="110"/>
      <c r="D583" s="110"/>
      <c r="E583" s="110"/>
      <c r="F583" s="110"/>
      <c r="G583" s="110"/>
      <c r="H583" s="110"/>
      <c r="I583" s="118"/>
      <c r="J583" s="118"/>
      <c r="K583" s="107"/>
      <c r="L583" s="107"/>
      <c r="M583" s="107"/>
      <c r="N583" s="107"/>
      <c r="O583" s="107"/>
      <c r="P583" s="107"/>
      <c r="Q583" s="107"/>
      <c r="R583" s="107"/>
      <c r="S583" s="107"/>
      <c r="T583" s="107"/>
      <c r="U583" s="107"/>
      <c r="V583" s="107"/>
      <c r="W583" s="107"/>
      <c r="X583" s="107"/>
    </row>
    <row r="584" spans="1:24" ht="12.75">
      <c r="A584" s="109"/>
      <c r="B584" s="110"/>
      <c r="C584" s="110"/>
      <c r="D584" s="110"/>
      <c r="E584" s="110"/>
      <c r="F584" s="110"/>
      <c r="G584" s="110"/>
      <c r="H584" s="110"/>
      <c r="I584" s="118"/>
      <c r="J584" s="118"/>
      <c r="K584" s="107"/>
      <c r="L584" s="107"/>
      <c r="M584" s="107"/>
      <c r="N584" s="107"/>
      <c r="O584" s="107"/>
      <c r="P584" s="107"/>
      <c r="Q584" s="107"/>
      <c r="R584" s="107"/>
      <c r="S584" s="107"/>
      <c r="T584" s="107"/>
      <c r="U584" s="107"/>
      <c r="V584" s="107"/>
      <c r="W584" s="107"/>
      <c r="X584" s="107"/>
    </row>
    <row r="585" spans="1:24" ht="12.75">
      <c r="A585" s="109"/>
      <c r="B585" s="110"/>
      <c r="C585" s="110"/>
      <c r="D585" s="110"/>
      <c r="E585" s="110"/>
      <c r="F585" s="110"/>
      <c r="G585" s="110"/>
      <c r="H585" s="110"/>
      <c r="I585" s="118"/>
      <c r="J585" s="118"/>
      <c r="K585" s="107"/>
      <c r="L585" s="107"/>
      <c r="M585" s="107"/>
      <c r="N585" s="107"/>
      <c r="O585" s="107"/>
      <c r="P585" s="107"/>
      <c r="Q585" s="107"/>
      <c r="R585" s="107"/>
      <c r="S585" s="107"/>
      <c r="T585" s="107"/>
      <c r="U585" s="107"/>
      <c r="V585" s="107"/>
      <c r="W585" s="107"/>
      <c r="X585" s="107"/>
    </row>
    <row r="586" spans="1:24" ht="12.75">
      <c r="A586" s="109"/>
      <c r="B586" s="110"/>
      <c r="C586" s="110"/>
      <c r="D586" s="110"/>
      <c r="E586" s="110"/>
      <c r="F586" s="110"/>
      <c r="G586" s="110"/>
      <c r="H586" s="110"/>
      <c r="I586" s="118"/>
      <c r="J586" s="118"/>
      <c r="K586" s="107"/>
      <c r="L586" s="107"/>
      <c r="M586" s="107"/>
      <c r="N586" s="107"/>
      <c r="O586" s="107"/>
      <c r="P586" s="107"/>
      <c r="Q586" s="107"/>
      <c r="R586" s="107"/>
      <c r="S586" s="107"/>
      <c r="T586" s="107"/>
      <c r="U586" s="107"/>
      <c r="V586" s="107"/>
      <c r="W586" s="107"/>
      <c r="X586" s="107"/>
    </row>
    <row r="587" spans="1:24" ht="12.75">
      <c r="A587" s="109"/>
      <c r="B587" s="110"/>
      <c r="C587" s="110"/>
      <c r="D587" s="110"/>
      <c r="E587" s="110"/>
      <c r="F587" s="110"/>
      <c r="G587" s="110"/>
      <c r="H587" s="110"/>
      <c r="I587" s="118"/>
      <c r="J587" s="118"/>
      <c r="K587" s="107"/>
      <c r="L587" s="107"/>
      <c r="M587" s="107"/>
      <c r="N587" s="107"/>
      <c r="O587" s="107"/>
      <c r="P587" s="107"/>
      <c r="Q587" s="107"/>
      <c r="R587" s="107"/>
      <c r="S587" s="107"/>
      <c r="T587" s="107"/>
      <c r="U587" s="107"/>
      <c r="V587" s="107"/>
      <c r="W587" s="107"/>
      <c r="X587" s="107"/>
    </row>
    <row r="588" spans="1:24" ht="12.75">
      <c r="A588" s="109"/>
      <c r="B588" s="110"/>
      <c r="C588" s="110"/>
      <c r="D588" s="110"/>
      <c r="E588" s="110"/>
      <c r="F588" s="110"/>
      <c r="G588" s="110"/>
      <c r="H588" s="110"/>
      <c r="I588" s="118"/>
      <c r="J588" s="118"/>
      <c r="K588" s="107"/>
      <c r="L588" s="107"/>
      <c r="M588" s="107"/>
      <c r="N588" s="107"/>
      <c r="O588" s="107"/>
      <c r="P588" s="107"/>
      <c r="Q588" s="107"/>
      <c r="R588" s="107"/>
      <c r="S588" s="107"/>
      <c r="T588" s="107"/>
      <c r="U588" s="107"/>
      <c r="V588" s="107"/>
      <c r="W588" s="107"/>
      <c r="X588" s="107"/>
    </row>
    <row r="589" spans="1:24" ht="12.75">
      <c r="A589" s="109"/>
      <c r="B589" s="110"/>
      <c r="C589" s="110"/>
      <c r="D589" s="110"/>
      <c r="E589" s="110"/>
      <c r="F589" s="110"/>
      <c r="G589" s="110"/>
      <c r="H589" s="110"/>
      <c r="I589" s="118"/>
      <c r="J589" s="118"/>
      <c r="K589" s="107"/>
      <c r="L589" s="107"/>
      <c r="M589" s="107"/>
      <c r="N589" s="107"/>
      <c r="O589" s="107"/>
      <c r="P589" s="107"/>
      <c r="Q589" s="107"/>
      <c r="R589" s="107"/>
      <c r="S589" s="107"/>
      <c r="T589" s="107"/>
      <c r="U589" s="107"/>
      <c r="V589" s="107"/>
      <c r="W589" s="107"/>
      <c r="X589" s="107"/>
    </row>
    <row r="590" spans="1:24" ht="12.75">
      <c r="A590" s="109"/>
      <c r="B590" s="110"/>
      <c r="C590" s="110"/>
      <c r="D590" s="110"/>
      <c r="E590" s="110"/>
      <c r="F590" s="110"/>
      <c r="G590" s="110"/>
      <c r="H590" s="110"/>
      <c r="I590" s="118"/>
      <c r="J590" s="118"/>
      <c r="K590" s="107"/>
      <c r="L590" s="107"/>
      <c r="M590" s="107"/>
      <c r="N590" s="107"/>
      <c r="O590" s="107"/>
      <c r="P590" s="107"/>
      <c r="Q590" s="107"/>
      <c r="R590" s="107"/>
      <c r="S590" s="107"/>
      <c r="T590" s="107"/>
      <c r="U590" s="107"/>
      <c r="V590" s="107"/>
      <c r="W590" s="107"/>
      <c r="X590" s="107"/>
    </row>
    <row r="591" spans="1:24" ht="12.75">
      <c r="A591" s="109"/>
      <c r="B591" s="110"/>
      <c r="C591" s="110"/>
      <c r="D591" s="110"/>
      <c r="E591" s="110"/>
      <c r="F591" s="110"/>
      <c r="G591" s="110"/>
      <c r="H591" s="110"/>
      <c r="I591" s="118"/>
      <c r="J591" s="118"/>
      <c r="K591" s="107"/>
      <c r="L591" s="107"/>
      <c r="M591" s="107"/>
      <c r="N591" s="107"/>
      <c r="O591" s="107"/>
      <c r="P591" s="107"/>
      <c r="Q591" s="107"/>
      <c r="R591" s="107"/>
      <c r="S591" s="107"/>
      <c r="T591" s="107"/>
      <c r="U591" s="107"/>
      <c r="V591" s="107"/>
      <c r="W591" s="107"/>
      <c r="X591" s="107"/>
    </row>
    <row r="592" spans="1:24" ht="12.75">
      <c r="A592" s="109"/>
      <c r="B592" s="110"/>
      <c r="C592" s="110"/>
      <c r="D592" s="110"/>
      <c r="E592" s="110"/>
      <c r="F592" s="110"/>
      <c r="G592" s="110"/>
      <c r="H592" s="110"/>
      <c r="I592" s="118"/>
      <c r="J592" s="118"/>
      <c r="K592" s="107"/>
      <c r="L592" s="107"/>
      <c r="M592" s="107"/>
      <c r="N592" s="107"/>
      <c r="O592" s="107"/>
      <c r="P592" s="107"/>
      <c r="Q592" s="107"/>
      <c r="R592" s="107"/>
      <c r="S592" s="107"/>
      <c r="T592" s="107"/>
      <c r="U592" s="107"/>
      <c r="V592" s="107"/>
      <c r="W592" s="107"/>
      <c r="X592" s="107"/>
    </row>
    <row r="593" spans="1:24" ht="12.75">
      <c r="A593" s="109"/>
      <c r="B593" s="110"/>
      <c r="C593" s="110"/>
      <c r="D593" s="110"/>
      <c r="E593" s="110"/>
      <c r="F593" s="110"/>
      <c r="G593" s="110"/>
      <c r="H593" s="110"/>
      <c r="I593" s="118"/>
      <c r="J593" s="118"/>
      <c r="K593" s="107"/>
      <c r="L593" s="107"/>
      <c r="M593" s="107"/>
      <c r="N593" s="107"/>
      <c r="O593" s="107"/>
      <c r="P593" s="107"/>
      <c r="Q593" s="107"/>
      <c r="R593" s="107"/>
      <c r="S593" s="107"/>
      <c r="T593" s="107"/>
      <c r="U593" s="107"/>
      <c r="V593" s="107"/>
      <c r="W593" s="107"/>
      <c r="X593" s="107"/>
    </row>
    <row r="594" spans="1:24" ht="12.75">
      <c r="A594" s="109"/>
      <c r="B594" s="110"/>
      <c r="C594" s="110"/>
      <c r="D594" s="110"/>
      <c r="E594" s="110"/>
      <c r="F594" s="110"/>
      <c r="G594" s="110"/>
      <c r="H594" s="110"/>
      <c r="I594" s="118"/>
      <c r="J594" s="118"/>
      <c r="K594" s="107"/>
      <c r="L594" s="107"/>
      <c r="M594" s="107"/>
      <c r="N594" s="107"/>
      <c r="O594" s="107"/>
      <c r="P594" s="107"/>
      <c r="Q594" s="107"/>
      <c r="R594" s="107"/>
      <c r="S594" s="107"/>
      <c r="T594" s="107"/>
      <c r="U594" s="107"/>
      <c r="V594" s="107"/>
      <c r="W594" s="107"/>
      <c r="X594" s="107"/>
    </row>
    <row r="595" spans="1:24" ht="12.75">
      <c r="A595" s="109"/>
      <c r="B595" s="110"/>
      <c r="C595" s="110"/>
      <c r="D595" s="110"/>
      <c r="E595" s="110"/>
      <c r="F595" s="110"/>
      <c r="G595" s="110"/>
      <c r="H595" s="110"/>
      <c r="I595" s="118"/>
      <c r="J595" s="118"/>
      <c r="K595" s="107"/>
      <c r="L595" s="107"/>
      <c r="M595" s="107"/>
      <c r="N595" s="107"/>
      <c r="O595" s="107"/>
      <c r="P595" s="107"/>
      <c r="Q595" s="107"/>
      <c r="R595" s="107"/>
      <c r="S595" s="107"/>
      <c r="T595" s="107"/>
      <c r="U595" s="107"/>
      <c r="V595" s="107"/>
      <c r="W595" s="107"/>
      <c r="X595" s="107"/>
    </row>
    <row r="596" spans="1:24" ht="12.75">
      <c r="A596" s="109"/>
      <c r="B596" s="110"/>
      <c r="C596" s="110"/>
      <c r="D596" s="110"/>
      <c r="E596" s="110"/>
      <c r="F596" s="110"/>
      <c r="G596" s="110"/>
      <c r="H596" s="110"/>
      <c r="I596" s="118"/>
      <c r="J596" s="118"/>
      <c r="K596" s="107"/>
      <c r="L596" s="107"/>
      <c r="M596" s="107"/>
      <c r="N596" s="107"/>
      <c r="O596" s="107"/>
      <c r="P596" s="107"/>
      <c r="Q596" s="107"/>
      <c r="R596" s="107"/>
      <c r="S596" s="107"/>
      <c r="T596" s="107"/>
      <c r="U596" s="107"/>
      <c r="V596" s="107"/>
      <c r="W596" s="107"/>
      <c r="X596" s="107"/>
    </row>
    <row r="597" spans="1:24" ht="12.75">
      <c r="A597" s="109"/>
      <c r="B597" s="110"/>
      <c r="C597" s="110"/>
      <c r="D597" s="110"/>
      <c r="E597" s="110"/>
      <c r="F597" s="110"/>
      <c r="G597" s="110"/>
      <c r="H597" s="110"/>
      <c r="I597" s="118"/>
      <c r="J597" s="118"/>
      <c r="K597" s="107"/>
      <c r="L597" s="107"/>
      <c r="M597" s="107"/>
      <c r="N597" s="107"/>
      <c r="O597" s="107"/>
      <c r="P597" s="107"/>
      <c r="Q597" s="107"/>
      <c r="R597" s="107"/>
      <c r="S597" s="107"/>
      <c r="T597" s="107"/>
      <c r="U597" s="107"/>
      <c r="V597" s="107"/>
      <c r="W597" s="107"/>
      <c r="X597" s="107"/>
    </row>
    <row r="598" spans="1:24" ht="12.75">
      <c r="A598" s="109"/>
      <c r="B598" s="110"/>
      <c r="C598" s="110"/>
      <c r="D598" s="110"/>
      <c r="E598" s="110"/>
      <c r="F598" s="110"/>
      <c r="G598" s="110"/>
      <c r="H598" s="110"/>
      <c r="I598" s="118"/>
      <c r="J598" s="118"/>
      <c r="K598" s="107"/>
      <c r="L598" s="107"/>
      <c r="M598" s="107"/>
      <c r="N598" s="107"/>
      <c r="O598" s="107"/>
      <c r="P598" s="107"/>
      <c r="Q598" s="107"/>
      <c r="R598" s="107"/>
      <c r="S598" s="107"/>
      <c r="T598" s="107"/>
      <c r="U598" s="107"/>
      <c r="V598" s="107"/>
      <c r="W598" s="107"/>
      <c r="X598" s="107"/>
    </row>
    <row r="599" spans="1:24" ht="12.75">
      <c r="A599" s="109"/>
      <c r="B599" s="110"/>
      <c r="C599" s="110"/>
      <c r="D599" s="110"/>
      <c r="E599" s="110"/>
      <c r="F599" s="110"/>
      <c r="G599" s="110"/>
      <c r="H599" s="110"/>
      <c r="I599" s="118"/>
      <c r="J599" s="118"/>
      <c r="K599" s="107"/>
      <c r="L599" s="107"/>
      <c r="M599" s="107"/>
      <c r="N599" s="107"/>
      <c r="O599" s="107"/>
      <c r="P599" s="107"/>
      <c r="Q599" s="107"/>
      <c r="R599" s="107"/>
      <c r="S599" s="107"/>
      <c r="T599" s="107"/>
      <c r="U599" s="107"/>
      <c r="V599" s="107"/>
      <c r="W599" s="107"/>
      <c r="X599" s="107"/>
    </row>
    <row r="600" spans="1:24" ht="12.75">
      <c r="A600" s="109"/>
      <c r="B600" s="110"/>
      <c r="C600" s="110"/>
      <c r="D600" s="110"/>
      <c r="E600" s="110"/>
      <c r="F600" s="110"/>
      <c r="G600" s="110"/>
      <c r="H600" s="110"/>
      <c r="I600" s="118"/>
      <c r="J600" s="118"/>
      <c r="K600" s="107"/>
      <c r="L600" s="107"/>
      <c r="M600" s="107"/>
      <c r="N600" s="107"/>
      <c r="O600" s="107"/>
      <c r="P600" s="107"/>
      <c r="Q600" s="107"/>
      <c r="R600" s="107"/>
      <c r="S600" s="107"/>
      <c r="T600" s="107"/>
      <c r="U600" s="107"/>
      <c r="V600" s="107"/>
      <c r="W600" s="107"/>
      <c r="X600" s="107"/>
    </row>
    <row r="601" spans="1:24" ht="12.75">
      <c r="A601" s="109"/>
      <c r="B601" s="110"/>
      <c r="C601" s="110"/>
      <c r="D601" s="110"/>
      <c r="E601" s="110"/>
      <c r="F601" s="110"/>
      <c r="G601" s="110"/>
      <c r="H601" s="110"/>
      <c r="I601" s="118"/>
      <c r="J601" s="118"/>
      <c r="K601" s="107"/>
      <c r="L601" s="107"/>
      <c r="M601" s="107"/>
      <c r="N601" s="107"/>
      <c r="O601" s="107"/>
      <c r="P601" s="107"/>
      <c r="Q601" s="107"/>
      <c r="R601" s="107"/>
      <c r="S601" s="107"/>
      <c r="T601" s="107"/>
      <c r="U601" s="107"/>
      <c r="V601" s="107"/>
      <c r="W601" s="107"/>
      <c r="X601" s="107"/>
    </row>
    <row r="602" spans="1:24" ht="12.75">
      <c r="A602" s="109"/>
      <c r="B602" s="110"/>
      <c r="C602" s="110"/>
      <c r="D602" s="110"/>
      <c r="E602" s="110"/>
      <c r="F602" s="110"/>
      <c r="G602" s="110"/>
      <c r="H602" s="110"/>
      <c r="I602" s="118"/>
      <c r="J602" s="118"/>
      <c r="K602" s="107"/>
      <c r="L602" s="107"/>
      <c r="M602" s="107"/>
      <c r="N602" s="107"/>
      <c r="O602" s="107"/>
      <c r="P602" s="107"/>
      <c r="Q602" s="107"/>
      <c r="R602" s="107"/>
      <c r="S602" s="107"/>
      <c r="T602" s="107"/>
      <c r="U602" s="107"/>
      <c r="V602" s="107"/>
      <c r="W602" s="107"/>
      <c r="X602" s="107"/>
    </row>
    <row r="603" spans="1:24" ht="12.75">
      <c r="A603" s="109"/>
      <c r="B603" s="110"/>
      <c r="C603" s="110"/>
      <c r="D603" s="110"/>
      <c r="E603" s="110"/>
      <c r="F603" s="110"/>
      <c r="G603" s="110"/>
      <c r="H603" s="110"/>
      <c r="I603" s="118"/>
      <c r="J603" s="118"/>
      <c r="K603" s="107"/>
      <c r="L603" s="107"/>
      <c r="M603" s="107"/>
      <c r="N603" s="107"/>
      <c r="O603" s="107"/>
      <c r="P603" s="107"/>
      <c r="Q603" s="107"/>
      <c r="R603" s="107"/>
      <c r="S603" s="107"/>
      <c r="T603" s="107"/>
      <c r="U603" s="107"/>
      <c r="V603" s="107"/>
      <c r="W603" s="107"/>
      <c r="X603" s="107"/>
    </row>
    <row r="604" spans="1:24" ht="12.75">
      <c r="A604" s="109"/>
      <c r="B604" s="110"/>
      <c r="C604" s="110"/>
      <c r="D604" s="110"/>
      <c r="E604" s="110"/>
      <c r="F604" s="110"/>
      <c r="G604" s="110"/>
      <c r="H604" s="110"/>
      <c r="I604" s="118"/>
      <c r="J604" s="118"/>
      <c r="K604" s="107"/>
      <c r="L604" s="107"/>
      <c r="M604" s="107"/>
      <c r="N604" s="107"/>
      <c r="O604" s="107"/>
      <c r="P604" s="107"/>
      <c r="Q604" s="107"/>
      <c r="R604" s="107"/>
      <c r="S604" s="107"/>
      <c r="T604" s="107"/>
      <c r="U604" s="107"/>
      <c r="V604" s="107"/>
      <c r="W604" s="107"/>
      <c r="X604" s="107"/>
    </row>
    <row r="605" spans="1:24" ht="12.75">
      <c r="A605" s="109"/>
      <c r="B605" s="110"/>
      <c r="C605" s="110"/>
      <c r="D605" s="110"/>
      <c r="E605" s="110"/>
      <c r="F605" s="110"/>
      <c r="G605" s="110"/>
      <c r="H605" s="110"/>
      <c r="I605" s="118"/>
      <c r="J605" s="118"/>
      <c r="K605" s="107"/>
      <c r="L605" s="107"/>
      <c r="M605" s="107"/>
      <c r="N605" s="107"/>
      <c r="O605" s="107"/>
      <c r="P605" s="107"/>
      <c r="Q605" s="107"/>
      <c r="R605" s="107"/>
      <c r="S605" s="107"/>
      <c r="T605" s="107"/>
      <c r="U605" s="107"/>
      <c r="V605" s="107"/>
      <c r="W605" s="107"/>
      <c r="X605" s="107"/>
    </row>
    <row r="606" spans="1:24" ht="12.75">
      <c r="A606" s="109"/>
      <c r="B606" s="110"/>
      <c r="C606" s="110"/>
      <c r="D606" s="110"/>
      <c r="E606" s="110"/>
      <c r="F606" s="110"/>
      <c r="G606" s="110"/>
      <c r="H606" s="110"/>
      <c r="I606" s="118"/>
      <c r="J606" s="118"/>
      <c r="K606" s="107"/>
      <c r="L606" s="107"/>
      <c r="M606" s="107"/>
      <c r="N606" s="107"/>
      <c r="O606" s="107"/>
      <c r="P606" s="107"/>
      <c r="Q606" s="107"/>
      <c r="R606" s="107"/>
      <c r="S606" s="107"/>
      <c r="T606" s="107"/>
      <c r="U606" s="107"/>
      <c r="V606" s="107"/>
      <c r="W606" s="107"/>
      <c r="X606" s="107"/>
    </row>
    <row r="607" spans="1:24" ht="12.75">
      <c r="A607" s="109"/>
      <c r="B607" s="110"/>
      <c r="C607" s="110"/>
      <c r="D607" s="110"/>
      <c r="E607" s="110"/>
      <c r="F607" s="110"/>
      <c r="G607" s="110"/>
      <c r="H607" s="110"/>
      <c r="I607" s="118"/>
      <c r="J607" s="118"/>
      <c r="K607" s="107"/>
      <c r="L607" s="107"/>
      <c r="M607" s="107"/>
      <c r="N607" s="107"/>
      <c r="O607" s="107"/>
      <c r="P607" s="107"/>
      <c r="Q607" s="107"/>
      <c r="R607" s="107"/>
      <c r="S607" s="107"/>
      <c r="T607" s="107"/>
      <c r="U607" s="107"/>
      <c r="V607" s="107"/>
      <c r="W607" s="107"/>
      <c r="X607" s="107"/>
    </row>
    <row r="608" spans="1:24" ht="12.75">
      <c r="A608" s="109"/>
      <c r="B608" s="110"/>
      <c r="C608" s="110"/>
      <c r="D608" s="110"/>
      <c r="E608" s="110"/>
      <c r="F608" s="110"/>
      <c r="G608" s="110"/>
      <c r="H608" s="110"/>
      <c r="I608" s="118"/>
      <c r="J608" s="118"/>
      <c r="K608" s="107"/>
      <c r="L608" s="107"/>
      <c r="M608" s="107"/>
      <c r="N608" s="107"/>
      <c r="O608" s="107"/>
      <c r="P608" s="107"/>
      <c r="Q608" s="107"/>
      <c r="R608" s="107"/>
      <c r="S608" s="107"/>
      <c r="T608" s="107"/>
      <c r="U608" s="107"/>
      <c r="V608" s="107"/>
      <c r="W608" s="107"/>
      <c r="X608" s="107"/>
    </row>
    <row r="609" spans="1:24" ht="12.75">
      <c r="A609" s="109"/>
      <c r="B609" s="110"/>
      <c r="C609" s="110"/>
      <c r="D609" s="110"/>
      <c r="E609" s="110"/>
      <c r="F609" s="110"/>
      <c r="G609" s="110"/>
      <c r="H609" s="110"/>
      <c r="I609" s="118"/>
      <c r="J609" s="118"/>
      <c r="K609" s="107"/>
      <c r="L609" s="107"/>
      <c r="M609" s="107"/>
      <c r="N609" s="107"/>
      <c r="O609" s="107"/>
      <c r="P609" s="107"/>
      <c r="Q609" s="107"/>
      <c r="R609" s="107"/>
      <c r="S609" s="107"/>
      <c r="T609" s="107"/>
      <c r="U609" s="107"/>
      <c r="V609" s="107"/>
      <c r="W609" s="107"/>
      <c r="X609" s="107"/>
    </row>
    <row r="610" spans="1:24" ht="12.75">
      <c r="A610" s="109"/>
      <c r="B610" s="110"/>
      <c r="C610" s="110"/>
      <c r="D610" s="110"/>
      <c r="E610" s="110"/>
      <c r="F610" s="110"/>
      <c r="G610" s="110"/>
      <c r="H610" s="110"/>
      <c r="I610" s="118"/>
      <c r="J610" s="118"/>
      <c r="K610" s="107"/>
      <c r="L610" s="107"/>
      <c r="M610" s="107"/>
      <c r="N610" s="107"/>
      <c r="O610" s="107"/>
      <c r="P610" s="107"/>
      <c r="Q610" s="107"/>
      <c r="R610" s="107"/>
      <c r="S610" s="107"/>
      <c r="T610" s="107"/>
      <c r="U610" s="107"/>
      <c r="V610" s="107"/>
      <c r="W610" s="107"/>
      <c r="X610" s="107"/>
    </row>
    <row r="611" spans="1:24" ht="12.75">
      <c r="A611" s="109"/>
      <c r="B611" s="110"/>
      <c r="C611" s="110"/>
      <c r="D611" s="110"/>
      <c r="E611" s="110"/>
      <c r="F611" s="110"/>
      <c r="G611" s="110"/>
      <c r="H611" s="110"/>
      <c r="I611" s="118"/>
      <c r="J611" s="118"/>
      <c r="K611" s="107"/>
      <c r="L611" s="107"/>
      <c r="M611" s="107"/>
      <c r="N611" s="107"/>
      <c r="O611" s="107"/>
      <c r="P611" s="107"/>
      <c r="Q611" s="107"/>
      <c r="R611" s="107"/>
      <c r="S611" s="107"/>
      <c r="T611" s="107"/>
      <c r="U611" s="107"/>
      <c r="V611" s="107"/>
      <c r="W611" s="107"/>
      <c r="X611" s="107"/>
    </row>
    <row r="612" spans="1:24" ht="12.75">
      <c r="A612" s="109"/>
      <c r="B612" s="110"/>
      <c r="C612" s="110"/>
      <c r="D612" s="110"/>
      <c r="E612" s="110"/>
      <c r="F612" s="110"/>
      <c r="G612" s="110"/>
      <c r="H612" s="110"/>
      <c r="I612" s="118"/>
      <c r="J612" s="118"/>
      <c r="K612" s="107"/>
      <c r="L612" s="107"/>
      <c r="M612" s="107"/>
      <c r="N612" s="107"/>
      <c r="O612" s="107"/>
      <c r="P612" s="107"/>
      <c r="Q612" s="107"/>
      <c r="R612" s="107"/>
      <c r="S612" s="107"/>
      <c r="T612" s="107"/>
      <c r="U612" s="107"/>
      <c r="V612" s="107"/>
      <c r="W612" s="107"/>
      <c r="X612" s="107"/>
    </row>
    <row r="613" spans="1:24" ht="12.75">
      <c r="A613" s="109"/>
      <c r="B613" s="110"/>
      <c r="C613" s="110"/>
      <c r="D613" s="110"/>
      <c r="E613" s="110"/>
      <c r="F613" s="110"/>
      <c r="G613" s="110"/>
      <c r="H613" s="110"/>
      <c r="I613" s="118"/>
      <c r="J613" s="118"/>
      <c r="K613" s="107"/>
      <c r="L613" s="107"/>
      <c r="M613" s="107"/>
      <c r="N613" s="107"/>
      <c r="O613" s="107"/>
      <c r="P613" s="107"/>
      <c r="Q613" s="107"/>
      <c r="R613" s="107"/>
      <c r="S613" s="107"/>
      <c r="T613" s="107"/>
      <c r="U613" s="107"/>
      <c r="V613" s="107"/>
      <c r="W613" s="107"/>
      <c r="X613" s="107"/>
    </row>
    <row r="614" spans="1:24" ht="12.75">
      <c r="A614" s="109"/>
      <c r="B614" s="110"/>
      <c r="C614" s="110"/>
      <c r="D614" s="110"/>
      <c r="E614" s="110"/>
      <c r="F614" s="110"/>
      <c r="G614" s="110"/>
      <c r="H614" s="110"/>
      <c r="I614" s="118"/>
      <c r="J614" s="118"/>
      <c r="K614" s="107"/>
      <c r="L614" s="107"/>
      <c r="M614" s="107"/>
      <c r="N614" s="107"/>
      <c r="O614" s="107"/>
      <c r="P614" s="107"/>
      <c r="Q614" s="107"/>
      <c r="R614" s="107"/>
      <c r="S614" s="107"/>
      <c r="T614" s="107"/>
      <c r="U614" s="107"/>
      <c r="V614" s="107"/>
      <c r="W614" s="107"/>
      <c r="X614" s="107"/>
    </row>
    <row r="615" spans="1:24" ht="12.75">
      <c r="A615" s="109"/>
      <c r="B615" s="110"/>
      <c r="C615" s="110"/>
      <c r="D615" s="110"/>
      <c r="E615" s="110"/>
      <c r="F615" s="110"/>
      <c r="G615" s="110"/>
      <c r="H615" s="110"/>
      <c r="I615" s="118"/>
      <c r="J615" s="118"/>
      <c r="K615" s="107"/>
      <c r="L615" s="107"/>
      <c r="M615" s="107"/>
      <c r="N615" s="107"/>
      <c r="O615" s="107"/>
      <c r="P615" s="107"/>
      <c r="Q615" s="107"/>
      <c r="R615" s="107"/>
      <c r="S615" s="107"/>
      <c r="T615" s="107"/>
      <c r="U615" s="107"/>
      <c r="V615" s="107"/>
      <c r="W615" s="107"/>
      <c r="X615" s="107"/>
    </row>
    <row r="616" spans="1:24" ht="12.75">
      <c r="A616" s="109"/>
      <c r="B616" s="110"/>
      <c r="C616" s="110"/>
      <c r="D616" s="110"/>
      <c r="E616" s="110"/>
      <c r="F616" s="110"/>
      <c r="G616" s="110"/>
      <c r="H616" s="110"/>
      <c r="I616" s="118"/>
      <c r="J616" s="118"/>
      <c r="K616" s="107"/>
      <c r="L616" s="107"/>
      <c r="M616" s="107"/>
      <c r="N616" s="107"/>
      <c r="O616" s="107"/>
      <c r="P616" s="107"/>
      <c r="Q616" s="107"/>
      <c r="R616" s="107"/>
      <c r="S616" s="107"/>
      <c r="T616" s="107"/>
      <c r="U616" s="107"/>
      <c r="V616" s="107"/>
      <c r="W616" s="107"/>
      <c r="X616" s="107"/>
    </row>
    <row r="617" spans="1:24" ht="12.75">
      <c r="A617" s="109"/>
      <c r="B617" s="110"/>
      <c r="C617" s="110"/>
      <c r="D617" s="110"/>
      <c r="E617" s="110"/>
      <c r="F617" s="110"/>
      <c r="G617" s="110"/>
      <c r="H617" s="110"/>
      <c r="I617" s="118"/>
      <c r="J617" s="118"/>
      <c r="K617" s="107"/>
      <c r="L617" s="107"/>
      <c r="M617" s="107"/>
      <c r="N617" s="107"/>
      <c r="O617" s="107"/>
      <c r="P617" s="107"/>
      <c r="Q617" s="107"/>
      <c r="R617" s="107"/>
      <c r="S617" s="107"/>
      <c r="T617" s="107"/>
      <c r="U617" s="107"/>
      <c r="V617" s="107"/>
      <c r="W617" s="107"/>
      <c r="X617" s="107"/>
    </row>
    <row r="618" spans="1:24" ht="12.75">
      <c r="A618" s="109"/>
      <c r="B618" s="110"/>
      <c r="C618" s="110"/>
      <c r="D618" s="110"/>
      <c r="E618" s="110"/>
      <c r="F618" s="110"/>
      <c r="G618" s="110"/>
      <c r="H618" s="110"/>
      <c r="I618" s="118"/>
      <c r="J618" s="118"/>
      <c r="K618" s="107"/>
      <c r="L618" s="107"/>
      <c r="M618" s="107"/>
      <c r="N618" s="107"/>
      <c r="O618" s="107"/>
      <c r="P618" s="107"/>
      <c r="Q618" s="107"/>
      <c r="R618" s="107"/>
      <c r="S618" s="107"/>
      <c r="T618" s="107"/>
      <c r="U618" s="107"/>
      <c r="V618" s="107"/>
      <c r="W618" s="107"/>
      <c r="X618" s="107"/>
    </row>
    <row r="619" spans="1:24" ht="12.75">
      <c r="A619" s="109"/>
      <c r="B619" s="110"/>
      <c r="C619" s="110"/>
      <c r="D619" s="110"/>
      <c r="E619" s="110"/>
      <c r="F619" s="110"/>
      <c r="G619" s="110"/>
      <c r="H619" s="110"/>
      <c r="I619" s="118"/>
      <c r="J619" s="118"/>
      <c r="K619" s="107"/>
      <c r="L619" s="107"/>
      <c r="M619" s="107"/>
      <c r="N619" s="107"/>
      <c r="O619" s="107"/>
      <c r="P619" s="107"/>
      <c r="Q619" s="107"/>
      <c r="R619" s="107"/>
      <c r="S619" s="107"/>
      <c r="T619" s="107"/>
      <c r="U619" s="107"/>
      <c r="V619" s="107"/>
      <c r="W619" s="107"/>
      <c r="X619" s="107"/>
    </row>
    <row r="620" spans="1:24" ht="12.75">
      <c r="A620" s="109"/>
      <c r="B620" s="110"/>
      <c r="C620" s="110"/>
      <c r="D620" s="110"/>
      <c r="E620" s="110"/>
      <c r="F620" s="110"/>
      <c r="G620" s="110"/>
      <c r="H620" s="110"/>
      <c r="I620" s="118"/>
      <c r="J620" s="118"/>
      <c r="K620" s="107"/>
      <c r="L620" s="107"/>
      <c r="M620" s="107"/>
      <c r="N620" s="107"/>
      <c r="O620" s="107"/>
      <c r="P620" s="107"/>
      <c r="Q620" s="107"/>
      <c r="R620" s="107"/>
      <c r="S620" s="107"/>
      <c r="T620" s="107"/>
      <c r="U620" s="107"/>
      <c r="V620" s="107"/>
      <c r="W620" s="107"/>
      <c r="X620" s="107"/>
    </row>
    <row r="621" spans="1:24" ht="12.75">
      <c r="A621" s="109"/>
      <c r="B621" s="110"/>
      <c r="C621" s="110"/>
      <c r="D621" s="110"/>
      <c r="E621" s="110"/>
      <c r="F621" s="110"/>
      <c r="G621" s="110"/>
      <c r="H621" s="110"/>
      <c r="I621" s="118"/>
      <c r="J621" s="118"/>
      <c r="K621" s="107"/>
      <c r="L621" s="107"/>
      <c r="M621" s="107"/>
      <c r="N621" s="107"/>
      <c r="O621" s="107"/>
      <c r="P621" s="107"/>
      <c r="Q621" s="107"/>
      <c r="R621" s="107"/>
      <c r="S621" s="107"/>
      <c r="T621" s="107"/>
      <c r="U621" s="107"/>
      <c r="V621" s="107"/>
      <c r="W621" s="107"/>
      <c r="X621" s="107"/>
    </row>
    <row r="622" spans="1:24" ht="12.75">
      <c r="A622" s="109"/>
      <c r="B622" s="110"/>
      <c r="C622" s="110"/>
      <c r="D622" s="110"/>
      <c r="E622" s="110"/>
      <c r="F622" s="110"/>
      <c r="G622" s="110"/>
      <c r="H622" s="110"/>
      <c r="I622" s="118"/>
      <c r="J622" s="118"/>
      <c r="K622" s="107"/>
      <c r="L622" s="107"/>
      <c r="M622" s="107"/>
      <c r="N622" s="107"/>
      <c r="O622" s="107"/>
      <c r="P622" s="107"/>
      <c r="Q622" s="107"/>
      <c r="R622" s="107"/>
      <c r="S622" s="107"/>
      <c r="T622" s="107"/>
      <c r="U622" s="107"/>
      <c r="V622" s="107"/>
      <c r="W622" s="107"/>
      <c r="X622" s="107"/>
    </row>
    <row r="623" spans="1:24" ht="12.75">
      <c r="A623" s="109"/>
      <c r="B623" s="110"/>
      <c r="C623" s="110"/>
      <c r="D623" s="110"/>
      <c r="E623" s="110"/>
      <c r="F623" s="110"/>
      <c r="G623" s="110"/>
      <c r="H623" s="110"/>
      <c r="I623" s="118"/>
      <c r="J623" s="118"/>
      <c r="K623" s="107"/>
      <c r="L623" s="107"/>
      <c r="M623" s="107"/>
      <c r="N623" s="107"/>
      <c r="O623" s="107"/>
      <c r="P623" s="107"/>
      <c r="Q623" s="107"/>
      <c r="R623" s="107"/>
      <c r="S623" s="107"/>
      <c r="T623" s="107"/>
      <c r="U623" s="107"/>
      <c r="V623" s="107"/>
      <c r="W623" s="107"/>
      <c r="X623" s="107"/>
    </row>
    <row r="624" spans="1:24" ht="12.75">
      <c r="A624" s="109"/>
      <c r="B624" s="110"/>
      <c r="C624" s="110"/>
      <c r="D624" s="110"/>
      <c r="E624" s="110"/>
      <c r="F624" s="110"/>
      <c r="G624" s="110"/>
      <c r="H624" s="110"/>
      <c r="I624" s="118"/>
      <c r="J624" s="118"/>
      <c r="K624" s="107"/>
      <c r="L624" s="107"/>
      <c r="M624" s="107"/>
      <c r="N624" s="107"/>
      <c r="O624" s="107"/>
      <c r="P624" s="107"/>
      <c r="Q624" s="107"/>
      <c r="R624" s="107"/>
      <c r="S624" s="107"/>
      <c r="T624" s="107"/>
      <c r="U624" s="107"/>
      <c r="V624" s="107"/>
      <c r="W624" s="107"/>
      <c r="X624" s="107"/>
    </row>
    <row r="625" spans="1:24" ht="12.75">
      <c r="A625" s="109"/>
      <c r="B625" s="110"/>
      <c r="C625" s="110"/>
      <c r="D625" s="110"/>
      <c r="E625" s="110"/>
      <c r="F625" s="110"/>
      <c r="G625" s="110"/>
      <c r="H625" s="110"/>
      <c r="I625" s="118"/>
      <c r="J625" s="118"/>
      <c r="K625" s="107"/>
      <c r="L625" s="107"/>
      <c r="M625" s="107"/>
      <c r="N625" s="107"/>
      <c r="O625" s="107"/>
      <c r="P625" s="107"/>
      <c r="Q625" s="107"/>
      <c r="R625" s="107"/>
      <c r="S625" s="107"/>
      <c r="T625" s="107"/>
      <c r="U625" s="107"/>
      <c r="V625" s="107"/>
      <c r="W625" s="107"/>
      <c r="X625" s="107"/>
    </row>
    <row r="626" spans="1:24" ht="12.75">
      <c r="A626" s="109"/>
      <c r="B626" s="110"/>
      <c r="C626" s="110"/>
      <c r="D626" s="110"/>
      <c r="E626" s="110"/>
      <c r="F626" s="110"/>
      <c r="G626" s="110"/>
      <c r="H626" s="110"/>
      <c r="I626" s="118"/>
      <c r="J626" s="118"/>
      <c r="K626" s="107"/>
      <c r="L626" s="107"/>
      <c r="M626" s="107"/>
      <c r="N626" s="107"/>
      <c r="O626" s="107"/>
      <c r="P626" s="107"/>
      <c r="Q626" s="107"/>
      <c r="R626" s="107"/>
      <c r="S626" s="107"/>
      <c r="T626" s="107"/>
      <c r="U626" s="107"/>
      <c r="V626" s="107"/>
      <c r="W626" s="107"/>
      <c r="X626" s="107"/>
    </row>
    <row r="627" spans="1:24" ht="12.75">
      <c r="A627" s="109"/>
      <c r="B627" s="110"/>
      <c r="C627" s="110"/>
      <c r="D627" s="110"/>
      <c r="E627" s="110"/>
      <c r="F627" s="110"/>
      <c r="G627" s="110"/>
      <c r="H627" s="110"/>
      <c r="I627" s="118"/>
      <c r="J627" s="118"/>
      <c r="K627" s="107"/>
      <c r="L627" s="107"/>
      <c r="M627" s="107"/>
      <c r="N627" s="107"/>
      <c r="O627" s="107"/>
      <c r="P627" s="107"/>
      <c r="Q627" s="107"/>
      <c r="R627" s="107"/>
      <c r="S627" s="107"/>
      <c r="T627" s="107"/>
      <c r="U627" s="107"/>
      <c r="V627" s="107"/>
      <c r="W627" s="107"/>
      <c r="X627" s="107"/>
    </row>
    <row r="628" spans="1:24" ht="12.75">
      <c r="A628" s="109"/>
      <c r="B628" s="110"/>
      <c r="C628" s="110"/>
      <c r="D628" s="110"/>
      <c r="E628" s="110"/>
      <c r="F628" s="110"/>
      <c r="G628" s="110"/>
      <c r="H628" s="110"/>
      <c r="I628" s="118"/>
      <c r="J628" s="118"/>
      <c r="K628" s="107"/>
      <c r="L628" s="107"/>
      <c r="M628" s="107"/>
      <c r="N628" s="107"/>
      <c r="O628" s="107"/>
      <c r="P628" s="107"/>
      <c r="Q628" s="107"/>
      <c r="R628" s="107"/>
      <c r="S628" s="107"/>
      <c r="T628" s="107"/>
      <c r="U628" s="107"/>
      <c r="V628" s="107"/>
      <c r="W628" s="107"/>
      <c r="X628" s="107"/>
    </row>
    <row r="629" spans="1:24" ht="12.75">
      <c r="A629" s="109"/>
      <c r="B629" s="110"/>
      <c r="C629" s="110"/>
      <c r="D629" s="110"/>
      <c r="E629" s="110"/>
      <c r="F629" s="110"/>
      <c r="G629" s="110"/>
      <c r="H629" s="110"/>
      <c r="I629" s="118"/>
      <c r="J629" s="118"/>
      <c r="K629" s="107"/>
      <c r="L629" s="107"/>
      <c r="M629" s="107"/>
      <c r="N629" s="107"/>
      <c r="O629" s="107"/>
      <c r="P629" s="107"/>
      <c r="Q629" s="107"/>
      <c r="R629" s="107"/>
      <c r="S629" s="107"/>
      <c r="T629" s="107"/>
      <c r="U629" s="107"/>
      <c r="V629" s="107"/>
      <c r="W629" s="107"/>
      <c r="X629" s="107"/>
    </row>
    <row r="630" spans="1:24" ht="12.75">
      <c r="A630" s="109"/>
      <c r="B630" s="110"/>
      <c r="C630" s="110"/>
      <c r="D630" s="110"/>
      <c r="E630" s="110"/>
      <c r="F630" s="110"/>
      <c r="G630" s="110"/>
      <c r="H630" s="110"/>
      <c r="I630" s="118"/>
      <c r="J630" s="118"/>
      <c r="K630" s="107"/>
      <c r="L630" s="107"/>
      <c r="M630" s="107"/>
      <c r="N630" s="107"/>
      <c r="O630" s="107"/>
      <c r="P630" s="107"/>
      <c r="Q630" s="107"/>
      <c r="R630" s="107"/>
      <c r="S630" s="107"/>
      <c r="T630" s="107"/>
      <c r="U630" s="107"/>
      <c r="V630" s="107"/>
      <c r="W630" s="107"/>
      <c r="X630" s="107"/>
    </row>
    <row r="631" spans="1:24" ht="12.75">
      <c r="A631" s="109"/>
      <c r="B631" s="110"/>
      <c r="C631" s="110"/>
      <c r="D631" s="110"/>
      <c r="E631" s="110"/>
      <c r="F631" s="110"/>
      <c r="G631" s="110"/>
      <c r="H631" s="110"/>
      <c r="I631" s="118"/>
      <c r="J631" s="118"/>
      <c r="K631" s="107"/>
      <c r="L631" s="107"/>
      <c r="M631" s="107"/>
      <c r="N631" s="107"/>
      <c r="O631" s="107"/>
      <c r="P631" s="107"/>
      <c r="Q631" s="107"/>
      <c r="R631" s="107"/>
      <c r="S631" s="107"/>
      <c r="T631" s="107"/>
      <c r="U631" s="107"/>
      <c r="V631" s="107"/>
      <c r="W631" s="107"/>
      <c r="X631" s="107"/>
    </row>
    <row r="632" spans="1:24" ht="12.75">
      <c r="A632" s="109"/>
      <c r="B632" s="110"/>
      <c r="C632" s="110"/>
      <c r="D632" s="110"/>
      <c r="E632" s="110"/>
      <c r="F632" s="110"/>
      <c r="G632" s="110"/>
      <c r="H632" s="110"/>
      <c r="I632" s="118"/>
      <c r="J632" s="118"/>
      <c r="K632" s="107"/>
      <c r="L632" s="107"/>
      <c r="M632" s="107"/>
      <c r="N632" s="107"/>
      <c r="O632" s="107"/>
      <c r="P632" s="107"/>
      <c r="Q632" s="107"/>
      <c r="R632" s="107"/>
      <c r="S632" s="107"/>
      <c r="T632" s="107"/>
      <c r="U632" s="107"/>
      <c r="V632" s="107"/>
      <c r="W632" s="107"/>
      <c r="X632" s="107"/>
    </row>
    <row r="633" spans="1:24" ht="12.75">
      <c r="A633" s="109"/>
      <c r="B633" s="110"/>
      <c r="C633" s="110"/>
      <c r="D633" s="110"/>
      <c r="E633" s="110"/>
      <c r="F633" s="110"/>
      <c r="G633" s="110"/>
      <c r="H633" s="110"/>
      <c r="I633" s="118"/>
      <c r="J633" s="118"/>
      <c r="K633" s="107"/>
      <c r="L633" s="107"/>
      <c r="M633" s="107"/>
      <c r="N633" s="107"/>
      <c r="O633" s="107"/>
      <c r="P633" s="107"/>
      <c r="Q633" s="107"/>
      <c r="R633" s="107"/>
      <c r="S633" s="107"/>
      <c r="T633" s="107"/>
      <c r="U633" s="107"/>
      <c r="V633" s="107"/>
      <c r="W633" s="107"/>
      <c r="X633" s="107"/>
    </row>
    <row r="634" spans="1:24" ht="12.75">
      <c r="A634" s="109"/>
      <c r="B634" s="110"/>
      <c r="C634" s="110"/>
      <c r="D634" s="110"/>
      <c r="E634" s="110"/>
      <c r="F634" s="110"/>
      <c r="G634" s="110"/>
      <c r="H634" s="110"/>
      <c r="I634" s="118"/>
      <c r="J634" s="118"/>
      <c r="K634" s="107"/>
      <c r="L634" s="107"/>
      <c r="M634" s="107"/>
      <c r="N634" s="107"/>
      <c r="O634" s="107"/>
      <c r="P634" s="107"/>
      <c r="Q634" s="107"/>
      <c r="R634" s="107"/>
      <c r="S634" s="107"/>
      <c r="T634" s="107"/>
      <c r="U634" s="107"/>
      <c r="V634" s="107"/>
      <c r="W634" s="107"/>
      <c r="X634" s="107"/>
    </row>
    <row r="635" spans="1:24" ht="12.75">
      <c r="A635" s="109"/>
      <c r="B635" s="110"/>
      <c r="C635" s="110"/>
      <c r="D635" s="110"/>
      <c r="E635" s="110"/>
      <c r="F635" s="110"/>
      <c r="G635" s="110"/>
      <c r="H635" s="110"/>
      <c r="I635" s="118"/>
      <c r="J635" s="118"/>
      <c r="K635" s="107"/>
      <c r="L635" s="107"/>
      <c r="M635" s="107"/>
      <c r="N635" s="107"/>
      <c r="O635" s="107"/>
      <c r="P635" s="107"/>
      <c r="Q635" s="107"/>
      <c r="R635" s="107"/>
      <c r="S635" s="107"/>
      <c r="T635" s="107"/>
      <c r="U635" s="107"/>
      <c r="V635" s="107"/>
      <c r="W635" s="107"/>
      <c r="X635" s="107"/>
    </row>
    <row r="636" spans="1:24" ht="12.75">
      <c r="A636" s="109"/>
      <c r="B636" s="110"/>
      <c r="C636" s="110"/>
      <c r="D636" s="110"/>
      <c r="E636" s="110"/>
      <c r="F636" s="110"/>
      <c r="G636" s="110"/>
      <c r="H636" s="110"/>
      <c r="I636" s="118"/>
      <c r="J636" s="118"/>
      <c r="K636" s="107"/>
      <c r="L636" s="107"/>
      <c r="M636" s="107"/>
      <c r="N636" s="107"/>
      <c r="O636" s="107"/>
      <c r="P636" s="107"/>
      <c r="Q636" s="107"/>
      <c r="R636" s="107"/>
      <c r="S636" s="107"/>
      <c r="T636" s="107"/>
      <c r="U636" s="107"/>
      <c r="V636" s="107"/>
      <c r="W636" s="107"/>
      <c r="X636" s="107"/>
    </row>
    <row r="637" spans="1:24" ht="12.75">
      <c r="A637" s="109"/>
      <c r="B637" s="110"/>
      <c r="C637" s="110"/>
      <c r="D637" s="110"/>
      <c r="E637" s="110"/>
      <c r="F637" s="110"/>
      <c r="G637" s="110"/>
      <c r="H637" s="110"/>
      <c r="I637" s="118"/>
      <c r="J637" s="118"/>
      <c r="K637" s="107"/>
      <c r="L637" s="107"/>
      <c r="M637" s="107"/>
      <c r="N637" s="107"/>
      <c r="O637" s="107"/>
      <c r="P637" s="107"/>
      <c r="Q637" s="107"/>
      <c r="R637" s="107"/>
      <c r="S637" s="107"/>
      <c r="T637" s="107"/>
      <c r="U637" s="107"/>
      <c r="V637" s="107"/>
      <c r="W637" s="107"/>
      <c r="X637" s="107"/>
    </row>
    <row r="638" spans="1:24" ht="12.75">
      <c r="A638" s="109"/>
      <c r="B638" s="110"/>
      <c r="C638" s="110"/>
      <c r="D638" s="110"/>
      <c r="E638" s="110"/>
      <c r="F638" s="110"/>
      <c r="G638" s="110"/>
      <c r="H638" s="110"/>
      <c r="I638" s="118"/>
      <c r="J638" s="118"/>
      <c r="K638" s="107"/>
      <c r="L638" s="107"/>
      <c r="M638" s="107"/>
      <c r="N638" s="107"/>
      <c r="O638" s="107"/>
      <c r="P638" s="107"/>
      <c r="Q638" s="107"/>
      <c r="R638" s="107"/>
      <c r="S638" s="107"/>
      <c r="T638" s="107"/>
      <c r="U638" s="107"/>
      <c r="V638" s="107"/>
      <c r="W638" s="107"/>
      <c r="X638" s="107"/>
    </row>
    <row r="639" spans="1:24" ht="12.75">
      <c r="A639" s="109"/>
      <c r="B639" s="110"/>
      <c r="C639" s="110"/>
      <c r="D639" s="110"/>
      <c r="E639" s="110"/>
      <c r="F639" s="110"/>
      <c r="G639" s="110"/>
      <c r="H639" s="110"/>
      <c r="I639" s="118"/>
      <c r="J639" s="118"/>
      <c r="K639" s="107"/>
      <c r="L639" s="107"/>
      <c r="M639" s="107"/>
      <c r="N639" s="107"/>
      <c r="O639" s="107"/>
      <c r="P639" s="107"/>
      <c r="Q639" s="107"/>
      <c r="R639" s="107"/>
      <c r="S639" s="107"/>
      <c r="T639" s="107"/>
      <c r="U639" s="107"/>
      <c r="V639" s="107"/>
      <c r="W639" s="107"/>
      <c r="X639" s="107"/>
    </row>
    <row r="640" spans="1:24" ht="12.75">
      <c r="A640" s="109"/>
      <c r="B640" s="110"/>
      <c r="C640" s="110"/>
      <c r="D640" s="110"/>
      <c r="E640" s="110"/>
      <c r="F640" s="110"/>
      <c r="G640" s="110"/>
      <c r="H640" s="110"/>
      <c r="I640" s="118"/>
      <c r="J640" s="118"/>
      <c r="K640" s="107"/>
      <c r="L640" s="107"/>
      <c r="M640" s="107"/>
      <c r="N640" s="107"/>
      <c r="O640" s="107"/>
      <c r="P640" s="107"/>
      <c r="Q640" s="107"/>
      <c r="R640" s="107"/>
      <c r="S640" s="107"/>
      <c r="T640" s="107"/>
      <c r="U640" s="107"/>
      <c r="V640" s="107"/>
      <c r="W640" s="107"/>
      <c r="X640" s="107"/>
    </row>
    <row r="641" spans="1:24" ht="12.75">
      <c r="A641" s="109"/>
      <c r="B641" s="110"/>
      <c r="C641" s="110"/>
      <c r="D641" s="110"/>
      <c r="E641" s="110"/>
      <c r="F641" s="110"/>
      <c r="G641" s="110"/>
      <c r="H641" s="110"/>
      <c r="I641" s="118"/>
      <c r="J641" s="118"/>
      <c r="K641" s="107"/>
      <c r="L641" s="107"/>
      <c r="M641" s="107"/>
      <c r="N641" s="107"/>
      <c r="O641" s="107"/>
      <c r="P641" s="107"/>
      <c r="Q641" s="107"/>
      <c r="R641" s="107"/>
      <c r="S641" s="107"/>
      <c r="T641" s="107"/>
      <c r="U641" s="107"/>
      <c r="V641" s="107"/>
      <c r="W641" s="107"/>
      <c r="X641" s="107"/>
    </row>
    <row r="642" spans="1:24" ht="12.75">
      <c r="A642" s="109"/>
      <c r="B642" s="110"/>
      <c r="C642" s="110"/>
      <c r="D642" s="110"/>
      <c r="E642" s="110"/>
      <c r="F642" s="110"/>
      <c r="G642" s="110"/>
      <c r="H642" s="110"/>
      <c r="I642" s="118"/>
      <c r="J642" s="118"/>
      <c r="K642" s="107"/>
      <c r="L642" s="107"/>
      <c r="M642" s="107"/>
      <c r="N642" s="107"/>
      <c r="O642" s="107"/>
      <c r="P642" s="107"/>
      <c r="Q642" s="107"/>
      <c r="R642" s="107"/>
      <c r="S642" s="107"/>
      <c r="T642" s="107"/>
      <c r="U642" s="107"/>
      <c r="V642" s="107"/>
      <c r="W642" s="107"/>
      <c r="X642" s="107"/>
    </row>
    <row r="643" spans="1:24" ht="12.75">
      <c r="A643" s="109"/>
      <c r="B643" s="110"/>
      <c r="C643" s="110"/>
      <c r="D643" s="110"/>
      <c r="E643" s="110"/>
      <c r="F643" s="110"/>
      <c r="G643" s="110"/>
      <c r="H643" s="110"/>
      <c r="I643" s="118"/>
      <c r="J643" s="118"/>
      <c r="K643" s="107"/>
      <c r="L643" s="107"/>
      <c r="M643" s="107"/>
      <c r="N643" s="107"/>
      <c r="O643" s="107"/>
      <c r="P643" s="107"/>
      <c r="Q643" s="107"/>
      <c r="R643" s="107"/>
      <c r="S643" s="107"/>
      <c r="T643" s="107"/>
      <c r="U643" s="107"/>
      <c r="V643" s="107"/>
      <c r="W643" s="107"/>
      <c r="X643" s="107"/>
    </row>
    <row r="644" spans="1:24" ht="12.75">
      <c r="A644" s="109"/>
      <c r="B644" s="110"/>
      <c r="C644" s="110"/>
      <c r="D644" s="110"/>
      <c r="E644" s="110"/>
      <c r="F644" s="110"/>
      <c r="G644" s="110"/>
      <c r="H644" s="110"/>
      <c r="I644" s="118"/>
      <c r="J644" s="118"/>
      <c r="K644" s="107"/>
      <c r="L644" s="107"/>
      <c r="M644" s="107"/>
      <c r="N644" s="107"/>
      <c r="O644" s="107"/>
      <c r="P644" s="107"/>
      <c r="Q644" s="107"/>
      <c r="R644" s="107"/>
      <c r="S644" s="107"/>
      <c r="T644" s="107"/>
      <c r="U644" s="107"/>
      <c r="V644" s="107"/>
      <c r="W644" s="107"/>
      <c r="X644" s="107"/>
    </row>
    <row r="645" spans="1:24" ht="12.75">
      <c r="A645" s="109"/>
      <c r="B645" s="110"/>
      <c r="C645" s="110"/>
      <c r="D645" s="110"/>
      <c r="E645" s="110"/>
      <c r="F645" s="110"/>
      <c r="G645" s="110"/>
      <c r="H645" s="110"/>
      <c r="I645" s="118"/>
      <c r="J645" s="118"/>
      <c r="K645" s="107"/>
      <c r="L645" s="107"/>
      <c r="M645" s="107"/>
      <c r="N645" s="107"/>
      <c r="O645" s="107"/>
      <c r="P645" s="107"/>
      <c r="Q645" s="107"/>
      <c r="R645" s="107"/>
      <c r="S645" s="107"/>
      <c r="T645" s="107"/>
      <c r="U645" s="107"/>
      <c r="V645" s="107"/>
      <c r="W645" s="107"/>
      <c r="X645" s="107"/>
    </row>
    <row r="646" spans="1:24" ht="12.75">
      <c r="A646" s="109"/>
      <c r="B646" s="110"/>
      <c r="C646" s="110"/>
      <c r="D646" s="110"/>
      <c r="E646" s="110"/>
      <c r="F646" s="110"/>
      <c r="G646" s="110"/>
      <c r="H646" s="110"/>
      <c r="I646" s="118"/>
      <c r="J646" s="118"/>
      <c r="K646" s="107"/>
      <c r="L646" s="107"/>
      <c r="M646" s="107"/>
      <c r="N646" s="107"/>
      <c r="O646" s="107"/>
      <c r="P646" s="107"/>
      <c r="Q646" s="107"/>
      <c r="R646" s="107"/>
      <c r="S646" s="107"/>
      <c r="T646" s="107"/>
      <c r="U646" s="107"/>
      <c r="V646" s="107"/>
      <c r="W646" s="107"/>
      <c r="X646" s="107"/>
    </row>
    <row r="647" spans="1:24" ht="12.75">
      <c r="A647" s="109"/>
      <c r="B647" s="110"/>
      <c r="C647" s="110"/>
      <c r="D647" s="110"/>
      <c r="E647" s="110"/>
      <c r="F647" s="110"/>
      <c r="G647" s="110"/>
      <c r="H647" s="110"/>
      <c r="I647" s="118"/>
      <c r="J647" s="118"/>
      <c r="K647" s="107"/>
      <c r="L647" s="107"/>
      <c r="M647" s="107"/>
      <c r="N647" s="107"/>
      <c r="O647" s="107"/>
      <c r="P647" s="107"/>
      <c r="Q647" s="107"/>
      <c r="R647" s="107"/>
      <c r="S647" s="107"/>
      <c r="T647" s="107"/>
      <c r="U647" s="107"/>
      <c r="V647" s="107"/>
      <c r="W647" s="107"/>
      <c r="X647" s="107"/>
    </row>
    <row r="648" spans="1:24" ht="12.75">
      <c r="A648" s="109"/>
      <c r="B648" s="110"/>
      <c r="C648" s="110"/>
      <c r="D648" s="110"/>
      <c r="E648" s="110"/>
      <c r="F648" s="110"/>
      <c r="G648" s="110"/>
      <c r="H648" s="110"/>
      <c r="I648" s="118"/>
      <c r="J648" s="118"/>
      <c r="K648" s="107"/>
      <c r="L648" s="107"/>
      <c r="M648" s="107"/>
      <c r="N648" s="107"/>
      <c r="O648" s="107"/>
      <c r="P648" s="107"/>
      <c r="Q648" s="107"/>
      <c r="R648" s="107"/>
      <c r="S648" s="107"/>
      <c r="T648" s="107"/>
      <c r="U648" s="107"/>
      <c r="V648" s="107"/>
      <c r="W648" s="107"/>
      <c r="X648" s="107"/>
    </row>
    <row r="649" spans="1:24" ht="12.75">
      <c r="A649" s="109"/>
      <c r="B649" s="110"/>
      <c r="C649" s="110"/>
      <c r="D649" s="110"/>
      <c r="E649" s="110"/>
      <c r="F649" s="110"/>
      <c r="G649" s="110"/>
      <c r="H649" s="110"/>
      <c r="I649" s="118"/>
      <c r="J649" s="118"/>
      <c r="K649" s="107"/>
      <c r="L649" s="107"/>
      <c r="M649" s="107"/>
      <c r="N649" s="107"/>
      <c r="O649" s="107"/>
      <c r="P649" s="107"/>
      <c r="Q649" s="107"/>
      <c r="R649" s="107"/>
      <c r="S649" s="107"/>
      <c r="T649" s="107"/>
      <c r="U649" s="107"/>
      <c r="V649" s="107"/>
      <c r="W649" s="107"/>
      <c r="X649" s="107"/>
    </row>
    <row r="650" spans="1:24" ht="12.75">
      <c r="A650" s="109"/>
      <c r="B650" s="110"/>
      <c r="C650" s="110"/>
      <c r="D650" s="110"/>
      <c r="E650" s="110"/>
      <c r="F650" s="110"/>
      <c r="G650" s="110"/>
      <c r="H650" s="110"/>
      <c r="I650" s="118"/>
      <c r="J650" s="118"/>
      <c r="K650" s="107"/>
      <c r="L650" s="107"/>
      <c r="M650" s="107"/>
      <c r="N650" s="107"/>
      <c r="O650" s="107"/>
      <c r="P650" s="107"/>
      <c r="Q650" s="107"/>
      <c r="R650" s="107"/>
      <c r="S650" s="107"/>
      <c r="T650" s="107"/>
      <c r="U650" s="107"/>
      <c r="V650" s="107"/>
      <c r="W650" s="107"/>
      <c r="X650" s="107"/>
    </row>
    <row r="651" spans="1:24" ht="12.75">
      <c r="A651" s="109"/>
      <c r="B651" s="110"/>
      <c r="C651" s="110"/>
      <c r="D651" s="110"/>
      <c r="E651" s="110"/>
      <c r="F651" s="110"/>
      <c r="G651" s="110"/>
      <c r="H651" s="110"/>
      <c r="I651" s="118"/>
      <c r="J651" s="118"/>
      <c r="K651" s="107"/>
      <c r="L651" s="107"/>
      <c r="M651" s="107"/>
      <c r="N651" s="107"/>
      <c r="O651" s="107"/>
      <c r="P651" s="107"/>
      <c r="Q651" s="107"/>
      <c r="R651" s="107"/>
      <c r="S651" s="107"/>
      <c r="T651" s="107"/>
      <c r="U651" s="107"/>
      <c r="V651" s="107"/>
      <c r="W651" s="107"/>
      <c r="X651" s="107"/>
    </row>
    <row r="652" spans="1:24" ht="12.75">
      <c r="A652" s="109"/>
      <c r="B652" s="110"/>
      <c r="C652" s="110"/>
      <c r="D652" s="110"/>
      <c r="E652" s="110"/>
      <c r="F652" s="110"/>
      <c r="G652" s="110"/>
      <c r="H652" s="110"/>
      <c r="I652" s="118"/>
      <c r="J652" s="118"/>
      <c r="K652" s="107"/>
      <c r="L652" s="107"/>
      <c r="M652" s="107"/>
      <c r="N652" s="107"/>
      <c r="O652" s="107"/>
      <c r="P652" s="107"/>
      <c r="Q652" s="107"/>
      <c r="R652" s="107"/>
      <c r="S652" s="107"/>
      <c r="T652" s="107"/>
      <c r="U652" s="107"/>
      <c r="V652" s="107"/>
      <c r="W652" s="107"/>
      <c r="X652" s="107"/>
    </row>
    <row r="653" spans="1:24" ht="12.75">
      <c r="A653" s="109"/>
      <c r="B653" s="110"/>
      <c r="C653" s="110"/>
      <c r="D653" s="110"/>
      <c r="E653" s="110"/>
      <c r="F653" s="110"/>
      <c r="G653" s="110"/>
      <c r="H653" s="110"/>
      <c r="I653" s="118"/>
      <c r="J653" s="118"/>
      <c r="K653" s="107"/>
      <c r="L653" s="107"/>
      <c r="M653" s="107"/>
      <c r="N653" s="107"/>
      <c r="O653" s="107"/>
      <c r="P653" s="107"/>
      <c r="Q653" s="107"/>
      <c r="R653" s="107"/>
      <c r="S653" s="107"/>
      <c r="T653" s="107"/>
      <c r="U653" s="107"/>
      <c r="V653" s="107"/>
      <c r="W653" s="107"/>
      <c r="X653" s="107"/>
    </row>
    <row r="654" spans="1:24" ht="12.75">
      <c r="A654" s="109"/>
      <c r="B654" s="110"/>
      <c r="C654" s="110"/>
      <c r="D654" s="110"/>
      <c r="E654" s="110"/>
      <c r="F654" s="110"/>
      <c r="G654" s="110"/>
      <c r="H654" s="110"/>
      <c r="I654" s="118"/>
      <c r="J654" s="118"/>
      <c r="K654" s="107"/>
      <c r="L654" s="107"/>
      <c r="M654" s="107"/>
      <c r="N654" s="107"/>
      <c r="O654" s="107"/>
      <c r="P654" s="107"/>
      <c r="Q654" s="107"/>
      <c r="R654" s="107"/>
      <c r="S654" s="107"/>
      <c r="T654" s="107"/>
      <c r="U654" s="107"/>
      <c r="V654" s="107"/>
      <c r="W654" s="107"/>
      <c r="X654" s="107"/>
    </row>
    <row r="655" spans="1:24" ht="12.75">
      <c r="A655" s="109"/>
      <c r="B655" s="110"/>
      <c r="C655" s="110"/>
      <c r="D655" s="110"/>
      <c r="E655" s="110"/>
      <c r="F655" s="110"/>
      <c r="G655" s="110"/>
      <c r="H655" s="110"/>
      <c r="I655" s="118"/>
      <c r="J655" s="118"/>
      <c r="K655" s="107"/>
      <c r="L655" s="107"/>
      <c r="M655" s="107"/>
      <c r="N655" s="107"/>
      <c r="O655" s="107"/>
      <c r="P655" s="107"/>
      <c r="Q655" s="107"/>
      <c r="R655" s="107"/>
      <c r="S655" s="107"/>
      <c r="T655" s="107"/>
      <c r="U655" s="107"/>
      <c r="V655" s="107"/>
      <c r="W655" s="107"/>
      <c r="X655" s="107"/>
    </row>
    <row r="656" spans="1:24" ht="12.75">
      <c r="A656" s="109"/>
      <c r="B656" s="110"/>
      <c r="C656" s="110"/>
      <c r="D656" s="110"/>
      <c r="E656" s="110"/>
      <c r="F656" s="110"/>
      <c r="G656" s="110"/>
      <c r="H656" s="110"/>
      <c r="I656" s="118"/>
      <c r="J656" s="118"/>
      <c r="K656" s="107"/>
      <c r="L656" s="107"/>
      <c r="M656" s="107"/>
      <c r="N656" s="107"/>
      <c r="O656" s="107"/>
      <c r="P656" s="107"/>
      <c r="Q656" s="107"/>
      <c r="R656" s="107"/>
      <c r="S656" s="107"/>
      <c r="T656" s="107"/>
      <c r="U656" s="107"/>
      <c r="V656" s="107"/>
      <c r="W656" s="107"/>
      <c r="X656" s="107"/>
    </row>
    <row r="657" spans="1:24" ht="12.75">
      <c r="A657" s="109"/>
      <c r="B657" s="110"/>
      <c r="C657" s="110"/>
      <c r="D657" s="110"/>
      <c r="E657" s="110"/>
      <c r="F657" s="110"/>
      <c r="G657" s="110"/>
      <c r="H657" s="110"/>
      <c r="I657" s="118"/>
      <c r="J657" s="118"/>
      <c r="K657" s="107"/>
      <c r="L657" s="107"/>
      <c r="M657" s="107"/>
      <c r="N657" s="107"/>
      <c r="O657" s="107"/>
      <c r="P657" s="107"/>
      <c r="Q657" s="107"/>
      <c r="R657" s="107"/>
      <c r="S657" s="107"/>
      <c r="T657" s="107"/>
      <c r="U657" s="107"/>
      <c r="V657" s="107"/>
      <c r="W657" s="107"/>
      <c r="X657" s="107"/>
    </row>
    <row r="658" spans="1:24" ht="12.75">
      <c r="A658" s="109"/>
      <c r="B658" s="110"/>
      <c r="C658" s="110"/>
      <c r="D658" s="110"/>
      <c r="E658" s="110"/>
      <c r="F658" s="110"/>
      <c r="G658" s="110"/>
      <c r="H658" s="110"/>
      <c r="I658" s="118"/>
      <c r="J658" s="118"/>
      <c r="K658" s="107"/>
      <c r="L658" s="107"/>
      <c r="M658" s="107"/>
      <c r="N658" s="107"/>
      <c r="O658" s="107"/>
      <c r="P658" s="107"/>
      <c r="Q658" s="107"/>
      <c r="R658" s="107"/>
      <c r="S658" s="107"/>
      <c r="T658" s="107"/>
      <c r="U658" s="107"/>
      <c r="V658" s="107"/>
      <c r="W658" s="107"/>
      <c r="X658" s="107"/>
    </row>
    <row r="659" spans="1:24" ht="12.75">
      <c r="A659" s="109"/>
      <c r="B659" s="110"/>
      <c r="C659" s="110"/>
      <c r="D659" s="110"/>
      <c r="E659" s="110"/>
      <c r="F659" s="110"/>
      <c r="G659" s="110"/>
      <c r="H659" s="110"/>
      <c r="I659" s="118"/>
      <c r="J659" s="118"/>
      <c r="K659" s="107"/>
      <c r="L659" s="107"/>
      <c r="M659" s="107"/>
      <c r="N659" s="107"/>
      <c r="O659" s="107"/>
      <c r="P659" s="107"/>
      <c r="Q659" s="107"/>
      <c r="R659" s="107"/>
      <c r="S659" s="107"/>
      <c r="T659" s="107"/>
      <c r="U659" s="107"/>
      <c r="V659" s="107"/>
      <c r="W659" s="107"/>
      <c r="X659" s="107"/>
    </row>
    <row r="660" spans="1:24" ht="12.75">
      <c r="A660" s="109"/>
      <c r="B660" s="110"/>
      <c r="C660" s="110"/>
      <c r="D660" s="110"/>
      <c r="E660" s="110"/>
      <c r="F660" s="110"/>
      <c r="G660" s="110"/>
      <c r="H660" s="110"/>
      <c r="I660" s="118"/>
      <c r="J660" s="118"/>
      <c r="K660" s="107"/>
      <c r="L660" s="107"/>
      <c r="M660" s="107"/>
      <c r="N660" s="107"/>
      <c r="O660" s="107"/>
      <c r="P660" s="107"/>
      <c r="Q660" s="107"/>
      <c r="R660" s="107"/>
      <c r="S660" s="107"/>
      <c r="T660" s="107"/>
      <c r="U660" s="107"/>
      <c r="V660" s="107"/>
      <c r="W660" s="107"/>
      <c r="X660" s="107"/>
    </row>
    <row r="661" spans="1:24" ht="12.75">
      <c r="A661" s="109"/>
      <c r="B661" s="110"/>
      <c r="C661" s="110"/>
      <c r="D661" s="110"/>
      <c r="E661" s="110"/>
      <c r="F661" s="110"/>
      <c r="G661" s="110"/>
      <c r="H661" s="110"/>
      <c r="I661" s="118"/>
      <c r="J661" s="118"/>
      <c r="K661" s="107"/>
      <c r="L661" s="107"/>
      <c r="M661" s="107"/>
      <c r="N661" s="107"/>
      <c r="O661" s="107"/>
      <c r="P661" s="107"/>
      <c r="Q661" s="107"/>
      <c r="R661" s="107"/>
      <c r="S661" s="107"/>
      <c r="T661" s="107"/>
      <c r="U661" s="107"/>
      <c r="V661" s="107"/>
      <c r="W661" s="107"/>
      <c r="X661" s="107"/>
    </row>
    <row r="662" spans="1:24" ht="12.75">
      <c r="A662" s="109"/>
      <c r="B662" s="110"/>
      <c r="C662" s="110"/>
      <c r="D662" s="110"/>
      <c r="E662" s="110"/>
      <c r="F662" s="110"/>
      <c r="G662" s="110"/>
      <c r="H662" s="110"/>
      <c r="I662" s="118"/>
      <c r="J662" s="118"/>
      <c r="K662" s="107"/>
      <c r="L662" s="107"/>
      <c r="M662" s="107"/>
      <c r="N662" s="107"/>
      <c r="O662" s="107"/>
      <c r="P662" s="107"/>
      <c r="Q662" s="107"/>
      <c r="R662" s="107"/>
      <c r="S662" s="107"/>
      <c r="T662" s="107"/>
      <c r="U662" s="107"/>
      <c r="V662" s="107"/>
      <c r="W662" s="107"/>
      <c r="X662" s="107"/>
    </row>
    <row r="663" spans="1:24" ht="12.75">
      <c r="A663" s="109"/>
      <c r="B663" s="110"/>
      <c r="C663" s="110"/>
      <c r="D663" s="110"/>
      <c r="E663" s="110"/>
      <c r="F663" s="110"/>
      <c r="G663" s="110"/>
      <c r="H663" s="110"/>
      <c r="I663" s="118"/>
      <c r="J663" s="118"/>
      <c r="K663" s="107"/>
      <c r="L663" s="107"/>
      <c r="M663" s="107"/>
      <c r="N663" s="107"/>
      <c r="O663" s="107"/>
      <c r="P663" s="107"/>
      <c r="Q663" s="107"/>
      <c r="R663" s="107"/>
      <c r="S663" s="107"/>
      <c r="T663" s="107"/>
      <c r="U663" s="107"/>
      <c r="V663" s="107"/>
      <c r="W663" s="107"/>
      <c r="X663" s="107"/>
    </row>
    <row r="664" spans="1:24" ht="12.75">
      <c r="A664" s="109"/>
      <c r="B664" s="110"/>
      <c r="C664" s="110"/>
      <c r="D664" s="110"/>
      <c r="E664" s="110"/>
      <c r="F664" s="110"/>
      <c r="G664" s="110"/>
      <c r="H664" s="110"/>
      <c r="I664" s="118"/>
      <c r="J664" s="118"/>
      <c r="K664" s="107"/>
      <c r="L664" s="107"/>
      <c r="M664" s="107"/>
      <c r="N664" s="107"/>
      <c r="O664" s="107"/>
      <c r="P664" s="107"/>
      <c r="Q664" s="107"/>
      <c r="R664" s="107"/>
      <c r="S664" s="107"/>
      <c r="T664" s="107"/>
      <c r="U664" s="107"/>
      <c r="V664" s="107"/>
      <c r="W664" s="107"/>
      <c r="X664" s="107"/>
    </row>
    <row r="665" spans="1:24" ht="12.75">
      <c r="A665" s="109"/>
      <c r="B665" s="110"/>
      <c r="C665" s="110"/>
      <c r="D665" s="110"/>
      <c r="E665" s="110"/>
      <c r="F665" s="110"/>
      <c r="G665" s="110"/>
      <c r="H665" s="110"/>
      <c r="I665" s="118"/>
      <c r="J665" s="118"/>
      <c r="K665" s="107"/>
      <c r="L665" s="107"/>
      <c r="M665" s="107"/>
      <c r="N665" s="107"/>
      <c r="O665" s="107"/>
      <c r="P665" s="107"/>
      <c r="Q665" s="107"/>
      <c r="R665" s="107"/>
      <c r="S665" s="107"/>
      <c r="T665" s="107"/>
      <c r="U665" s="107"/>
      <c r="V665" s="107"/>
      <c r="W665" s="107"/>
      <c r="X665" s="107"/>
    </row>
    <row r="666" spans="1:24" ht="12.75">
      <c r="A666" s="109"/>
      <c r="B666" s="110"/>
      <c r="C666" s="110"/>
      <c r="D666" s="110"/>
      <c r="E666" s="110"/>
      <c r="F666" s="110"/>
      <c r="G666" s="110"/>
      <c r="H666" s="110"/>
      <c r="I666" s="118"/>
      <c r="J666" s="118"/>
      <c r="K666" s="107"/>
      <c r="L666" s="107"/>
      <c r="M666" s="107"/>
      <c r="N666" s="107"/>
      <c r="O666" s="107"/>
      <c r="P666" s="107"/>
      <c r="Q666" s="107"/>
      <c r="R666" s="107"/>
      <c r="S666" s="107"/>
      <c r="T666" s="107"/>
      <c r="U666" s="107"/>
      <c r="V666" s="107"/>
      <c r="W666" s="107"/>
      <c r="X666" s="107"/>
    </row>
    <row r="667" spans="1:24" ht="12.75">
      <c r="A667" s="109"/>
      <c r="B667" s="110"/>
      <c r="C667" s="110"/>
      <c r="D667" s="110"/>
      <c r="E667" s="110"/>
      <c r="F667" s="110"/>
      <c r="G667" s="110"/>
      <c r="H667" s="110"/>
      <c r="I667" s="118"/>
      <c r="J667" s="118"/>
      <c r="K667" s="107"/>
      <c r="L667" s="107"/>
      <c r="M667" s="107"/>
      <c r="N667" s="107"/>
      <c r="O667" s="107"/>
      <c r="P667" s="107"/>
      <c r="Q667" s="107"/>
      <c r="R667" s="107"/>
      <c r="S667" s="107"/>
      <c r="T667" s="107"/>
      <c r="U667" s="107"/>
      <c r="V667" s="107"/>
      <c r="W667" s="107"/>
      <c r="X667" s="107"/>
    </row>
    <row r="668" spans="1:24" ht="12.75">
      <c r="A668" s="109"/>
      <c r="B668" s="110"/>
      <c r="C668" s="110"/>
      <c r="D668" s="110"/>
      <c r="E668" s="110"/>
      <c r="F668" s="110"/>
      <c r="G668" s="110"/>
      <c r="H668" s="110"/>
      <c r="I668" s="118"/>
      <c r="J668" s="118"/>
      <c r="K668" s="107"/>
      <c r="L668" s="107"/>
      <c r="M668" s="107"/>
      <c r="N668" s="107"/>
      <c r="O668" s="107"/>
      <c r="P668" s="107"/>
      <c r="Q668" s="107"/>
      <c r="R668" s="107"/>
      <c r="S668" s="107"/>
      <c r="T668" s="107"/>
      <c r="U668" s="107"/>
      <c r="V668" s="107"/>
      <c r="W668" s="107"/>
      <c r="X668" s="107"/>
    </row>
    <row r="669" spans="1:24" ht="12.75">
      <c r="A669" s="109"/>
      <c r="B669" s="110"/>
      <c r="C669" s="110"/>
      <c r="D669" s="110"/>
      <c r="E669" s="110"/>
      <c r="F669" s="110"/>
      <c r="G669" s="110"/>
      <c r="H669" s="110"/>
      <c r="I669" s="118"/>
      <c r="J669" s="118"/>
      <c r="K669" s="107"/>
      <c r="L669" s="107"/>
      <c r="M669" s="107"/>
      <c r="N669" s="107"/>
      <c r="O669" s="107"/>
      <c r="P669" s="107"/>
      <c r="Q669" s="107"/>
      <c r="R669" s="107"/>
      <c r="S669" s="107"/>
      <c r="T669" s="107"/>
      <c r="U669" s="107"/>
      <c r="V669" s="107"/>
      <c r="W669" s="107"/>
      <c r="X669" s="107"/>
    </row>
    <row r="670" spans="1:24" ht="12.75">
      <c r="A670" s="109"/>
      <c r="B670" s="110"/>
      <c r="C670" s="110"/>
      <c r="D670" s="110"/>
      <c r="E670" s="110"/>
      <c r="F670" s="110"/>
      <c r="G670" s="110"/>
      <c r="H670" s="110"/>
      <c r="I670" s="118"/>
      <c r="J670" s="118"/>
      <c r="K670" s="107"/>
      <c r="L670" s="107"/>
      <c r="M670" s="107"/>
      <c r="N670" s="107"/>
      <c r="O670" s="107"/>
      <c r="P670" s="107"/>
      <c r="Q670" s="107"/>
      <c r="R670" s="107"/>
      <c r="S670" s="107"/>
      <c r="T670" s="107"/>
      <c r="U670" s="107"/>
      <c r="V670" s="107"/>
      <c r="W670" s="107"/>
      <c r="X670" s="107"/>
    </row>
    <row r="671" spans="1:24" ht="12.75">
      <c r="A671" s="109"/>
      <c r="B671" s="110"/>
      <c r="C671" s="110"/>
      <c r="D671" s="110"/>
      <c r="E671" s="110"/>
      <c r="F671" s="110"/>
      <c r="G671" s="110"/>
      <c r="H671" s="110"/>
      <c r="I671" s="118"/>
      <c r="J671" s="118"/>
      <c r="K671" s="107"/>
      <c r="L671" s="107"/>
      <c r="M671" s="107"/>
      <c r="N671" s="107"/>
      <c r="O671" s="107"/>
      <c r="P671" s="107"/>
      <c r="Q671" s="107"/>
      <c r="R671" s="107"/>
      <c r="S671" s="107"/>
      <c r="T671" s="107"/>
      <c r="U671" s="107"/>
      <c r="V671" s="107"/>
      <c r="W671" s="107"/>
      <c r="X671" s="107"/>
    </row>
    <row r="672" spans="1:24" ht="12.75">
      <c r="A672" s="109"/>
      <c r="B672" s="110"/>
      <c r="C672" s="110"/>
      <c r="D672" s="110"/>
      <c r="E672" s="110"/>
      <c r="F672" s="110"/>
      <c r="G672" s="110"/>
      <c r="H672" s="110"/>
      <c r="I672" s="118"/>
      <c r="J672" s="118"/>
      <c r="K672" s="107"/>
      <c r="L672" s="107"/>
      <c r="M672" s="107"/>
      <c r="N672" s="107"/>
      <c r="O672" s="107"/>
      <c r="P672" s="107"/>
      <c r="Q672" s="107"/>
      <c r="R672" s="107"/>
      <c r="S672" s="107"/>
      <c r="T672" s="107"/>
      <c r="U672" s="107"/>
      <c r="V672" s="107"/>
      <c r="W672" s="107"/>
      <c r="X672" s="107"/>
    </row>
    <row r="673" spans="1:24" ht="12.75">
      <c r="A673" s="109"/>
      <c r="B673" s="110"/>
      <c r="C673" s="110"/>
      <c r="D673" s="110"/>
      <c r="E673" s="110"/>
      <c r="F673" s="110"/>
      <c r="G673" s="110"/>
      <c r="H673" s="110"/>
      <c r="I673" s="118"/>
      <c r="J673" s="118"/>
      <c r="K673" s="107"/>
      <c r="L673" s="107"/>
      <c r="M673" s="107"/>
      <c r="N673" s="107"/>
      <c r="O673" s="107"/>
      <c r="P673" s="107"/>
      <c r="Q673" s="107"/>
      <c r="R673" s="107"/>
      <c r="S673" s="107"/>
      <c r="T673" s="107"/>
      <c r="U673" s="107"/>
      <c r="V673" s="107"/>
      <c r="W673" s="107"/>
      <c r="X673" s="107"/>
    </row>
    <row r="674" spans="1:24" ht="12.75">
      <c r="A674" s="109"/>
      <c r="B674" s="110"/>
      <c r="C674" s="110"/>
      <c r="D674" s="110"/>
      <c r="E674" s="110"/>
      <c r="F674" s="110"/>
      <c r="G674" s="110"/>
      <c r="H674" s="110"/>
      <c r="I674" s="118"/>
      <c r="J674" s="118"/>
      <c r="K674" s="107"/>
      <c r="L674" s="107"/>
      <c r="M674" s="107"/>
      <c r="N674" s="107"/>
      <c r="O674" s="107"/>
      <c r="P674" s="107"/>
      <c r="Q674" s="107"/>
      <c r="R674" s="107"/>
      <c r="S674" s="107"/>
      <c r="T674" s="107"/>
      <c r="U674" s="107"/>
      <c r="V674" s="107"/>
      <c r="W674" s="107"/>
      <c r="X674" s="107"/>
    </row>
    <row r="675" spans="1:24" ht="12.75">
      <c r="A675" s="109"/>
      <c r="B675" s="110"/>
      <c r="C675" s="110"/>
      <c r="D675" s="110"/>
      <c r="E675" s="110"/>
      <c r="F675" s="110"/>
      <c r="G675" s="110"/>
      <c r="H675" s="110"/>
      <c r="I675" s="118"/>
      <c r="J675" s="118"/>
      <c r="K675" s="107"/>
      <c r="L675" s="107"/>
      <c r="M675" s="107"/>
      <c r="N675" s="107"/>
      <c r="O675" s="107"/>
      <c r="P675" s="107"/>
      <c r="Q675" s="107"/>
      <c r="R675" s="107"/>
      <c r="S675" s="107"/>
      <c r="T675" s="107"/>
      <c r="U675" s="107"/>
      <c r="V675" s="107"/>
      <c r="W675" s="107"/>
      <c r="X675" s="107"/>
    </row>
    <row r="676" spans="1:24" ht="12.75">
      <c r="A676" s="109"/>
      <c r="B676" s="110"/>
      <c r="C676" s="110"/>
      <c r="D676" s="110"/>
      <c r="E676" s="110"/>
      <c r="F676" s="110"/>
      <c r="G676" s="110"/>
      <c r="H676" s="110"/>
      <c r="I676" s="118"/>
      <c r="J676" s="118"/>
      <c r="K676" s="107"/>
      <c r="L676" s="107"/>
      <c r="M676" s="107"/>
      <c r="N676" s="107"/>
      <c r="O676" s="107"/>
      <c r="P676" s="107"/>
      <c r="Q676" s="107"/>
      <c r="R676" s="107"/>
      <c r="S676" s="107"/>
      <c r="T676" s="107"/>
      <c r="U676" s="107"/>
      <c r="V676" s="107"/>
      <c r="W676" s="107"/>
      <c r="X676" s="107"/>
    </row>
    <row r="677" spans="1:24" ht="12.75">
      <c r="A677" s="109"/>
      <c r="B677" s="110"/>
      <c r="C677" s="110"/>
      <c r="D677" s="110"/>
      <c r="E677" s="110"/>
      <c r="F677" s="110"/>
      <c r="G677" s="110"/>
      <c r="H677" s="110"/>
      <c r="I677" s="118"/>
      <c r="J677" s="118"/>
      <c r="K677" s="107"/>
      <c r="L677" s="107"/>
      <c r="M677" s="107"/>
      <c r="N677" s="107"/>
      <c r="O677" s="107"/>
      <c r="P677" s="107"/>
      <c r="Q677" s="107"/>
      <c r="R677" s="107"/>
      <c r="S677" s="107"/>
      <c r="T677" s="107"/>
      <c r="U677" s="107"/>
      <c r="V677" s="107"/>
      <c r="W677" s="107"/>
      <c r="X677" s="107"/>
    </row>
    <row r="678" spans="1:24" ht="12.75">
      <c r="A678" s="109"/>
      <c r="B678" s="110"/>
      <c r="C678" s="110"/>
      <c r="D678" s="110"/>
      <c r="E678" s="110"/>
      <c r="F678" s="110"/>
      <c r="G678" s="110"/>
      <c r="H678" s="110"/>
      <c r="I678" s="118"/>
      <c r="J678" s="118"/>
      <c r="K678" s="107"/>
      <c r="L678" s="107"/>
      <c r="M678" s="107"/>
      <c r="N678" s="107"/>
      <c r="O678" s="107"/>
      <c r="P678" s="107"/>
      <c r="Q678" s="107"/>
      <c r="R678" s="107"/>
      <c r="S678" s="107"/>
      <c r="T678" s="107"/>
      <c r="U678" s="107"/>
      <c r="V678" s="107"/>
      <c r="W678" s="107"/>
      <c r="X678" s="107"/>
    </row>
    <row r="679" spans="1:24" ht="12.75">
      <c r="A679" s="109"/>
      <c r="B679" s="110"/>
      <c r="C679" s="110"/>
      <c r="D679" s="110"/>
      <c r="E679" s="110"/>
      <c r="F679" s="110"/>
      <c r="G679" s="110"/>
      <c r="H679" s="110"/>
      <c r="I679" s="118"/>
      <c r="J679" s="118"/>
      <c r="K679" s="107"/>
      <c r="L679" s="107"/>
      <c r="M679" s="107"/>
      <c r="N679" s="107"/>
      <c r="O679" s="107"/>
      <c r="P679" s="107"/>
      <c r="Q679" s="107"/>
      <c r="R679" s="107"/>
      <c r="S679" s="107"/>
      <c r="T679" s="107"/>
      <c r="U679" s="107"/>
      <c r="V679" s="107"/>
      <c r="W679" s="107"/>
      <c r="X679" s="107"/>
    </row>
    <row r="680" spans="1:24" ht="12.75">
      <c r="A680" s="109"/>
      <c r="B680" s="110"/>
      <c r="C680" s="110"/>
      <c r="D680" s="110"/>
      <c r="E680" s="110"/>
      <c r="F680" s="110"/>
      <c r="G680" s="110"/>
      <c r="H680" s="110"/>
      <c r="I680" s="118"/>
      <c r="J680" s="118"/>
      <c r="K680" s="107"/>
      <c r="L680" s="107"/>
      <c r="M680" s="107"/>
      <c r="N680" s="107"/>
      <c r="O680" s="107"/>
      <c r="P680" s="107"/>
      <c r="Q680" s="107"/>
      <c r="R680" s="107"/>
      <c r="S680" s="107"/>
      <c r="T680" s="107"/>
      <c r="U680" s="107"/>
      <c r="V680" s="107"/>
      <c r="W680" s="107"/>
      <c r="X680" s="107"/>
    </row>
    <row r="681" spans="1:24" ht="12.75">
      <c r="A681" s="109"/>
      <c r="B681" s="110"/>
      <c r="C681" s="110"/>
      <c r="D681" s="110"/>
      <c r="E681" s="110"/>
      <c r="F681" s="110"/>
      <c r="G681" s="110"/>
      <c r="H681" s="110"/>
      <c r="I681" s="118"/>
      <c r="J681" s="118"/>
      <c r="K681" s="107"/>
      <c r="L681" s="107"/>
      <c r="M681" s="107"/>
      <c r="N681" s="107"/>
      <c r="O681" s="107"/>
      <c r="P681" s="107"/>
      <c r="Q681" s="107"/>
      <c r="R681" s="107"/>
      <c r="S681" s="107"/>
      <c r="T681" s="107"/>
      <c r="U681" s="107"/>
      <c r="V681" s="107"/>
      <c r="W681" s="107"/>
      <c r="X681" s="107"/>
    </row>
    <row r="682" spans="1:24" ht="12.75">
      <c r="A682" s="109"/>
      <c r="B682" s="110"/>
      <c r="C682" s="110"/>
      <c r="D682" s="110"/>
      <c r="E682" s="110"/>
      <c r="F682" s="110"/>
      <c r="G682" s="110"/>
      <c r="H682" s="110"/>
      <c r="I682" s="118"/>
      <c r="J682" s="118"/>
      <c r="K682" s="107"/>
      <c r="L682" s="107"/>
      <c r="M682" s="107"/>
      <c r="N682" s="107"/>
      <c r="O682" s="107"/>
      <c r="P682" s="107"/>
      <c r="Q682" s="107"/>
      <c r="R682" s="107"/>
      <c r="S682" s="107"/>
      <c r="T682" s="107"/>
      <c r="U682" s="107"/>
      <c r="V682" s="107"/>
      <c r="W682" s="107"/>
      <c r="X682" s="107"/>
    </row>
    <row r="683" spans="1:24" ht="12.75">
      <c r="A683" s="109"/>
      <c r="B683" s="110"/>
      <c r="C683" s="110"/>
      <c r="D683" s="110"/>
      <c r="E683" s="110"/>
      <c r="F683" s="110"/>
      <c r="G683" s="110"/>
      <c r="H683" s="110"/>
      <c r="I683" s="118"/>
      <c r="J683" s="118"/>
      <c r="K683" s="107"/>
      <c r="L683" s="107"/>
      <c r="M683" s="107"/>
      <c r="N683" s="107"/>
      <c r="O683" s="107"/>
      <c r="P683" s="107"/>
      <c r="Q683" s="107"/>
      <c r="R683" s="107"/>
      <c r="S683" s="107"/>
      <c r="T683" s="107"/>
      <c r="U683" s="107"/>
      <c r="V683" s="107"/>
      <c r="W683" s="107"/>
      <c r="X683" s="107"/>
    </row>
    <row r="684" spans="1:24" ht="12.75">
      <c r="A684" s="109"/>
      <c r="B684" s="110"/>
      <c r="C684" s="110"/>
      <c r="D684" s="110"/>
      <c r="E684" s="110"/>
      <c r="F684" s="110"/>
      <c r="G684" s="110"/>
      <c r="H684" s="110"/>
      <c r="I684" s="118"/>
      <c r="J684" s="118"/>
      <c r="K684" s="107"/>
      <c r="L684" s="107"/>
      <c r="M684" s="107"/>
      <c r="N684" s="107"/>
      <c r="O684" s="107"/>
      <c r="P684" s="107"/>
      <c r="Q684" s="107"/>
      <c r="R684" s="107"/>
      <c r="S684" s="107"/>
      <c r="T684" s="107"/>
      <c r="U684" s="107"/>
      <c r="V684" s="107"/>
      <c r="W684" s="107"/>
      <c r="X684" s="107"/>
    </row>
    <row r="685" spans="1:24" ht="12.75">
      <c r="A685" s="109"/>
      <c r="B685" s="110"/>
      <c r="C685" s="110"/>
      <c r="D685" s="110"/>
      <c r="E685" s="110"/>
      <c r="F685" s="110"/>
      <c r="G685" s="110"/>
      <c r="H685" s="110"/>
      <c r="I685" s="118"/>
      <c r="J685" s="118"/>
      <c r="K685" s="107"/>
      <c r="L685" s="107"/>
      <c r="M685" s="107"/>
      <c r="N685" s="107"/>
      <c r="O685" s="107"/>
      <c r="P685" s="107"/>
      <c r="Q685" s="107"/>
      <c r="R685" s="107"/>
      <c r="S685" s="107"/>
      <c r="T685" s="107"/>
      <c r="U685" s="107"/>
      <c r="V685" s="107"/>
      <c r="W685" s="107"/>
      <c r="X685" s="107"/>
    </row>
    <row r="686" spans="1:24" ht="12.75">
      <c r="A686" s="109"/>
      <c r="B686" s="110"/>
      <c r="C686" s="110"/>
      <c r="D686" s="110"/>
      <c r="E686" s="110"/>
      <c r="F686" s="110"/>
      <c r="G686" s="110"/>
      <c r="H686" s="110"/>
      <c r="I686" s="118"/>
      <c r="J686" s="118"/>
      <c r="K686" s="107"/>
      <c r="L686" s="107"/>
      <c r="M686" s="107"/>
      <c r="N686" s="107"/>
      <c r="O686" s="107"/>
      <c r="P686" s="107"/>
      <c r="Q686" s="107"/>
      <c r="R686" s="107"/>
      <c r="S686" s="107"/>
      <c r="T686" s="107"/>
      <c r="U686" s="107"/>
      <c r="V686" s="107"/>
      <c r="W686" s="107"/>
      <c r="X686" s="107"/>
    </row>
    <row r="687" spans="1:24" ht="12.75">
      <c r="A687" s="109"/>
      <c r="B687" s="110"/>
      <c r="C687" s="110"/>
      <c r="D687" s="110"/>
      <c r="E687" s="110"/>
      <c r="F687" s="110"/>
      <c r="G687" s="110"/>
      <c r="H687" s="110"/>
      <c r="I687" s="118"/>
      <c r="J687" s="118"/>
      <c r="K687" s="107"/>
      <c r="L687" s="107"/>
      <c r="M687" s="107"/>
      <c r="N687" s="107"/>
      <c r="O687" s="107"/>
      <c r="P687" s="107"/>
      <c r="Q687" s="107"/>
      <c r="R687" s="107"/>
      <c r="S687" s="107"/>
      <c r="T687" s="107"/>
      <c r="U687" s="107"/>
      <c r="V687" s="107"/>
      <c r="W687" s="107"/>
      <c r="X687" s="107"/>
    </row>
    <row r="688" spans="1:24" ht="12.75">
      <c r="A688" s="109"/>
      <c r="B688" s="110"/>
      <c r="C688" s="110"/>
      <c r="D688" s="110"/>
      <c r="E688" s="110"/>
      <c r="F688" s="110"/>
      <c r="G688" s="110"/>
      <c r="H688" s="110"/>
      <c r="I688" s="118"/>
      <c r="J688" s="118"/>
      <c r="K688" s="107"/>
      <c r="L688" s="107"/>
      <c r="M688" s="107"/>
      <c r="N688" s="107"/>
      <c r="O688" s="107"/>
      <c r="P688" s="107"/>
      <c r="Q688" s="107"/>
      <c r="R688" s="107"/>
      <c r="S688" s="107"/>
      <c r="T688" s="107"/>
      <c r="U688" s="107"/>
      <c r="V688" s="107"/>
      <c r="W688" s="107"/>
      <c r="X688" s="107"/>
    </row>
    <row r="689" spans="1:24" ht="12.75">
      <c r="A689" s="109"/>
      <c r="B689" s="110"/>
      <c r="C689" s="110"/>
      <c r="D689" s="110"/>
      <c r="E689" s="110"/>
      <c r="F689" s="110"/>
      <c r="G689" s="110"/>
      <c r="H689" s="110"/>
      <c r="I689" s="118"/>
      <c r="J689" s="118"/>
      <c r="K689" s="107"/>
      <c r="L689" s="107"/>
      <c r="M689" s="107"/>
      <c r="N689" s="107"/>
      <c r="O689" s="107"/>
      <c r="P689" s="107"/>
      <c r="Q689" s="107"/>
      <c r="R689" s="107"/>
      <c r="S689" s="107"/>
      <c r="T689" s="107"/>
      <c r="U689" s="107"/>
      <c r="V689" s="107"/>
      <c r="W689" s="107"/>
      <c r="X689" s="107"/>
    </row>
    <row r="690" spans="1:24" ht="12.75">
      <c r="A690" s="109"/>
      <c r="B690" s="110"/>
      <c r="C690" s="110"/>
      <c r="D690" s="110"/>
      <c r="E690" s="110"/>
      <c r="F690" s="110"/>
      <c r="G690" s="110"/>
      <c r="H690" s="110"/>
      <c r="I690" s="118"/>
      <c r="J690" s="118"/>
      <c r="K690" s="107"/>
      <c r="L690" s="107"/>
      <c r="M690" s="107"/>
      <c r="N690" s="107"/>
      <c r="O690" s="107"/>
      <c r="P690" s="107"/>
      <c r="Q690" s="107"/>
      <c r="R690" s="107"/>
      <c r="S690" s="107"/>
      <c r="T690" s="107"/>
      <c r="U690" s="107"/>
      <c r="V690" s="107"/>
      <c r="W690" s="107"/>
      <c r="X690" s="107"/>
    </row>
    <row r="691" spans="1:24" ht="12.75">
      <c r="A691" s="109"/>
      <c r="B691" s="110"/>
      <c r="C691" s="110"/>
      <c r="D691" s="110"/>
      <c r="E691" s="110"/>
      <c r="F691" s="110"/>
      <c r="G691" s="110"/>
      <c r="H691" s="110"/>
      <c r="I691" s="118"/>
      <c r="J691" s="118"/>
      <c r="K691" s="107"/>
      <c r="L691" s="107"/>
      <c r="M691" s="107"/>
      <c r="N691" s="107"/>
      <c r="O691" s="107"/>
      <c r="P691" s="107"/>
      <c r="Q691" s="107"/>
      <c r="R691" s="107"/>
      <c r="S691" s="107"/>
      <c r="T691" s="107"/>
      <c r="U691" s="107"/>
      <c r="V691" s="107"/>
      <c r="W691" s="107"/>
      <c r="X691" s="107"/>
    </row>
    <row r="692" spans="1:24" ht="12.75">
      <c r="A692" s="109"/>
      <c r="B692" s="110"/>
      <c r="C692" s="110"/>
      <c r="D692" s="110"/>
      <c r="E692" s="110"/>
      <c r="F692" s="110"/>
      <c r="G692" s="110"/>
      <c r="H692" s="110"/>
      <c r="I692" s="118"/>
      <c r="J692" s="118"/>
      <c r="K692" s="107"/>
      <c r="L692" s="107"/>
      <c r="M692" s="107"/>
      <c r="N692" s="107"/>
      <c r="O692" s="107"/>
      <c r="P692" s="107"/>
      <c r="Q692" s="107"/>
      <c r="R692" s="107"/>
      <c r="S692" s="107"/>
      <c r="T692" s="107"/>
      <c r="U692" s="107"/>
      <c r="V692" s="107"/>
      <c r="W692" s="107"/>
      <c r="X692" s="107"/>
    </row>
    <row r="693" spans="1:24" ht="12.75">
      <c r="A693" s="109"/>
      <c r="B693" s="110"/>
      <c r="C693" s="110"/>
      <c r="D693" s="110"/>
      <c r="E693" s="110"/>
      <c r="F693" s="110"/>
      <c r="G693" s="110"/>
      <c r="H693" s="110"/>
      <c r="I693" s="118"/>
      <c r="J693" s="118"/>
      <c r="K693" s="107"/>
      <c r="L693" s="107"/>
      <c r="M693" s="107"/>
      <c r="N693" s="107"/>
      <c r="O693" s="107"/>
      <c r="P693" s="107"/>
      <c r="Q693" s="107"/>
      <c r="R693" s="107"/>
      <c r="S693" s="107"/>
      <c r="T693" s="107"/>
      <c r="U693" s="107"/>
      <c r="V693" s="107"/>
      <c r="W693" s="107"/>
      <c r="X693" s="107"/>
    </row>
    <row r="694" spans="1:24" ht="12.75">
      <c r="A694" s="109"/>
      <c r="B694" s="110"/>
      <c r="C694" s="110"/>
      <c r="D694" s="110"/>
      <c r="E694" s="110"/>
      <c r="F694" s="110"/>
      <c r="G694" s="110"/>
      <c r="H694" s="110"/>
      <c r="I694" s="118"/>
      <c r="J694" s="118"/>
      <c r="K694" s="107"/>
      <c r="L694" s="107"/>
      <c r="M694" s="107"/>
      <c r="N694" s="107"/>
      <c r="O694" s="107"/>
      <c r="P694" s="107"/>
      <c r="Q694" s="107"/>
      <c r="R694" s="107"/>
      <c r="S694" s="107"/>
      <c r="T694" s="107"/>
      <c r="U694" s="107"/>
      <c r="V694" s="107"/>
      <c r="W694" s="107"/>
      <c r="X694" s="107"/>
    </row>
    <row r="695" spans="1:24" ht="12.75">
      <c r="A695" s="109"/>
      <c r="B695" s="110"/>
      <c r="C695" s="110"/>
      <c r="D695" s="110"/>
      <c r="E695" s="110"/>
      <c r="F695" s="110"/>
      <c r="G695" s="110"/>
      <c r="H695" s="110"/>
      <c r="I695" s="118"/>
      <c r="J695" s="118"/>
      <c r="K695" s="107"/>
      <c r="L695" s="107"/>
      <c r="M695" s="107"/>
      <c r="N695" s="107"/>
      <c r="O695" s="107"/>
      <c r="P695" s="107"/>
      <c r="Q695" s="107"/>
      <c r="R695" s="107"/>
      <c r="S695" s="107"/>
      <c r="T695" s="107"/>
      <c r="U695" s="107"/>
      <c r="V695" s="107"/>
      <c r="W695" s="107"/>
      <c r="X695" s="107"/>
    </row>
    <row r="696" spans="1:24" ht="12.75">
      <c r="A696" s="109"/>
      <c r="B696" s="110"/>
      <c r="C696" s="110"/>
      <c r="D696" s="110"/>
      <c r="E696" s="110"/>
      <c r="F696" s="110"/>
      <c r="G696" s="110"/>
      <c r="H696" s="110"/>
      <c r="I696" s="118"/>
      <c r="J696" s="118"/>
      <c r="K696" s="107"/>
      <c r="L696" s="107"/>
      <c r="M696" s="107"/>
      <c r="N696" s="107"/>
      <c r="O696" s="107"/>
      <c r="P696" s="107"/>
      <c r="Q696" s="107"/>
      <c r="R696" s="107"/>
      <c r="S696" s="107"/>
      <c r="T696" s="107"/>
      <c r="U696" s="107"/>
      <c r="V696" s="107"/>
      <c r="W696" s="107"/>
      <c r="X696" s="107"/>
    </row>
    <row r="697" spans="1:24" ht="12.75">
      <c r="A697" s="109"/>
      <c r="B697" s="110"/>
      <c r="C697" s="110"/>
      <c r="D697" s="110"/>
      <c r="E697" s="110"/>
      <c r="F697" s="110"/>
      <c r="G697" s="110"/>
      <c r="H697" s="110"/>
      <c r="I697" s="118"/>
      <c r="J697" s="118"/>
      <c r="K697" s="107"/>
      <c r="L697" s="107"/>
      <c r="M697" s="107"/>
      <c r="N697" s="107"/>
      <c r="O697" s="107"/>
      <c r="P697" s="107"/>
      <c r="Q697" s="107"/>
      <c r="R697" s="107"/>
      <c r="S697" s="107"/>
      <c r="T697" s="107"/>
      <c r="U697" s="107"/>
      <c r="V697" s="107"/>
      <c r="W697" s="107"/>
      <c r="X697" s="107"/>
    </row>
    <row r="698" spans="1:24" ht="12.75">
      <c r="A698" s="109"/>
      <c r="B698" s="110"/>
      <c r="C698" s="110"/>
      <c r="D698" s="110"/>
      <c r="E698" s="110"/>
      <c r="F698" s="110"/>
      <c r="G698" s="110"/>
      <c r="H698" s="110"/>
      <c r="I698" s="118"/>
      <c r="J698" s="118"/>
      <c r="K698" s="107"/>
      <c r="L698" s="107"/>
      <c r="M698" s="107"/>
      <c r="N698" s="107"/>
      <c r="O698" s="107"/>
      <c r="P698" s="107"/>
      <c r="Q698" s="107"/>
      <c r="R698" s="107"/>
      <c r="S698" s="107"/>
      <c r="T698" s="107"/>
      <c r="U698" s="107"/>
      <c r="V698" s="107"/>
      <c r="W698" s="107"/>
      <c r="X698" s="107"/>
    </row>
    <row r="699" spans="1:24" ht="12.75">
      <c r="A699" s="109"/>
      <c r="B699" s="110"/>
      <c r="C699" s="110"/>
      <c r="D699" s="110"/>
      <c r="E699" s="110"/>
      <c r="F699" s="110"/>
      <c r="G699" s="110"/>
      <c r="H699" s="110"/>
      <c r="I699" s="118"/>
      <c r="J699" s="118"/>
      <c r="K699" s="107"/>
      <c r="L699" s="107"/>
      <c r="M699" s="107"/>
      <c r="N699" s="107"/>
      <c r="O699" s="107"/>
      <c r="P699" s="107"/>
      <c r="Q699" s="107"/>
      <c r="R699" s="107"/>
      <c r="S699" s="107"/>
      <c r="T699" s="107"/>
      <c r="U699" s="107"/>
      <c r="V699" s="107"/>
      <c r="W699" s="107"/>
      <c r="X699" s="107"/>
    </row>
    <row r="700" spans="1:24" ht="12.75">
      <c r="A700" s="109"/>
      <c r="B700" s="110"/>
      <c r="C700" s="110"/>
      <c r="D700" s="110"/>
      <c r="E700" s="110"/>
      <c r="F700" s="110"/>
      <c r="G700" s="110"/>
      <c r="H700" s="110"/>
      <c r="I700" s="118"/>
      <c r="J700" s="118"/>
      <c r="K700" s="107"/>
      <c r="L700" s="107"/>
      <c r="M700" s="107"/>
      <c r="N700" s="107"/>
      <c r="O700" s="107"/>
      <c r="P700" s="107"/>
      <c r="Q700" s="107"/>
      <c r="R700" s="107"/>
      <c r="S700" s="107"/>
      <c r="T700" s="107"/>
      <c r="U700" s="107"/>
      <c r="V700" s="107"/>
      <c r="W700" s="107"/>
      <c r="X700" s="107"/>
    </row>
    <row r="701" spans="1:24" ht="12.75">
      <c r="A701" s="109"/>
      <c r="B701" s="110"/>
      <c r="C701" s="110"/>
      <c r="D701" s="110"/>
      <c r="E701" s="110"/>
      <c r="F701" s="110"/>
      <c r="G701" s="110"/>
      <c r="H701" s="110"/>
      <c r="I701" s="118"/>
      <c r="J701" s="118"/>
      <c r="K701" s="107"/>
      <c r="L701" s="107"/>
      <c r="M701" s="107"/>
      <c r="N701" s="107"/>
      <c r="O701" s="107"/>
      <c r="P701" s="107"/>
      <c r="Q701" s="107"/>
      <c r="R701" s="107"/>
      <c r="S701" s="107"/>
      <c r="T701" s="107"/>
      <c r="U701" s="107"/>
      <c r="V701" s="107"/>
      <c r="W701" s="107"/>
      <c r="X701" s="107"/>
    </row>
    <row r="702" spans="1:24" ht="12.75">
      <c r="A702" s="109"/>
      <c r="B702" s="110"/>
      <c r="C702" s="110"/>
      <c r="D702" s="110"/>
      <c r="E702" s="110"/>
      <c r="F702" s="110"/>
      <c r="G702" s="110"/>
      <c r="H702" s="110"/>
      <c r="I702" s="118"/>
      <c r="J702" s="118"/>
      <c r="K702" s="107"/>
      <c r="L702" s="107"/>
      <c r="M702" s="107"/>
      <c r="N702" s="107"/>
      <c r="O702" s="107"/>
      <c r="P702" s="107"/>
      <c r="Q702" s="107"/>
      <c r="R702" s="107"/>
      <c r="S702" s="107"/>
      <c r="T702" s="107"/>
      <c r="U702" s="107"/>
      <c r="V702" s="107"/>
      <c r="W702" s="107"/>
      <c r="X702" s="107"/>
    </row>
  </sheetData>
  <customSheetViews>
    <customSheetView guid="{A6D78304-069F-43D9-89AC-C0406D0D2F21}" filter="1" showAutoFilter="1">
      <pageMargins left="0.7" right="0.7" top="0.75" bottom="0.75" header="0.3" footer="0.3"/>
      <autoFilter ref="A1:K17">
        <filterColumn colId="7">
          <filters>
            <filter val="2148223"/>
            <filter val="2322855"/>
            <filter val="2348090"/>
            <filter val="2351361"/>
            <filter val="2351554"/>
            <filter val="2351634"/>
            <filter val="2352306"/>
            <filter val="2353523"/>
            <filter val="2353542"/>
            <filter val="2353546"/>
          </filters>
        </filterColumn>
      </autoFilter>
    </customSheetView>
  </customSheetViews>
  <conditionalFormatting sqref="A15">
    <cfRule type="expression" dxfId="758" priority="1">
      <formula>$U15="OPEN"</formula>
    </cfRule>
  </conditionalFormatting>
  <conditionalFormatting sqref="A15">
    <cfRule type="expression" dxfId="757" priority="2">
      <formula>$U15="CLOSED"</formula>
    </cfRule>
  </conditionalFormatting>
  <conditionalFormatting sqref="A15">
    <cfRule type="expression" dxfId="756" priority="3">
      <formula>$T15="CLOSED"</formula>
    </cfRule>
  </conditionalFormatting>
  <conditionalFormatting sqref="A15">
    <cfRule type="expression" dxfId="755" priority="4">
      <formula>$T15="OPEN"</formula>
    </cfRule>
  </conditionalFormatting>
  <conditionalFormatting sqref="A15">
    <cfRule type="expression" dxfId="754" priority="5">
      <formula>$U15="OPEN"</formula>
    </cfRule>
  </conditionalFormatting>
  <conditionalFormatting sqref="A15">
    <cfRule type="expression" dxfId="753" priority="6">
      <formula>$U15="CLOSED"</formula>
    </cfRule>
  </conditionalFormatting>
  <conditionalFormatting sqref="A15">
    <cfRule type="expression" dxfId="752" priority="7">
      <formula>$U15="OPEN"</formula>
    </cfRule>
  </conditionalFormatting>
  <conditionalFormatting sqref="A15">
    <cfRule type="expression" dxfId="751" priority="8">
      <formula>$U15="CLOSED"</formula>
    </cfRule>
  </conditionalFormatting>
  <conditionalFormatting sqref="A15">
    <cfRule type="expression" dxfId="750" priority="9">
      <formula>$T15="OPEN"</formula>
    </cfRule>
  </conditionalFormatting>
  <conditionalFormatting sqref="A15">
    <cfRule type="expression" dxfId="749" priority="10">
      <formula>$T15="CLOSED"</formula>
    </cfRule>
  </conditionalFormatting>
  <conditionalFormatting sqref="A15">
    <cfRule type="expression" dxfId="748" priority="11">
      <formula>$T15="OPEN"</formula>
    </cfRule>
  </conditionalFormatting>
  <conditionalFormatting sqref="A15">
    <cfRule type="expression" dxfId="747" priority="12">
      <formula>$T15="CLOSED"</formula>
    </cfRule>
  </conditionalFormatting>
  <conditionalFormatting sqref="A15">
    <cfRule type="expression" dxfId="746" priority="13">
      <formula>$T15="OPEN"</formula>
    </cfRule>
  </conditionalFormatting>
  <conditionalFormatting sqref="A15">
    <cfRule type="expression" dxfId="745" priority="14">
      <formula>$T15="CLOSED"</formula>
    </cfRule>
  </conditionalFormatting>
  <conditionalFormatting sqref="A2:A15 A17">
    <cfRule type="expression" dxfId="744" priority="15">
      <formula>$K2="CLOSED"</formula>
    </cfRule>
  </conditionalFormatting>
  <conditionalFormatting sqref="A2:A15 A17">
    <cfRule type="expression" dxfId="743" priority="16">
      <formula>$K2="OPEN"</formula>
    </cfRule>
  </conditionalFormatting>
  <conditionalFormatting sqref="A2:A15 A17">
    <cfRule type="expression" dxfId="742" priority="17">
      <formula>$K2="OPEN"</formula>
    </cfRule>
  </conditionalFormatting>
  <conditionalFormatting sqref="A2:A15 A17">
    <cfRule type="expression" dxfId="741" priority="18">
      <formula>$K2="CLOSED"</formula>
    </cfRule>
  </conditionalFormatting>
  <conditionalFormatting sqref="A2:A15 A17">
    <cfRule type="expression" dxfId="740" priority="19">
      <formula>#REF!="OPEN"</formula>
    </cfRule>
  </conditionalFormatting>
  <conditionalFormatting sqref="A2:A15 A17">
    <cfRule type="expression" dxfId="739" priority="20">
      <formula>#REF!="CLOSED"</formula>
    </cfRule>
  </conditionalFormatting>
  <conditionalFormatting sqref="A2:A15 A17">
    <cfRule type="expression" dxfId="738" priority="21">
      <formula>$I2="OPEN"</formula>
    </cfRule>
  </conditionalFormatting>
  <conditionalFormatting sqref="A2:A15 A17">
    <cfRule type="expression" dxfId="737" priority="22">
      <formula>$I2="CLOSED"</formula>
    </cfRule>
  </conditionalFormatting>
  <conditionalFormatting sqref="A2:A15 A17">
    <cfRule type="expression" dxfId="736" priority="23">
      <formula>$I2="OPEN"</formula>
    </cfRule>
  </conditionalFormatting>
  <conditionalFormatting sqref="A2:A15 A17">
    <cfRule type="expression" dxfId="735" priority="24">
      <formula>$I2="CLOSED"</formula>
    </cfRule>
  </conditionalFormatting>
  <conditionalFormatting sqref="A2:A15 A17">
    <cfRule type="expression" dxfId="734" priority="25">
      <formula>$Z2="OPEN"</formula>
    </cfRule>
  </conditionalFormatting>
  <conditionalFormatting sqref="A2:A15 A17">
    <cfRule type="expression" dxfId="733" priority="26">
      <formula>$Z2="CLOSED"</formula>
    </cfRule>
  </conditionalFormatting>
  <conditionalFormatting sqref="A2:A15 A17">
    <cfRule type="expression" dxfId="732" priority="27">
      <formula>$Y2="CLOSED"</formula>
    </cfRule>
  </conditionalFormatting>
  <conditionalFormatting sqref="A2:A15 A17">
    <cfRule type="expression" dxfId="731" priority="28">
      <formula>$Y2="OPEN"</formula>
    </cfRule>
  </conditionalFormatting>
  <conditionalFormatting sqref="A2:A15 A17">
    <cfRule type="expression" dxfId="730" priority="29">
      <formula>$Z2="OPEN"</formula>
    </cfRule>
  </conditionalFormatting>
  <conditionalFormatting sqref="A2:A15 A17">
    <cfRule type="expression" dxfId="729" priority="30">
      <formula>$Z2="CLOSED"</formula>
    </cfRule>
  </conditionalFormatting>
  <conditionalFormatting sqref="A2:A15 A17">
    <cfRule type="expression" dxfId="728" priority="31">
      <formula>$Z2="OPEN"</formula>
    </cfRule>
  </conditionalFormatting>
  <conditionalFormatting sqref="A2:A15 A17">
    <cfRule type="expression" dxfId="727" priority="32">
      <formula>$Z2="CLOSED"</formula>
    </cfRule>
  </conditionalFormatting>
  <conditionalFormatting sqref="A2:A15 A17">
    <cfRule type="expression" dxfId="726" priority="33">
      <formula>$M2="CLOSED"</formula>
    </cfRule>
  </conditionalFormatting>
  <conditionalFormatting sqref="A2:A15 A17">
    <cfRule type="expression" dxfId="725" priority="34">
      <formula>$M2="OPEN"</formula>
    </cfRule>
  </conditionalFormatting>
  <conditionalFormatting sqref="A2:A15 A17">
    <cfRule type="expression" dxfId="724" priority="35">
      <formula>$M2="CLOSED"</formula>
    </cfRule>
  </conditionalFormatting>
  <conditionalFormatting sqref="A2:A15 A17">
    <cfRule type="expression" dxfId="723" priority="36">
      <formula>$M2="OPEN"</formula>
    </cfRule>
  </conditionalFormatting>
  <conditionalFormatting sqref="A2:A15 A17">
    <cfRule type="expression" dxfId="722" priority="37">
      <formula>$Y2="OPEN"</formula>
    </cfRule>
  </conditionalFormatting>
  <conditionalFormatting sqref="A2:A15 A17">
    <cfRule type="expression" dxfId="721" priority="38">
      <formula>$Y2="CLOSED"</formula>
    </cfRule>
  </conditionalFormatting>
  <conditionalFormatting sqref="A2:A15 A17">
    <cfRule type="expression" dxfId="720" priority="39">
      <formula>$S2="CLOSED"</formula>
    </cfRule>
  </conditionalFormatting>
  <conditionalFormatting sqref="A2:A15 A17">
    <cfRule type="expression" dxfId="719" priority="40">
      <formula>$S2="OPEN"</formula>
    </cfRule>
  </conditionalFormatting>
  <conditionalFormatting sqref="A2:A15 A17">
    <cfRule type="expression" dxfId="718" priority="41">
      <formula>$Y2="OPEN"</formula>
    </cfRule>
  </conditionalFormatting>
  <conditionalFormatting sqref="A2:A15 A17">
    <cfRule type="expression" dxfId="717" priority="42">
      <formula>$Y2="CLOSED"</formula>
    </cfRule>
  </conditionalFormatting>
  <conditionalFormatting sqref="A2:A15 A17">
    <cfRule type="expression" dxfId="716" priority="43">
      <formula>$Y2="OPEN"</formula>
    </cfRule>
  </conditionalFormatting>
  <conditionalFormatting sqref="A2:A15 A17">
    <cfRule type="expression" dxfId="715" priority="44">
      <formula>$Y2="CLOSED"</formula>
    </cfRule>
  </conditionalFormatting>
  <conditionalFormatting sqref="A2:A15 A17">
    <cfRule type="expression" dxfId="714" priority="45">
      <formula>$L2="CLOSED"</formula>
    </cfRule>
  </conditionalFormatting>
  <conditionalFormatting sqref="A2:A15 A17">
    <cfRule type="expression" dxfId="713" priority="46">
      <formula>$L2="OPEN"</formula>
    </cfRule>
  </conditionalFormatting>
  <conditionalFormatting sqref="A2:A15 A17">
    <cfRule type="expression" dxfId="712" priority="47">
      <formula>$L2="CLOSED"</formula>
    </cfRule>
  </conditionalFormatting>
  <conditionalFormatting sqref="A2:A15 A17">
    <cfRule type="expression" dxfId="711" priority="48">
      <formula>$L2="OPEN"</formula>
    </cfRule>
  </conditionalFormatting>
  <conditionalFormatting sqref="A2:A15 A17">
    <cfRule type="expression" dxfId="710" priority="49">
      <formula>$S2="OPEN"</formula>
    </cfRule>
  </conditionalFormatting>
  <conditionalFormatting sqref="A2:A15 A17">
    <cfRule type="expression" dxfId="709" priority="50">
      <formula>$S2="CLOSED"</formula>
    </cfRule>
  </conditionalFormatting>
  <conditionalFormatting sqref="A2:A15 A17">
    <cfRule type="expression" dxfId="708" priority="51">
      <formula>$R2="CLOSED"</formula>
    </cfRule>
  </conditionalFormatting>
  <conditionalFormatting sqref="A2:A15 A17">
    <cfRule type="expression" dxfId="707" priority="52">
      <formula>$R2="OPEN"</formula>
    </cfRule>
  </conditionalFormatting>
  <conditionalFormatting sqref="A2:A15 A17">
    <cfRule type="expression" dxfId="706" priority="53">
      <formula>$S2="OPEN"</formula>
    </cfRule>
  </conditionalFormatting>
  <conditionalFormatting sqref="A2:A15 A17">
    <cfRule type="expression" dxfId="705" priority="54">
      <formula>$S2="CLOSED"</formula>
    </cfRule>
  </conditionalFormatting>
  <conditionalFormatting sqref="A2:A15 A17">
    <cfRule type="expression" dxfId="704" priority="55">
      <formula>$S2="OPEN"</formula>
    </cfRule>
  </conditionalFormatting>
  <conditionalFormatting sqref="A2:A15 A17">
    <cfRule type="expression" dxfId="703" priority="56">
      <formula>$S2="CLOSED"</formula>
    </cfRule>
  </conditionalFormatting>
  <conditionalFormatting sqref="A2:A15 A17">
    <cfRule type="expression" dxfId="702" priority="57">
      <formula>$R2="OPEN"</formula>
    </cfRule>
  </conditionalFormatting>
  <conditionalFormatting sqref="A2:A15 A17">
    <cfRule type="expression" dxfId="701" priority="58">
      <formula>$R2="CLOSED"</formula>
    </cfRule>
  </conditionalFormatting>
  <conditionalFormatting sqref="A2:A15 A17">
    <cfRule type="expression" dxfId="700" priority="59">
      <formula>$R2="OPEN"</formula>
    </cfRule>
  </conditionalFormatting>
  <conditionalFormatting sqref="A2:A15 A17">
    <cfRule type="expression" dxfId="699" priority="60">
      <formula>$R2="CLOSED"</formula>
    </cfRule>
  </conditionalFormatting>
  <conditionalFormatting sqref="A2:A15 A17">
    <cfRule type="expression" dxfId="698" priority="61">
      <formula>$L2="OPEN"</formula>
    </cfRule>
  </conditionalFormatting>
  <conditionalFormatting sqref="A2:A15 A17">
    <cfRule type="expression" dxfId="697" priority="62">
      <formula>$L2="CLOSED"</formula>
    </cfRule>
  </conditionalFormatting>
  <conditionalFormatting sqref="A2:A15 A17">
    <cfRule type="expression" dxfId="696" priority="63">
      <formula>$M2="OPEN"</formula>
    </cfRule>
  </conditionalFormatting>
  <conditionalFormatting sqref="A2:A15 A17">
    <cfRule type="expression" dxfId="695" priority="64">
      <formula>$M2="CLOSED"</formula>
    </cfRule>
  </conditionalFormatting>
  <conditionalFormatting sqref="A2:A15 A17">
    <cfRule type="expression" dxfId="694" priority="65">
      <formula>$M2="CLOSED"</formula>
    </cfRule>
  </conditionalFormatting>
  <conditionalFormatting sqref="A2:A15 A17">
    <cfRule type="expression" dxfId="693" priority="66">
      <formula>$M2="OPEN"</formula>
    </cfRule>
  </conditionalFormatting>
  <conditionalFormatting sqref="A2:A15 A17">
    <cfRule type="expression" dxfId="692" priority="67">
      <formula>$J2="OPEN"</formula>
    </cfRule>
  </conditionalFormatting>
  <conditionalFormatting sqref="A2:A15 A17">
    <cfRule type="expression" dxfId="691" priority="68">
      <formula>$E2="CLOSED"</formula>
    </cfRule>
  </conditionalFormatting>
  <conditionalFormatting sqref="A2:A15 A17">
    <cfRule type="expression" dxfId="690" priority="69">
      <formula>$E2="OPEN"</formula>
    </cfRule>
  </conditionalFormatting>
  <conditionalFormatting sqref="A2:A15 A17">
    <cfRule type="expression" dxfId="689" priority="70">
      <formula>$E2="OPEN"</formula>
    </cfRule>
  </conditionalFormatting>
  <conditionalFormatting sqref="A2:A15 A17">
    <cfRule type="expression" dxfId="688" priority="71">
      <formula>$E2="CLOSED"</formula>
    </cfRule>
  </conditionalFormatting>
  <conditionalFormatting sqref="A2:A15 A17">
    <cfRule type="expression" dxfId="687" priority="72">
      <formula>$L2="CLOSED"</formula>
    </cfRule>
  </conditionalFormatting>
  <conditionalFormatting sqref="A2:A15 A17">
    <cfRule type="expression" dxfId="686" priority="73">
      <formula>$L2="OPEN"</formula>
    </cfRule>
  </conditionalFormatting>
  <conditionalFormatting sqref="A2:A15 A17">
    <cfRule type="expression" dxfId="685" priority="74">
      <formula>$N2="OPEN"</formula>
    </cfRule>
  </conditionalFormatting>
  <conditionalFormatting sqref="A2:A15 A17">
    <cfRule type="expression" dxfId="684" priority="75">
      <formula>$N2="CLOSED"</formula>
    </cfRule>
  </conditionalFormatting>
  <conditionalFormatting sqref="A2:A15 A17">
    <cfRule type="expression" dxfId="683" priority="76">
      <formula>$P2="CLOSED"</formula>
    </cfRule>
  </conditionalFormatting>
  <conditionalFormatting sqref="A2:A15 A17">
    <cfRule type="expression" dxfId="682" priority="77">
      <formula>$P2="OPEN"</formula>
    </cfRule>
  </conditionalFormatting>
  <conditionalFormatting sqref="A2:A15 A17">
    <cfRule type="expression" dxfId="681" priority="78">
      <formula>$N2="OPEN"</formula>
    </cfRule>
  </conditionalFormatting>
  <conditionalFormatting sqref="A2:A15 A17">
    <cfRule type="expression" dxfId="680" priority="79">
      <formula>$N2="CLOSED"</formula>
    </cfRule>
  </conditionalFormatting>
  <conditionalFormatting sqref="A2:A15 A17">
    <cfRule type="expression" dxfId="679" priority="80">
      <formula>$O2="OPEN"</formula>
    </cfRule>
  </conditionalFormatting>
  <conditionalFormatting sqref="A2:A15 A17">
    <cfRule type="expression" dxfId="678" priority="81">
      <formula>$O2="CLOSED"</formula>
    </cfRule>
  </conditionalFormatting>
  <conditionalFormatting sqref="A2:A15 A17">
    <cfRule type="expression" dxfId="677" priority="82">
      <formula>#REF!="OPEN"</formula>
    </cfRule>
  </conditionalFormatting>
  <conditionalFormatting sqref="A2:A15 A17">
    <cfRule type="expression" dxfId="676" priority="83">
      <formula>$J2="CLOSED"</formula>
    </cfRule>
  </conditionalFormatting>
  <conditionalFormatting sqref="A2:A15 A17">
    <cfRule type="expression" dxfId="675" priority="84">
      <formula>#REF!="CLOSED"</formula>
    </cfRule>
  </conditionalFormatting>
  <conditionalFormatting sqref="A2:A15 A17">
    <cfRule type="expression" dxfId="674" priority="85">
      <formula>$J2="OPEN"</formula>
    </cfRule>
  </conditionalFormatting>
  <conditionalFormatting sqref="A2:A15 A17">
    <cfRule type="expression" dxfId="673" priority="86">
      <formula>$J2="CLOSED"</formula>
    </cfRule>
  </conditionalFormatting>
  <conditionalFormatting sqref="A2:A15 A17">
    <cfRule type="expression" dxfId="672" priority="87">
      <formula>$J2="OPEN"</formula>
    </cfRule>
  </conditionalFormatting>
  <conditionalFormatting sqref="A2:A15 A17">
    <cfRule type="expression" dxfId="671" priority="88">
      <formula>$N2="CLOSED"</formula>
    </cfRule>
  </conditionalFormatting>
  <conditionalFormatting sqref="A2:A15 A17">
    <cfRule type="expression" dxfId="670" priority="89">
      <formula>$N2="OPEN"</formula>
    </cfRule>
  </conditionalFormatting>
  <conditionalFormatting sqref="A2:A15 A17">
    <cfRule type="expression" dxfId="669" priority="90">
      <formula>$O2="OPEN"</formula>
    </cfRule>
  </conditionalFormatting>
  <conditionalFormatting sqref="A2:A15 A17">
    <cfRule type="expression" dxfId="668" priority="91">
      <formula>$O2="CLOSED"</formula>
    </cfRule>
  </conditionalFormatting>
  <conditionalFormatting sqref="A2:A15 A17">
    <cfRule type="expression" dxfId="667" priority="92">
      <formula>$P2="OPEN"</formula>
    </cfRule>
  </conditionalFormatting>
  <conditionalFormatting sqref="A2:A15 A17">
    <cfRule type="expression" dxfId="666" priority="93">
      <formula>$P2="CLOSED"</formula>
    </cfRule>
  </conditionalFormatting>
  <conditionalFormatting sqref="A2:A15 A17">
    <cfRule type="expression" dxfId="665" priority="94">
      <formula>$P2="OPEN"</formula>
    </cfRule>
  </conditionalFormatting>
  <conditionalFormatting sqref="A2:A15 A17">
    <cfRule type="expression" dxfId="664" priority="95">
      <formula>$P2="CLOSED"</formula>
    </cfRule>
  </conditionalFormatting>
  <conditionalFormatting sqref="A2:A15 A17">
    <cfRule type="expression" dxfId="663" priority="96">
      <formula>#REF!="OPEN"</formula>
    </cfRule>
  </conditionalFormatting>
  <conditionalFormatting sqref="A2:A15 A17">
    <cfRule type="expression" dxfId="662" priority="97">
      <formula>#REF!="CLOSED"</formula>
    </cfRule>
  </conditionalFormatting>
  <conditionalFormatting sqref="A2:A15 A17">
    <cfRule type="expression" dxfId="661" priority="98">
      <formula>$O2="CLOSED"</formula>
    </cfRule>
  </conditionalFormatting>
  <conditionalFormatting sqref="A2:A15 A17">
    <cfRule type="expression" dxfId="660" priority="99">
      <formula>$O2="OPEN"</formula>
    </cfRule>
  </conditionalFormatting>
  <conditionalFormatting sqref="A2:A15 A17">
    <cfRule type="expression" dxfId="659" priority="100">
      <formula>#REF!="OPEN"</formula>
    </cfRule>
  </conditionalFormatting>
  <conditionalFormatting sqref="A2:A15 A17">
    <cfRule type="expression" dxfId="658" priority="101">
      <formula>#REF!="OPEN"</formula>
    </cfRule>
  </conditionalFormatting>
  <conditionalFormatting sqref="A2:A15 A17">
    <cfRule type="expression" dxfId="657" priority="102">
      <formula>#REF!="CLOSED"</formula>
    </cfRule>
  </conditionalFormatting>
  <conditionalFormatting sqref="A2:A15 A17">
    <cfRule type="expression" dxfId="656" priority="103">
      <formula>#REF!="OPEN"</formula>
    </cfRule>
  </conditionalFormatting>
  <conditionalFormatting sqref="A2:A15 A17">
    <cfRule type="expression" dxfId="655" priority="104">
      <formula>#REF!="CLOSED"</formula>
    </cfRule>
  </conditionalFormatting>
  <conditionalFormatting sqref="A2:A15 A17">
    <cfRule type="expression" dxfId="654" priority="105">
      <formula>#REF!="OPEN"</formula>
    </cfRule>
  </conditionalFormatting>
  <conditionalFormatting sqref="A2:A15 A17">
    <cfRule type="expression" dxfId="653" priority="106">
      <formula>#REF!="CLOSED"</formula>
    </cfRule>
  </conditionalFormatting>
  <conditionalFormatting sqref="A2:A15 A17">
    <cfRule type="expression" dxfId="652" priority="107">
      <formula>#REF!="CLOSED"</formula>
    </cfRule>
  </conditionalFormatting>
  <conditionalFormatting sqref="A2:A15 A17">
    <cfRule type="expression" dxfId="651" priority="108">
      <formula>#REF!="OPEN"</formula>
    </cfRule>
  </conditionalFormatting>
  <conditionalFormatting sqref="A2:A15 A17">
    <cfRule type="expression" dxfId="650" priority="109">
      <formula>#REF!="OPEN"</formula>
    </cfRule>
  </conditionalFormatting>
  <conditionalFormatting sqref="A2:A15 A17">
    <cfRule type="expression" dxfId="649" priority="110">
      <formula>#REF!="CLOSED"</formula>
    </cfRule>
  </conditionalFormatting>
  <conditionalFormatting sqref="A2:A15 A17">
    <cfRule type="expression" dxfId="648" priority="111">
      <formula>#REF!="OPEN"</formula>
    </cfRule>
  </conditionalFormatting>
  <conditionalFormatting sqref="A2:A15 A17">
    <cfRule type="expression" dxfId="647" priority="112">
      <formula>#REF!="CLOSED"</formula>
    </cfRule>
  </conditionalFormatting>
  <conditionalFormatting sqref="A2:A15 A17">
    <cfRule type="expression" dxfId="646" priority="113">
      <formula>#REF!="OPEN"</formula>
    </cfRule>
  </conditionalFormatting>
  <conditionalFormatting sqref="A2:A15 A17">
    <cfRule type="expression" dxfId="645" priority="114">
      <formula>#REF!="CLOSED"</formula>
    </cfRule>
  </conditionalFormatting>
  <conditionalFormatting sqref="A2:A15 A17">
    <cfRule type="expression" dxfId="644" priority="115">
      <formula>#REF!="CLOSED"</formula>
    </cfRule>
  </conditionalFormatting>
  <conditionalFormatting sqref="A2:A15 A17">
    <cfRule type="expression" dxfId="643" priority="116">
      <formula>#REF!="OPEN"</formula>
    </cfRule>
  </conditionalFormatting>
  <conditionalFormatting sqref="A2:A15 A17">
    <cfRule type="expression" dxfId="642" priority="117">
      <formula>#REF!="CLOSED"</formula>
    </cfRule>
  </conditionalFormatting>
  <conditionalFormatting sqref="A2:A15 A17">
    <cfRule type="expression" dxfId="641" priority="118">
      <formula>#REF!="OPEN"</formula>
    </cfRule>
  </conditionalFormatting>
  <conditionalFormatting sqref="A2:A15 A17">
    <cfRule type="expression" dxfId="640" priority="119">
      <formula>#REF!="CLOSED"</formula>
    </cfRule>
  </conditionalFormatting>
  <conditionalFormatting sqref="A2:A15 A17">
    <cfRule type="expression" dxfId="639" priority="120">
      <formula>#REF!="OPEN"</formula>
    </cfRule>
  </conditionalFormatting>
  <conditionalFormatting sqref="A2:A15 A17">
    <cfRule type="expression" dxfId="638" priority="121">
      <formula>#REF!="OPEN"</formula>
    </cfRule>
  </conditionalFormatting>
  <conditionalFormatting sqref="A2:A15 A17">
    <cfRule type="expression" dxfId="637" priority="122">
      <formula>#REF!="CLOSED"</formula>
    </cfRule>
  </conditionalFormatting>
  <conditionalFormatting sqref="A2:A15 A17">
    <cfRule type="expression" dxfId="636" priority="123">
      <formula>#REF!="OPEN"</formula>
    </cfRule>
  </conditionalFormatting>
  <conditionalFormatting sqref="A2:A15 A17">
    <cfRule type="expression" dxfId="635" priority="124">
      <formula>#REF!="CLOSED"</formula>
    </cfRule>
  </conditionalFormatting>
  <conditionalFormatting sqref="A2:A15 A17">
    <cfRule type="expression" dxfId="634" priority="125">
      <formula>#REF!="OPEN"</formula>
    </cfRule>
  </conditionalFormatting>
  <conditionalFormatting sqref="A2:A15 A17">
    <cfRule type="expression" dxfId="633" priority="126">
      <formula>#REF!="CLOSED"</formula>
    </cfRule>
  </conditionalFormatting>
  <conditionalFormatting sqref="A2:A15 A17">
    <cfRule type="expression" dxfId="632" priority="127">
      <formula>#REF!="CLOSED"</formula>
    </cfRule>
  </conditionalFormatting>
  <conditionalFormatting sqref="A2:A15 A17">
    <cfRule type="expression" dxfId="631" priority="128">
      <formula>#REF!="OPEN"</formula>
    </cfRule>
  </conditionalFormatting>
  <conditionalFormatting sqref="A2:A15 A17">
    <cfRule type="expression" dxfId="630" priority="129">
      <formula>#REF!="CLOSED"</formula>
    </cfRule>
  </conditionalFormatting>
  <conditionalFormatting sqref="A2:A15 A17">
    <cfRule type="expression" dxfId="629" priority="130">
      <formula>#REF!="OPEN"</formula>
    </cfRule>
  </conditionalFormatting>
  <conditionalFormatting sqref="A2:A15 A17">
    <cfRule type="expression" dxfId="628" priority="131">
      <formula>#REF!="OPEN"</formula>
    </cfRule>
  </conditionalFormatting>
  <conditionalFormatting sqref="A2:A15 A17">
    <cfRule type="expression" dxfId="627" priority="132">
      <formula>#REF!="CLOSED"</formula>
    </cfRule>
  </conditionalFormatting>
  <conditionalFormatting sqref="A2:A15 A17">
    <cfRule type="expression" dxfId="626" priority="133">
      <formula>#REF!="CLOSED"</formula>
    </cfRule>
  </conditionalFormatting>
  <conditionalFormatting sqref="A2:A15 A17">
    <cfRule type="expression" dxfId="625" priority="134">
      <formula>#REF!="OPEN"</formula>
    </cfRule>
  </conditionalFormatting>
  <conditionalFormatting sqref="A2:A15 A17">
    <cfRule type="expression" dxfId="624" priority="135">
      <formula>#REF!="OPEN"</formula>
    </cfRule>
  </conditionalFormatting>
  <conditionalFormatting sqref="A2:A15 A17">
    <cfRule type="expression" dxfId="623" priority="136">
      <formula>#REF!="CLOSED"</formula>
    </cfRule>
  </conditionalFormatting>
  <conditionalFormatting sqref="A2:A15 A17">
    <cfRule type="expression" dxfId="622" priority="137">
      <formula>#REF!="OPEN"</formula>
    </cfRule>
  </conditionalFormatting>
  <conditionalFormatting sqref="A2:A15 A17">
    <cfRule type="expression" dxfId="621" priority="138">
      <formula>#REF!="CLOSED"</formula>
    </cfRule>
  </conditionalFormatting>
  <conditionalFormatting sqref="A2:A15 A17">
    <cfRule type="expression" dxfId="620" priority="139">
      <formula>#REF!="OPEN"</formula>
    </cfRule>
  </conditionalFormatting>
  <conditionalFormatting sqref="A2:A15 A17">
    <cfRule type="expression" dxfId="619" priority="140">
      <formula>#REF!="CLOSED"</formula>
    </cfRule>
  </conditionalFormatting>
  <conditionalFormatting sqref="A2:A15 A17">
    <cfRule type="expression" dxfId="618" priority="141">
      <formula>#REF!="CLOSED"</formula>
    </cfRule>
  </conditionalFormatting>
  <conditionalFormatting sqref="A2:A15 A17">
    <cfRule type="expression" dxfId="617" priority="142">
      <formula>#REF!="OPEN"</formula>
    </cfRule>
  </conditionalFormatting>
  <conditionalFormatting sqref="A2:A15 A17">
    <cfRule type="expression" dxfId="616" priority="143">
      <formula>#REF!="OPEN"</formula>
    </cfRule>
  </conditionalFormatting>
  <conditionalFormatting sqref="A2:A15 A17">
    <cfRule type="expression" dxfId="615" priority="144">
      <formula>#REF!="CLOSED"</formula>
    </cfRule>
  </conditionalFormatting>
  <conditionalFormatting sqref="A2:A15 A17">
    <cfRule type="expression" dxfId="614" priority="145">
      <formula>#REF!="CLOSED"</formula>
    </cfRule>
  </conditionalFormatting>
  <conditionalFormatting sqref="A2:A15 A17">
    <cfRule type="expression" dxfId="613" priority="146">
      <formula>#REF!="OPEN"</formula>
    </cfRule>
  </conditionalFormatting>
  <conditionalFormatting sqref="A2:A15 A17">
    <cfRule type="expression" dxfId="612" priority="147">
      <formula>#REF!="OPEN"</formula>
    </cfRule>
  </conditionalFormatting>
  <conditionalFormatting sqref="A2:A15 A17">
    <cfRule type="expression" dxfId="611" priority="148">
      <formula>#REF!="CLOSED"</formula>
    </cfRule>
  </conditionalFormatting>
  <conditionalFormatting sqref="A2:A15 A17">
    <cfRule type="expression" dxfId="610" priority="149">
      <formula>#REF!="OPEN"</formula>
    </cfRule>
  </conditionalFormatting>
  <conditionalFormatting sqref="A2:A15 A17">
    <cfRule type="expression" dxfId="609" priority="150">
      <formula>#REF!="OPEN"</formula>
    </cfRule>
  </conditionalFormatting>
  <conditionalFormatting sqref="A2:A15 A17">
    <cfRule type="expression" dxfId="608" priority="151">
      <formula>#REF!="CLOSED"</formula>
    </cfRule>
  </conditionalFormatting>
  <conditionalFormatting sqref="A2:A15 A17">
    <cfRule type="expression" dxfId="607" priority="152">
      <formula>#REF!="CLOSED"</formula>
    </cfRule>
  </conditionalFormatting>
  <conditionalFormatting sqref="A2:A15 A17">
    <cfRule type="expression" dxfId="606" priority="153">
      <formula>#REF!="OPEN"</formula>
    </cfRule>
  </conditionalFormatting>
  <conditionalFormatting sqref="A2:A15 A17">
    <cfRule type="expression" dxfId="605" priority="154">
      <formula>#REF!="OPEN"</formula>
    </cfRule>
  </conditionalFormatting>
  <conditionalFormatting sqref="A2:A15 A17">
    <cfRule type="expression" dxfId="604" priority="155">
      <formula>#REF!="CLOSED"</formula>
    </cfRule>
  </conditionalFormatting>
  <conditionalFormatting sqref="A2:A15 A17">
    <cfRule type="expression" dxfId="603" priority="156">
      <formula>#REF!="OPEN"</formula>
    </cfRule>
  </conditionalFormatting>
  <conditionalFormatting sqref="A2:A15 A17">
    <cfRule type="expression" dxfId="602" priority="157">
      <formula>#REF!="CLOSED"</formula>
    </cfRule>
  </conditionalFormatting>
  <conditionalFormatting sqref="A2:A15 A17">
    <cfRule type="expression" dxfId="601" priority="158">
      <formula>#REF!="OPEN"</formula>
    </cfRule>
  </conditionalFormatting>
  <conditionalFormatting sqref="A2:A15 A17">
    <cfRule type="expression" dxfId="600" priority="159">
      <formula>#REF!="OPEN"</formula>
    </cfRule>
  </conditionalFormatting>
  <conditionalFormatting sqref="A2:A15 A17">
    <cfRule type="expression" dxfId="599" priority="160">
      <formula>#REF!="CLOSED"</formula>
    </cfRule>
  </conditionalFormatting>
  <conditionalFormatting sqref="A2:A15 A17">
    <cfRule type="expression" dxfId="598" priority="161">
      <formula>#REF!="CLOSED"</formula>
    </cfRule>
  </conditionalFormatting>
  <conditionalFormatting sqref="A2:A15 A17">
    <cfRule type="expression" dxfId="597" priority="162">
      <formula>#REF!="OPEN"</formula>
    </cfRule>
  </conditionalFormatting>
  <conditionalFormatting sqref="A2:A15 A17">
    <cfRule type="expression" dxfId="596" priority="163">
      <formula>#REF!="OPEN"</formula>
    </cfRule>
  </conditionalFormatting>
  <conditionalFormatting sqref="A2:A15 A17">
    <cfRule type="expression" dxfId="595" priority="164">
      <formula>#REF!="CLOSED"</formula>
    </cfRule>
  </conditionalFormatting>
  <conditionalFormatting sqref="A2:A15 A17">
    <cfRule type="expression" dxfId="594" priority="165">
      <formula>#REF!="OPEN"</formula>
    </cfRule>
  </conditionalFormatting>
  <conditionalFormatting sqref="A2:A15 A17">
    <cfRule type="expression" dxfId="593" priority="166">
      <formula>#REF!="CLOSED"</formula>
    </cfRule>
  </conditionalFormatting>
  <conditionalFormatting sqref="A2:A15 A17">
    <cfRule type="expression" dxfId="592" priority="167">
      <formula>#REF!="CLOSED"</formula>
    </cfRule>
  </conditionalFormatting>
  <conditionalFormatting sqref="A2:A15 A17">
    <cfRule type="expression" dxfId="591" priority="168">
      <formula>#REF!="OPEN"</formula>
    </cfRule>
  </conditionalFormatting>
  <conditionalFormatting sqref="A2:A15 A17">
    <cfRule type="expression" dxfId="590" priority="169">
      <formula>#REF!="CLOSED"</formula>
    </cfRule>
  </conditionalFormatting>
  <conditionalFormatting sqref="A2:A15 A17">
    <cfRule type="expression" dxfId="589" priority="170">
      <formula>#REF!="OPEN"</formula>
    </cfRule>
  </conditionalFormatting>
  <conditionalFormatting sqref="A2:A15 A17">
    <cfRule type="expression" dxfId="588" priority="171">
      <formula>#REF!="OPEN"</formula>
    </cfRule>
  </conditionalFormatting>
  <conditionalFormatting sqref="A2:A15 A17">
    <cfRule type="expression" dxfId="587" priority="172">
      <formula>#REF!="CLOSED"</formula>
    </cfRule>
  </conditionalFormatting>
  <conditionalFormatting sqref="A2:A15 A17">
    <cfRule type="expression" dxfId="586" priority="173">
      <formula>#REF!="OPEN"</formula>
    </cfRule>
  </conditionalFormatting>
  <conditionalFormatting sqref="A2:A15 A17">
    <cfRule type="expression" dxfId="585" priority="174">
      <formula>#REF!="CLOSED"</formula>
    </cfRule>
  </conditionalFormatting>
  <conditionalFormatting sqref="A2:A15 A17">
    <cfRule type="expression" dxfId="584" priority="175">
      <formula>#REF!="OPEN"</formula>
    </cfRule>
  </conditionalFormatting>
  <conditionalFormatting sqref="A2:A15 A17">
    <cfRule type="expression" dxfId="583" priority="176">
      <formula>#REF!="CLOSED"</formula>
    </cfRule>
  </conditionalFormatting>
  <conditionalFormatting sqref="A2:A15 A17">
    <cfRule type="expression" dxfId="582" priority="177">
      <formula>#REF!="OPEN"</formula>
    </cfRule>
  </conditionalFormatting>
  <conditionalFormatting sqref="A2:A15 A17">
    <cfRule type="expression" dxfId="581" priority="178">
      <formula>#REF!="CLOSED"</formula>
    </cfRule>
  </conditionalFormatting>
  <conditionalFormatting sqref="A2:A15 A17">
    <cfRule type="expression" dxfId="580" priority="179">
      <formula>#REF!="OPEN"</formula>
    </cfRule>
  </conditionalFormatting>
  <conditionalFormatting sqref="A2:A15 A17">
    <cfRule type="expression" dxfId="579" priority="180">
      <formula>#REF!="CLOSED"</formula>
    </cfRule>
  </conditionalFormatting>
  <conditionalFormatting sqref="A2:A15 A17">
    <cfRule type="expression" dxfId="578" priority="181">
      <formula>#REF!="OPEN"</formula>
    </cfRule>
  </conditionalFormatting>
  <conditionalFormatting sqref="A2:A15 A17">
    <cfRule type="expression" dxfId="577" priority="182">
      <formula>#REF!="CLOSED"</formula>
    </cfRule>
  </conditionalFormatting>
  <conditionalFormatting sqref="A2:A15 A17">
    <cfRule type="expression" dxfId="576" priority="183">
      <formula>#REF!="OPEN"</formula>
    </cfRule>
  </conditionalFormatting>
  <conditionalFormatting sqref="A2:A15 A17">
    <cfRule type="expression" dxfId="575" priority="184">
      <formula>#REF!="CLOSED"</formula>
    </cfRule>
  </conditionalFormatting>
  <conditionalFormatting sqref="A2:A15 A17">
    <cfRule type="expression" dxfId="574" priority="185">
      <formula>#REF!="OPEN"</formula>
    </cfRule>
  </conditionalFormatting>
  <conditionalFormatting sqref="A2:A15 A17">
    <cfRule type="expression" dxfId="573" priority="186">
      <formula>#REF!="CLOSED"</formula>
    </cfRule>
  </conditionalFormatting>
  <conditionalFormatting sqref="A2:A15 A17">
    <cfRule type="expression" dxfId="572" priority="187">
      <formula>#REF!="OPEN"</formula>
    </cfRule>
  </conditionalFormatting>
  <conditionalFormatting sqref="A2:A15 A17">
    <cfRule type="expression" dxfId="571" priority="188">
      <formula>#REF!="CLOSED"</formula>
    </cfRule>
  </conditionalFormatting>
  <conditionalFormatting sqref="A2:A15 A17">
    <cfRule type="expression" dxfId="570" priority="189">
      <formula>#REF!="OPEN"</formula>
    </cfRule>
  </conditionalFormatting>
  <conditionalFormatting sqref="A2:A15 A17">
    <cfRule type="expression" dxfId="569" priority="190">
      <formula>#REF!="CLOSED"</formula>
    </cfRule>
  </conditionalFormatting>
  <conditionalFormatting sqref="A2:A15 A17">
    <cfRule type="expression" dxfId="568" priority="191">
      <formula>#REF!="OPEN"</formula>
    </cfRule>
  </conditionalFormatting>
  <conditionalFormatting sqref="A2:A15 A17">
    <cfRule type="expression" dxfId="567" priority="192">
      <formula>#REF!="CLOSED"</formula>
    </cfRule>
  </conditionalFormatting>
  <conditionalFormatting sqref="A2:A15 A17">
    <cfRule type="expression" dxfId="566" priority="193">
      <formula>#REF!="OPEN"</formula>
    </cfRule>
  </conditionalFormatting>
  <conditionalFormatting sqref="A2:A15 A17">
    <cfRule type="expression" dxfId="565" priority="194">
      <formula>#REF!="CLOSED"</formula>
    </cfRule>
  </conditionalFormatting>
  <conditionalFormatting sqref="A2:A15 A17">
    <cfRule type="expression" dxfId="564" priority="195">
      <formula>#REF!="CLOSED"</formula>
    </cfRule>
  </conditionalFormatting>
  <conditionalFormatting sqref="A2:A15 A17">
    <cfRule type="expression" dxfId="563" priority="196">
      <formula>#REF!="OPEN"</formula>
    </cfRule>
  </conditionalFormatting>
  <conditionalFormatting sqref="A2:A15 A17">
    <cfRule type="expression" dxfId="562" priority="197">
      <formula>#REF!="CLOSED"</formula>
    </cfRule>
  </conditionalFormatting>
  <conditionalFormatting sqref="A2:A15 A17">
    <cfRule type="expression" dxfId="561" priority="198">
      <formula>#REF!="OPEN"</formula>
    </cfRule>
  </conditionalFormatting>
  <conditionalFormatting sqref="A2:A15 A17">
    <cfRule type="expression" dxfId="560" priority="199">
      <formula>#REF!="CLOSED"</formula>
    </cfRule>
  </conditionalFormatting>
  <conditionalFormatting sqref="A2:A15 A17">
    <cfRule type="expression" dxfId="559" priority="200">
      <formula>#REF!="OPEN"</formula>
    </cfRule>
  </conditionalFormatting>
  <conditionalFormatting sqref="A2:A15 A17">
    <cfRule type="expression" dxfId="558" priority="201">
      <formula>#REF!="OPEN"</formula>
    </cfRule>
  </conditionalFormatting>
  <conditionalFormatting sqref="A2:A15 A17">
    <cfRule type="expression" dxfId="557" priority="202">
      <formula>#REF!="CLOSED"</formula>
    </cfRule>
  </conditionalFormatting>
  <conditionalFormatting sqref="A2:A15 A17">
    <cfRule type="expression" dxfId="556" priority="203">
      <formula>#REF!="CLOSED"</formula>
    </cfRule>
  </conditionalFormatting>
  <conditionalFormatting sqref="A2:A15 A17">
    <cfRule type="expression" dxfId="555" priority="204">
      <formula>#REF!="OPEN"</formula>
    </cfRule>
  </conditionalFormatting>
  <conditionalFormatting sqref="A2:A15 A17">
    <cfRule type="expression" dxfId="554" priority="205">
      <formula>#REF!="OPEN"</formula>
    </cfRule>
  </conditionalFormatting>
  <conditionalFormatting sqref="A2:A15 A17">
    <cfRule type="expression" dxfId="553" priority="206">
      <formula>#REF!="CLOSED"</formula>
    </cfRule>
  </conditionalFormatting>
  <conditionalFormatting sqref="A2:A15 A17">
    <cfRule type="expression" dxfId="552" priority="207">
      <formula>#REF!="OPEN"</formula>
    </cfRule>
  </conditionalFormatting>
  <conditionalFormatting sqref="A2:A15 A17">
    <cfRule type="expression" dxfId="551" priority="208">
      <formula>#REF!="CLOSED"</formula>
    </cfRule>
  </conditionalFormatting>
  <conditionalFormatting sqref="A2:A15 A17">
    <cfRule type="expression" dxfId="550" priority="209">
      <formula>#REF!="CLOSED"</formula>
    </cfRule>
  </conditionalFormatting>
  <conditionalFormatting sqref="A2:A15 A17">
    <cfRule type="expression" dxfId="549" priority="210">
      <formula>#REF!="OPEN"</formula>
    </cfRule>
  </conditionalFormatting>
  <conditionalFormatting sqref="A2:X702">
    <cfRule type="expression" dxfId="548" priority="211">
      <formula>$G2="OPEN"</formula>
    </cfRule>
  </conditionalFormatting>
  <conditionalFormatting sqref="A2:X702">
    <cfRule type="expression" dxfId="547" priority="212">
      <formula>$G2="CLOSED"</formula>
    </cfRule>
  </conditionalFormatting>
  <printOptions horizontalCentered="1" gridLines="1"/>
  <pageMargins left="0.7" right="0.7" top="0.75" bottom="0.75" header="0" footer="0"/>
  <pageSetup paperSize="9" fitToHeight="0" pageOrder="overThenDown" orientation="portrait" cellComments="atEnd"/>
  <tableParts count="5">
    <tablePart r:id="rId1"/>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S701"/>
  <sheetViews>
    <sheetView workbookViewId="0"/>
  </sheetViews>
  <sheetFormatPr defaultColWidth="12.5703125" defaultRowHeight="15" customHeight="1"/>
  <cols>
    <col min="1" max="1" width="11.7109375" customWidth="1"/>
    <col min="2" max="2" width="14.28515625" customWidth="1"/>
    <col min="3" max="3" width="5.42578125" customWidth="1"/>
    <col min="4" max="4" width="57.42578125" customWidth="1"/>
    <col min="5" max="5" width="96.42578125" customWidth="1"/>
    <col min="6" max="6" width="13.28515625" customWidth="1"/>
    <col min="7" max="7" width="10.5703125" customWidth="1"/>
    <col min="8" max="8" width="13" customWidth="1"/>
    <col min="9" max="9" width="13.42578125" customWidth="1"/>
    <col min="10" max="10" width="14.5703125" customWidth="1"/>
    <col min="11" max="11" width="27.42578125" customWidth="1"/>
    <col min="12" max="19" width="24.7109375" customWidth="1"/>
  </cols>
  <sheetData>
    <row r="1" spans="1:19" ht="24" customHeight="1">
      <c r="A1" s="378">
        <v>46308</v>
      </c>
      <c r="B1" s="379"/>
      <c r="C1" s="5"/>
      <c r="D1" s="380" t="s">
        <v>6</v>
      </c>
      <c r="E1" s="375"/>
      <c r="F1" s="375"/>
      <c r="G1" s="375"/>
      <c r="H1" s="377"/>
      <c r="I1" s="14"/>
      <c r="J1" s="14"/>
      <c r="K1" s="14"/>
      <c r="L1" s="16"/>
      <c r="M1" s="16"/>
      <c r="N1" s="16"/>
      <c r="O1" s="16"/>
      <c r="P1" s="16"/>
      <c r="Q1" s="16"/>
      <c r="R1" s="16"/>
      <c r="S1" s="16"/>
    </row>
    <row r="2" spans="1:19" ht="26.25" customHeight="1">
      <c r="A2" s="23" t="s">
        <v>24</v>
      </c>
      <c r="B2" s="26" t="s">
        <v>3</v>
      </c>
      <c r="C2" s="26" t="s">
        <v>15</v>
      </c>
      <c r="D2" s="26" t="s">
        <v>10</v>
      </c>
      <c r="E2" s="26" t="s">
        <v>13</v>
      </c>
      <c r="F2" s="26" t="s">
        <v>4</v>
      </c>
      <c r="G2" s="26" t="s">
        <v>5</v>
      </c>
      <c r="H2" s="26" t="s">
        <v>17</v>
      </c>
      <c r="I2" s="26" t="s">
        <v>49</v>
      </c>
      <c r="J2" s="31" t="s">
        <v>51</v>
      </c>
      <c r="K2" s="26" t="s">
        <v>54</v>
      </c>
      <c r="L2" s="35"/>
      <c r="M2" s="35"/>
      <c r="N2" s="35"/>
      <c r="O2" s="35"/>
      <c r="P2" s="35"/>
      <c r="Q2" s="35"/>
      <c r="R2" s="35"/>
      <c r="S2" s="35"/>
    </row>
    <row r="3" spans="1:19" ht="12.75">
      <c r="A3" s="38">
        <v>46308</v>
      </c>
      <c r="B3" s="41" t="s">
        <v>29</v>
      </c>
      <c r="C3" s="44" t="s">
        <v>52</v>
      </c>
      <c r="D3" s="44" t="s">
        <v>37</v>
      </c>
      <c r="E3" s="44" t="s">
        <v>67</v>
      </c>
      <c r="F3" s="41" t="s">
        <v>30</v>
      </c>
      <c r="G3" s="41" t="s">
        <v>31</v>
      </c>
      <c r="H3" s="44" t="s">
        <v>55</v>
      </c>
      <c r="I3" s="47" t="s">
        <v>74</v>
      </c>
      <c r="J3" s="56" t="s">
        <v>34</v>
      </c>
      <c r="K3" s="58"/>
      <c r="L3" s="60"/>
      <c r="M3" s="62"/>
      <c r="N3" s="62"/>
      <c r="O3" s="62"/>
      <c r="P3" s="62"/>
      <c r="Q3" s="62"/>
      <c r="R3" s="62"/>
      <c r="S3" s="62"/>
    </row>
    <row r="4" spans="1:19" ht="12.75">
      <c r="A4" s="38">
        <v>46308</v>
      </c>
      <c r="B4" s="41" t="s">
        <v>60</v>
      </c>
      <c r="C4" s="44" t="s">
        <v>52</v>
      </c>
      <c r="D4" s="44" t="s">
        <v>64</v>
      </c>
      <c r="E4" s="44" t="s">
        <v>64</v>
      </c>
      <c r="F4" s="65" t="s">
        <v>61</v>
      </c>
      <c r="G4" s="41" t="s">
        <v>62</v>
      </c>
      <c r="H4" s="44" t="s">
        <v>66</v>
      </c>
      <c r="I4" s="47" t="s">
        <v>74</v>
      </c>
      <c r="J4" s="56" t="s">
        <v>34</v>
      </c>
      <c r="K4" s="67"/>
      <c r="L4" s="70"/>
      <c r="M4" s="72"/>
      <c r="N4" s="72"/>
      <c r="O4" s="72"/>
      <c r="P4" s="72"/>
      <c r="Q4" s="72"/>
      <c r="R4" s="72"/>
      <c r="S4" s="72"/>
    </row>
    <row r="5" spans="1:19" ht="12.75">
      <c r="A5" s="38">
        <v>46308</v>
      </c>
      <c r="B5" s="41" t="s">
        <v>72</v>
      </c>
      <c r="C5" s="44" t="s">
        <v>86</v>
      </c>
      <c r="D5" s="44" t="s">
        <v>78</v>
      </c>
      <c r="E5" s="44" t="s">
        <v>78</v>
      </c>
      <c r="F5" s="65" t="s">
        <v>73</v>
      </c>
      <c r="G5" s="41" t="s">
        <v>62</v>
      </c>
      <c r="H5" s="44" t="s">
        <v>94</v>
      </c>
      <c r="I5" s="47" t="s">
        <v>74</v>
      </c>
      <c r="J5" s="56" t="s">
        <v>76</v>
      </c>
      <c r="K5" s="56" t="s">
        <v>123</v>
      </c>
      <c r="L5" s="76"/>
      <c r="M5" s="72"/>
      <c r="N5" s="72"/>
      <c r="O5" s="72"/>
      <c r="P5" s="72"/>
      <c r="Q5" s="72"/>
      <c r="R5" s="72"/>
      <c r="S5" s="72"/>
    </row>
    <row r="6" spans="1:19" ht="12.75">
      <c r="A6" s="38">
        <v>46308</v>
      </c>
      <c r="B6" s="41" t="s">
        <v>101</v>
      </c>
      <c r="C6" s="44" t="s">
        <v>108</v>
      </c>
      <c r="D6" s="44" t="s">
        <v>105</v>
      </c>
      <c r="E6" s="44" t="s">
        <v>105</v>
      </c>
      <c r="F6" s="41" t="s">
        <v>102</v>
      </c>
      <c r="G6" s="41" t="s">
        <v>104</v>
      </c>
      <c r="H6" s="44" t="s">
        <v>109</v>
      </c>
      <c r="I6" s="47" t="s">
        <v>74</v>
      </c>
      <c r="J6" s="56" t="s">
        <v>34</v>
      </c>
      <c r="K6" s="56"/>
      <c r="L6" s="76"/>
      <c r="M6" s="72"/>
      <c r="N6" s="72"/>
      <c r="O6" s="72"/>
      <c r="P6" s="72"/>
      <c r="Q6" s="72"/>
      <c r="R6" s="72"/>
      <c r="S6" s="72"/>
    </row>
    <row r="7" spans="1:19" ht="12.75">
      <c r="A7" s="38">
        <v>46308</v>
      </c>
      <c r="B7" s="41" t="s">
        <v>72</v>
      </c>
      <c r="C7" s="44" t="s">
        <v>86</v>
      </c>
      <c r="D7" s="44" t="s">
        <v>78</v>
      </c>
      <c r="E7" s="44" t="s">
        <v>135</v>
      </c>
      <c r="F7" s="65" t="s">
        <v>73</v>
      </c>
      <c r="G7" s="41" t="s">
        <v>62</v>
      </c>
      <c r="H7" s="44" t="s">
        <v>94</v>
      </c>
      <c r="I7" s="47" t="s">
        <v>74</v>
      </c>
      <c r="J7" s="56" t="s">
        <v>76</v>
      </c>
      <c r="K7" s="56" t="s">
        <v>123</v>
      </c>
      <c r="L7" s="70"/>
      <c r="M7" s="72"/>
      <c r="N7" s="72"/>
      <c r="O7" s="72"/>
      <c r="P7" s="72"/>
      <c r="Q7" s="72"/>
      <c r="R7" s="72"/>
      <c r="S7" s="72"/>
    </row>
    <row r="8" spans="1:19" ht="12.75">
      <c r="A8" s="38">
        <v>46308</v>
      </c>
      <c r="B8" s="41" t="s">
        <v>101</v>
      </c>
      <c r="C8" s="44" t="s">
        <v>108</v>
      </c>
      <c r="D8" s="44" t="s">
        <v>105</v>
      </c>
      <c r="E8" s="44" t="s">
        <v>140</v>
      </c>
      <c r="F8" s="41" t="s">
        <v>102</v>
      </c>
      <c r="G8" s="41" t="s">
        <v>104</v>
      </c>
      <c r="H8" s="44" t="s">
        <v>109</v>
      </c>
      <c r="I8" s="47" t="s">
        <v>74</v>
      </c>
      <c r="J8" s="56" t="s">
        <v>34</v>
      </c>
      <c r="K8" s="67"/>
      <c r="L8" s="70"/>
      <c r="M8" s="72"/>
      <c r="N8" s="72"/>
      <c r="O8" s="72"/>
      <c r="P8" s="72"/>
      <c r="Q8" s="72"/>
      <c r="R8" s="72"/>
      <c r="S8" s="72"/>
    </row>
    <row r="9" spans="1:19" ht="12.75">
      <c r="A9" s="38">
        <v>46308</v>
      </c>
      <c r="B9" s="41" t="s">
        <v>124</v>
      </c>
      <c r="C9" s="44" t="s">
        <v>108</v>
      </c>
      <c r="D9" s="44" t="s">
        <v>136</v>
      </c>
      <c r="E9" s="44" t="s">
        <v>136</v>
      </c>
      <c r="F9" s="41" t="s">
        <v>125</v>
      </c>
      <c r="G9" s="41" t="s">
        <v>104</v>
      </c>
      <c r="H9" s="44" t="s">
        <v>111</v>
      </c>
      <c r="I9" s="47" t="s">
        <v>74</v>
      </c>
      <c r="J9" s="56" t="s">
        <v>34</v>
      </c>
      <c r="K9" s="85"/>
      <c r="L9" s="60"/>
      <c r="M9" s="62"/>
      <c r="N9" s="62"/>
      <c r="O9" s="62"/>
      <c r="P9" s="62"/>
      <c r="Q9" s="62"/>
      <c r="R9" s="62"/>
      <c r="S9" s="62"/>
    </row>
    <row r="10" spans="1:19" ht="12.75">
      <c r="A10" s="38">
        <v>46308</v>
      </c>
      <c r="B10" s="41" t="s">
        <v>156</v>
      </c>
      <c r="C10" s="44" t="s">
        <v>108</v>
      </c>
      <c r="D10" s="44" t="s">
        <v>159</v>
      </c>
      <c r="E10" s="44" t="s">
        <v>149</v>
      </c>
      <c r="F10" s="41" t="s">
        <v>143</v>
      </c>
      <c r="G10" s="41" t="s">
        <v>104</v>
      </c>
      <c r="H10" s="44" t="s">
        <v>55</v>
      </c>
      <c r="I10" s="47" t="s">
        <v>74</v>
      </c>
      <c r="J10" s="88" t="s">
        <v>34</v>
      </c>
      <c r="K10" s="88"/>
      <c r="L10" s="70"/>
      <c r="M10" s="72"/>
      <c r="N10" s="72"/>
      <c r="O10" s="72"/>
      <c r="P10" s="72"/>
      <c r="Q10" s="72"/>
      <c r="R10" s="72"/>
      <c r="S10" s="72"/>
    </row>
    <row r="11" spans="1:19" ht="33" customHeight="1">
      <c r="A11" s="38">
        <v>46308</v>
      </c>
      <c r="B11" s="41" t="s">
        <v>153</v>
      </c>
      <c r="C11" s="44" t="s">
        <v>108</v>
      </c>
      <c r="D11" s="44" t="s">
        <v>157</v>
      </c>
      <c r="E11" s="44" t="s">
        <v>172</v>
      </c>
      <c r="F11" s="41" t="s">
        <v>154</v>
      </c>
      <c r="G11" s="41" t="s">
        <v>104</v>
      </c>
      <c r="H11" s="44" t="s">
        <v>55</v>
      </c>
      <c r="I11" s="47" t="s">
        <v>74</v>
      </c>
      <c r="J11" s="88" t="s">
        <v>76</v>
      </c>
      <c r="K11" s="88" t="s">
        <v>176</v>
      </c>
      <c r="L11" s="70"/>
      <c r="M11" s="72"/>
      <c r="N11" s="72"/>
      <c r="O11" s="72"/>
      <c r="P11" s="72"/>
      <c r="Q11" s="72"/>
      <c r="R11" s="72"/>
      <c r="S11" s="72"/>
    </row>
    <row r="12" spans="1:19" ht="12.75">
      <c r="A12" s="38">
        <v>46308</v>
      </c>
      <c r="B12" s="41" t="s">
        <v>164</v>
      </c>
      <c r="C12" s="44" t="s">
        <v>108</v>
      </c>
      <c r="D12" s="44" t="s">
        <v>167</v>
      </c>
      <c r="E12" s="44" t="s">
        <v>179</v>
      </c>
      <c r="F12" s="41" t="s">
        <v>165</v>
      </c>
      <c r="G12" s="41" t="s">
        <v>31</v>
      </c>
      <c r="H12" s="44" t="s">
        <v>55</v>
      </c>
      <c r="I12" s="47" t="s">
        <v>74</v>
      </c>
      <c r="J12" s="88" t="s">
        <v>34</v>
      </c>
      <c r="K12" s="60"/>
      <c r="L12" s="70"/>
      <c r="M12" s="72"/>
      <c r="N12" s="72"/>
      <c r="O12" s="72"/>
      <c r="P12" s="72"/>
      <c r="Q12" s="72"/>
      <c r="R12" s="72"/>
      <c r="S12" s="72"/>
    </row>
    <row r="13" spans="1:19" ht="12.75">
      <c r="A13" s="38">
        <v>46308</v>
      </c>
      <c r="B13" s="41" t="s">
        <v>124</v>
      </c>
      <c r="C13" s="44" t="s">
        <v>108</v>
      </c>
      <c r="D13" s="44" t="s">
        <v>136</v>
      </c>
      <c r="E13" s="44" t="s">
        <v>185</v>
      </c>
      <c r="F13" s="41" t="s">
        <v>125</v>
      </c>
      <c r="G13" s="41" t="s">
        <v>104</v>
      </c>
      <c r="H13" s="44" t="s">
        <v>111</v>
      </c>
      <c r="I13" s="47" t="s">
        <v>74</v>
      </c>
      <c r="J13" s="88" t="s">
        <v>34</v>
      </c>
      <c r="K13" s="60"/>
      <c r="L13" s="70"/>
      <c r="M13" s="72"/>
      <c r="N13" s="72"/>
      <c r="O13" s="72"/>
      <c r="P13" s="72"/>
      <c r="Q13" s="72"/>
      <c r="R13" s="72"/>
      <c r="S13" s="72"/>
    </row>
    <row r="14" spans="1:19" ht="24">
      <c r="A14" s="38">
        <v>46308</v>
      </c>
      <c r="B14" s="91" t="s">
        <v>182</v>
      </c>
      <c r="C14" s="58" t="s">
        <v>108</v>
      </c>
      <c r="D14" s="58" t="s">
        <v>184</v>
      </c>
      <c r="E14" s="58" t="s">
        <v>186</v>
      </c>
      <c r="F14" s="92" t="s">
        <v>183</v>
      </c>
      <c r="G14" s="92" t="s">
        <v>104</v>
      </c>
      <c r="H14" s="93" t="s">
        <v>55</v>
      </c>
      <c r="I14" s="95" t="s">
        <v>74</v>
      </c>
      <c r="J14" s="88" t="s">
        <v>34</v>
      </c>
      <c r="K14" s="60"/>
      <c r="L14" s="70"/>
      <c r="M14" s="72"/>
      <c r="N14" s="72"/>
      <c r="O14" s="72"/>
      <c r="P14" s="72"/>
      <c r="Q14" s="72"/>
      <c r="R14" s="72"/>
      <c r="S14" s="72"/>
    </row>
    <row r="15" spans="1:19" ht="12.75">
      <c r="A15" s="100">
        <v>46308</v>
      </c>
      <c r="B15" s="91" t="s">
        <v>101</v>
      </c>
      <c r="C15" s="101" t="s">
        <v>108</v>
      </c>
      <c r="D15" s="101" t="s">
        <v>207</v>
      </c>
      <c r="E15" s="101" t="s">
        <v>208</v>
      </c>
      <c r="F15" s="104" t="s">
        <v>209</v>
      </c>
      <c r="G15" s="104" t="s">
        <v>104</v>
      </c>
      <c r="H15" s="93" t="s">
        <v>109</v>
      </c>
      <c r="I15" s="95" t="s">
        <v>74</v>
      </c>
      <c r="J15" s="88" t="s">
        <v>34</v>
      </c>
      <c r="K15" s="60"/>
      <c r="L15" s="70"/>
      <c r="M15" s="72"/>
      <c r="N15" s="72"/>
      <c r="O15" s="72"/>
      <c r="P15" s="72"/>
      <c r="Q15" s="72"/>
      <c r="R15" s="72"/>
      <c r="S15" s="72"/>
    </row>
    <row r="16" spans="1:19" ht="25.5">
      <c r="A16" s="38">
        <v>46308</v>
      </c>
      <c r="B16" s="93" t="s">
        <v>201</v>
      </c>
      <c r="C16" s="102" t="s">
        <v>52</v>
      </c>
      <c r="D16" s="102" t="s">
        <v>206</v>
      </c>
      <c r="E16" s="101"/>
      <c r="F16" s="98" t="s">
        <v>203</v>
      </c>
      <c r="G16" s="104"/>
      <c r="H16" s="93" t="s">
        <v>55</v>
      </c>
      <c r="I16" s="95" t="s">
        <v>213</v>
      </c>
      <c r="J16" s="88" t="s">
        <v>34</v>
      </c>
      <c r="K16" s="60"/>
      <c r="L16" s="70"/>
      <c r="M16" s="72"/>
      <c r="N16" s="72"/>
      <c r="O16" s="72"/>
      <c r="P16" s="72"/>
      <c r="Q16" s="72"/>
      <c r="R16" s="72"/>
      <c r="S16" s="72"/>
    </row>
    <row r="17" spans="1:19" ht="12.75">
      <c r="A17" s="100"/>
      <c r="B17" s="101"/>
      <c r="C17" s="101"/>
      <c r="D17" s="101"/>
      <c r="E17" s="101"/>
      <c r="F17" s="101"/>
      <c r="G17" s="101"/>
      <c r="H17" s="101"/>
      <c r="I17" s="113"/>
      <c r="J17" s="113"/>
      <c r="K17" s="72"/>
      <c r="L17" s="72"/>
      <c r="M17" s="72"/>
      <c r="N17" s="72"/>
      <c r="O17" s="72"/>
      <c r="P17" s="72"/>
      <c r="Q17" s="72"/>
      <c r="R17" s="72"/>
      <c r="S17" s="72"/>
    </row>
    <row r="18" spans="1:19" ht="12.75">
      <c r="A18" s="100"/>
      <c r="B18" s="101"/>
      <c r="C18" s="101"/>
      <c r="D18" s="101"/>
      <c r="E18" s="101"/>
      <c r="F18" s="101"/>
      <c r="G18" s="101"/>
      <c r="H18" s="101"/>
      <c r="I18" s="113"/>
      <c r="J18" s="113"/>
      <c r="K18" s="72"/>
      <c r="L18" s="72"/>
      <c r="M18" s="72"/>
      <c r="N18" s="72"/>
      <c r="O18" s="72"/>
      <c r="P18" s="72"/>
      <c r="Q18" s="72"/>
      <c r="R18" s="72"/>
      <c r="S18" s="72"/>
    </row>
    <row r="19" spans="1:19" ht="12.75">
      <c r="A19" s="100"/>
      <c r="B19" s="101"/>
      <c r="C19" s="101"/>
      <c r="D19" s="101"/>
      <c r="E19" s="101"/>
      <c r="F19" s="101"/>
      <c r="G19" s="101"/>
      <c r="H19" s="101"/>
      <c r="I19" s="113"/>
      <c r="J19" s="113"/>
      <c r="K19" s="72"/>
      <c r="L19" s="72"/>
      <c r="M19" s="72"/>
      <c r="N19" s="72"/>
      <c r="O19" s="72"/>
      <c r="P19" s="72"/>
      <c r="Q19" s="72"/>
      <c r="R19" s="72"/>
      <c r="S19" s="72"/>
    </row>
    <row r="20" spans="1:19" ht="12.75">
      <c r="A20" s="100"/>
      <c r="B20" s="101"/>
      <c r="C20" s="101"/>
      <c r="D20" s="101"/>
      <c r="E20" s="101"/>
      <c r="F20" s="101"/>
      <c r="G20" s="101"/>
      <c r="H20" s="101"/>
      <c r="I20" s="113"/>
      <c r="J20" s="113"/>
      <c r="K20" s="72"/>
      <c r="L20" s="72"/>
      <c r="M20" s="72"/>
      <c r="N20" s="72"/>
      <c r="O20" s="72"/>
      <c r="P20" s="72"/>
      <c r="Q20" s="72"/>
      <c r="R20" s="72"/>
      <c r="S20" s="72"/>
    </row>
    <row r="21" spans="1:19" ht="12.75">
      <c r="A21" s="100"/>
      <c r="B21" s="101"/>
      <c r="C21" s="101"/>
      <c r="D21" s="101"/>
      <c r="E21" s="101"/>
      <c r="F21" s="101"/>
      <c r="G21" s="101"/>
      <c r="H21" s="101"/>
      <c r="I21" s="113"/>
      <c r="J21" s="113"/>
      <c r="K21" s="72"/>
      <c r="L21" s="72"/>
      <c r="M21" s="72"/>
      <c r="N21" s="72"/>
      <c r="O21" s="72"/>
      <c r="P21" s="72"/>
      <c r="Q21" s="72"/>
      <c r="R21" s="72"/>
      <c r="S21" s="72"/>
    </row>
    <row r="22" spans="1:19" ht="12.75">
      <c r="A22" s="100"/>
      <c r="B22" s="101"/>
      <c r="C22" s="101"/>
      <c r="D22" s="101"/>
      <c r="E22" s="101"/>
      <c r="F22" s="101"/>
      <c r="G22" s="101"/>
      <c r="H22" s="101"/>
      <c r="I22" s="113"/>
      <c r="J22" s="113"/>
      <c r="K22" s="72"/>
      <c r="L22" s="72"/>
      <c r="M22" s="72"/>
      <c r="N22" s="72"/>
      <c r="O22" s="72"/>
      <c r="P22" s="72"/>
      <c r="Q22" s="72"/>
      <c r="R22" s="72"/>
      <c r="S22" s="72"/>
    </row>
    <row r="23" spans="1:19" ht="12.75">
      <c r="A23" s="100"/>
      <c r="B23" s="101"/>
      <c r="C23" s="101"/>
      <c r="D23" s="101"/>
      <c r="E23" s="101"/>
      <c r="F23" s="101"/>
      <c r="G23" s="101"/>
      <c r="H23" s="101"/>
      <c r="I23" s="113"/>
      <c r="J23" s="113"/>
      <c r="K23" s="72"/>
      <c r="L23" s="72"/>
      <c r="M23" s="72"/>
      <c r="N23" s="72"/>
      <c r="O23" s="72"/>
      <c r="P23" s="72"/>
      <c r="Q23" s="72"/>
      <c r="R23" s="72"/>
      <c r="S23" s="72"/>
    </row>
    <row r="24" spans="1:19" ht="12.75">
      <c r="A24" s="100"/>
      <c r="B24" s="101"/>
      <c r="C24" s="101"/>
      <c r="D24" s="101"/>
      <c r="E24" s="101"/>
      <c r="F24" s="101"/>
      <c r="G24" s="101"/>
      <c r="H24" s="101"/>
      <c r="I24" s="113"/>
      <c r="J24" s="113"/>
      <c r="K24" s="72"/>
      <c r="L24" s="72"/>
      <c r="M24" s="72"/>
      <c r="N24" s="72"/>
      <c r="O24" s="72"/>
      <c r="P24" s="72"/>
      <c r="Q24" s="72"/>
      <c r="R24" s="72"/>
      <c r="S24" s="72"/>
    </row>
    <row r="25" spans="1:19" ht="12.75">
      <c r="A25" s="100"/>
      <c r="B25" s="101"/>
      <c r="C25" s="101"/>
      <c r="D25" s="101"/>
      <c r="E25" s="101"/>
      <c r="F25" s="101"/>
      <c r="G25" s="101"/>
      <c r="H25" s="101"/>
      <c r="I25" s="113"/>
      <c r="J25" s="113"/>
      <c r="K25" s="72"/>
      <c r="L25" s="72"/>
      <c r="M25" s="72"/>
      <c r="N25" s="72"/>
      <c r="O25" s="72"/>
      <c r="P25" s="72"/>
      <c r="Q25" s="72"/>
      <c r="R25" s="72"/>
      <c r="S25" s="72"/>
    </row>
    <row r="26" spans="1:19" ht="12.75">
      <c r="A26" s="100"/>
      <c r="B26" s="101"/>
      <c r="C26" s="101"/>
      <c r="D26" s="101"/>
      <c r="E26" s="101"/>
      <c r="F26" s="101"/>
      <c r="G26" s="101"/>
      <c r="H26" s="101"/>
      <c r="I26" s="113"/>
      <c r="J26" s="113"/>
      <c r="K26" s="72"/>
      <c r="L26" s="72"/>
      <c r="M26" s="72"/>
      <c r="N26" s="72"/>
      <c r="O26" s="72"/>
      <c r="P26" s="72"/>
      <c r="Q26" s="72"/>
      <c r="R26" s="72"/>
      <c r="S26" s="72"/>
    </row>
    <row r="27" spans="1:19" ht="12.75">
      <c r="A27" s="100"/>
      <c r="B27" s="101"/>
      <c r="C27" s="101"/>
      <c r="D27" s="101"/>
      <c r="E27" s="101"/>
      <c r="F27" s="101"/>
      <c r="G27" s="101"/>
      <c r="H27" s="101"/>
      <c r="I27" s="113"/>
      <c r="J27" s="113"/>
      <c r="K27" s="72"/>
      <c r="L27" s="72"/>
      <c r="M27" s="72"/>
      <c r="N27" s="72"/>
      <c r="O27" s="72"/>
      <c r="P27" s="72"/>
      <c r="Q27" s="72"/>
      <c r="R27" s="72"/>
      <c r="S27" s="72"/>
    </row>
    <row r="28" spans="1:19" ht="12.75">
      <c r="A28" s="100"/>
      <c r="B28" s="101"/>
      <c r="C28" s="101"/>
      <c r="D28" s="101"/>
      <c r="E28" s="101"/>
      <c r="F28" s="101"/>
      <c r="G28" s="101"/>
      <c r="H28" s="101"/>
      <c r="I28" s="113"/>
      <c r="J28" s="113"/>
      <c r="K28" s="72"/>
      <c r="L28" s="72"/>
      <c r="M28" s="72"/>
      <c r="N28" s="72"/>
      <c r="O28" s="72"/>
      <c r="P28" s="72"/>
      <c r="Q28" s="72"/>
      <c r="R28" s="72"/>
      <c r="S28" s="72"/>
    </row>
    <row r="29" spans="1:19" ht="12.75">
      <c r="A29" s="100"/>
      <c r="B29" s="101"/>
      <c r="C29" s="101"/>
      <c r="D29" s="101"/>
      <c r="E29" s="101"/>
      <c r="F29" s="101"/>
      <c r="G29" s="101"/>
      <c r="H29" s="101"/>
      <c r="I29" s="113"/>
      <c r="J29" s="113"/>
      <c r="K29" s="72"/>
      <c r="L29" s="72"/>
      <c r="M29" s="72"/>
      <c r="N29" s="72"/>
      <c r="O29" s="72"/>
      <c r="P29" s="72"/>
      <c r="Q29" s="72"/>
      <c r="R29" s="72"/>
      <c r="S29" s="72"/>
    </row>
    <row r="30" spans="1:19" ht="12.75">
      <c r="A30" s="100"/>
      <c r="B30" s="101"/>
      <c r="C30" s="101"/>
      <c r="D30" s="101"/>
      <c r="E30" s="101"/>
      <c r="F30" s="101"/>
      <c r="G30" s="101"/>
      <c r="H30" s="101"/>
      <c r="I30" s="113"/>
      <c r="J30" s="113"/>
      <c r="K30" s="72"/>
      <c r="L30" s="72"/>
      <c r="M30" s="72"/>
      <c r="N30" s="72"/>
      <c r="O30" s="72"/>
      <c r="P30" s="72"/>
      <c r="Q30" s="72"/>
      <c r="R30" s="72"/>
      <c r="S30" s="72"/>
    </row>
    <row r="31" spans="1:19" ht="12.75">
      <c r="A31" s="100"/>
      <c r="B31" s="101"/>
      <c r="C31" s="101"/>
      <c r="D31" s="101"/>
      <c r="E31" s="101"/>
      <c r="F31" s="101"/>
      <c r="G31" s="101"/>
      <c r="H31" s="101"/>
      <c r="I31" s="113"/>
      <c r="J31" s="113"/>
      <c r="K31" s="72"/>
      <c r="L31" s="72"/>
      <c r="M31" s="72"/>
      <c r="N31" s="72"/>
      <c r="O31" s="72"/>
      <c r="P31" s="72"/>
      <c r="Q31" s="72"/>
      <c r="R31" s="72"/>
      <c r="S31" s="72"/>
    </row>
    <row r="32" spans="1:19" ht="12.75">
      <c r="A32" s="100"/>
      <c r="B32" s="101"/>
      <c r="C32" s="101"/>
      <c r="D32" s="101"/>
      <c r="E32" s="101"/>
      <c r="F32" s="101"/>
      <c r="G32" s="101"/>
      <c r="H32" s="101"/>
      <c r="I32" s="113"/>
      <c r="J32" s="113"/>
      <c r="K32" s="72"/>
      <c r="L32" s="72"/>
      <c r="M32" s="72"/>
      <c r="N32" s="72"/>
      <c r="O32" s="72"/>
      <c r="P32" s="72"/>
      <c r="Q32" s="72"/>
      <c r="R32" s="72"/>
      <c r="S32" s="72"/>
    </row>
    <row r="33" spans="1:19" ht="12.75">
      <c r="A33" s="100"/>
      <c r="B33" s="101"/>
      <c r="C33" s="101"/>
      <c r="D33" s="101"/>
      <c r="E33" s="101"/>
      <c r="F33" s="101"/>
      <c r="G33" s="101"/>
      <c r="H33" s="101"/>
      <c r="I33" s="113"/>
      <c r="J33" s="113"/>
      <c r="K33" s="72"/>
      <c r="L33" s="72"/>
      <c r="M33" s="72"/>
      <c r="N33" s="72"/>
      <c r="O33" s="72"/>
      <c r="P33" s="72"/>
      <c r="Q33" s="72"/>
      <c r="R33" s="72"/>
      <c r="S33" s="72"/>
    </row>
    <row r="34" spans="1:19" ht="12.75">
      <c r="A34" s="100"/>
      <c r="B34" s="101"/>
      <c r="C34" s="101"/>
      <c r="D34" s="101"/>
      <c r="E34" s="101"/>
      <c r="F34" s="101"/>
      <c r="G34" s="101"/>
      <c r="H34" s="101"/>
      <c r="I34" s="113"/>
      <c r="J34" s="113"/>
      <c r="K34" s="72"/>
      <c r="L34" s="72"/>
      <c r="M34" s="72"/>
      <c r="N34" s="72"/>
      <c r="O34" s="72"/>
      <c r="P34" s="72"/>
      <c r="Q34" s="72"/>
      <c r="R34" s="72"/>
      <c r="S34" s="72"/>
    </row>
    <row r="35" spans="1:19" ht="12.75">
      <c r="A35" s="100"/>
      <c r="B35" s="101"/>
      <c r="C35" s="101"/>
      <c r="D35" s="101"/>
      <c r="E35" s="101"/>
      <c r="F35" s="101"/>
      <c r="G35" s="101"/>
      <c r="H35" s="101"/>
      <c r="I35" s="113"/>
      <c r="J35" s="113"/>
      <c r="K35" s="72"/>
      <c r="L35" s="72"/>
      <c r="M35" s="72"/>
      <c r="N35" s="72"/>
      <c r="O35" s="72"/>
      <c r="P35" s="72"/>
      <c r="Q35" s="72"/>
      <c r="R35" s="72"/>
      <c r="S35" s="72"/>
    </row>
    <row r="36" spans="1:19" ht="12.75">
      <c r="A36" s="100"/>
      <c r="B36" s="101"/>
      <c r="C36" s="101"/>
      <c r="D36" s="101"/>
      <c r="E36" s="101"/>
      <c r="F36" s="101"/>
      <c r="G36" s="101"/>
      <c r="H36" s="101"/>
      <c r="I36" s="113"/>
      <c r="J36" s="113"/>
      <c r="K36" s="72"/>
      <c r="L36" s="72"/>
      <c r="M36" s="72"/>
      <c r="N36" s="72"/>
      <c r="O36" s="72"/>
      <c r="P36" s="72"/>
      <c r="Q36" s="72"/>
      <c r="R36" s="72"/>
      <c r="S36" s="72"/>
    </row>
    <row r="37" spans="1:19" ht="12.75">
      <c r="A37" s="100"/>
      <c r="B37" s="101"/>
      <c r="C37" s="101"/>
      <c r="D37" s="101"/>
      <c r="E37" s="101"/>
      <c r="F37" s="101"/>
      <c r="G37" s="101"/>
      <c r="H37" s="101"/>
      <c r="I37" s="113"/>
      <c r="J37" s="113"/>
      <c r="K37" s="72"/>
      <c r="L37" s="72"/>
      <c r="M37" s="72"/>
      <c r="N37" s="72"/>
      <c r="O37" s="72"/>
      <c r="P37" s="72"/>
      <c r="Q37" s="72"/>
      <c r="R37" s="72"/>
      <c r="S37" s="72"/>
    </row>
    <row r="38" spans="1:19" ht="12.75">
      <c r="A38" s="100"/>
      <c r="B38" s="101"/>
      <c r="C38" s="101"/>
      <c r="D38" s="101"/>
      <c r="E38" s="101"/>
      <c r="F38" s="101"/>
      <c r="G38" s="101"/>
      <c r="H38" s="101"/>
      <c r="I38" s="113"/>
      <c r="J38" s="113"/>
      <c r="K38" s="72"/>
      <c r="L38" s="72"/>
      <c r="M38" s="72"/>
      <c r="N38" s="72"/>
      <c r="O38" s="72"/>
      <c r="P38" s="72"/>
      <c r="Q38" s="72"/>
      <c r="R38" s="72"/>
      <c r="S38" s="72"/>
    </row>
    <row r="39" spans="1:19" ht="12.75">
      <c r="A39" s="100"/>
      <c r="B39" s="101"/>
      <c r="C39" s="101"/>
      <c r="D39" s="101"/>
      <c r="E39" s="101"/>
      <c r="F39" s="101"/>
      <c r="G39" s="101"/>
      <c r="H39" s="101"/>
      <c r="I39" s="113"/>
      <c r="J39" s="113"/>
      <c r="K39" s="72"/>
      <c r="L39" s="72"/>
      <c r="M39" s="72"/>
      <c r="N39" s="72"/>
      <c r="O39" s="72"/>
      <c r="P39" s="72"/>
      <c r="Q39" s="72"/>
      <c r="R39" s="72"/>
      <c r="S39" s="72"/>
    </row>
    <row r="40" spans="1:19" ht="12.75">
      <c r="A40" s="100"/>
      <c r="B40" s="101"/>
      <c r="C40" s="101"/>
      <c r="D40" s="101"/>
      <c r="E40" s="101"/>
      <c r="F40" s="101"/>
      <c r="G40" s="101"/>
      <c r="H40" s="101"/>
      <c r="I40" s="113"/>
      <c r="J40" s="113"/>
      <c r="K40" s="72"/>
      <c r="L40" s="72"/>
      <c r="M40" s="72"/>
      <c r="N40" s="72"/>
      <c r="O40" s="72"/>
      <c r="P40" s="72"/>
      <c r="Q40" s="72"/>
      <c r="R40" s="72"/>
      <c r="S40" s="72"/>
    </row>
    <row r="41" spans="1:19" ht="12.75">
      <c r="A41" s="100"/>
      <c r="B41" s="101"/>
      <c r="C41" s="101"/>
      <c r="D41" s="101"/>
      <c r="E41" s="101"/>
      <c r="F41" s="101"/>
      <c r="G41" s="101"/>
      <c r="H41" s="101"/>
      <c r="I41" s="113"/>
      <c r="J41" s="113"/>
      <c r="K41" s="72"/>
      <c r="L41" s="72"/>
      <c r="M41" s="72"/>
      <c r="N41" s="72"/>
      <c r="O41" s="72"/>
      <c r="P41" s="72"/>
      <c r="Q41" s="72"/>
      <c r="R41" s="72"/>
      <c r="S41" s="72"/>
    </row>
    <row r="42" spans="1:19" ht="12.75">
      <c r="A42" s="100"/>
      <c r="B42" s="101"/>
      <c r="C42" s="101"/>
      <c r="D42" s="101"/>
      <c r="E42" s="101"/>
      <c r="F42" s="101"/>
      <c r="G42" s="101"/>
      <c r="H42" s="101"/>
      <c r="I42" s="113"/>
      <c r="J42" s="113"/>
      <c r="K42" s="72"/>
      <c r="L42" s="72"/>
      <c r="M42" s="72"/>
      <c r="N42" s="72"/>
      <c r="O42" s="72"/>
      <c r="P42" s="72"/>
      <c r="Q42" s="72"/>
      <c r="R42" s="72"/>
      <c r="S42" s="72"/>
    </row>
    <row r="43" spans="1:19" ht="12.75">
      <c r="A43" s="100"/>
      <c r="B43" s="101"/>
      <c r="C43" s="101"/>
      <c r="D43" s="101"/>
      <c r="E43" s="101"/>
      <c r="F43" s="101"/>
      <c r="G43" s="101"/>
      <c r="H43" s="101"/>
      <c r="I43" s="113"/>
      <c r="J43" s="113"/>
      <c r="K43" s="72"/>
      <c r="L43" s="72"/>
      <c r="M43" s="72"/>
      <c r="N43" s="72"/>
      <c r="O43" s="72"/>
      <c r="P43" s="72"/>
      <c r="Q43" s="72"/>
      <c r="R43" s="72"/>
      <c r="S43" s="72"/>
    </row>
    <row r="44" spans="1:19" ht="12.75">
      <c r="A44" s="100"/>
      <c r="B44" s="101"/>
      <c r="C44" s="101"/>
      <c r="D44" s="101"/>
      <c r="E44" s="101"/>
      <c r="F44" s="101"/>
      <c r="G44" s="101"/>
      <c r="H44" s="101"/>
      <c r="I44" s="113"/>
      <c r="J44" s="113"/>
      <c r="K44" s="72"/>
      <c r="L44" s="72"/>
      <c r="M44" s="72"/>
      <c r="N44" s="72"/>
      <c r="O44" s="72"/>
      <c r="P44" s="72"/>
      <c r="Q44" s="72"/>
      <c r="R44" s="72"/>
      <c r="S44" s="72"/>
    </row>
    <row r="45" spans="1:19" ht="12.75">
      <c r="A45" s="100"/>
      <c r="B45" s="101"/>
      <c r="C45" s="101"/>
      <c r="D45" s="101"/>
      <c r="E45" s="101"/>
      <c r="F45" s="101"/>
      <c r="G45" s="101"/>
      <c r="H45" s="101"/>
      <c r="I45" s="113"/>
      <c r="J45" s="113"/>
      <c r="K45" s="72"/>
      <c r="L45" s="72"/>
      <c r="M45" s="72"/>
      <c r="N45" s="72"/>
      <c r="O45" s="72"/>
      <c r="P45" s="72"/>
      <c r="Q45" s="72"/>
      <c r="R45" s="72"/>
      <c r="S45" s="72"/>
    </row>
    <row r="46" spans="1:19" ht="12.75">
      <c r="A46" s="100"/>
      <c r="B46" s="101"/>
      <c r="C46" s="101"/>
      <c r="D46" s="101"/>
      <c r="E46" s="101"/>
      <c r="F46" s="101"/>
      <c r="G46" s="101"/>
      <c r="H46" s="101"/>
      <c r="I46" s="113"/>
      <c r="J46" s="113"/>
      <c r="K46" s="72"/>
      <c r="L46" s="72"/>
      <c r="M46" s="72"/>
      <c r="N46" s="72"/>
      <c r="O46" s="72"/>
      <c r="P46" s="72"/>
      <c r="Q46" s="72"/>
      <c r="R46" s="72"/>
      <c r="S46" s="72"/>
    </row>
    <row r="47" spans="1:19" ht="12.75">
      <c r="A47" s="100"/>
      <c r="B47" s="101"/>
      <c r="C47" s="101"/>
      <c r="D47" s="101"/>
      <c r="E47" s="101"/>
      <c r="F47" s="101"/>
      <c r="G47" s="101"/>
      <c r="H47" s="101"/>
      <c r="I47" s="113"/>
      <c r="J47" s="113"/>
      <c r="K47" s="72"/>
      <c r="L47" s="72"/>
      <c r="M47" s="72"/>
      <c r="N47" s="72"/>
      <c r="O47" s="72"/>
      <c r="P47" s="72"/>
      <c r="Q47" s="72"/>
      <c r="R47" s="72"/>
      <c r="S47" s="72"/>
    </row>
    <row r="48" spans="1:19" ht="12.75">
      <c r="A48" s="100"/>
      <c r="B48" s="101"/>
      <c r="C48" s="101"/>
      <c r="D48" s="101"/>
      <c r="E48" s="101"/>
      <c r="F48" s="101"/>
      <c r="G48" s="101"/>
      <c r="H48" s="101"/>
      <c r="I48" s="113"/>
      <c r="J48" s="113"/>
      <c r="K48" s="72"/>
      <c r="L48" s="72"/>
      <c r="M48" s="72"/>
      <c r="N48" s="72"/>
      <c r="O48" s="72"/>
      <c r="P48" s="72"/>
      <c r="Q48" s="72"/>
      <c r="R48" s="72"/>
      <c r="S48" s="72"/>
    </row>
    <row r="49" spans="1:19" ht="12.75">
      <c r="A49" s="100"/>
      <c r="B49" s="101"/>
      <c r="C49" s="101"/>
      <c r="D49" s="101"/>
      <c r="E49" s="101"/>
      <c r="F49" s="101"/>
      <c r="G49" s="101"/>
      <c r="H49" s="101"/>
      <c r="I49" s="113"/>
      <c r="J49" s="113"/>
      <c r="K49" s="72"/>
      <c r="L49" s="72"/>
      <c r="M49" s="72"/>
      <c r="N49" s="72"/>
      <c r="O49" s="72"/>
      <c r="P49" s="72"/>
      <c r="Q49" s="72"/>
      <c r="R49" s="72"/>
      <c r="S49" s="72"/>
    </row>
    <row r="50" spans="1:19" ht="12.75">
      <c r="A50" s="100"/>
      <c r="B50" s="101"/>
      <c r="C50" s="101"/>
      <c r="D50" s="101"/>
      <c r="E50" s="101"/>
      <c r="F50" s="101"/>
      <c r="G50" s="101"/>
      <c r="H50" s="101"/>
      <c r="I50" s="113"/>
      <c r="J50" s="113"/>
      <c r="K50" s="72"/>
      <c r="L50" s="72"/>
      <c r="M50" s="72"/>
      <c r="N50" s="72"/>
      <c r="O50" s="72"/>
      <c r="P50" s="72"/>
      <c r="Q50" s="72"/>
      <c r="R50" s="72"/>
      <c r="S50" s="72"/>
    </row>
    <row r="51" spans="1:19" ht="12.75">
      <c r="A51" s="100"/>
      <c r="B51" s="101"/>
      <c r="C51" s="101"/>
      <c r="D51" s="101"/>
      <c r="E51" s="101"/>
      <c r="F51" s="101"/>
      <c r="G51" s="101"/>
      <c r="H51" s="101"/>
      <c r="I51" s="113"/>
      <c r="J51" s="113"/>
      <c r="K51" s="72"/>
      <c r="L51" s="72"/>
      <c r="M51" s="72"/>
      <c r="N51" s="72"/>
      <c r="O51" s="72"/>
      <c r="P51" s="72"/>
      <c r="Q51" s="72"/>
      <c r="R51" s="72"/>
      <c r="S51" s="72"/>
    </row>
    <row r="52" spans="1:19" ht="12.75">
      <c r="A52" s="100"/>
      <c r="B52" s="101"/>
      <c r="C52" s="101"/>
      <c r="D52" s="101"/>
      <c r="E52" s="101"/>
      <c r="F52" s="101"/>
      <c r="G52" s="101"/>
      <c r="H52" s="101"/>
      <c r="I52" s="113"/>
      <c r="J52" s="113"/>
      <c r="K52" s="72"/>
      <c r="L52" s="72"/>
      <c r="M52" s="72"/>
      <c r="N52" s="72"/>
      <c r="O52" s="72"/>
      <c r="P52" s="72"/>
      <c r="Q52" s="72"/>
      <c r="R52" s="72"/>
      <c r="S52" s="72"/>
    </row>
    <row r="53" spans="1:19" ht="12.75">
      <c r="A53" s="100"/>
      <c r="B53" s="101"/>
      <c r="C53" s="101"/>
      <c r="D53" s="101"/>
      <c r="E53" s="101"/>
      <c r="F53" s="101"/>
      <c r="G53" s="101"/>
      <c r="H53" s="101"/>
      <c r="I53" s="113"/>
      <c r="J53" s="113"/>
      <c r="K53" s="72"/>
      <c r="L53" s="72"/>
      <c r="M53" s="72"/>
      <c r="N53" s="72"/>
      <c r="O53" s="72"/>
      <c r="P53" s="72"/>
      <c r="Q53" s="72"/>
      <c r="R53" s="72"/>
      <c r="S53" s="72"/>
    </row>
    <row r="54" spans="1:19" ht="12.75">
      <c r="A54" s="100"/>
      <c r="B54" s="101"/>
      <c r="C54" s="101"/>
      <c r="D54" s="101"/>
      <c r="E54" s="101"/>
      <c r="F54" s="101"/>
      <c r="G54" s="101"/>
      <c r="H54" s="101"/>
      <c r="I54" s="113"/>
      <c r="J54" s="113"/>
      <c r="K54" s="72"/>
      <c r="L54" s="72"/>
      <c r="M54" s="72"/>
      <c r="N54" s="72"/>
      <c r="O54" s="72"/>
      <c r="P54" s="72"/>
      <c r="Q54" s="72"/>
      <c r="R54" s="72"/>
      <c r="S54" s="72"/>
    </row>
    <row r="55" spans="1:19" ht="12.75">
      <c r="A55" s="100"/>
      <c r="B55" s="101"/>
      <c r="C55" s="101"/>
      <c r="D55" s="101"/>
      <c r="E55" s="101"/>
      <c r="F55" s="101"/>
      <c r="G55" s="101"/>
      <c r="H55" s="101"/>
      <c r="I55" s="113"/>
      <c r="J55" s="113"/>
      <c r="K55" s="72"/>
      <c r="L55" s="72"/>
      <c r="M55" s="72"/>
      <c r="N55" s="72"/>
      <c r="O55" s="72"/>
      <c r="P55" s="72"/>
      <c r="Q55" s="72"/>
      <c r="R55" s="72"/>
      <c r="S55" s="72"/>
    </row>
    <row r="56" spans="1:19" ht="12.75">
      <c r="A56" s="100"/>
      <c r="B56" s="101"/>
      <c r="C56" s="101"/>
      <c r="D56" s="101"/>
      <c r="E56" s="101"/>
      <c r="F56" s="101"/>
      <c r="G56" s="101"/>
      <c r="H56" s="101"/>
      <c r="I56" s="113"/>
      <c r="J56" s="113"/>
      <c r="K56" s="72"/>
      <c r="L56" s="72"/>
      <c r="M56" s="72"/>
      <c r="N56" s="72"/>
      <c r="O56" s="72"/>
      <c r="P56" s="72"/>
      <c r="Q56" s="72"/>
      <c r="R56" s="72"/>
      <c r="S56" s="72"/>
    </row>
    <row r="57" spans="1:19" ht="12.75">
      <c r="A57" s="100"/>
      <c r="B57" s="101"/>
      <c r="C57" s="101"/>
      <c r="D57" s="101"/>
      <c r="E57" s="101"/>
      <c r="F57" s="101"/>
      <c r="G57" s="101"/>
      <c r="H57" s="101"/>
      <c r="I57" s="113"/>
      <c r="J57" s="113"/>
      <c r="K57" s="72"/>
      <c r="L57" s="72"/>
      <c r="M57" s="72"/>
      <c r="N57" s="72"/>
      <c r="O57" s="72"/>
      <c r="P57" s="72"/>
      <c r="Q57" s="72"/>
      <c r="R57" s="72"/>
      <c r="S57" s="72"/>
    </row>
    <row r="58" spans="1:19" ht="12.75">
      <c r="A58" s="100"/>
      <c r="B58" s="101"/>
      <c r="C58" s="101"/>
      <c r="D58" s="101"/>
      <c r="E58" s="101"/>
      <c r="F58" s="101"/>
      <c r="G58" s="101"/>
      <c r="H58" s="101"/>
      <c r="I58" s="113"/>
      <c r="J58" s="113"/>
      <c r="K58" s="72"/>
      <c r="L58" s="72"/>
      <c r="M58" s="72"/>
      <c r="N58" s="72"/>
      <c r="O58" s="72"/>
      <c r="P58" s="72"/>
      <c r="Q58" s="72"/>
      <c r="R58" s="72"/>
      <c r="S58" s="72"/>
    </row>
    <row r="59" spans="1:19" ht="12.75">
      <c r="A59" s="100"/>
      <c r="B59" s="101"/>
      <c r="C59" s="101"/>
      <c r="D59" s="101"/>
      <c r="E59" s="101"/>
      <c r="F59" s="101"/>
      <c r="G59" s="101"/>
      <c r="H59" s="101"/>
      <c r="I59" s="113"/>
      <c r="J59" s="113"/>
      <c r="K59" s="72"/>
      <c r="L59" s="72"/>
      <c r="M59" s="72"/>
      <c r="N59" s="72"/>
      <c r="O59" s="72"/>
      <c r="P59" s="72"/>
      <c r="Q59" s="72"/>
      <c r="R59" s="72"/>
      <c r="S59" s="72"/>
    </row>
    <row r="60" spans="1:19" ht="12.75">
      <c r="A60" s="100"/>
      <c r="B60" s="101"/>
      <c r="C60" s="101"/>
      <c r="D60" s="101"/>
      <c r="E60" s="101"/>
      <c r="F60" s="101"/>
      <c r="G60" s="101"/>
      <c r="H60" s="101"/>
      <c r="I60" s="113"/>
      <c r="J60" s="113"/>
      <c r="K60" s="72"/>
      <c r="L60" s="72"/>
      <c r="M60" s="72"/>
      <c r="N60" s="72"/>
      <c r="O60" s="72"/>
      <c r="P60" s="72"/>
      <c r="Q60" s="72"/>
      <c r="R60" s="72"/>
      <c r="S60" s="72"/>
    </row>
    <row r="61" spans="1:19" ht="12.75">
      <c r="A61" s="100"/>
      <c r="B61" s="101"/>
      <c r="C61" s="101"/>
      <c r="D61" s="101"/>
      <c r="E61" s="101"/>
      <c r="F61" s="101"/>
      <c r="G61" s="101"/>
      <c r="H61" s="101"/>
      <c r="I61" s="113"/>
      <c r="J61" s="113"/>
      <c r="K61" s="72"/>
      <c r="L61" s="72"/>
      <c r="M61" s="72"/>
      <c r="N61" s="72"/>
      <c r="O61" s="72"/>
      <c r="P61" s="72"/>
      <c r="Q61" s="72"/>
      <c r="R61" s="72"/>
      <c r="S61" s="72"/>
    </row>
    <row r="62" spans="1:19" ht="12.75">
      <c r="A62" s="100"/>
      <c r="B62" s="101"/>
      <c r="C62" s="101"/>
      <c r="D62" s="101"/>
      <c r="E62" s="101"/>
      <c r="F62" s="101"/>
      <c r="G62" s="101"/>
      <c r="H62" s="101"/>
      <c r="I62" s="113"/>
      <c r="J62" s="113"/>
      <c r="K62" s="72"/>
      <c r="L62" s="72"/>
      <c r="M62" s="72"/>
      <c r="N62" s="72"/>
      <c r="O62" s="72"/>
      <c r="P62" s="72"/>
      <c r="Q62" s="72"/>
      <c r="R62" s="72"/>
      <c r="S62" s="72"/>
    </row>
    <row r="63" spans="1:19" ht="12.75">
      <c r="A63" s="100"/>
      <c r="B63" s="101"/>
      <c r="C63" s="101"/>
      <c r="D63" s="101"/>
      <c r="E63" s="101"/>
      <c r="F63" s="101"/>
      <c r="G63" s="101"/>
      <c r="H63" s="101"/>
      <c r="I63" s="113"/>
      <c r="J63" s="113"/>
      <c r="K63" s="72"/>
      <c r="L63" s="72"/>
      <c r="M63" s="72"/>
      <c r="N63" s="72"/>
      <c r="O63" s="72"/>
      <c r="P63" s="72"/>
      <c r="Q63" s="72"/>
      <c r="R63" s="72"/>
      <c r="S63" s="72"/>
    </row>
    <row r="64" spans="1:19" ht="12.75">
      <c r="A64" s="100"/>
      <c r="B64" s="101"/>
      <c r="C64" s="101"/>
      <c r="D64" s="101"/>
      <c r="E64" s="101"/>
      <c r="F64" s="101"/>
      <c r="G64" s="101"/>
      <c r="H64" s="101"/>
      <c r="I64" s="113"/>
      <c r="J64" s="113"/>
      <c r="K64" s="72"/>
      <c r="L64" s="72"/>
      <c r="M64" s="72"/>
      <c r="N64" s="72"/>
      <c r="O64" s="72"/>
      <c r="P64" s="72"/>
      <c r="Q64" s="72"/>
      <c r="R64" s="72"/>
      <c r="S64" s="72"/>
    </row>
    <row r="65" spans="1:19" ht="12.75">
      <c r="A65" s="100"/>
      <c r="B65" s="101"/>
      <c r="C65" s="101"/>
      <c r="D65" s="101"/>
      <c r="E65" s="101"/>
      <c r="F65" s="101"/>
      <c r="G65" s="101"/>
      <c r="H65" s="101"/>
      <c r="I65" s="113"/>
      <c r="J65" s="113"/>
      <c r="K65" s="72"/>
      <c r="L65" s="72"/>
      <c r="M65" s="72"/>
      <c r="N65" s="72"/>
      <c r="O65" s="72"/>
      <c r="P65" s="72"/>
      <c r="Q65" s="72"/>
      <c r="R65" s="72"/>
      <c r="S65" s="72"/>
    </row>
    <row r="66" spans="1:19" ht="12.75">
      <c r="A66" s="100"/>
      <c r="B66" s="101"/>
      <c r="C66" s="101"/>
      <c r="D66" s="101"/>
      <c r="E66" s="101"/>
      <c r="F66" s="101"/>
      <c r="G66" s="101"/>
      <c r="H66" s="101"/>
      <c r="I66" s="113"/>
      <c r="J66" s="113"/>
      <c r="K66" s="72"/>
      <c r="L66" s="72"/>
      <c r="M66" s="72"/>
      <c r="N66" s="72"/>
      <c r="O66" s="72"/>
      <c r="P66" s="72"/>
      <c r="Q66" s="72"/>
      <c r="R66" s="72"/>
      <c r="S66" s="72"/>
    </row>
    <row r="67" spans="1:19" ht="12.75">
      <c r="A67" s="100"/>
      <c r="B67" s="101"/>
      <c r="C67" s="101"/>
      <c r="D67" s="101"/>
      <c r="E67" s="101"/>
      <c r="F67" s="101"/>
      <c r="G67" s="101"/>
      <c r="H67" s="101"/>
      <c r="I67" s="113"/>
      <c r="J67" s="113"/>
      <c r="K67" s="72"/>
      <c r="L67" s="72"/>
      <c r="M67" s="72"/>
      <c r="N67" s="72"/>
      <c r="O67" s="72"/>
      <c r="P67" s="72"/>
      <c r="Q67" s="72"/>
      <c r="R67" s="72"/>
      <c r="S67" s="72"/>
    </row>
    <row r="68" spans="1:19" ht="12.75">
      <c r="A68" s="100"/>
      <c r="B68" s="101"/>
      <c r="C68" s="101"/>
      <c r="D68" s="101"/>
      <c r="E68" s="101"/>
      <c r="F68" s="101"/>
      <c r="G68" s="101"/>
      <c r="H68" s="101"/>
      <c r="I68" s="113"/>
      <c r="J68" s="113"/>
      <c r="K68" s="72"/>
      <c r="L68" s="72"/>
      <c r="M68" s="72"/>
      <c r="N68" s="72"/>
      <c r="O68" s="72"/>
      <c r="P68" s="72"/>
      <c r="Q68" s="72"/>
      <c r="R68" s="72"/>
      <c r="S68" s="72"/>
    </row>
    <row r="69" spans="1:19" ht="12.75">
      <c r="A69" s="100"/>
      <c r="B69" s="101"/>
      <c r="C69" s="101"/>
      <c r="D69" s="101"/>
      <c r="E69" s="101"/>
      <c r="F69" s="101"/>
      <c r="G69" s="101"/>
      <c r="H69" s="101"/>
      <c r="I69" s="113"/>
      <c r="J69" s="113"/>
      <c r="K69" s="72"/>
      <c r="L69" s="72"/>
      <c r="M69" s="72"/>
      <c r="N69" s="72"/>
      <c r="O69" s="72"/>
      <c r="P69" s="72"/>
      <c r="Q69" s="72"/>
      <c r="R69" s="72"/>
      <c r="S69" s="72"/>
    </row>
    <row r="70" spans="1:19" ht="12.75">
      <c r="A70" s="100"/>
      <c r="B70" s="101"/>
      <c r="C70" s="101"/>
      <c r="D70" s="101"/>
      <c r="E70" s="101"/>
      <c r="F70" s="101"/>
      <c r="G70" s="101"/>
      <c r="H70" s="101"/>
      <c r="I70" s="113"/>
      <c r="J70" s="113"/>
      <c r="K70" s="72"/>
      <c r="L70" s="72"/>
      <c r="M70" s="72"/>
      <c r="N70" s="72"/>
      <c r="O70" s="72"/>
      <c r="P70" s="72"/>
      <c r="Q70" s="72"/>
      <c r="R70" s="72"/>
      <c r="S70" s="72"/>
    </row>
    <row r="71" spans="1:19" ht="12.75">
      <c r="A71" s="100"/>
      <c r="B71" s="101"/>
      <c r="C71" s="101"/>
      <c r="D71" s="101"/>
      <c r="E71" s="101"/>
      <c r="F71" s="101"/>
      <c r="G71" s="101"/>
      <c r="H71" s="101"/>
      <c r="I71" s="113"/>
      <c r="J71" s="113"/>
      <c r="K71" s="72"/>
      <c r="L71" s="72"/>
      <c r="M71" s="72"/>
      <c r="N71" s="72"/>
      <c r="O71" s="72"/>
      <c r="P71" s="72"/>
      <c r="Q71" s="72"/>
      <c r="R71" s="72"/>
      <c r="S71" s="72"/>
    </row>
    <row r="72" spans="1:19" ht="12.75">
      <c r="A72" s="100"/>
      <c r="B72" s="101"/>
      <c r="C72" s="101"/>
      <c r="D72" s="101"/>
      <c r="E72" s="101"/>
      <c r="F72" s="101"/>
      <c r="G72" s="101"/>
      <c r="H72" s="101"/>
      <c r="I72" s="113"/>
      <c r="J72" s="113"/>
      <c r="K72" s="72"/>
      <c r="L72" s="72"/>
      <c r="M72" s="72"/>
      <c r="N72" s="72"/>
      <c r="O72" s="72"/>
      <c r="P72" s="72"/>
      <c r="Q72" s="72"/>
      <c r="R72" s="72"/>
      <c r="S72" s="72"/>
    </row>
    <row r="73" spans="1:19" ht="12.75">
      <c r="A73" s="100"/>
      <c r="B73" s="101"/>
      <c r="C73" s="101"/>
      <c r="D73" s="101"/>
      <c r="E73" s="101"/>
      <c r="F73" s="101"/>
      <c r="G73" s="101"/>
      <c r="H73" s="101"/>
      <c r="I73" s="113"/>
      <c r="J73" s="113"/>
      <c r="K73" s="72"/>
      <c r="L73" s="72"/>
      <c r="M73" s="72"/>
      <c r="N73" s="72"/>
      <c r="O73" s="72"/>
      <c r="P73" s="72"/>
      <c r="Q73" s="72"/>
      <c r="R73" s="72"/>
      <c r="S73" s="72"/>
    </row>
    <row r="74" spans="1:19" ht="12.75">
      <c r="A74" s="100"/>
      <c r="B74" s="101"/>
      <c r="C74" s="101"/>
      <c r="D74" s="101"/>
      <c r="E74" s="101"/>
      <c r="F74" s="101"/>
      <c r="G74" s="101"/>
      <c r="H74" s="101"/>
      <c r="I74" s="113"/>
      <c r="J74" s="113"/>
      <c r="K74" s="72"/>
      <c r="L74" s="72"/>
      <c r="M74" s="72"/>
      <c r="N74" s="72"/>
      <c r="O74" s="72"/>
      <c r="P74" s="72"/>
      <c r="Q74" s="72"/>
      <c r="R74" s="72"/>
      <c r="S74" s="72"/>
    </row>
    <row r="75" spans="1:19" ht="12.75">
      <c r="A75" s="100"/>
      <c r="B75" s="101"/>
      <c r="C75" s="101"/>
      <c r="D75" s="101"/>
      <c r="E75" s="101"/>
      <c r="F75" s="101"/>
      <c r="G75" s="101"/>
      <c r="H75" s="101"/>
      <c r="I75" s="113"/>
      <c r="J75" s="113"/>
      <c r="K75" s="72"/>
      <c r="L75" s="72"/>
      <c r="M75" s="72"/>
      <c r="N75" s="72"/>
      <c r="O75" s="72"/>
      <c r="P75" s="72"/>
      <c r="Q75" s="72"/>
      <c r="R75" s="72"/>
      <c r="S75" s="72"/>
    </row>
    <row r="76" spans="1:19" ht="12.75">
      <c r="A76" s="100"/>
      <c r="B76" s="101"/>
      <c r="C76" s="101"/>
      <c r="D76" s="101"/>
      <c r="E76" s="101"/>
      <c r="F76" s="101"/>
      <c r="G76" s="101"/>
      <c r="H76" s="101"/>
      <c r="I76" s="113"/>
      <c r="J76" s="113"/>
      <c r="K76" s="72"/>
      <c r="L76" s="72"/>
      <c r="M76" s="72"/>
      <c r="N76" s="72"/>
      <c r="O76" s="72"/>
      <c r="P76" s="72"/>
      <c r="Q76" s="72"/>
      <c r="R76" s="72"/>
      <c r="S76" s="72"/>
    </row>
    <row r="77" spans="1:19" ht="12.75">
      <c r="A77" s="100"/>
      <c r="B77" s="101"/>
      <c r="C77" s="101"/>
      <c r="D77" s="101"/>
      <c r="E77" s="101"/>
      <c r="F77" s="101"/>
      <c r="G77" s="101"/>
      <c r="H77" s="101"/>
      <c r="I77" s="113"/>
      <c r="J77" s="113"/>
      <c r="K77" s="72"/>
      <c r="L77" s="72"/>
      <c r="M77" s="72"/>
      <c r="N77" s="72"/>
      <c r="O77" s="72"/>
      <c r="P77" s="72"/>
      <c r="Q77" s="72"/>
      <c r="R77" s="72"/>
      <c r="S77" s="72"/>
    </row>
    <row r="78" spans="1:19" ht="12.75">
      <c r="A78" s="100"/>
      <c r="B78" s="101"/>
      <c r="C78" s="101"/>
      <c r="D78" s="101"/>
      <c r="E78" s="101"/>
      <c r="F78" s="101"/>
      <c r="G78" s="101"/>
      <c r="H78" s="101"/>
      <c r="I78" s="113"/>
      <c r="J78" s="113"/>
      <c r="K78" s="72"/>
      <c r="L78" s="72"/>
      <c r="M78" s="72"/>
      <c r="N78" s="72"/>
      <c r="O78" s="72"/>
      <c r="P78" s="72"/>
      <c r="Q78" s="72"/>
      <c r="R78" s="72"/>
      <c r="S78" s="72"/>
    </row>
    <row r="79" spans="1:19" ht="12.75">
      <c r="A79" s="100"/>
      <c r="B79" s="101"/>
      <c r="C79" s="101"/>
      <c r="D79" s="101"/>
      <c r="E79" s="101"/>
      <c r="F79" s="101"/>
      <c r="G79" s="101"/>
      <c r="H79" s="101"/>
      <c r="I79" s="113"/>
      <c r="J79" s="113"/>
      <c r="K79" s="72"/>
      <c r="L79" s="72"/>
      <c r="M79" s="72"/>
      <c r="N79" s="72"/>
      <c r="O79" s="72"/>
      <c r="P79" s="72"/>
      <c r="Q79" s="72"/>
      <c r="R79" s="72"/>
      <c r="S79" s="72"/>
    </row>
    <row r="80" spans="1:19" ht="12.75">
      <c r="A80" s="100"/>
      <c r="B80" s="101"/>
      <c r="C80" s="101"/>
      <c r="D80" s="101"/>
      <c r="E80" s="101"/>
      <c r="F80" s="101"/>
      <c r="G80" s="101"/>
      <c r="H80" s="101"/>
      <c r="I80" s="113"/>
      <c r="J80" s="113"/>
      <c r="K80" s="72"/>
      <c r="L80" s="72"/>
      <c r="M80" s="72"/>
      <c r="N80" s="72"/>
      <c r="O80" s="72"/>
      <c r="P80" s="72"/>
      <c r="Q80" s="72"/>
      <c r="R80" s="72"/>
      <c r="S80" s="72"/>
    </row>
    <row r="81" spans="1:19" ht="12.75">
      <c r="A81" s="100"/>
      <c r="B81" s="101"/>
      <c r="C81" s="101"/>
      <c r="D81" s="101"/>
      <c r="E81" s="101"/>
      <c r="F81" s="101"/>
      <c r="G81" s="101"/>
      <c r="H81" s="101"/>
      <c r="I81" s="113"/>
      <c r="J81" s="113"/>
      <c r="K81" s="72"/>
      <c r="L81" s="72"/>
      <c r="M81" s="72"/>
      <c r="N81" s="72"/>
      <c r="O81" s="72"/>
      <c r="P81" s="72"/>
      <c r="Q81" s="72"/>
      <c r="R81" s="72"/>
      <c r="S81" s="72"/>
    </row>
    <row r="82" spans="1:19" ht="12.75">
      <c r="A82" s="100"/>
      <c r="B82" s="101"/>
      <c r="C82" s="101"/>
      <c r="D82" s="101"/>
      <c r="E82" s="101"/>
      <c r="F82" s="101"/>
      <c r="G82" s="101"/>
      <c r="H82" s="101"/>
      <c r="I82" s="113"/>
      <c r="J82" s="113"/>
      <c r="K82" s="72"/>
      <c r="L82" s="72"/>
      <c r="M82" s="72"/>
      <c r="N82" s="72"/>
      <c r="O82" s="72"/>
      <c r="P82" s="72"/>
      <c r="Q82" s="72"/>
      <c r="R82" s="72"/>
      <c r="S82" s="72"/>
    </row>
    <row r="83" spans="1:19" ht="12.75">
      <c r="A83" s="100"/>
      <c r="B83" s="101"/>
      <c r="C83" s="101"/>
      <c r="D83" s="101"/>
      <c r="E83" s="101"/>
      <c r="F83" s="101"/>
      <c r="G83" s="101"/>
      <c r="H83" s="101"/>
      <c r="I83" s="113"/>
      <c r="J83" s="113"/>
      <c r="K83" s="72"/>
      <c r="L83" s="72"/>
      <c r="M83" s="72"/>
      <c r="N83" s="72"/>
      <c r="O83" s="72"/>
      <c r="P83" s="72"/>
      <c r="Q83" s="72"/>
      <c r="R83" s="72"/>
      <c r="S83" s="72"/>
    </row>
    <row r="84" spans="1:19" ht="12.75">
      <c r="A84" s="100"/>
      <c r="B84" s="101"/>
      <c r="C84" s="101"/>
      <c r="D84" s="101"/>
      <c r="E84" s="101"/>
      <c r="F84" s="101"/>
      <c r="G84" s="101"/>
      <c r="H84" s="101"/>
      <c r="I84" s="113"/>
      <c r="J84" s="113"/>
      <c r="K84" s="72"/>
      <c r="L84" s="72"/>
      <c r="M84" s="72"/>
      <c r="N84" s="72"/>
      <c r="O84" s="72"/>
      <c r="P84" s="72"/>
      <c r="Q84" s="72"/>
      <c r="R84" s="72"/>
      <c r="S84" s="72"/>
    </row>
    <row r="85" spans="1:19" ht="12.75">
      <c r="A85" s="100"/>
      <c r="B85" s="101"/>
      <c r="C85" s="101"/>
      <c r="D85" s="101"/>
      <c r="E85" s="101"/>
      <c r="F85" s="101"/>
      <c r="G85" s="101"/>
      <c r="H85" s="101"/>
      <c r="I85" s="113"/>
      <c r="J85" s="113"/>
      <c r="K85" s="72"/>
      <c r="L85" s="72"/>
      <c r="M85" s="72"/>
      <c r="N85" s="72"/>
      <c r="O85" s="72"/>
      <c r="P85" s="72"/>
      <c r="Q85" s="72"/>
      <c r="R85" s="72"/>
      <c r="S85" s="72"/>
    </row>
    <row r="86" spans="1:19" ht="12.75">
      <c r="A86" s="100"/>
      <c r="B86" s="101"/>
      <c r="C86" s="101"/>
      <c r="D86" s="101"/>
      <c r="E86" s="101"/>
      <c r="F86" s="101"/>
      <c r="G86" s="101"/>
      <c r="H86" s="101"/>
      <c r="I86" s="113"/>
      <c r="J86" s="113"/>
      <c r="K86" s="72"/>
      <c r="L86" s="72"/>
      <c r="M86" s="72"/>
      <c r="N86" s="72"/>
      <c r="O86" s="72"/>
      <c r="P86" s="72"/>
      <c r="Q86" s="72"/>
      <c r="R86" s="72"/>
      <c r="S86" s="72"/>
    </row>
    <row r="87" spans="1:19" ht="12.75">
      <c r="A87" s="100"/>
      <c r="B87" s="101"/>
      <c r="C87" s="101"/>
      <c r="D87" s="101"/>
      <c r="E87" s="101"/>
      <c r="F87" s="101"/>
      <c r="G87" s="101"/>
      <c r="H87" s="101"/>
      <c r="I87" s="113"/>
      <c r="J87" s="113"/>
      <c r="K87" s="72"/>
      <c r="L87" s="72"/>
      <c r="M87" s="72"/>
      <c r="N87" s="72"/>
      <c r="O87" s="72"/>
      <c r="P87" s="72"/>
      <c r="Q87" s="72"/>
      <c r="R87" s="72"/>
      <c r="S87" s="72"/>
    </row>
    <row r="88" spans="1:19" ht="12.75">
      <c r="A88" s="100"/>
      <c r="B88" s="101"/>
      <c r="C88" s="101"/>
      <c r="D88" s="101"/>
      <c r="E88" s="101"/>
      <c r="F88" s="101"/>
      <c r="G88" s="101"/>
      <c r="H88" s="101"/>
      <c r="I88" s="113"/>
      <c r="J88" s="113"/>
      <c r="K88" s="72"/>
      <c r="L88" s="72"/>
      <c r="M88" s="72"/>
      <c r="N88" s="72"/>
      <c r="O88" s="72"/>
      <c r="P88" s="72"/>
      <c r="Q88" s="72"/>
      <c r="R88" s="72"/>
      <c r="S88" s="72"/>
    </row>
    <row r="89" spans="1:19" ht="12.75">
      <c r="A89" s="100"/>
      <c r="B89" s="101"/>
      <c r="C89" s="101"/>
      <c r="D89" s="101"/>
      <c r="E89" s="101"/>
      <c r="F89" s="101"/>
      <c r="G89" s="101"/>
      <c r="H89" s="101"/>
      <c r="I89" s="113"/>
      <c r="J89" s="113"/>
      <c r="K89" s="72"/>
      <c r="L89" s="72"/>
      <c r="M89" s="72"/>
      <c r="N89" s="72"/>
      <c r="O89" s="72"/>
      <c r="P89" s="72"/>
      <c r="Q89" s="72"/>
      <c r="R89" s="72"/>
      <c r="S89" s="72"/>
    </row>
    <row r="90" spans="1:19" ht="12.75">
      <c r="A90" s="100"/>
      <c r="B90" s="101"/>
      <c r="C90" s="101"/>
      <c r="D90" s="101"/>
      <c r="E90" s="101"/>
      <c r="F90" s="101"/>
      <c r="G90" s="101"/>
      <c r="H90" s="101"/>
      <c r="I90" s="113"/>
      <c r="J90" s="113"/>
      <c r="K90" s="72"/>
      <c r="L90" s="72"/>
      <c r="M90" s="72"/>
      <c r="N90" s="72"/>
      <c r="O90" s="72"/>
      <c r="P90" s="72"/>
      <c r="Q90" s="72"/>
      <c r="R90" s="72"/>
      <c r="S90" s="72"/>
    </row>
    <row r="91" spans="1:19" ht="12.75">
      <c r="A91" s="100"/>
      <c r="B91" s="101"/>
      <c r="C91" s="101"/>
      <c r="D91" s="101"/>
      <c r="E91" s="101"/>
      <c r="F91" s="101"/>
      <c r="G91" s="101"/>
      <c r="H91" s="101"/>
      <c r="I91" s="113"/>
      <c r="J91" s="113"/>
      <c r="K91" s="72"/>
      <c r="L91" s="72"/>
      <c r="M91" s="72"/>
      <c r="N91" s="72"/>
      <c r="O91" s="72"/>
      <c r="P91" s="72"/>
      <c r="Q91" s="72"/>
      <c r="R91" s="72"/>
      <c r="S91" s="72"/>
    </row>
    <row r="92" spans="1:19" ht="12.75">
      <c r="A92" s="100"/>
      <c r="B92" s="101"/>
      <c r="C92" s="101"/>
      <c r="D92" s="101"/>
      <c r="E92" s="101"/>
      <c r="F92" s="101"/>
      <c r="G92" s="101"/>
      <c r="H92" s="101"/>
      <c r="I92" s="113"/>
      <c r="J92" s="113"/>
      <c r="K92" s="72"/>
      <c r="L92" s="72"/>
      <c r="M92" s="72"/>
      <c r="N92" s="72"/>
      <c r="O92" s="72"/>
      <c r="P92" s="72"/>
      <c r="Q92" s="72"/>
      <c r="R92" s="72"/>
      <c r="S92" s="72"/>
    </row>
    <row r="93" spans="1:19" ht="12.75">
      <c r="A93" s="100"/>
      <c r="B93" s="101"/>
      <c r="C93" s="101"/>
      <c r="D93" s="101"/>
      <c r="E93" s="101"/>
      <c r="F93" s="101"/>
      <c r="G93" s="101"/>
      <c r="H93" s="101"/>
      <c r="I93" s="113"/>
      <c r="J93" s="113"/>
      <c r="K93" s="72"/>
      <c r="L93" s="72"/>
      <c r="M93" s="72"/>
      <c r="N93" s="72"/>
      <c r="O93" s="72"/>
      <c r="P93" s="72"/>
      <c r="Q93" s="72"/>
      <c r="R93" s="72"/>
      <c r="S93" s="72"/>
    </row>
    <row r="94" spans="1:19" ht="12.75">
      <c r="A94" s="100"/>
      <c r="B94" s="101"/>
      <c r="C94" s="101"/>
      <c r="D94" s="101"/>
      <c r="E94" s="101"/>
      <c r="F94" s="101"/>
      <c r="G94" s="101"/>
      <c r="H94" s="101"/>
      <c r="I94" s="113"/>
      <c r="J94" s="113"/>
      <c r="K94" s="72"/>
      <c r="L94" s="72"/>
      <c r="M94" s="72"/>
      <c r="N94" s="72"/>
      <c r="O94" s="72"/>
      <c r="P94" s="72"/>
      <c r="Q94" s="72"/>
      <c r="R94" s="72"/>
      <c r="S94" s="72"/>
    </row>
    <row r="95" spans="1:19" ht="12.75">
      <c r="A95" s="100"/>
      <c r="B95" s="101"/>
      <c r="C95" s="101"/>
      <c r="D95" s="101"/>
      <c r="E95" s="101"/>
      <c r="F95" s="101"/>
      <c r="G95" s="101"/>
      <c r="H95" s="101"/>
      <c r="I95" s="113"/>
      <c r="J95" s="113"/>
      <c r="K95" s="72"/>
      <c r="L95" s="72"/>
      <c r="M95" s="72"/>
      <c r="N95" s="72"/>
      <c r="O95" s="72"/>
      <c r="P95" s="72"/>
      <c r="Q95" s="72"/>
      <c r="R95" s="72"/>
      <c r="S95" s="72"/>
    </row>
    <row r="96" spans="1:19" ht="12.75">
      <c r="A96" s="100"/>
      <c r="B96" s="101"/>
      <c r="C96" s="101"/>
      <c r="D96" s="101"/>
      <c r="E96" s="101"/>
      <c r="F96" s="101"/>
      <c r="G96" s="101"/>
      <c r="H96" s="101"/>
      <c r="I96" s="113"/>
      <c r="J96" s="113"/>
      <c r="K96" s="72"/>
      <c r="L96" s="72"/>
      <c r="M96" s="72"/>
      <c r="N96" s="72"/>
      <c r="O96" s="72"/>
      <c r="P96" s="72"/>
      <c r="Q96" s="72"/>
      <c r="R96" s="72"/>
      <c r="S96" s="72"/>
    </row>
    <row r="97" spans="1:19" ht="12.75">
      <c r="A97" s="100"/>
      <c r="B97" s="101"/>
      <c r="C97" s="101"/>
      <c r="D97" s="101"/>
      <c r="E97" s="101"/>
      <c r="F97" s="101"/>
      <c r="G97" s="101"/>
      <c r="H97" s="101"/>
      <c r="I97" s="113"/>
      <c r="J97" s="113"/>
      <c r="K97" s="72"/>
      <c r="L97" s="72"/>
      <c r="M97" s="72"/>
      <c r="N97" s="72"/>
      <c r="O97" s="72"/>
      <c r="P97" s="72"/>
      <c r="Q97" s="72"/>
      <c r="R97" s="72"/>
      <c r="S97" s="72"/>
    </row>
    <row r="98" spans="1:19" ht="12.75">
      <c r="A98" s="100"/>
      <c r="B98" s="101"/>
      <c r="C98" s="101"/>
      <c r="D98" s="101"/>
      <c r="E98" s="101"/>
      <c r="F98" s="101"/>
      <c r="G98" s="101"/>
      <c r="H98" s="101"/>
      <c r="I98" s="113"/>
      <c r="J98" s="113"/>
      <c r="K98" s="72"/>
      <c r="L98" s="72"/>
      <c r="M98" s="72"/>
      <c r="N98" s="72"/>
      <c r="O98" s="72"/>
      <c r="P98" s="72"/>
      <c r="Q98" s="72"/>
      <c r="R98" s="72"/>
      <c r="S98" s="72"/>
    </row>
    <row r="99" spans="1:19" ht="12.75">
      <c r="A99" s="100"/>
      <c r="B99" s="101"/>
      <c r="C99" s="101"/>
      <c r="D99" s="101"/>
      <c r="E99" s="101"/>
      <c r="F99" s="101"/>
      <c r="G99" s="101"/>
      <c r="H99" s="101"/>
      <c r="I99" s="113"/>
      <c r="J99" s="113"/>
      <c r="K99" s="72"/>
      <c r="L99" s="72"/>
      <c r="M99" s="72"/>
      <c r="N99" s="72"/>
      <c r="O99" s="72"/>
      <c r="P99" s="72"/>
      <c r="Q99" s="72"/>
      <c r="R99" s="72"/>
      <c r="S99" s="72"/>
    </row>
    <row r="100" spans="1:19" ht="12.75">
      <c r="A100" s="100"/>
      <c r="B100" s="101"/>
      <c r="C100" s="101"/>
      <c r="D100" s="101"/>
      <c r="E100" s="101"/>
      <c r="F100" s="101"/>
      <c r="G100" s="101"/>
      <c r="H100" s="101"/>
      <c r="I100" s="113"/>
      <c r="J100" s="113"/>
      <c r="K100" s="72"/>
      <c r="L100" s="72"/>
      <c r="M100" s="72"/>
      <c r="N100" s="72"/>
      <c r="O100" s="72"/>
      <c r="P100" s="72"/>
      <c r="Q100" s="72"/>
      <c r="R100" s="72"/>
      <c r="S100" s="72"/>
    </row>
    <row r="101" spans="1:19" ht="12.75">
      <c r="A101" s="100"/>
      <c r="B101" s="101"/>
      <c r="C101" s="101"/>
      <c r="D101" s="101"/>
      <c r="E101" s="101"/>
      <c r="F101" s="101"/>
      <c r="G101" s="101"/>
      <c r="H101" s="101"/>
      <c r="I101" s="113"/>
      <c r="J101" s="113"/>
      <c r="K101" s="72"/>
      <c r="L101" s="72"/>
      <c r="M101" s="72"/>
      <c r="N101" s="72"/>
      <c r="O101" s="72"/>
      <c r="P101" s="72"/>
      <c r="Q101" s="72"/>
      <c r="R101" s="72"/>
      <c r="S101" s="72"/>
    </row>
    <row r="102" spans="1:19" ht="12.75">
      <c r="A102" s="100"/>
      <c r="B102" s="101"/>
      <c r="C102" s="101"/>
      <c r="D102" s="101"/>
      <c r="E102" s="101"/>
      <c r="F102" s="101"/>
      <c r="G102" s="101"/>
      <c r="H102" s="101"/>
      <c r="I102" s="113"/>
      <c r="J102" s="113"/>
      <c r="K102" s="72"/>
      <c r="L102" s="72"/>
      <c r="M102" s="72"/>
      <c r="N102" s="72"/>
      <c r="O102" s="72"/>
      <c r="P102" s="72"/>
      <c r="Q102" s="72"/>
      <c r="R102" s="72"/>
      <c r="S102" s="72"/>
    </row>
    <row r="103" spans="1:19" ht="12.75">
      <c r="A103" s="100"/>
      <c r="B103" s="101"/>
      <c r="C103" s="101"/>
      <c r="D103" s="101"/>
      <c r="E103" s="101"/>
      <c r="F103" s="101"/>
      <c r="G103" s="101"/>
      <c r="H103" s="101"/>
      <c r="I103" s="113"/>
      <c r="J103" s="113"/>
      <c r="K103" s="72"/>
      <c r="L103" s="72"/>
      <c r="M103" s="72"/>
      <c r="N103" s="72"/>
      <c r="O103" s="72"/>
      <c r="P103" s="72"/>
      <c r="Q103" s="72"/>
      <c r="R103" s="72"/>
      <c r="S103" s="72"/>
    </row>
    <row r="104" spans="1:19" ht="12.75">
      <c r="A104" s="100"/>
      <c r="B104" s="101"/>
      <c r="C104" s="101"/>
      <c r="D104" s="101"/>
      <c r="E104" s="101"/>
      <c r="F104" s="101"/>
      <c r="G104" s="101"/>
      <c r="H104" s="101"/>
      <c r="I104" s="113"/>
      <c r="J104" s="113"/>
      <c r="K104" s="72"/>
      <c r="L104" s="72"/>
      <c r="M104" s="72"/>
      <c r="N104" s="72"/>
      <c r="O104" s="72"/>
      <c r="P104" s="72"/>
      <c r="Q104" s="72"/>
      <c r="R104" s="72"/>
      <c r="S104" s="72"/>
    </row>
    <row r="105" spans="1:19" ht="12.75">
      <c r="A105" s="100"/>
      <c r="B105" s="101"/>
      <c r="C105" s="101"/>
      <c r="D105" s="101"/>
      <c r="E105" s="101"/>
      <c r="F105" s="101"/>
      <c r="G105" s="101"/>
      <c r="H105" s="101"/>
      <c r="I105" s="113"/>
      <c r="J105" s="113"/>
      <c r="K105" s="72"/>
      <c r="L105" s="72"/>
      <c r="M105" s="72"/>
      <c r="N105" s="72"/>
      <c r="O105" s="72"/>
      <c r="P105" s="72"/>
      <c r="Q105" s="72"/>
      <c r="R105" s="72"/>
      <c r="S105" s="72"/>
    </row>
    <row r="106" spans="1:19" ht="12.75">
      <c r="A106" s="100"/>
      <c r="B106" s="101"/>
      <c r="C106" s="101"/>
      <c r="D106" s="101"/>
      <c r="E106" s="101"/>
      <c r="F106" s="101"/>
      <c r="G106" s="101"/>
      <c r="H106" s="101"/>
      <c r="I106" s="113"/>
      <c r="J106" s="113"/>
      <c r="K106" s="72"/>
      <c r="L106" s="72"/>
      <c r="M106" s="72"/>
      <c r="N106" s="72"/>
      <c r="O106" s="72"/>
      <c r="P106" s="72"/>
      <c r="Q106" s="72"/>
      <c r="R106" s="72"/>
      <c r="S106" s="72"/>
    </row>
    <row r="107" spans="1:19" ht="12.75">
      <c r="A107" s="100"/>
      <c r="B107" s="101"/>
      <c r="C107" s="101"/>
      <c r="D107" s="101"/>
      <c r="E107" s="101"/>
      <c r="F107" s="101"/>
      <c r="G107" s="101"/>
      <c r="H107" s="101"/>
      <c r="I107" s="113"/>
      <c r="J107" s="113"/>
      <c r="K107" s="72"/>
      <c r="L107" s="72"/>
      <c r="M107" s="72"/>
      <c r="N107" s="72"/>
      <c r="O107" s="72"/>
      <c r="P107" s="72"/>
      <c r="Q107" s="72"/>
      <c r="R107" s="72"/>
      <c r="S107" s="72"/>
    </row>
    <row r="108" spans="1:19" ht="12.75">
      <c r="A108" s="100"/>
      <c r="B108" s="101"/>
      <c r="C108" s="101"/>
      <c r="D108" s="101"/>
      <c r="E108" s="101"/>
      <c r="F108" s="101"/>
      <c r="G108" s="101"/>
      <c r="H108" s="101"/>
      <c r="I108" s="113"/>
      <c r="J108" s="113"/>
      <c r="K108" s="72"/>
      <c r="L108" s="72"/>
      <c r="M108" s="72"/>
      <c r="N108" s="72"/>
      <c r="O108" s="72"/>
      <c r="P108" s="72"/>
      <c r="Q108" s="72"/>
      <c r="R108" s="72"/>
      <c r="S108" s="72"/>
    </row>
    <row r="109" spans="1:19" ht="12.75">
      <c r="A109" s="100"/>
      <c r="B109" s="101"/>
      <c r="C109" s="101"/>
      <c r="D109" s="101"/>
      <c r="E109" s="101"/>
      <c r="F109" s="101"/>
      <c r="G109" s="101"/>
      <c r="H109" s="101"/>
      <c r="I109" s="113"/>
      <c r="J109" s="113"/>
      <c r="K109" s="72"/>
      <c r="L109" s="72"/>
      <c r="M109" s="72"/>
      <c r="N109" s="72"/>
      <c r="O109" s="72"/>
      <c r="P109" s="72"/>
      <c r="Q109" s="72"/>
      <c r="R109" s="72"/>
      <c r="S109" s="72"/>
    </row>
    <row r="110" spans="1:19" ht="12.75">
      <c r="A110" s="100"/>
      <c r="B110" s="101"/>
      <c r="C110" s="101"/>
      <c r="D110" s="101"/>
      <c r="E110" s="101"/>
      <c r="F110" s="101"/>
      <c r="G110" s="101"/>
      <c r="H110" s="101"/>
      <c r="I110" s="113"/>
      <c r="J110" s="113"/>
      <c r="K110" s="72"/>
      <c r="L110" s="72"/>
      <c r="M110" s="72"/>
      <c r="N110" s="72"/>
      <c r="O110" s="72"/>
      <c r="P110" s="72"/>
      <c r="Q110" s="72"/>
      <c r="R110" s="72"/>
      <c r="S110" s="72"/>
    </row>
    <row r="111" spans="1:19" ht="12.75">
      <c r="A111" s="100"/>
      <c r="B111" s="101"/>
      <c r="C111" s="101"/>
      <c r="D111" s="101"/>
      <c r="E111" s="101"/>
      <c r="F111" s="101"/>
      <c r="G111" s="101"/>
      <c r="H111" s="101"/>
      <c r="I111" s="113"/>
      <c r="J111" s="113"/>
      <c r="K111" s="72"/>
      <c r="L111" s="72"/>
      <c r="M111" s="72"/>
      <c r="N111" s="72"/>
      <c r="O111" s="72"/>
      <c r="P111" s="72"/>
      <c r="Q111" s="72"/>
      <c r="R111" s="72"/>
      <c r="S111" s="72"/>
    </row>
    <row r="112" spans="1:19" ht="12.75">
      <c r="A112" s="100"/>
      <c r="B112" s="101"/>
      <c r="C112" s="101"/>
      <c r="D112" s="101"/>
      <c r="E112" s="101"/>
      <c r="F112" s="101"/>
      <c r="G112" s="101"/>
      <c r="H112" s="101"/>
      <c r="I112" s="113"/>
      <c r="J112" s="113"/>
      <c r="K112" s="72"/>
      <c r="L112" s="72"/>
      <c r="M112" s="72"/>
      <c r="N112" s="72"/>
      <c r="O112" s="72"/>
      <c r="P112" s="72"/>
      <c r="Q112" s="72"/>
      <c r="R112" s="72"/>
      <c r="S112" s="72"/>
    </row>
    <row r="113" spans="1:19" ht="12.75">
      <c r="A113" s="100"/>
      <c r="B113" s="101"/>
      <c r="C113" s="101"/>
      <c r="D113" s="101"/>
      <c r="E113" s="101"/>
      <c r="F113" s="101"/>
      <c r="G113" s="101"/>
      <c r="H113" s="101"/>
      <c r="I113" s="113"/>
      <c r="J113" s="113"/>
      <c r="K113" s="72"/>
      <c r="L113" s="72"/>
      <c r="M113" s="72"/>
      <c r="N113" s="72"/>
      <c r="O113" s="72"/>
      <c r="P113" s="72"/>
      <c r="Q113" s="72"/>
      <c r="R113" s="72"/>
      <c r="S113" s="72"/>
    </row>
    <row r="114" spans="1:19" ht="12.75">
      <c r="A114" s="100"/>
      <c r="B114" s="101"/>
      <c r="C114" s="101"/>
      <c r="D114" s="101"/>
      <c r="E114" s="101"/>
      <c r="F114" s="101"/>
      <c r="G114" s="101"/>
      <c r="H114" s="101"/>
      <c r="I114" s="113"/>
      <c r="J114" s="113"/>
      <c r="K114" s="72"/>
      <c r="L114" s="72"/>
      <c r="M114" s="72"/>
      <c r="N114" s="72"/>
      <c r="O114" s="72"/>
      <c r="P114" s="72"/>
      <c r="Q114" s="72"/>
      <c r="R114" s="72"/>
      <c r="S114" s="72"/>
    </row>
    <row r="115" spans="1:19" ht="12.75">
      <c r="A115" s="100"/>
      <c r="B115" s="101"/>
      <c r="C115" s="101"/>
      <c r="D115" s="101"/>
      <c r="E115" s="101"/>
      <c r="F115" s="101"/>
      <c r="G115" s="101"/>
      <c r="H115" s="101"/>
      <c r="I115" s="113"/>
      <c r="J115" s="113"/>
      <c r="K115" s="72"/>
      <c r="L115" s="72"/>
      <c r="M115" s="72"/>
      <c r="N115" s="72"/>
      <c r="O115" s="72"/>
      <c r="P115" s="72"/>
      <c r="Q115" s="72"/>
      <c r="R115" s="72"/>
      <c r="S115" s="72"/>
    </row>
    <row r="116" spans="1:19" ht="12.75">
      <c r="A116" s="100"/>
      <c r="B116" s="101"/>
      <c r="C116" s="101"/>
      <c r="D116" s="101"/>
      <c r="E116" s="101"/>
      <c r="F116" s="101"/>
      <c r="G116" s="101"/>
      <c r="H116" s="101"/>
      <c r="I116" s="113"/>
      <c r="J116" s="113"/>
      <c r="K116" s="72"/>
      <c r="L116" s="72"/>
      <c r="M116" s="72"/>
      <c r="N116" s="72"/>
      <c r="O116" s="72"/>
      <c r="P116" s="72"/>
      <c r="Q116" s="72"/>
      <c r="R116" s="72"/>
      <c r="S116" s="72"/>
    </row>
    <row r="117" spans="1:19" ht="12.75">
      <c r="A117" s="100"/>
      <c r="B117" s="101"/>
      <c r="C117" s="101"/>
      <c r="D117" s="101"/>
      <c r="E117" s="101"/>
      <c r="F117" s="101"/>
      <c r="G117" s="101"/>
      <c r="H117" s="101"/>
      <c r="I117" s="113"/>
      <c r="J117" s="113"/>
      <c r="K117" s="72"/>
      <c r="L117" s="72"/>
      <c r="M117" s="72"/>
      <c r="N117" s="72"/>
      <c r="O117" s="72"/>
      <c r="P117" s="72"/>
      <c r="Q117" s="72"/>
      <c r="R117" s="72"/>
      <c r="S117" s="72"/>
    </row>
    <row r="118" spans="1:19" ht="12.75">
      <c r="A118" s="100"/>
      <c r="B118" s="101"/>
      <c r="C118" s="101"/>
      <c r="D118" s="101"/>
      <c r="E118" s="101"/>
      <c r="F118" s="101"/>
      <c r="G118" s="101"/>
      <c r="H118" s="101"/>
      <c r="I118" s="113"/>
      <c r="J118" s="113"/>
      <c r="K118" s="72"/>
      <c r="L118" s="72"/>
      <c r="M118" s="72"/>
      <c r="N118" s="72"/>
      <c r="O118" s="72"/>
      <c r="P118" s="72"/>
      <c r="Q118" s="72"/>
      <c r="R118" s="72"/>
      <c r="S118" s="72"/>
    </row>
    <row r="119" spans="1:19" ht="12.75">
      <c r="A119" s="100"/>
      <c r="B119" s="101"/>
      <c r="C119" s="101"/>
      <c r="D119" s="101"/>
      <c r="E119" s="101"/>
      <c r="F119" s="101"/>
      <c r="G119" s="101"/>
      <c r="H119" s="101"/>
      <c r="I119" s="113"/>
      <c r="J119" s="113"/>
      <c r="K119" s="72"/>
      <c r="L119" s="72"/>
      <c r="M119" s="72"/>
      <c r="N119" s="72"/>
      <c r="O119" s="72"/>
      <c r="P119" s="72"/>
      <c r="Q119" s="72"/>
      <c r="R119" s="72"/>
      <c r="S119" s="72"/>
    </row>
    <row r="120" spans="1:19" ht="12.75">
      <c r="A120" s="100"/>
      <c r="B120" s="101"/>
      <c r="C120" s="101"/>
      <c r="D120" s="101"/>
      <c r="E120" s="101"/>
      <c r="F120" s="101"/>
      <c r="G120" s="101"/>
      <c r="H120" s="101"/>
      <c r="I120" s="113"/>
      <c r="J120" s="113"/>
      <c r="K120" s="72"/>
      <c r="L120" s="72"/>
      <c r="M120" s="72"/>
      <c r="N120" s="72"/>
      <c r="O120" s="72"/>
      <c r="P120" s="72"/>
      <c r="Q120" s="72"/>
      <c r="R120" s="72"/>
      <c r="S120" s="72"/>
    </row>
    <row r="121" spans="1:19" ht="12.75">
      <c r="A121" s="100"/>
      <c r="B121" s="101"/>
      <c r="C121" s="101"/>
      <c r="D121" s="101"/>
      <c r="E121" s="101"/>
      <c r="F121" s="101"/>
      <c r="G121" s="101"/>
      <c r="H121" s="101"/>
      <c r="I121" s="113"/>
      <c r="J121" s="113"/>
      <c r="K121" s="72"/>
      <c r="L121" s="72"/>
      <c r="M121" s="72"/>
      <c r="N121" s="72"/>
      <c r="O121" s="72"/>
      <c r="P121" s="72"/>
      <c r="Q121" s="72"/>
      <c r="R121" s="72"/>
      <c r="S121" s="72"/>
    </row>
    <row r="122" spans="1:19" ht="12.75">
      <c r="A122" s="100"/>
      <c r="B122" s="101"/>
      <c r="C122" s="101"/>
      <c r="D122" s="101"/>
      <c r="E122" s="101"/>
      <c r="F122" s="101"/>
      <c r="G122" s="101"/>
      <c r="H122" s="101"/>
      <c r="I122" s="113"/>
      <c r="J122" s="113"/>
      <c r="K122" s="72"/>
      <c r="L122" s="72"/>
      <c r="M122" s="72"/>
      <c r="N122" s="72"/>
      <c r="O122" s="72"/>
      <c r="P122" s="72"/>
      <c r="Q122" s="72"/>
      <c r="R122" s="72"/>
      <c r="S122" s="72"/>
    </row>
    <row r="123" spans="1:19" ht="12.75">
      <c r="A123" s="100"/>
      <c r="B123" s="101"/>
      <c r="C123" s="101"/>
      <c r="D123" s="101"/>
      <c r="E123" s="101"/>
      <c r="F123" s="101"/>
      <c r="G123" s="101"/>
      <c r="H123" s="101"/>
      <c r="I123" s="113"/>
      <c r="J123" s="113"/>
      <c r="K123" s="72"/>
      <c r="L123" s="72"/>
      <c r="M123" s="72"/>
      <c r="N123" s="72"/>
      <c r="O123" s="72"/>
      <c r="P123" s="72"/>
      <c r="Q123" s="72"/>
      <c r="R123" s="72"/>
      <c r="S123" s="72"/>
    </row>
    <row r="124" spans="1:19" ht="12.75">
      <c r="A124" s="100"/>
      <c r="B124" s="101"/>
      <c r="C124" s="101"/>
      <c r="D124" s="101"/>
      <c r="E124" s="101"/>
      <c r="F124" s="101"/>
      <c r="G124" s="101"/>
      <c r="H124" s="101"/>
      <c r="I124" s="113"/>
      <c r="J124" s="113"/>
      <c r="K124" s="72"/>
      <c r="L124" s="72"/>
      <c r="M124" s="72"/>
      <c r="N124" s="72"/>
      <c r="O124" s="72"/>
      <c r="P124" s="72"/>
      <c r="Q124" s="72"/>
      <c r="R124" s="72"/>
      <c r="S124" s="72"/>
    </row>
    <row r="125" spans="1:19" ht="12.75">
      <c r="A125" s="100"/>
      <c r="B125" s="101"/>
      <c r="C125" s="101"/>
      <c r="D125" s="101"/>
      <c r="E125" s="101"/>
      <c r="F125" s="101"/>
      <c r="G125" s="101"/>
      <c r="H125" s="101"/>
      <c r="I125" s="113"/>
      <c r="J125" s="113"/>
      <c r="K125" s="72"/>
      <c r="L125" s="72"/>
      <c r="M125" s="72"/>
      <c r="N125" s="72"/>
      <c r="O125" s="72"/>
      <c r="P125" s="72"/>
      <c r="Q125" s="72"/>
      <c r="R125" s="72"/>
      <c r="S125" s="72"/>
    </row>
    <row r="126" spans="1:19" ht="12.75">
      <c r="A126" s="100"/>
      <c r="B126" s="101"/>
      <c r="C126" s="101"/>
      <c r="D126" s="101"/>
      <c r="E126" s="101"/>
      <c r="F126" s="101"/>
      <c r="G126" s="101"/>
      <c r="H126" s="101"/>
      <c r="I126" s="113"/>
      <c r="J126" s="113"/>
      <c r="K126" s="72"/>
      <c r="L126" s="72"/>
      <c r="M126" s="72"/>
      <c r="N126" s="72"/>
      <c r="O126" s="72"/>
      <c r="P126" s="72"/>
      <c r="Q126" s="72"/>
      <c r="R126" s="72"/>
      <c r="S126" s="72"/>
    </row>
    <row r="127" spans="1:19" ht="12.75">
      <c r="A127" s="100"/>
      <c r="B127" s="101"/>
      <c r="C127" s="101"/>
      <c r="D127" s="101"/>
      <c r="E127" s="101"/>
      <c r="F127" s="101"/>
      <c r="G127" s="101"/>
      <c r="H127" s="101"/>
      <c r="I127" s="113"/>
      <c r="J127" s="113"/>
      <c r="K127" s="72"/>
      <c r="L127" s="72"/>
      <c r="M127" s="72"/>
      <c r="N127" s="72"/>
      <c r="O127" s="72"/>
      <c r="P127" s="72"/>
      <c r="Q127" s="72"/>
      <c r="R127" s="72"/>
      <c r="S127" s="72"/>
    </row>
    <row r="128" spans="1:19" ht="12.75">
      <c r="A128" s="100"/>
      <c r="B128" s="101"/>
      <c r="C128" s="101"/>
      <c r="D128" s="101"/>
      <c r="E128" s="101"/>
      <c r="F128" s="101"/>
      <c r="G128" s="101"/>
      <c r="H128" s="101"/>
      <c r="I128" s="113"/>
      <c r="J128" s="113"/>
      <c r="K128" s="72"/>
      <c r="L128" s="72"/>
      <c r="M128" s="72"/>
      <c r="N128" s="72"/>
      <c r="O128" s="72"/>
      <c r="P128" s="72"/>
      <c r="Q128" s="72"/>
      <c r="R128" s="72"/>
      <c r="S128" s="72"/>
    </row>
    <row r="129" spans="1:19" ht="12.75">
      <c r="A129" s="100"/>
      <c r="B129" s="101"/>
      <c r="C129" s="101"/>
      <c r="D129" s="101"/>
      <c r="E129" s="101"/>
      <c r="F129" s="101"/>
      <c r="G129" s="101"/>
      <c r="H129" s="101"/>
      <c r="I129" s="113"/>
      <c r="J129" s="113"/>
      <c r="K129" s="72"/>
      <c r="L129" s="72"/>
      <c r="M129" s="72"/>
      <c r="N129" s="72"/>
      <c r="O129" s="72"/>
      <c r="P129" s="72"/>
      <c r="Q129" s="72"/>
      <c r="R129" s="72"/>
      <c r="S129" s="72"/>
    </row>
    <row r="130" spans="1:19" ht="12.75">
      <c r="A130" s="100"/>
      <c r="B130" s="101"/>
      <c r="C130" s="101"/>
      <c r="D130" s="101"/>
      <c r="E130" s="101"/>
      <c r="F130" s="101"/>
      <c r="G130" s="101"/>
      <c r="H130" s="101"/>
      <c r="I130" s="113"/>
      <c r="J130" s="113"/>
      <c r="K130" s="72"/>
      <c r="L130" s="72"/>
      <c r="M130" s="72"/>
      <c r="N130" s="72"/>
      <c r="O130" s="72"/>
      <c r="P130" s="72"/>
      <c r="Q130" s="72"/>
      <c r="R130" s="72"/>
      <c r="S130" s="72"/>
    </row>
    <row r="131" spans="1:19" ht="12.75">
      <c r="A131" s="100"/>
      <c r="B131" s="101"/>
      <c r="C131" s="101"/>
      <c r="D131" s="101"/>
      <c r="E131" s="101"/>
      <c r="F131" s="101"/>
      <c r="G131" s="101"/>
      <c r="H131" s="101"/>
      <c r="I131" s="113"/>
      <c r="J131" s="113"/>
      <c r="K131" s="72"/>
      <c r="L131" s="72"/>
      <c r="M131" s="72"/>
      <c r="N131" s="72"/>
      <c r="O131" s="72"/>
      <c r="P131" s="72"/>
      <c r="Q131" s="72"/>
      <c r="R131" s="72"/>
      <c r="S131" s="72"/>
    </row>
    <row r="132" spans="1:19" ht="12.75">
      <c r="A132" s="100"/>
      <c r="B132" s="101"/>
      <c r="C132" s="101"/>
      <c r="D132" s="101"/>
      <c r="E132" s="101"/>
      <c r="F132" s="101"/>
      <c r="G132" s="101"/>
      <c r="H132" s="101"/>
      <c r="I132" s="113"/>
      <c r="J132" s="113"/>
      <c r="K132" s="72"/>
      <c r="L132" s="72"/>
      <c r="M132" s="72"/>
      <c r="N132" s="72"/>
      <c r="O132" s="72"/>
      <c r="P132" s="72"/>
      <c r="Q132" s="72"/>
      <c r="R132" s="72"/>
      <c r="S132" s="72"/>
    </row>
    <row r="133" spans="1:19" ht="12.75">
      <c r="A133" s="100"/>
      <c r="B133" s="101"/>
      <c r="C133" s="101"/>
      <c r="D133" s="101"/>
      <c r="E133" s="101"/>
      <c r="F133" s="101"/>
      <c r="G133" s="101"/>
      <c r="H133" s="101"/>
      <c r="I133" s="113"/>
      <c r="J133" s="113"/>
      <c r="K133" s="72"/>
      <c r="L133" s="72"/>
      <c r="M133" s="72"/>
      <c r="N133" s="72"/>
      <c r="O133" s="72"/>
      <c r="P133" s="72"/>
      <c r="Q133" s="72"/>
      <c r="R133" s="72"/>
      <c r="S133" s="72"/>
    </row>
    <row r="134" spans="1:19" ht="12.75">
      <c r="A134" s="100"/>
      <c r="B134" s="101"/>
      <c r="C134" s="101"/>
      <c r="D134" s="101"/>
      <c r="E134" s="101"/>
      <c r="F134" s="101"/>
      <c r="G134" s="101"/>
      <c r="H134" s="101"/>
      <c r="I134" s="113"/>
      <c r="J134" s="113"/>
      <c r="K134" s="72"/>
      <c r="L134" s="72"/>
      <c r="M134" s="72"/>
      <c r="N134" s="72"/>
      <c r="O134" s="72"/>
      <c r="P134" s="72"/>
      <c r="Q134" s="72"/>
      <c r="R134" s="72"/>
      <c r="S134" s="72"/>
    </row>
    <row r="135" spans="1:19" ht="12.75">
      <c r="A135" s="100"/>
      <c r="B135" s="101"/>
      <c r="C135" s="101"/>
      <c r="D135" s="101"/>
      <c r="E135" s="101"/>
      <c r="F135" s="101"/>
      <c r="G135" s="101"/>
      <c r="H135" s="101"/>
      <c r="I135" s="113"/>
      <c r="J135" s="113"/>
      <c r="K135" s="72"/>
      <c r="L135" s="72"/>
      <c r="M135" s="72"/>
      <c r="N135" s="72"/>
      <c r="O135" s="72"/>
      <c r="P135" s="72"/>
      <c r="Q135" s="72"/>
      <c r="R135" s="72"/>
      <c r="S135" s="72"/>
    </row>
    <row r="136" spans="1:19" ht="12.75">
      <c r="A136" s="100"/>
      <c r="B136" s="101"/>
      <c r="C136" s="101"/>
      <c r="D136" s="101"/>
      <c r="E136" s="101"/>
      <c r="F136" s="101"/>
      <c r="G136" s="101"/>
      <c r="H136" s="101"/>
      <c r="I136" s="113"/>
      <c r="J136" s="113"/>
      <c r="K136" s="72"/>
      <c r="L136" s="72"/>
      <c r="M136" s="72"/>
      <c r="N136" s="72"/>
      <c r="O136" s="72"/>
      <c r="P136" s="72"/>
      <c r="Q136" s="72"/>
      <c r="R136" s="72"/>
      <c r="S136" s="72"/>
    </row>
    <row r="137" spans="1:19" ht="12.75">
      <c r="A137" s="100"/>
      <c r="B137" s="101"/>
      <c r="C137" s="101"/>
      <c r="D137" s="101"/>
      <c r="E137" s="101"/>
      <c r="F137" s="101"/>
      <c r="G137" s="101"/>
      <c r="H137" s="101"/>
      <c r="I137" s="113"/>
      <c r="J137" s="113"/>
      <c r="K137" s="72"/>
      <c r="L137" s="72"/>
      <c r="M137" s="72"/>
      <c r="N137" s="72"/>
      <c r="O137" s="72"/>
      <c r="P137" s="72"/>
      <c r="Q137" s="72"/>
      <c r="R137" s="72"/>
      <c r="S137" s="72"/>
    </row>
    <row r="138" spans="1:19" ht="12.75">
      <c r="A138" s="100"/>
      <c r="B138" s="101"/>
      <c r="C138" s="101"/>
      <c r="D138" s="101"/>
      <c r="E138" s="101"/>
      <c r="F138" s="101"/>
      <c r="G138" s="101"/>
      <c r="H138" s="101"/>
      <c r="I138" s="113"/>
      <c r="J138" s="113"/>
      <c r="K138" s="72"/>
      <c r="L138" s="72"/>
      <c r="M138" s="72"/>
      <c r="N138" s="72"/>
      <c r="O138" s="72"/>
      <c r="P138" s="72"/>
      <c r="Q138" s="72"/>
      <c r="R138" s="72"/>
      <c r="S138" s="72"/>
    </row>
    <row r="139" spans="1:19" ht="12.75">
      <c r="A139" s="100"/>
      <c r="B139" s="101"/>
      <c r="C139" s="101"/>
      <c r="D139" s="101"/>
      <c r="E139" s="101"/>
      <c r="F139" s="101"/>
      <c r="G139" s="101"/>
      <c r="H139" s="101"/>
      <c r="I139" s="113"/>
      <c r="J139" s="113"/>
      <c r="K139" s="72"/>
      <c r="L139" s="72"/>
      <c r="M139" s="72"/>
      <c r="N139" s="72"/>
      <c r="O139" s="72"/>
      <c r="P139" s="72"/>
      <c r="Q139" s="72"/>
      <c r="R139" s="72"/>
      <c r="S139" s="72"/>
    </row>
    <row r="140" spans="1:19" ht="12.75">
      <c r="A140" s="100"/>
      <c r="B140" s="101"/>
      <c r="C140" s="101"/>
      <c r="D140" s="101"/>
      <c r="E140" s="101"/>
      <c r="F140" s="101"/>
      <c r="G140" s="101"/>
      <c r="H140" s="101"/>
      <c r="I140" s="113"/>
      <c r="J140" s="113"/>
      <c r="K140" s="72"/>
      <c r="L140" s="72"/>
      <c r="M140" s="72"/>
      <c r="N140" s="72"/>
      <c r="O140" s="72"/>
      <c r="P140" s="72"/>
      <c r="Q140" s="72"/>
      <c r="R140" s="72"/>
      <c r="S140" s="72"/>
    </row>
    <row r="141" spans="1:19" ht="12.75">
      <c r="A141" s="100"/>
      <c r="B141" s="101"/>
      <c r="C141" s="101"/>
      <c r="D141" s="101"/>
      <c r="E141" s="101"/>
      <c r="F141" s="101"/>
      <c r="G141" s="101"/>
      <c r="H141" s="101"/>
      <c r="I141" s="113"/>
      <c r="J141" s="113"/>
      <c r="K141" s="72"/>
      <c r="L141" s="72"/>
      <c r="M141" s="72"/>
      <c r="N141" s="72"/>
      <c r="O141" s="72"/>
      <c r="P141" s="72"/>
      <c r="Q141" s="72"/>
      <c r="R141" s="72"/>
      <c r="S141" s="72"/>
    </row>
    <row r="142" spans="1:19" ht="12.75">
      <c r="A142" s="100"/>
      <c r="B142" s="101"/>
      <c r="C142" s="101"/>
      <c r="D142" s="101"/>
      <c r="E142" s="101"/>
      <c r="F142" s="101"/>
      <c r="G142" s="101"/>
      <c r="H142" s="101"/>
      <c r="I142" s="113"/>
      <c r="J142" s="113"/>
      <c r="K142" s="72"/>
      <c r="L142" s="72"/>
      <c r="M142" s="72"/>
      <c r="N142" s="72"/>
      <c r="O142" s="72"/>
      <c r="P142" s="72"/>
      <c r="Q142" s="72"/>
      <c r="R142" s="72"/>
      <c r="S142" s="72"/>
    </row>
    <row r="143" spans="1:19" ht="12.75">
      <c r="A143" s="100"/>
      <c r="B143" s="101"/>
      <c r="C143" s="101"/>
      <c r="D143" s="101"/>
      <c r="E143" s="101"/>
      <c r="F143" s="101"/>
      <c r="G143" s="101"/>
      <c r="H143" s="101"/>
      <c r="I143" s="113"/>
      <c r="J143" s="113"/>
      <c r="K143" s="72"/>
      <c r="L143" s="72"/>
      <c r="M143" s="72"/>
      <c r="N143" s="72"/>
      <c r="O143" s="72"/>
      <c r="P143" s="72"/>
      <c r="Q143" s="72"/>
      <c r="R143" s="72"/>
      <c r="S143" s="72"/>
    </row>
    <row r="144" spans="1:19" ht="12.75">
      <c r="A144" s="100"/>
      <c r="B144" s="101"/>
      <c r="C144" s="101"/>
      <c r="D144" s="101"/>
      <c r="E144" s="101"/>
      <c r="F144" s="101"/>
      <c r="G144" s="101"/>
      <c r="H144" s="101"/>
      <c r="I144" s="113"/>
      <c r="J144" s="113"/>
      <c r="K144" s="72"/>
      <c r="L144" s="72"/>
      <c r="M144" s="72"/>
      <c r="N144" s="72"/>
      <c r="O144" s="72"/>
      <c r="P144" s="72"/>
      <c r="Q144" s="72"/>
      <c r="R144" s="72"/>
      <c r="S144" s="72"/>
    </row>
    <row r="145" spans="1:19" ht="12.75">
      <c r="A145" s="100"/>
      <c r="B145" s="101"/>
      <c r="C145" s="101"/>
      <c r="D145" s="101"/>
      <c r="E145" s="101"/>
      <c r="F145" s="101"/>
      <c r="G145" s="101"/>
      <c r="H145" s="101"/>
      <c r="I145" s="113"/>
      <c r="J145" s="113"/>
      <c r="K145" s="72"/>
      <c r="L145" s="72"/>
      <c r="M145" s="72"/>
      <c r="N145" s="72"/>
      <c r="O145" s="72"/>
      <c r="P145" s="72"/>
      <c r="Q145" s="72"/>
      <c r="R145" s="72"/>
      <c r="S145" s="72"/>
    </row>
    <row r="146" spans="1:19" ht="12.75">
      <c r="A146" s="100"/>
      <c r="B146" s="101"/>
      <c r="C146" s="101"/>
      <c r="D146" s="101"/>
      <c r="E146" s="101"/>
      <c r="F146" s="101"/>
      <c r="G146" s="101"/>
      <c r="H146" s="101"/>
      <c r="I146" s="113"/>
      <c r="J146" s="113"/>
      <c r="K146" s="72"/>
      <c r="L146" s="72"/>
      <c r="M146" s="72"/>
      <c r="N146" s="72"/>
      <c r="O146" s="72"/>
      <c r="P146" s="72"/>
      <c r="Q146" s="72"/>
      <c r="R146" s="72"/>
      <c r="S146" s="72"/>
    </row>
    <row r="147" spans="1:19" ht="12.75">
      <c r="A147" s="100"/>
      <c r="B147" s="101"/>
      <c r="C147" s="101"/>
      <c r="D147" s="101"/>
      <c r="E147" s="101"/>
      <c r="F147" s="101"/>
      <c r="G147" s="101"/>
      <c r="H147" s="101"/>
      <c r="I147" s="113"/>
      <c r="J147" s="113"/>
      <c r="K147" s="72"/>
      <c r="L147" s="72"/>
      <c r="M147" s="72"/>
      <c r="N147" s="72"/>
      <c r="O147" s="72"/>
      <c r="P147" s="72"/>
      <c r="Q147" s="72"/>
      <c r="R147" s="72"/>
      <c r="S147" s="72"/>
    </row>
    <row r="148" spans="1:19" ht="12.75">
      <c r="A148" s="100"/>
      <c r="B148" s="101"/>
      <c r="C148" s="101"/>
      <c r="D148" s="101"/>
      <c r="E148" s="101"/>
      <c r="F148" s="101"/>
      <c r="G148" s="101"/>
      <c r="H148" s="101"/>
      <c r="I148" s="113"/>
      <c r="J148" s="113"/>
      <c r="K148" s="72"/>
      <c r="L148" s="72"/>
      <c r="M148" s="72"/>
      <c r="N148" s="72"/>
      <c r="O148" s="72"/>
      <c r="P148" s="72"/>
      <c r="Q148" s="72"/>
      <c r="R148" s="72"/>
      <c r="S148" s="72"/>
    </row>
    <row r="149" spans="1:19" ht="12.75">
      <c r="A149" s="100"/>
      <c r="B149" s="101"/>
      <c r="C149" s="101"/>
      <c r="D149" s="101"/>
      <c r="E149" s="101"/>
      <c r="F149" s="101"/>
      <c r="G149" s="101"/>
      <c r="H149" s="101"/>
      <c r="I149" s="113"/>
      <c r="J149" s="113"/>
      <c r="K149" s="72"/>
      <c r="L149" s="72"/>
      <c r="M149" s="72"/>
      <c r="N149" s="72"/>
      <c r="O149" s="72"/>
      <c r="P149" s="72"/>
      <c r="Q149" s="72"/>
      <c r="R149" s="72"/>
      <c r="S149" s="72"/>
    </row>
    <row r="150" spans="1:19" ht="12.75">
      <c r="A150" s="100"/>
      <c r="B150" s="101"/>
      <c r="C150" s="101"/>
      <c r="D150" s="101"/>
      <c r="E150" s="101"/>
      <c r="F150" s="101"/>
      <c r="G150" s="101"/>
      <c r="H150" s="101"/>
      <c r="I150" s="113"/>
      <c r="J150" s="113"/>
      <c r="K150" s="72"/>
      <c r="L150" s="72"/>
      <c r="M150" s="72"/>
      <c r="N150" s="72"/>
      <c r="O150" s="72"/>
      <c r="P150" s="72"/>
      <c r="Q150" s="72"/>
      <c r="R150" s="72"/>
      <c r="S150" s="72"/>
    </row>
    <row r="151" spans="1:19" ht="12.75">
      <c r="A151" s="100"/>
      <c r="B151" s="101"/>
      <c r="C151" s="101"/>
      <c r="D151" s="101"/>
      <c r="E151" s="101"/>
      <c r="F151" s="101"/>
      <c r="G151" s="101"/>
      <c r="H151" s="101"/>
      <c r="I151" s="113"/>
      <c r="J151" s="113"/>
      <c r="K151" s="72"/>
      <c r="L151" s="72"/>
      <c r="M151" s="72"/>
      <c r="N151" s="72"/>
      <c r="O151" s="72"/>
      <c r="P151" s="72"/>
      <c r="Q151" s="72"/>
      <c r="R151" s="72"/>
      <c r="S151" s="72"/>
    </row>
    <row r="152" spans="1:19" ht="12.75">
      <c r="A152" s="100"/>
      <c r="B152" s="101"/>
      <c r="C152" s="101"/>
      <c r="D152" s="101"/>
      <c r="E152" s="101"/>
      <c r="F152" s="101"/>
      <c r="G152" s="101"/>
      <c r="H152" s="101"/>
      <c r="I152" s="113"/>
      <c r="J152" s="113"/>
      <c r="K152" s="72"/>
      <c r="L152" s="72"/>
      <c r="M152" s="72"/>
      <c r="N152" s="72"/>
      <c r="O152" s="72"/>
      <c r="P152" s="72"/>
      <c r="Q152" s="72"/>
      <c r="R152" s="72"/>
      <c r="S152" s="72"/>
    </row>
    <row r="153" spans="1:19" ht="12.75">
      <c r="A153" s="100"/>
      <c r="B153" s="101"/>
      <c r="C153" s="101"/>
      <c r="D153" s="101"/>
      <c r="E153" s="101"/>
      <c r="F153" s="101"/>
      <c r="G153" s="101"/>
      <c r="H153" s="101"/>
      <c r="I153" s="113"/>
      <c r="J153" s="113"/>
      <c r="K153" s="72"/>
      <c r="L153" s="72"/>
      <c r="M153" s="72"/>
      <c r="N153" s="72"/>
      <c r="O153" s="72"/>
      <c r="P153" s="72"/>
      <c r="Q153" s="72"/>
      <c r="R153" s="72"/>
      <c r="S153" s="72"/>
    </row>
    <row r="154" spans="1:19" ht="12.75">
      <c r="A154" s="100"/>
      <c r="B154" s="101"/>
      <c r="C154" s="101"/>
      <c r="D154" s="101"/>
      <c r="E154" s="101"/>
      <c r="F154" s="101"/>
      <c r="G154" s="101"/>
      <c r="H154" s="101"/>
      <c r="I154" s="113"/>
      <c r="J154" s="113"/>
      <c r="K154" s="72"/>
      <c r="L154" s="72"/>
      <c r="M154" s="72"/>
      <c r="N154" s="72"/>
      <c r="O154" s="72"/>
      <c r="P154" s="72"/>
      <c r="Q154" s="72"/>
      <c r="R154" s="72"/>
      <c r="S154" s="72"/>
    </row>
    <row r="155" spans="1:19" ht="12.75">
      <c r="A155" s="100"/>
      <c r="B155" s="101"/>
      <c r="C155" s="101"/>
      <c r="D155" s="101"/>
      <c r="E155" s="101"/>
      <c r="F155" s="101"/>
      <c r="G155" s="101"/>
      <c r="H155" s="101"/>
      <c r="I155" s="113"/>
      <c r="J155" s="113"/>
      <c r="K155" s="72"/>
      <c r="L155" s="72"/>
      <c r="M155" s="72"/>
      <c r="N155" s="72"/>
      <c r="O155" s="72"/>
      <c r="P155" s="72"/>
      <c r="Q155" s="72"/>
      <c r="R155" s="72"/>
      <c r="S155" s="72"/>
    </row>
    <row r="156" spans="1:19" ht="12.75">
      <c r="A156" s="100"/>
      <c r="B156" s="101"/>
      <c r="C156" s="101"/>
      <c r="D156" s="101"/>
      <c r="E156" s="101"/>
      <c r="F156" s="101"/>
      <c r="G156" s="101"/>
      <c r="H156" s="101"/>
      <c r="I156" s="113"/>
      <c r="J156" s="113"/>
      <c r="K156" s="72"/>
      <c r="L156" s="72"/>
      <c r="M156" s="72"/>
      <c r="N156" s="72"/>
      <c r="O156" s="72"/>
      <c r="P156" s="72"/>
      <c r="Q156" s="72"/>
      <c r="R156" s="72"/>
      <c r="S156" s="72"/>
    </row>
    <row r="157" spans="1:19" ht="12.75">
      <c r="A157" s="100"/>
      <c r="B157" s="101"/>
      <c r="C157" s="101"/>
      <c r="D157" s="101"/>
      <c r="E157" s="101"/>
      <c r="F157" s="101"/>
      <c r="G157" s="101"/>
      <c r="H157" s="101"/>
      <c r="I157" s="113"/>
      <c r="J157" s="113"/>
      <c r="K157" s="72"/>
      <c r="L157" s="72"/>
      <c r="M157" s="72"/>
      <c r="N157" s="72"/>
      <c r="O157" s="72"/>
      <c r="P157" s="72"/>
      <c r="Q157" s="72"/>
      <c r="R157" s="72"/>
      <c r="S157" s="72"/>
    </row>
    <row r="158" spans="1:19" ht="12.75">
      <c r="A158" s="100"/>
      <c r="B158" s="101"/>
      <c r="C158" s="101"/>
      <c r="D158" s="101"/>
      <c r="E158" s="101"/>
      <c r="F158" s="101"/>
      <c r="G158" s="101"/>
      <c r="H158" s="101"/>
      <c r="I158" s="113"/>
      <c r="J158" s="113"/>
      <c r="K158" s="72"/>
      <c r="L158" s="72"/>
      <c r="M158" s="72"/>
      <c r="N158" s="72"/>
      <c r="O158" s="72"/>
      <c r="P158" s="72"/>
      <c r="Q158" s="72"/>
      <c r="R158" s="72"/>
      <c r="S158" s="72"/>
    </row>
    <row r="159" spans="1:19" ht="12.75">
      <c r="A159" s="100"/>
      <c r="B159" s="101"/>
      <c r="C159" s="101"/>
      <c r="D159" s="101"/>
      <c r="E159" s="101"/>
      <c r="F159" s="101"/>
      <c r="G159" s="101"/>
      <c r="H159" s="101"/>
      <c r="I159" s="113"/>
      <c r="J159" s="113"/>
      <c r="K159" s="72"/>
      <c r="L159" s="72"/>
      <c r="M159" s="72"/>
      <c r="N159" s="72"/>
      <c r="O159" s="72"/>
      <c r="P159" s="72"/>
      <c r="Q159" s="72"/>
      <c r="R159" s="72"/>
      <c r="S159" s="72"/>
    </row>
    <row r="160" spans="1:19" ht="12.75">
      <c r="A160" s="100"/>
      <c r="B160" s="101"/>
      <c r="C160" s="101"/>
      <c r="D160" s="101"/>
      <c r="E160" s="101"/>
      <c r="F160" s="101"/>
      <c r="G160" s="101"/>
      <c r="H160" s="101"/>
      <c r="I160" s="113"/>
      <c r="J160" s="113"/>
      <c r="K160" s="72"/>
      <c r="L160" s="72"/>
      <c r="M160" s="72"/>
      <c r="N160" s="72"/>
      <c r="O160" s="72"/>
      <c r="P160" s="72"/>
      <c r="Q160" s="72"/>
      <c r="R160" s="72"/>
      <c r="S160" s="72"/>
    </row>
    <row r="161" spans="1:19" ht="12.75">
      <c r="A161" s="100"/>
      <c r="B161" s="101"/>
      <c r="C161" s="101"/>
      <c r="D161" s="101"/>
      <c r="E161" s="101"/>
      <c r="F161" s="101"/>
      <c r="G161" s="101"/>
      <c r="H161" s="101"/>
      <c r="I161" s="113"/>
      <c r="J161" s="113"/>
      <c r="K161" s="72"/>
      <c r="L161" s="72"/>
      <c r="M161" s="72"/>
      <c r="N161" s="72"/>
      <c r="O161" s="72"/>
      <c r="P161" s="72"/>
      <c r="Q161" s="72"/>
      <c r="R161" s="72"/>
      <c r="S161" s="72"/>
    </row>
    <row r="162" spans="1:19" ht="12.75">
      <c r="A162" s="100"/>
      <c r="B162" s="101"/>
      <c r="C162" s="101"/>
      <c r="D162" s="101"/>
      <c r="E162" s="101"/>
      <c r="F162" s="101"/>
      <c r="G162" s="101"/>
      <c r="H162" s="101"/>
      <c r="I162" s="113"/>
      <c r="J162" s="113"/>
      <c r="K162" s="72"/>
      <c r="L162" s="72"/>
      <c r="M162" s="72"/>
      <c r="N162" s="72"/>
      <c r="O162" s="72"/>
      <c r="P162" s="72"/>
      <c r="Q162" s="72"/>
      <c r="R162" s="72"/>
      <c r="S162" s="72"/>
    </row>
    <row r="163" spans="1:19" ht="12.75">
      <c r="A163" s="100"/>
      <c r="B163" s="101"/>
      <c r="C163" s="101"/>
      <c r="D163" s="101"/>
      <c r="E163" s="101"/>
      <c r="F163" s="101"/>
      <c r="G163" s="101"/>
      <c r="H163" s="101"/>
      <c r="I163" s="113"/>
      <c r="J163" s="113"/>
      <c r="K163" s="72"/>
      <c r="L163" s="72"/>
      <c r="M163" s="72"/>
      <c r="N163" s="72"/>
      <c r="O163" s="72"/>
      <c r="P163" s="72"/>
      <c r="Q163" s="72"/>
      <c r="R163" s="72"/>
      <c r="S163" s="72"/>
    </row>
    <row r="164" spans="1:19" ht="12.75">
      <c r="A164" s="100"/>
      <c r="B164" s="101"/>
      <c r="C164" s="101"/>
      <c r="D164" s="101"/>
      <c r="E164" s="101"/>
      <c r="F164" s="101"/>
      <c r="G164" s="101"/>
      <c r="H164" s="101"/>
      <c r="I164" s="113"/>
      <c r="J164" s="113"/>
      <c r="K164" s="72"/>
      <c r="L164" s="72"/>
      <c r="M164" s="72"/>
      <c r="N164" s="72"/>
      <c r="O164" s="72"/>
      <c r="P164" s="72"/>
      <c r="Q164" s="72"/>
      <c r="R164" s="72"/>
      <c r="S164" s="72"/>
    </row>
    <row r="165" spans="1:19" ht="12.75">
      <c r="A165" s="100"/>
      <c r="B165" s="101"/>
      <c r="C165" s="101"/>
      <c r="D165" s="101"/>
      <c r="E165" s="101"/>
      <c r="F165" s="101"/>
      <c r="G165" s="101"/>
      <c r="H165" s="101"/>
      <c r="I165" s="113"/>
      <c r="J165" s="113"/>
      <c r="K165" s="72"/>
      <c r="L165" s="72"/>
      <c r="M165" s="72"/>
      <c r="N165" s="72"/>
      <c r="O165" s="72"/>
      <c r="P165" s="72"/>
      <c r="Q165" s="72"/>
      <c r="R165" s="72"/>
      <c r="S165" s="72"/>
    </row>
    <row r="166" spans="1:19" ht="12.75">
      <c r="A166" s="100"/>
      <c r="B166" s="101"/>
      <c r="C166" s="101"/>
      <c r="D166" s="101"/>
      <c r="E166" s="101"/>
      <c r="F166" s="101"/>
      <c r="G166" s="101"/>
      <c r="H166" s="101"/>
      <c r="I166" s="113"/>
      <c r="J166" s="113"/>
      <c r="K166" s="72"/>
      <c r="L166" s="72"/>
      <c r="M166" s="72"/>
      <c r="N166" s="72"/>
      <c r="O166" s="72"/>
      <c r="P166" s="72"/>
      <c r="Q166" s="72"/>
      <c r="R166" s="72"/>
      <c r="S166" s="72"/>
    </row>
    <row r="167" spans="1:19" ht="12.75">
      <c r="A167" s="100"/>
      <c r="B167" s="101"/>
      <c r="C167" s="101"/>
      <c r="D167" s="101"/>
      <c r="E167" s="101"/>
      <c r="F167" s="101"/>
      <c r="G167" s="101"/>
      <c r="H167" s="101"/>
      <c r="I167" s="113"/>
      <c r="J167" s="113"/>
      <c r="K167" s="72"/>
      <c r="L167" s="72"/>
      <c r="M167" s="72"/>
      <c r="N167" s="72"/>
      <c r="O167" s="72"/>
      <c r="P167" s="72"/>
      <c r="Q167" s="72"/>
      <c r="R167" s="72"/>
      <c r="S167" s="72"/>
    </row>
    <row r="168" spans="1:19" ht="12.75">
      <c r="A168" s="100"/>
      <c r="B168" s="101"/>
      <c r="C168" s="101"/>
      <c r="D168" s="101"/>
      <c r="E168" s="101"/>
      <c r="F168" s="101"/>
      <c r="G168" s="101"/>
      <c r="H168" s="101"/>
      <c r="I168" s="113"/>
      <c r="J168" s="113"/>
      <c r="K168" s="72"/>
      <c r="L168" s="72"/>
      <c r="M168" s="72"/>
      <c r="N168" s="72"/>
      <c r="O168" s="72"/>
      <c r="P168" s="72"/>
      <c r="Q168" s="72"/>
      <c r="R168" s="72"/>
      <c r="S168" s="72"/>
    </row>
    <row r="169" spans="1:19" ht="12.75">
      <c r="A169" s="100"/>
      <c r="B169" s="101"/>
      <c r="C169" s="101"/>
      <c r="D169" s="101"/>
      <c r="E169" s="101"/>
      <c r="F169" s="101"/>
      <c r="G169" s="101"/>
      <c r="H169" s="101"/>
      <c r="I169" s="113"/>
      <c r="J169" s="113"/>
      <c r="K169" s="72"/>
      <c r="L169" s="72"/>
      <c r="M169" s="72"/>
      <c r="N169" s="72"/>
      <c r="O169" s="72"/>
      <c r="P169" s="72"/>
      <c r="Q169" s="72"/>
      <c r="R169" s="72"/>
      <c r="S169" s="72"/>
    </row>
    <row r="170" spans="1:19" ht="12.75">
      <c r="A170" s="100"/>
      <c r="B170" s="101"/>
      <c r="C170" s="101"/>
      <c r="D170" s="101"/>
      <c r="E170" s="101"/>
      <c r="F170" s="101"/>
      <c r="G170" s="101"/>
      <c r="H170" s="101"/>
      <c r="I170" s="113"/>
      <c r="J170" s="113"/>
      <c r="K170" s="72"/>
      <c r="L170" s="72"/>
      <c r="M170" s="72"/>
      <c r="N170" s="72"/>
      <c r="O170" s="72"/>
      <c r="P170" s="72"/>
      <c r="Q170" s="72"/>
      <c r="R170" s="72"/>
      <c r="S170" s="72"/>
    </row>
    <row r="171" spans="1:19" ht="12.75">
      <c r="A171" s="100"/>
      <c r="B171" s="101"/>
      <c r="C171" s="101"/>
      <c r="D171" s="101"/>
      <c r="E171" s="101"/>
      <c r="F171" s="101"/>
      <c r="G171" s="101"/>
      <c r="H171" s="101"/>
      <c r="I171" s="113"/>
      <c r="J171" s="113"/>
      <c r="K171" s="72"/>
      <c r="L171" s="72"/>
      <c r="M171" s="72"/>
      <c r="N171" s="72"/>
      <c r="O171" s="72"/>
      <c r="P171" s="72"/>
      <c r="Q171" s="72"/>
      <c r="R171" s="72"/>
      <c r="S171" s="72"/>
    </row>
    <row r="172" spans="1:19" ht="12.75">
      <c r="A172" s="100"/>
      <c r="B172" s="101"/>
      <c r="C172" s="101"/>
      <c r="D172" s="101"/>
      <c r="E172" s="101"/>
      <c r="F172" s="101"/>
      <c r="G172" s="101"/>
      <c r="H172" s="101"/>
      <c r="I172" s="113"/>
      <c r="J172" s="113"/>
      <c r="K172" s="72"/>
      <c r="L172" s="72"/>
      <c r="M172" s="72"/>
      <c r="N172" s="72"/>
      <c r="O172" s="72"/>
      <c r="P172" s="72"/>
      <c r="Q172" s="72"/>
      <c r="R172" s="72"/>
      <c r="S172" s="72"/>
    </row>
    <row r="173" spans="1:19" ht="12.75">
      <c r="A173" s="100"/>
      <c r="B173" s="101"/>
      <c r="C173" s="101"/>
      <c r="D173" s="101"/>
      <c r="E173" s="101"/>
      <c r="F173" s="101"/>
      <c r="G173" s="101"/>
      <c r="H173" s="101"/>
      <c r="I173" s="113"/>
      <c r="J173" s="113"/>
      <c r="K173" s="72"/>
      <c r="L173" s="72"/>
      <c r="M173" s="72"/>
      <c r="N173" s="72"/>
      <c r="O173" s="72"/>
      <c r="P173" s="72"/>
      <c r="Q173" s="72"/>
      <c r="R173" s="72"/>
      <c r="S173" s="72"/>
    </row>
    <row r="174" spans="1:19" ht="12.75">
      <c r="A174" s="100"/>
      <c r="B174" s="101"/>
      <c r="C174" s="101"/>
      <c r="D174" s="101"/>
      <c r="E174" s="101"/>
      <c r="F174" s="101"/>
      <c r="G174" s="101"/>
      <c r="H174" s="101"/>
      <c r="I174" s="113"/>
      <c r="J174" s="113"/>
      <c r="K174" s="72"/>
      <c r="L174" s="72"/>
      <c r="M174" s="72"/>
      <c r="N174" s="72"/>
      <c r="O174" s="72"/>
      <c r="P174" s="72"/>
      <c r="Q174" s="72"/>
      <c r="R174" s="72"/>
      <c r="S174" s="72"/>
    </row>
    <row r="175" spans="1:19" ht="12.75">
      <c r="A175" s="100"/>
      <c r="B175" s="101"/>
      <c r="C175" s="101"/>
      <c r="D175" s="101"/>
      <c r="E175" s="101"/>
      <c r="F175" s="101"/>
      <c r="G175" s="101"/>
      <c r="H175" s="101"/>
      <c r="I175" s="113"/>
      <c r="J175" s="113"/>
      <c r="K175" s="72"/>
      <c r="L175" s="72"/>
      <c r="M175" s="72"/>
      <c r="N175" s="72"/>
      <c r="O175" s="72"/>
      <c r="P175" s="72"/>
      <c r="Q175" s="72"/>
      <c r="R175" s="72"/>
      <c r="S175" s="72"/>
    </row>
    <row r="176" spans="1:19" ht="12.75">
      <c r="A176" s="100"/>
      <c r="B176" s="101"/>
      <c r="C176" s="101"/>
      <c r="D176" s="101"/>
      <c r="E176" s="101"/>
      <c r="F176" s="101"/>
      <c r="G176" s="101"/>
      <c r="H176" s="101"/>
      <c r="I176" s="113"/>
      <c r="J176" s="113"/>
      <c r="K176" s="72"/>
      <c r="L176" s="72"/>
      <c r="M176" s="72"/>
      <c r="N176" s="72"/>
      <c r="O176" s="72"/>
      <c r="P176" s="72"/>
      <c r="Q176" s="72"/>
      <c r="R176" s="72"/>
      <c r="S176" s="72"/>
    </row>
    <row r="177" spans="1:19" ht="12.75">
      <c r="A177" s="100"/>
      <c r="B177" s="101"/>
      <c r="C177" s="101"/>
      <c r="D177" s="101"/>
      <c r="E177" s="101"/>
      <c r="F177" s="101"/>
      <c r="G177" s="101"/>
      <c r="H177" s="101"/>
      <c r="I177" s="113"/>
      <c r="J177" s="113"/>
      <c r="K177" s="72"/>
      <c r="L177" s="72"/>
      <c r="M177" s="72"/>
      <c r="N177" s="72"/>
      <c r="O177" s="72"/>
      <c r="P177" s="72"/>
      <c r="Q177" s="72"/>
      <c r="R177" s="72"/>
      <c r="S177" s="72"/>
    </row>
    <row r="178" spans="1:19" ht="12.75">
      <c r="A178" s="100"/>
      <c r="B178" s="101"/>
      <c r="C178" s="101"/>
      <c r="D178" s="101"/>
      <c r="E178" s="101"/>
      <c r="F178" s="101"/>
      <c r="G178" s="101"/>
      <c r="H178" s="101"/>
      <c r="I178" s="113"/>
      <c r="J178" s="113"/>
      <c r="K178" s="72"/>
      <c r="L178" s="72"/>
      <c r="M178" s="72"/>
      <c r="N178" s="72"/>
      <c r="O178" s="72"/>
      <c r="P178" s="72"/>
      <c r="Q178" s="72"/>
      <c r="R178" s="72"/>
      <c r="S178" s="72"/>
    </row>
    <row r="179" spans="1:19" ht="12.75">
      <c r="A179" s="100"/>
      <c r="B179" s="101"/>
      <c r="C179" s="101"/>
      <c r="D179" s="101"/>
      <c r="E179" s="101"/>
      <c r="F179" s="101"/>
      <c r="G179" s="101"/>
      <c r="H179" s="101"/>
      <c r="I179" s="113"/>
      <c r="J179" s="113"/>
      <c r="K179" s="72"/>
      <c r="L179" s="72"/>
      <c r="M179" s="72"/>
      <c r="N179" s="72"/>
      <c r="O179" s="72"/>
      <c r="P179" s="72"/>
      <c r="Q179" s="72"/>
      <c r="R179" s="72"/>
      <c r="S179" s="72"/>
    </row>
    <row r="180" spans="1:19" ht="12.75">
      <c r="A180" s="100"/>
      <c r="B180" s="101"/>
      <c r="C180" s="101"/>
      <c r="D180" s="101"/>
      <c r="E180" s="101"/>
      <c r="F180" s="101"/>
      <c r="G180" s="101"/>
      <c r="H180" s="101"/>
      <c r="I180" s="113"/>
      <c r="J180" s="113"/>
      <c r="K180" s="72"/>
      <c r="L180" s="72"/>
      <c r="M180" s="72"/>
      <c r="N180" s="72"/>
      <c r="O180" s="72"/>
      <c r="P180" s="72"/>
      <c r="Q180" s="72"/>
      <c r="R180" s="72"/>
      <c r="S180" s="72"/>
    </row>
    <row r="181" spans="1:19" ht="12.75">
      <c r="A181" s="100"/>
      <c r="B181" s="101"/>
      <c r="C181" s="101"/>
      <c r="D181" s="101"/>
      <c r="E181" s="101"/>
      <c r="F181" s="101"/>
      <c r="G181" s="101"/>
      <c r="H181" s="101"/>
      <c r="I181" s="113"/>
      <c r="J181" s="113"/>
      <c r="K181" s="72"/>
      <c r="L181" s="72"/>
      <c r="M181" s="72"/>
      <c r="N181" s="72"/>
      <c r="O181" s="72"/>
      <c r="P181" s="72"/>
      <c r="Q181" s="72"/>
      <c r="R181" s="72"/>
      <c r="S181" s="72"/>
    </row>
    <row r="182" spans="1:19" ht="12.75">
      <c r="A182" s="100"/>
      <c r="B182" s="101"/>
      <c r="C182" s="101"/>
      <c r="D182" s="101"/>
      <c r="E182" s="101"/>
      <c r="F182" s="101"/>
      <c r="G182" s="101"/>
      <c r="H182" s="101"/>
      <c r="I182" s="113"/>
      <c r="J182" s="113"/>
      <c r="K182" s="72"/>
      <c r="L182" s="72"/>
      <c r="M182" s="72"/>
      <c r="N182" s="72"/>
      <c r="O182" s="72"/>
      <c r="P182" s="72"/>
      <c r="Q182" s="72"/>
      <c r="R182" s="72"/>
      <c r="S182" s="72"/>
    </row>
    <row r="183" spans="1:19" ht="12.75">
      <c r="A183" s="100"/>
      <c r="B183" s="101"/>
      <c r="C183" s="101"/>
      <c r="D183" s="101"/>
      <c r="E183" s="101"/>
      <c r="F183" s="101"/>
      <c r="G183" s="101"/>
      <c r="H183" s="101"/>
      <c r="I183" s="113"/>
      <c r="J183" s="113"/>
      <c r="K183" s="72"/>
      <c r="L183" s="72"/>
      <c r="M183" s="72"/>
      <c r="N183" s="72"/>
      <c r="O183" s="72"/>
      <c r="P183" s="72"/>
      <c r="Q183" s="72"/>
      <c r="R183" s="72"/>
      <c r="S183" s="72"/>
    </row>
    <row r="184" spans="1:19" ht="12.75">
      <c r="A184" s="100"/>
      <c r="B184" s="101"/>
      <c r="C184" s="101"/>
      <c r="D184" s="101"/>
      <c r="E184" s="101"/>
      <c r="F184" s="101"/>
      <c r="G184" s="101"/>
      <c r="H184" s="101"/>
      <c r="I184" s="113"/>
      <c r="J184" s="113"/>
      <c r="K184" s="72"/>
      <c r="L184" s="72"/>
      <c r="M184" s="72"/>
      <c r="N184" s="72"/>
      <c r="O184" s="72"/>
      <c r="P184" s="72"/>
      <c r="Q184" s="72"/>
      <c r="R184" s="72"/>
      <c r="S184" s="72"/>
    </row>
    <row r="185" spans="1:19" ht="12.75">
      <c r="A185" s="100"/>
      <c r="B185" s="101"/>
      <c r="C185" s="101"/>
      <c r="D185" s="101"/>
      <c r="E185" s="101"/>
      <c r="F185" s="101"/>
      <c r="G185" s="101"/>
      <c r="H185" s="101"/>
      <c r="I185" s="113"/>
      <c r="J185" s="113"/>
      <c r="K185" s="72"/>
      <c r="L185" s="72"/>
      <c r="M185" s="72"/>
      <c r="N185" s="72"/>
      <c r="O185" s="72"/>
      <c r="P185" s="72"/>
      <c r="Q185" s="72"/>
      <c r="R185" s="72"/>
      <c r="S185" s="72"/>
    </row>
    <row r="186" spans="1:19" ht="12.75">
      <c r="A186" s="100"/>
      <c r="B186" s="101"/>
      <c r="C186" s="101"/>
      <c r="D186" s="101"/>
      <c r="E186" s="101"/>
      <c r="F186" s="101"/>
      <c r="G186" s="101"/>
      <c r="H186" s="101"/>
      <c r="I186" s="113"/>
      <c r="J186" s="113"/>
      <c r="K186" s="72"/>
      <c r="L186" s="72"/>
      <c r="M186" s="72"/>
      <c r="N186" s="72"/>
      <c r="O186" s="72"/>
      <c r="P186" s="72"/>
      <c r="Q186" s="72"/>
      <c r="R186" s="72"/>
      <c r="S186" s="72"/>
    </row>
    <row r="187" spans="1:19" ht="12.75">
      <c r="A187" s="100"/>
      <c r="B187" s="101"/>
      <c r="C187" s="101"/>
      <c r="D187" s="101"/>
      <c r="E187" s="101"/>
      <c r="F187" s="101"/>
      <c r="G187" s="101"/>
      <c r="H187" s="101"/>
      <c r="I187" s="113"/>
      <c r="J187" s="113"/>
      <c r="K187" s="72"/>
      <c r="L187" s="72"/>
      <c r="M187" s="72"/>
      <c r="N187" s="72"/>
      <c r="O187" s="72"/>
      <c r="P187" s="72"/>
      <c r="Q187" s="72"/>
      <c r="R187" s="72"/>
      <c r="S187" s="72"/>
    </row>
    <row r="188" spans="1:19" ht="12.75">
      <c r="A188" s="100"/>
      <c r="B188" s="101"/>
      <c r="C188" s="101"/>
      <c r="D188" s="101"/>
      <c r="E188" s="101"/>
      <c r="F188" s="101"/>
      <c r="G188" s="101"/>
      <c r="H188" s="101"/>
      <c r="I188" s="113"/>
      <c r="J188" s="113"/>
      <c r="K188" s="72"/>
      <c r="L188" s="72"/>
      <c r="M188" s="72"/>
      <c r="N188" s="72"/>
      <c r="O188" s="72"/>
      <c r="P188" s="72"/>
      <c r="Q188" s="72"/>
      <c r="R188" s="72"/>
      <c r="S188" s="72"/>
    </row>
    <row r="189" spans="1:19" ht="12.75">
      <c r="A189" s="100"/>
      <c r="B189" s="101"/>
      <c r="C189" s="101"/>
      <c r="D189" s="101"/>
      <c r="E189" s="101"/>
      <c r="F189" s="101"/>
      <c r="G189" s="101"/>
      <c r="H189" s="101"/>
      <c r="I189" s="113"/>
      <c r="J189" s="113"/>
      <c r="K189" s="72"/>
      <c r="L189" s="72"/>
      <c r="M189" s="72"/>
      <c r="N189" s="72"/>
      <c r="O189" s="72"/>
      <c r="P189" s="72"/>
      <c r="Q189" s="72"/>
      <c r="R189" s="72"/>
      <c r="S189" s="72"/>
    </row>
    <row r="190" spans="1:19" ht="12.75">
      <c r="A190" s="100"/>
      <c r="B190" s="101"/>
      <c r="C190" s="101"/>
      <c r="D190" s="101"/>
      <c r="E190" s="101"/>
      <c r="F190" s="101"/>
      <c r="G190" s="101"/>
      <c r="H190" s="101"/>
      <c r="I190" s="113"/>
      <c r="J190" s="113"/>
      <c r="K190" s="72"/>
      <c r="L190" s="72"/>
      <c r="M190" s="72"/>
      <c r="N190" s="72"/>
      <c r="O190" s="72"/>
      <c r="P190" s="72"/>
      <c r="Q190" s="72"/>
      <c r="R190" s="72"/>
      <c r="S190" s="72"/>
    </row>
    <row r="191" spans="1:19" ht="12.75">
      <c r="A191" s="100"/>
      <c r="B191" s="101"/>
      <c r="C191" s="101"/>
      <c r="D191" s="101"/>
      <c r="E191" s="101"/>
      <c r="F191" s="101"/>
      <c r="G191" s="101"/>
      <c r="H191" s="101"/>
      <c r="I191" s="113"/>
      <c r="J191" s="113"/>
      <c r="K191" s="72"/>
      <c r="L191" s="72"/>
      <c r="M191" s="72"/>
      <c r="N191" s="72"/>
      <c r="O191" s="72"/>
      <c r="P191" s="72"/>
      <c r="Q191" s="72"/>
      <c r="R191" s="72"/>
      <c r="S191" s="72"/>
    </row>
    <row r="192" spans="1:19" ht="12.75">
      <c r="A192" s="100"/>
      <c r="B192" s="101"/>
      <c r="C192" s="101"/>
      <c r="D192" s="101"/>
      <c r="E192" s="101"/>
      <c r="F192" s="101"/>
      <c r="G192" s="101"/>
      <c r="H192" s="101"/>
      <c r="I192" s="113"/>
      <c r="J192" s="113"/>
      <c r="K192" s="72"/>
      <c r="L192" s="72"/>
      <c r="M192" s="72"/>
      <c r="N192" s="72"/>
      <c r="O192" s="72"/>
      <c r="P192" s="72"/>
      <c r="Q192" s="72"/>
      <c r="R192" s="72"/>
      <c r="S192" s="72"/>
    </row>
    <row r="193" spans="1:19" ht="12.75">
      <c r="A193" s="100"/>
      <c r="B193" s="101"/>
      <c r="C193" s="101"/>
      <c r="D193" s="101"/>
      <c r="E193" s="101"/>
      <c r="F193" s="101"/>
      <c r="G193" s="101"/>
      <c r="H193" s="101"/>
      <c r="I193" s="113"/>
      <c r="J193" s="113"/>
      <c r="K193" s="72"/>
      <c r="L193" s="72"/>
      <c r="M193" s="72"/>
      <c r="N193" s="72"/>
      <c r="O193" s="72"/>
      <c r="P193" s="72"/>
      <c r="Q193" s="72"/>
      <c r="R193" s="72"/>
      <c r="S193" s="72"/>
    </row>
    <row r="194" spans="1:19" ht="12.75">
      <c r="A194" s="100"/>
      <c r="B194" s="101"/>
      <c r="C194" s="101"/>
      <c r="D194" s="101"/>
      <c r="E194" s="101"/>
      <c r="F194" s="101"/>
      <c r="G194" s="101"/>
      <c r="H194" s="101"/>
      <c r="I194" s="113"/>
      <c r="J194" s="113"/>
      <c r="K194" s="72"/>
      <c r="L194" s="72"/>
      <c r="M194" s="72"/>
      <c r="N194" s="72"/>
      <c r="O194" s="72"/>
      <c r="P194" s="72"/>
      <c r="Q194" s="72"/>
      <c r="R194" s="72"/>
      <c r="S194" s="72"/>
    </row>
    <row r="195" spans="1:19" ht="12.75">
      <c r="A195" s="100"/>
      <c r="B195" s="101"/>
      <c r="C195" s="101"/>
      <c r="D195" s="101"/>
      <c r="E195" s="101"/>
      <c r="F195" s="101"/>
      <c r="G195" s="101"/>
      <c r="H195" s="101"/>
      <c r="I195" s="113"/>
      <c r="J195" s="113"/>
      <c r="K195" s="72"/>
      <c r="L195" s="72"/>
      <c r="M195" s="72"/>
      <c r="N195" s="72"/>
      <c r="O195" s="72"/>
      <c r="P195" s="72"/>
      <c r="Q195" s="72"/>
      <c r="R195" s="72"/>
      <c r="S195" s="72"/>
    </row>
    <row r="196" spans="1:19" ht="12.75">
      <c r="A196" s="100"/>
      <c r="B196" s="101"/>
      <c r="C196" s="101"/>
      <c r="D196" s="101"/>
      <c r="E196" s="101"/>
      <c r="F196" s="101"/>
      <c r="G196" s="101"/>
      <c r="H196" s="101"/>
      <c r="I196" s="113"/>
      <c r="J196" s="113"/>
      <c r="K196" s="72"/>
      <c r="L196" s="72"/>
      <c r="M196" s="72"/>
      <c r="N196" s="72"/>
      <c r="O196" s="72"/>
      <c r="P196" s="72"/>
      <c r="Q196" s="72"/>
      <c r="R196" s="72"/>
      <c r="S196" s="72"/>
    </row>
    <row r="197" spans="1:19" ht="12.75">
      <c r="A197" s="100"/>
      <c r="B197" s="101"/>
      <c r="C197" s="101"/>
      <c r="D197" s="101"/>
      <c r="E197" s="101"/>
      <c r="F197" s="101"/>
      <c r="G197" s="101"/>
      <c r="H197" s="101"/>
      <c r="I197" s="113"/>
      <c r="J197" s="113"/>
      <c r="K197" s="72"/>
      <c r="L197" s="72"/>
      <c r="M197" s="72"/>
      <c r="N197" s="72"/>
      <c r="O197" s="72"/>
      <c r="P197" s="72"/>
      <c r="Q197" s="72"/>
      <c r="R197" s="72"/>
      <c r="S197" s="72"/>
    </row>
    <row r="198" spans="1:19" ht="12.75">
      <c r="A198" s="100"/>
      <c r="B198" s="101"/>
      <c r="C198" s="101"/>
      <c r="D198" s="101"/>
      <c r="E198" s="101"/>
      <c r="F198" s="101"/>
      <c r="G198" s="101"/>
      <c r="H198" s="101"/>
      <c r="I198" s="113"/>
      <c r="J198" s="113"/>
      <c r="K198" s="72"/>
      <c r="L198" s="72"/>
      <c r="M198" s="72"/>
      <c r="N198" s="72"/>
      <c r="O198" s="72"/>
      <c r="P198" s="72"/>
      <c r="Q198" s="72"/>
      <c r="R198" s="72"/>
      <c r="S198" s="72"/>
    </row>
    <row r="199" spans="1:19" ht="12.75">
      <c r="A199" s="100"/>
      <c r="B199" s="101"/>
      <c r="C199" s="101"/>
      <c r="D199" s="101"/>
      <c r="E199" s="101"/>
      <c r="F199" s="101"/>
      <c r="G199" s="101"/>
      <c r="H199" s="101"/>
      <c r="I199" s="113"/>
      <c r="J199" s="113"/>
      <c r="K199" s="72"/>
      <c r="L199" s="72"/>
      <c r="M199" s="72"/>
      <c r="N199" s="72"/>
      <c r="O199" s="72"/>
      <c r="P199" s="72"/>
      <c r="Q199" s="72"/>
      <c r="R199" s="72"/>
      <c r="S199" s="72"/>
    </row>
    <row r="200" spans="1:19" ht="12.75">
      <c r="A200" s="100"/>
      <c r="B200" s="101"/>
      <c r="C200" s="101"/>
      <c r="D200" s="101"/>
      <c r="E200" s="101"/>
      <c r="F200" s="101"/>
      <c r="G200" s="101"/>
      <c r="H200" s="101"/>
      <c r="I200" s="113"/>
      <c r="J200" s="113"/>
      <c r="K200" s="72"/>
      <c r="L200" s="72"/>
      <c r="M200" s="72"/>
      <c r="N200" s="72"/>
      <c r="O200" s="72"/>
      <c r="P200" s="72"/>
      <c r="Q200" s="72"/>
      <c r="R200" s="72"/>
      <c r="S200" s="72"/>
    </row>
    <row r="201" spans="1:19" ht="12.75">
      <c r="A201" s="100"/>
      <c r="B201" s="101"/>
      <c r="C201" s="101"/>
      <c r="D201" s="101"/>
      <c r="E201" s="101"/>
      <c r="F201" s="101"/>
      <c r="G201" s="101"/>
      <c r="H201" s="101"/>
      <c r="I201" s="113"/>
      <c r="J201" s="113"/>
      <c r="K201" s="72"/>
      <c r="L201" s="72"/>
      <c r="M201" s="72"/>
      <c r="N201" s="72"/>
      <c r="O201" s="72"/>
      <c r="P201" s="72"/>
      <c r="Q201" s="72"/>
      <c r="R201" s="72"/>
      <c r="S201" s="72"/>
    </row>
    <row r="202" spans="1:19" ht="12.75">
      <c r="A202" s="100"/>
      <c r="B202" s="101"/>
      <c r="C202" s="101"/>
      <c r="D202" s="101"/>
      <c r="E202" s="101"/>
      <c r="F202" s="101"/>
      <c r="G202" s="101"/>
      <c r="H202" s="101"/>
      <c r="I202" s="113"/>
      <c r="J202" s="113"/>
      <c r="K202" s="72"/>
      <c r="L202" s="72"/>
      <c r="M202" s="72"/>
      <c r="N202" s="72"/>
      <c r="O202" s="72"/>
      <c r="P202" s="72"/>
      <c r="Q202" s="72"/>
      <c r="R202" s="72"/>
      <c r="S202" s="72"/>
    </row>
    <row r="203" spans="1:19" ht="12.75">
      <c r="A203" s="100"/>
      <c r="B203" s="101"/>
      <c r="C203" s="101"/>
      <c r="D203" s="101"/>
      <c r="E203" s="101"/>
      <c r="F203" s="101"/>
      <c r="G203" s="101"/>
      <c r="H203" s="101"/>
      <c r="I203" s="113"/>
      <c r="J203" s="113"/>
      <c r="K203" s="72"/>
      <c r="L203" s="72"/>
      <c r="M203" s="72"/>
      <c r="N203" s="72"/>
      <c r="O203" s="72"/>
      <c r="P203" s="72"/>
      <c r="Q203" s="72"/>
      <c r="R203" s="72"/>
      <c r="S203" s="72"/>
    </row>
    <row r="204" spans="1:19" ht="12.75">
      <c r="A204" s="100"/>
      <c r="B204" s="101"/>
      <c r="C204" s="101"/>
      <c r="D204" s="101"/>
      <c r="E204" s="101"/>
      <c r="F204" s="101"/>
      <c r="G204" s="101"/>
      <c r="H204" s="101"/>
      <c r="I204" s="113"/>
      <c r="J204" s="113"/>
      <c r="K204" s="72"/>
      <c r="L204" s="72"/>
      <c r="M204" s="72"/>
      <c r="N204" s="72"/>
      <c r="O204" s="72"/>
      <c r="P204" s="72"/>
      <c r="Q204" s="72"/>
      <c r="R204" s="72"/>
      <c r="S204" s="72"/>
    </row>
    <row r="205" spans="1:19" ht="12.75">
      <c r="A205" s="100"/>
      <c r="B205" s="101"/>
      <c r="C205" s="101"/>
      <c r="D205" s="101"/>
      <c r="E205" s="101"/>
      <c r="F205" s="101"/>
      <c r="G205" s="101"/>
      <c r="H205" s="101"/>
      <c r="I205" s="113"/>
      <c r="J205" s="113"/>
      <c r="K205" s="72"/>
      <c r="L205" s="72"/>
      <c r="M205" s="72"/>
      <c r="N205" s="72"/>
      <c r="O205" s="72"/>
      <c r="P205" s="72"/>
      <c r="Q205" s="72"/>
      <c r="R205" s="72"/>
      <c r="S205" s="72"/>
    </row>
    <row r="206" spans="1:19" ht="12.75">
      <c r="A206" s="100"/>
      <c r="B206" s="101"/>
      <c r="C206" s="101"/>
      <c r="D206" s="101"/>
      <c r="E206" s="101"/>
      <c r="F206" s="101"/>
      <c r="G206" s="101"/>
      <c r="H206" s="101"/>
      <c r="I206" s="113"/>
      <c r="J206" s="113"/>
      <c r="K206" s="72"/>
      <c r="L206" s="72"/>
      <c r="M206" s="72"/>
      <c r="N206" s="72"/>
      <c r="O206" s="72"/>
      <c r="P206" s="72"/>
      <c r="Q206" s="72"/>
      <c r="R206" s="72"/>
      <c r="S206" s="72"/>
    </row>
    <row r="207" spans="1:19" ht="12.75">
      <c r="A207" s="100"/>
      <c r="B207" s="101"/>
      <c r="C207" s="101"/>
      <c r="D207" s="101"/>
      <c r="E207" s="101"/>
      <c r="F207" s="101"/>
      <c r="G207" s="101"/>
      <c r="H207" s="101"/>
      <c r="I207" s="113"/>
      <c r="J207" s="113"/>
      <c r="K207" s="72"/>
      <c r="L207" s="72"/>
      <c r="M207" s="72"/>
      <c r="N207" s="72"/>
      <c r="O207" s="72"/>
      <c r="P207" s="72"/>
      <c r="Q207" s="72"/>
      <c r="R207" s="72"/>
      <c r="S207" s="72"/>
    </row>
    <row r="208" spans="1:19" ht="12.75">
      <c r="A208" s="100"/>
      <c r="B208" s="101"/>
      <c r="C208" s="101"/>
      <c r="D208" s="101"/>
      <c r="E208" s="101"/>
      <c r="F208" s="101"/>
      <c r="G208" s="101"/>
      <c r="H208" s="101"/>
      <c r="I208" s="113"/>
      <c r="J208" s="113"/>
      <c r="K208" s="72"/>
      <c r="L208" s="72"/>
      <c r="M208" s="72"/>
      <c r="N208" s="72"/>
      <c r="O208" s="72"/>
      <c r="P208" s="72"/>
      <c r="Q208" s="72"/>
      <c r="R208" s="72"/>
      <c r="S208" s="72"/>
    </row>
    <row r="209" spans="1:19" ht="12.75">
      <c r="A209" s="100"/>
      <c r="B209" s="101"/>
      <c r="C209" s="101"/>
      <c r="D209" s="101"/>
      <c r="E209" s="101"/>
      <c r="F209" s="101"/>
      <c r="G209" s="101"/>
      <c r="H209" s="101"/>
      <c r="I209" s="113"/>
      <c r="J209" s="113"/>
      <c r="K209" s="72"/>
      <c r="L209" s="72"/>
      <c r="M209" s="72"/>
      <c r="N209" s="72"/>
      <c r="O209" s="72"/>
      <c r="P209" s="72"/>
      <c r="Q209" s="72"/>
      <c r="R209" s="72"/>
      <c r="S209" s="72"/>
    </row>
    <row r="210" spans="1:19" ht="12.75">
      <c r="A210" s="100"/>
      <c r="B210" s="101"/>
      <c r="C210" s="101"/>
      <c r="D210" s="101"/>
      <c r="E210" s="101"/>
      <c r="F210" s="101"/>
      <c r="G210" s="101"/>
      <c r="H210" s="101"/>
      <c r="I210" s="113"/>
      <c r="J210" s="113"/>
      <c r="K210" s="72"/>
      <c r="L210" s="72"/>
      <c r="M210" s="72"/>
      <c r="N210" s="72"/>
      <c r="O210" s="72"/>
      <c r="P210" s="72"/>
      <c r="Q210" s="72"/>
      <c r="R210" s="72"/>
      <c r="S210" s="72"/>
    </row>
    <row r="211" spans="1:19" ht="12.75">
      <c r="A211" s="100"/>
      <c r="B211" s="101"/>
      <c r="C211" s="101"/>
      <c r="D211" s="101"/>
      <c r="E211" s="101"/>
      <c r="F211" s="101"/>
      <c r="G211" s="101"/>
      <c r="H211" s="101"/>
      <c r="I211" s="113"/>
      <c r="J211" s="113"/>
      <c r="K211" s="72"/>
      <c r="L211" s="72"/>
      <c r="M211" s="72"/>
      <c r="N211" s="72"/>
      <c r="O211" s="72"/>
      <c r="P211" s="72"/>
      <c r="Q211" s="72"/>
      <c r="R211" s="72"/>
      <c r="S211" s="72"/>
    </row>
    <row r="212" spans="1:19" ht="12.75">
      <c r="A212" s="100"/>
      <c r="B212" s="101"/>
      <c r="C212" s="101"/>
      <c r="D212" s="101"/>
      <c r="E212" s="101"/>
      <c r="F212" s="101"/>
      <c r="G212" s="101"/>
      <c r="H212" s="101"/>
      <c r="I212" s="113"/>
      <c r="J212" s="113"/>
      <c r="K212" s="72"/>
      <c r="L212" s="72"/>
      <c r="M212" s="72"/>
      <c r="N212" s="72"/>
      <c r="O212" s="72"/>
      <c r="P212" s="72"/>
      <c r="Q212" s="72"/>
      <c r="R212" s="72"/>
      <c r="S212" s="72"/>
    </row>
    <row r="213" spans="1:19" ht="12.75">
      <c r="A213" s="100"/>
      <c r="B213" s="101"/>
      <c r="C213" s="101"/>
      <c r="D213" s="101"/>
      <c r="E213" s="101"/>
      <c r="F213" s="101"/>
      <c r="G213" s="101"/>
      <c r="H213" s="101"/>
      <c r="I213" s="113"/>
      <c r="J213" s="113"/>
      <c r="K213" s="72"/>
      <c r="L213" s="72"/>
      <c r="M213" s="72"/>
      <c r="N213" s="72"/>
      <c r="O213" s="72"/>
      <c r="P213" s="72"/>
      <c r="Q213" s="72"/>
      <c r="R213" s="72"/>
      <c r="S213" s="72"/>
    </row>
    <row r="214" spans="1:19" ht="12.75">
      <c r="A214" s="100"/>
      <c r="B214" s="101"/>
      <c r="C214" s="101"/>
      <c r="D214" s="101"/>
      <c r="E214" s="101"/>
      <c r="F214" s="101"/>
      <c r="G214" s="101"/>
      <c r="H214" s="101"/>
      <c r="I214" s="113"/>
      <c r="J214" s="113"/>
      <c r="K214" s="72"/>
      <c r="L214" s="72"/>
      <c r="M214" s="72"/>
      <c r="N214" s="72"/>
      <c r="O214" s="72"/>
      <c r="P214" s="72"/>
      <c r="Q214" s="72"/>
      <c r="R214" s="72"/>
      <c r="S214" s="72"/>
    </row>
    <row r="215" spans="1:19" ht="12.75">
      <c r="A215" s="100"/>
      <c r="B215" s="101"/>
      <c r="C215" s="101"/>
      <c r="D215" s="101"/>
      <c r="E215" s="101"/>
      <c r="F215" s="101"/>
      <c r="G215" s="101"/>
      <c r="H215" s="101"/>
      <c r="I215" s="113"/>
      <c r="J215" s="113"/>
      <c r="K215" s="72"/>
      <c r="L215" s="72"/>
      <c r="M215" s="72"/>
      <c r="N215" s="72"/>
      <c r="O215" s="72"/>
      <c r="P215" s="72"/>
      <c r="Q215" s="72"/>
      <c r="R215" s="72"/>
      <c r="S215" s="72"/>
    </row>
    <row r="216" spans="1:19" ht="12.75">
      <c r="A216" s="100"/>
      <c r="B216" s="101"/>
      <c r="C216" s="101"/>
      <c r="D216" s="101"/>
      <c r="E216" s="101"/>
      <c r="F216" s="101"/>
      <c r="G216" s="101"/>
      <c r="H216" s="101"/>
      <c r="I216" s="113"/>
      <c r="J216" s="113"/>
      <c r="K216" s="72"/>
      <c r="L216" s="72"/>
      <c r="M216" s="72"/>
      <c r="N216" s="72"/>
      <c r="O216" s="72"/>
      <c r="P216" s="72"/>
      <c r="Q216" s="72"/>
      <c r="R216" s="72"/>
      <c r="S216" s="72"/>
    </row>
    <row r="217" spans="1:19" ht="12.75">
      <c r="A217" s="100"/>
      <c r="B217" s="101"/>
      <c r="C217" s="101"/>
      <c r="D217" s="101"/>
      <c r="E217" s="101"/>
      <c r="F217" s="101"/>
      <c r="G217" s="101"/>
      <c r="H217" s="101"/>
      <c r="I217" s="113"/>
      <c r="J217" s="113"/>
      <c r="K217" s="72"/>
      <c r="L217" s="72"/>
      <c r="M217" s="72"/>
      <c r="N217" s="72"/>
      <c r="O217" s="72"/>
      <c r="P217" s="72"/>
      <c r="Q217" s="72"/>
      <c r="R217" s="72"/>
      <c r="S217" s="72"/>
    </row>
    <row r="218" spans="1:19" ht="12.75">
      <c r="A218" s="100"/>
      <c r="B218" s="101"/>
      <c r="C218" s="101"/>
      <c r="D218" s="101"/>
      <c r="E218" s="101"/>
      <c r="F218" s="101"/>
      <c r="G218" s="101"/>
      <c r="H218" s="101"/>
      <c r="I218" s="113"/>
      <c r="J218" s="113"/>
      <c r="K218" s="72"/>
      <c r="L218" s="72"/>
      <c r="M218" s="72"/>
      <c r="N218" s="72"/>
      <c r="O218" s="72"/>
      <c r="P218" s="72"/>
      <c r="Q218" s="72"/>
      <c r="R218" s="72"/>
      <c r="S218" s="72"/>
    </row>
    <row r="219" spans="1:19" ht="12.75">
      <c r="A219" s="100"/>
      <c r="B219" s="101"/>
      <c r="C219" s="101"/>
      <c r="D219" s="101"/>
      <c r="E219" s="101"/>
      <c r="F219" s="101"/>
      <c r="G219" s="101"/>
      <c r="H219" s="101"/>
      <c r="I219" s="113"/>
      <c r="J219" s="113"/>
      <c r="K219" s="72"/>
      <c r="L219" s="72"/>
      <c r="M219" s="72"/>
      <c r="N219" s="72"/>
      <c r="O219" s="72"/>
      <c r="P219" s="72"/>
      <c r="Q219" s="72"/>
      <c r="R219" s="72"/>
      <c r="S219" s="72"/>
    </row>
    <row r="220" spans="1:19" ht="12.75">
      <c r="A220" s="100"/>
      <c r="B220" s="101"/>
      <c r="C220" s="101"/>
      <c r="D220" s="101"/>
      <c r="E220" s="101"/>
      <c r="F220" s="101"/>
      <c r="G220" s="101"/>
      <c r="H220" s="101"/>
      <c r="I220" s="113"/>
      <c r="J220" s="113"/>
      <c r="K220" s="72"/>
      <c r="L220" s="72"/>
      <c r="M220" s="72"/>
      <c r="N220" s="72"/>
      <c r="O220" s="72"/>
      <c r="P220" s="72"/>
      <c r="Q220" s="72"/>
      <c r="R220" s="72"/>
      <c r="S220" s="72"/>
    </row>
    <row r="221" spans="1:19" ht="12.75">
      <c r="A221" s="100"/>
      <c r="B221" s="101"/>
      <c r="C221" s="101"/>
      <c r="D221" s="101"/>
      <c r="E221" s="101"/>
      <c r="F221" s="101"/>
      <c r="G221" s="101"/>
      <c r="H221" s="101"/>
      <c r="I221" s="113"/>
      <c r="J221" s="113"/>
      <c r="K221" s="72"/>
      <c r="L221" s="72"/>
      <c r="M221" s="72"/>
      <c r="N221" s="72"/>
      <c r="O221" s="72"/>
      <c r="P221" s="72"/>
      <c r="Q221" s="72"/>
      <c r="R221" s="72"/>
      <c r="S221" s="72"/>
    </row>
    <row r="222" spans="1:19" ht="12.75">
      <c r="A222" s="100"/>
      <c r="B222" s="101"/>
      <c r="C222" s="101"/>
      <c r="D222" s="101"/>
      <c r="E222" s="101"/>
      <c r="F222" s="101"/>
      <c r="G222" s="101"/>
      <c r="H222" s="101"/>
      <c r="I222" s="113"/>
      <c r="J222" s="113"/>
      <c r="K222" s="72"/>
      <c r="L222" s="72"/>
      <c r="M222" s="72"/>
      <c r="N222" s="72"/>
      <c r="O222" s="72"/>
      <c r="P222" s="72"/>
      <c r="Q222" s="72"/>
      <c r="R222" s="72"/>
      <c r="S222" s="72"/>
    </row>
    <row r="223" spans="1:19" ht="12.75">
      <c r="A223" s="100"/>
      <c r="B223" s="101"/>
      <c r="C223" s="101"/>
      <c r="D223" s="101"/>
      <c r="E223" s="101"/>
      <c r="F223" s="101"/>
      <c r="G223" s="101"/>
      <c r="H223" s="101"/>
      <c r="I223" s="113"/>
      <c r="J223" s="113"/>
      <c r="K223" s="72"/>
      <c r="L223" s="72"/>
      <c r="M223" s="72"/>
      <c r="N223" s="72"/>
      <c r="O223" s="72"/>
      <c r="P223" s="72"/>
      <c r="Q223" s="72"/>
      <c r="R223" s="72"/>
      <c r="S223" s="72"/>
    </row>
    <row r="224" spans="1:19" ht="12.75">
      <c r="A224" s="100"/>
      <c r="B224" s="101"/>
      <c r="C224" s="101"/>
      <c r="D224" s="101"/>
      <c r="E224" s="101"/>
      <c r="F224" s="101"/>
      <c r="G224" s="101"/>
      <c r="H224" s="101"/>
      <c r="I224" s="113"/>
      <c r="J224" s="113"/>
      <c r="K224" s="72"/>
      <c r="L224" s="72"/>
      <c r="M224" s="72"/>
      <c r="N224" s="72"/>
      <c r="O224" s="72"/>
      <c r="P224" s="72"/>
      <c r="Q224" s="72"/>
      <c r="R224" s="72"/>
      <c r="S224" s="72"/>
    </row>
    <row r="225" spans="1:19" ht="12.75">
      <c r="A225" s="100"/>
      <c r="B225" s="101"/>
      <c r="C225" s="101"/>
      <c r="D225" s="101"/>
      <c r="E225" s="101"/>
      <c r="F225" s="101"/>
      <c r="G225" s="101"/>
      <c r="H225" s="101"/>
      <c r="I225" s="113"/>
      <c r="J225" s="113"/>
      <c r="K225" s="72"/>
      <c r="L225" s="72"/>
      <c r="M225" s="72"/>
      <c r="N225" s="72"/>
      <c r="O225" s="72"/>
      <c r="P225" s="72"/>
      <c r="Q225" s="72"/>
      <c r="R225" s="72"/>
      <c r="S225" s="72"/>
    </row>
    <row r="226" spans="1:19" ht="12.75">
      <c r="A226" s="100"/>
      <c r="B226" s="101"/>
      <c r="C226" s="101"/>
      <c r="D226" s="101"/>
      <c r="E226" s="101"/>
      <c r="F226" s="101"/>
      <c r="G226" s="101"/>
      <c r="H226" s="101"/>
      <c r="I226" s="113"/>
      <c r="J226" s="113"/>
      <c r="K226" s="72"/>
      <c r="L226" s="72"/>
      <c r="M226" s="72"/>
      <c r="N226" s="72"/>
      <c r="O226" s="72"/>
      <c r="P226" s="72"/>
      <c r="Q226" s="72"/>
      <c r="R226" s="72"/>
      <c r="S226" s="72"/>
    </row>
    <row r="227" spans="1:19" ht="12.75">
      <c r="A227" s="100"/>
      <c r="B227" s="101"/>
      <c r="C227" s="101"/>
      <c r="D227" s="101"/>
      <c r="E227" s="101"/>
      <c r="F227" s="101"/>
      <c r="G227" s="101"/>
      <c r="H227" s="101"/>
      <c r="I227" s="113"/>
      <c r="J227" s="113"/>
      <c r="K227" s="72"/>
      <c r="L227" s="72"/>
      <c r="M227" s="72"/>
      <c r="N227" s="72"/>
      <c r="O227" s="72"/>
      <c r="P227" s="72"/>
      <c r="Q227" s="72"/>
      <c r="R227" s="72"/>
      <c r="S227" s="72"/>
    </row>
    <row r="228" spans="1:19" ht="12.75">
      <c r="A228" s="100"/>
      <c r="B228" s="101"/>
      <c r="C228" s="101"/>
      <c r="D228" s="101"/>
      <c r="E228" s="101"/>
      <c r="F228" s="101"/>
      <c r="G228" s="101"/>
      <c r="H228" s="101"/>
      <c r="I228" s="113"/>
      <c r="J228" s="113"/>
      <c r="K228" s="72"/>
      <c r="L228" s="72"/>
      <c r="M228" s="72"/>
      <c r="N228" s="72"/>
      <c r="O228" s="72"/>
      <c r="P228" s="72"/>
      <c r="Q228" s="72"/>
      <c r="R228" s="72"/>
      <c r="S228" s="72"/>
    </row>
    <row r="229" spans="1:19" ht="12.75">
      <c r="A229" s="100"/>
      <c r="B229" s="101"/>
      <c r="C229" s="101"/>
      <c r="D229" s="101"/>
      <c r="E229" s="101"/>
      <c r="F229" s="101"/>
      <c r="G229" s="101"/>
      <c r="H229" s="101"/>
      <c r="I229" s="113"/>
      <c r="J229" s="113"/>
      <c r="K229" s="72"/>
      <c r="L229" s="72"/>
      <c r="M229" s="72"/>
      <c r="N229" s="72"/>
      <c r="O229" s="72"/>
      <c r="P229" s="72"/>
      <c r="Q229" s="72"/>
      <c r="R229" s="72"/>
      <c r="S229" s="72"/>
    </row>
    <row r="230" spans="1:19" ht="12.75">
      <c r="A230" s="100"/>
      <c r="B230" s="101"/>
      <c r="C230" s="101"/>
      <c r="D230" s="101"/>
      <c r="E230" s="101"/>
      <c r="F230" s="101"/>
      <c r="G230" s="101"/>
      <c r="H230" s="101"/>
      <c r="I230" s="113"/>
      <c r="J230" s="113"/>
      <c r="K230" s="72"/>
      <c r="L230" s="72"/>
      <c r="M230" s="72"/>
      <c r="N230" s="72"/>
      <c r="O230" s="72"/>
      <c r="P230" s="72"/>
      <c r="Q230" s="72"/>
      <c r="R230" s="72"/>
      <c r="S230" s="72"/>
    </row>
    <row r="231" spans="1:19" ht="12.75">
      <c r="A231" s="100"/>
      <c r="B231" s="101"/>
      <c r="C231" s="101"/>
      <c r="D231" s="101"/>
      <c r="E231" s="101"/>
      <c r="F231" s="101"/>
      <c r="G231" s="101"/>
      <c r="H231" s="101"/>
      <c r="I231" s="113"/>
      <c r="J231" s="113"/>
      <c r="K231" s="72"/>
      <c r="L231" s="72"/>
      <c r="M231" s="72"/>
      <c r="N231" s="72"/>
      <c r="O231" s="72"/>
      <c r="P231" s="72"/>
      <c r="Q231" s="72"/>
      <c r="R231" s="72"/>
      <c r="S231" s="72"/>
    </row>
    <row r="232" spans="1:19" ht="12.75">
      <c r="A232" s="100"/>
      <c r="B232" s="101"/>
      <c r="C232" s="101"/>
      <c r="D232" s="101"/>
      <c r="E232" s="101"/>
      <c r="F232" s="101"/>
      <c r="G232" s="101"/>
      <c r="H232" s="101"/>
      <c r="I232" s="113"/>
      <c r="J232" s="113"/>
      <c r="K232" s="72"/>
      <c r="L232" s="72"/>
      <c r="M232" s="72"/>
      <c r="N232" s="72"/>
      <c r="O232" s="72"/>
      <c r="P232" s="72"/>
      <c r="Q232" s="72"/>
      <c r="R232" s="72"/>
      <c r="S232" s="72"/>
    </row>
    <row r="233" spans="1:19" ht="12.75">
      <c r="A233" s="100"/>
      <c r="B233" s="101"/>
      <c r="C233" s="101"/>
      <c r="D233" s="101"/>
      <c r="E233" s="101"/>
      <c r="F233" s="101"/>
      <c r="G233" s="101"/>
      <c r="H233" s="101"/>
      <c r="I233" s="113"/>
      <c r="J233" s="113"/>
      <c r="K233" s="72"/>
      <c r="L233" s="72"/>
      <c r="M233" s="72"/>
      <c r="N233" s="72"/>
      <c r="O233" s="72"/>
      <c r="P233" s="72"/>
      <c r="Q233" s="72"/>
      <c r="R233" s="72"/>
      <c r="S233" s="72"/>
    </row>
    <row r="234" spans="1:19" ht="12.75">
      <c r="A234" s="100"/>
      <c r="B234" s="101"/>
      <c r="C234" s="101"/>
      <c r="D234" s="101"/>
      <c r="E234" s="101"/>
      <c r="F234" s="101"/>
      <c r="G234" s="101"/>
      <c r="H234" s="101"/>
      <c r="I234" s="113"/>
      <c r="J234" s="113"/>
      <c r="K234" s="72"/>
      <c r="L234" s="72"/>
      <c r="M234" s="72"/>
      <c r="N234" s="72"/>
      <c r="O234" s="72"/>
      <c r="P234" s="72"/>
      <c r="Q234" s="72"/>
      <c r="R234" s="72"/>
      <c r="S234" s="72"/>
    </row>
    <row r="235" spans="1:19" ht="12.75">
      <c r="A235" s="100"/>
      <c r="B235" s="101"/>
      <c r="C235" s="101"/>
      <c r="D235" s="101"/>
      <c r="E235" s="101"/>
      <c r="F235" s="101"/>
      <c r="G235" s="101"/>
      <c r="H235" s="101"/>
      <c r="I235" s="113"/>
      <c r="J235" s="113"/>
      <c r="K235" s="72"/>
      <c r="L235" s="72"/>
      <c r="M235" s="72"/>
      <c r="N235" s="72"/>
      <c r="O235" s="72"/>
      <c r="P235" s="72"/>
      <c r="Q235" s="72"/>
      <c r="R235" s="72"/>
      <c r="S235" s="72"/>
    </row>
    <row r="236" spans="1:19" ht="12.75">
      <c r="A236" s="100"/>
      <c r="B236" s="101"/>
      <c r="C236" s="101"/>
      <c r="D236" s="101"/>
      <c r="E236" s="101"/>
      <c r="F236" s="101"/>
      <c r="G236" s="101"/>
      <c r="H236" s="101"/>
      <c r="I236" s="113"/>
      <c r="J236" s="113"/>
      <c r="K236" s="72"/>
      <c r="L236" s="72"/>
      <c r="M236" s="72"/>
      <c r="N236" s="72"/>
      <c r="O236" s="72"/>
      <c r="P236" s="72"/>
      <c r="Q236" s="72"/>
      <c r="R236" s="72"/>
      <c r="S236" s="72"/>
    </row>
    <row r="237" spans="1:19" ht="12.75">
      <c r="A237" s="100"/>
      <c r="B237" s="101"/>
      <c r="C237" s="101"/>
      <c r="D237" s="101"/>
      <c r="E237" s="101"/>
      <c r="F237" s="101"/>
      <c r="G237" s="101"/>
      <c r="H237" s="101"/>
      <c r="I237" s="113"/>
      <c r="J237" s="113"/>
      <c r="K237" s="72"/>
      <c r="L237" s="72"/>
      <c r="M237" s="72"/>
      <c r="N237" s="72"/>
      <c r="O237" s="72"/>
      <c r="P237" s="72"/>
      <c r="Q237" s="72"/>
      <c r="R237" s="72"/>
      <c r="S237" s="72"/>
    </row>
    <row r="238" spans="1:19" ht="12.75">
      <c r="A238" s="100"/>
      <c r="B238" s="101"/>
      <c r="C238" s="101"/>
      <c r="D238" s="101"/>
      <c r="E238" s="101"/>
      <c r="F238" s="101"/>
      <c r="G238" s="101"/>
      <c r="H238" s="101"/>
      <c r="I238" s="113"/>
      <c r="J238" s="113"/>
      <c r="K238" s="72"/>
      <c r="L238" s="72"/>
      <c r="M238" s="72"/>
      <c r="N238" s="72"/>
      <c r="O238" s="72"/>
      <c r="P238" s="72"/>
      <c r="Q238" s="72"/>
      <c r="R238" s="72"/>
      <c r="S238" s="72"/>
    </row>
    <row r="239" spans="1:19" ht="12.75">
      <c r="A239" s="100"/>
      <c r="B239" s="101"/>
      <c r="C239" s="101"/>
      <c r="D239" s="101"/>
      <c r="E239" s="101"/>
      <c r="F239" s="101"/>
      <c r="G239" s="101"/>
      <c r="H239" s="101"/>
      <c r="I239" s="113"/>
      <c r="J239" s="113"/>
      <c r="K239" s="72"/>
      <c r="L239" s="72"/>
      <c r="M239" s="72"/>
      <c r="N239" s="72"/>
      <c r="O239" s="72"/>
      <c r="P239" s="72"/>
      <c r="Q239" s="72"/>
      <c r="R239" s="72"/>
      <c r="S239" s="72"/>
    </row>
    <row r="240" spans="1:19" ht="12.75">
      <c r="A240" s="100"/>
      <c r="B240" s="101"/>
      <c r="C240" s="101"/>
      <c r="D240" s="101"/>
      <c r="E240" s="101"/>
      <c r="F240" s="101"/>
      <c r="G240" s="101"/>
      <c r="H240" s="101"/>
      <c r="I240" s="113"/>
      <c r="J240" s="113"/>
      <c r="K240" s="72"/>
      <c r="L240" s="72"/>
      <c r="M240" s="72"/>
      <c r="N240" s="72"/>
      <c r="O240" s="72"/>
      <c r="P240" s="72"/>
      <c r="Q240" s="72"/>
      <c r="R240" s="72"/>
      <c r="S240" s="72"/>
    </row>
    <row r="241" spans="1:19" ht="12.75">
      <c r="A241" s="100"/>
      <c r="B241" s="101"/>
      <c r="C241" s="101"/>
      <c r="D241" s="101"/>
      <c r="E241" s="101"/>
      <c r="F241" s="101"/>
      <c r="G241" s="101"/>
      <c r="H241" s="101"/>
      <c r="I241" s="113"/>
      <c r="J241" s="113"/>
      <c r="K241" s="72"/>
      <c r="L241" s="72"/>
      <c r="M241" s="72"/>
      <c r="N241" s="72"/>
      <c r="O241" s="72"/>
      <c r="P241" s="72"/>
      <c r="Q241" s="72"/>
      <c r="R241" s="72"/>
      <c r="S241" s="72"/>
    </row>
    <row r="242" spans="1:19" ht="12.75">
      <c r="A242" s="100"/>
      <c r="B242" s="101"/>
      <c r="C242" s="101"/>
      <c r="D242" s="101"/>
      <c r="E242" s="101"/>
      <c r="F242" s="101"/>
      <c r="G242" s="101"/>
      <c r="H242" s="101"/>
      <c r="I242" s="113"/>
      <c r="J242" s="113"/>
      <c r="K242" s="72"/>
      <c r="L242" s="72"/>
      <c r="M242" s="72"/>
      <c r="N242" s="72"/>
      <c r="O242" s="72"/>
      <c r="P242" s="72"/>
      <c r="Q242" s="72"/>
      <c r="R242" s="72"/>
      <c r="S242" s="72"/>
    </row>
    <row r="243" spans="1:19" ht="12.75">
      <c r="A243" s="100"/>
      <c r="B243" s="101"/>
      <c r="C243" s="101"/>
      <c r="D243" s="101"/>
      <c r="E243" s="101"/>
      <c r="F243" s="101"/>
      <c r="G243" s="101"/>
      <c r="H243" s="101"/>
      <c r="I243" s="113"/>
      <c r="J243" s="113"/>
      <c r="K243" s="72"/>
      <c r="L243" s="72"/>
      <c r="M243" s="72"/>
      <c r="N243" s="72"/>
      <c r="O243" s="72"/>
      <c r="P243" s="72"/>
      <c r="Q243" s="72"/>
      <c r="R243" s="72"/>
      <c r="S243" s="72"/>
    </row>
    <row r="244" spans="1:19" ht="12.75">
      <c r="A244" s="100"/>
      <c r="B244" s="101"/>
      <c r="C244" s="101"/>
      <c r="D244" s="101"/>
      <c r="E244" s="101"/>
      <c r="F244" s="101"/>
      <c r="G244" s="101"/>
      <c r="H244" s="101"/>
      <c r="I244" s="113"/>
      <c r="J244" s="113"/>
      <c r="K244" s="72"/>
      <c r="L244" s="72"/>
      <c r="M244" s="72"/>
      <c r="N244" s="72"/>
      <c r="O244" s="72"/>
      <c r="P244" s="72"/>
      <c r="Q244" s="72"/>
      <c r="R244" s="72"/>
      <c r="S244" s="72"/>
    </row>
    <row r="245" spans="1:19" ht="12.75">
      <c r="A245" s="100"/>
      <c r="B245" s="101"/>
      <c r="C245" s="101"/>
      <c r="D245" s="101"/>
      <c r="E245" s="101"/>
      <c r="F245" s="101"/>
      <c r="G245" s="101"/>
      <c r="H245" s="101"/>
      <c r="I245" s="113"/>
      <c r="J245" s="113"/>
      <c r="K245" s="72"/>
      <c r="L245" s="72"/>
      <c r="M245" s="72"/>
      <c r="N245" s="72"/>
      <c r="O245" s="72"/>
      <c r="P245" s="72"/>
      <c r="Q245" s="72"/>
      <c r="R245" s="72"/>
      <c r="S245" s="72"/>
    </row>
    <row r="246" spans="1:19" ht="12.75">
      <c r="A246" s="100"/>
      <c r="B246" s="101"/>
      <c r="C246" s="101"/>
      <c r="D246" s="101"/>
      <c r="E246" s="101"/>
      <c r="F246" s="101"/>
      <c r="G246" s="101"/>
      <c r="H246" s="101"/>
      <c r="I246" s="113"/>
      <c r="J246" s="113"/>
      <c r="K246" s="72"/>
      <c r="L246" s="72"/>
      <c r="M246" s="72"/>
      <c r="N246" s="72"/>
      <c r="O246" s="72"/>
      <c r="P246" s="72"/>
      <c r="Q246" s="72"/>
      <c r="R246" s="72"/>
      <c r="S246" s="72"/>
    </row>
    <row r="247" spans="1:19" ht="12.75">
      <c r="A247" s="100"/>
      <c r="B247" s="101"/>
      <c r="C247" s="101"/>
      <c r="D247" s="101"/>
      <c r="E247" s="101"/>
      <c r="F247" s="101"/>
      <c r="G247" s="101"/>
      <c r="H247" s="101"/>
      <c r="I247" s="113"/>
      <c r="J247" s="113"/>
      <c r="K247" s="72"/>
      <c r="L247" s="72"/>
      <c r="M247" s="72"/>
      <c r="N247" s="72"/>
      <c r="O247" s="72"/>
      <c r="P247" s="72"/>
      <c r="Q247" s="72"/>
      <c r="R247" s="72"/>
      <c r="S247" s="72"/>
    </row>
    <row r="248" spans="1:19" ht="12.75">
      <c r="A248" s="100"/>
      <c r="B248" s="101"/>
      <c r="C248" s="101"/>
      <c r="D248" s="101"/>
      <c r="E248" s="101"/>
      <c r="F248" s="101"/>
      <c r="G248" s="101"/>
      <c r="H248" s="101"/>
      <c r="I248" s="113"/>
      <c r="J248" s="113"/>
      <c r="K248" s="72"/>
      <c r="L248" s="72"/>
      <c r="M248" s="72"/>
      <c r="N248" s="72"/>
      <c r="O248" s="72"/>
      <c r="P248" s="72"/>
      <c r="Q248" s="72"/>
      <c r="R248" s="72"/>
      <c r="S248" s="72"/>
    </row>
    <row r="249" spans="1:19" ht="12.75">
      <c r="A249" s="100"/>
      <c r="B249" s="101"/>
      <c r="C249" s="101"/>
      <c r="D249" s="101"/>
      <c r="E249" s="101"/>
      <c r="F249" s="101"/>
      <c r="G249" s="101"/>
      <c r="H249" s="101"/>
      <c r="I249" s="113"/>
      <c r="J249" s="113"/>
      <c r="K249" s="72"/>
      <c r="L249" s="72"/>
      <c r="M249" s="72"/>
      <c r="N249" s="72"/>
      <c r="O249" s="72"/>
      <c r="P249" s="72"/>
      <c r="Q249" s="72"/>
      <c r="R249" s="72"/>
      <c r="S249" s="72"/>
    </row>
    <row r="250" spans="1:19" ht="12.75">
      <c r="A250" s="100"/>
      <c r="B250" s="101"/>
      <c r="C250" s="101"/>
      <c r="D250" s="101"/>
      <c r="E250" s="101"/>
      <c r="F250" s="101"/>
      <c r="G250" s="101"/>
      <c r="H250" s="101"/>
      <c r="I250" s="113"/>
      <c r="J250" s="113"/>
      <c r="K250" s="72"/>
      <c r="L250" s="72"/>
      <c r="M250" s="72"/>
      <c r="N250" s="72"/>
      <c r="O250" s="72"/>
      <c r="P250" s="72"/>
      <c r="Q250" s="72"/>
      <c r="R250" s="72"/>
      <c r="S250" s="72"/>
    </row>
    <row r="251" spans="1:19" ht="12.75">
      <c r="A251" s="100"/>
      <c r="B251" s="101"/>
      <c r="C251" s="101"/>
      <c r="D251" s="101"/>
      <c r="E251" s="101"/>
      <c r="F251" s="101"/>
      <c r="G251" s="101"/>
      <c r="H251" s="101"/>
      <c r="I251" s="113"/>
      <c r="J251" s="113"/>
      <c r="K251" s="72"/>
      <c r="L251" s="72"/>
      <c r="M251" s="72"/>
      <c r="N251" s="72"/>
      <c r="O251" s="72"/>
      <c r="P251" s="72"/>
      <c r="Q251" s="72"/>
      <c r="R251" s="72"/>
      <c r="S251" s="72"/>
    </row>
    <row r="252" spans="1:19" ht="12.75">
      <c r="A252" s="100"/>
      <c r="B252" s="101"/>
      <c r="C252" s="101"/>
      <c r="D252" s="101"/>
      <c r="E252" s="101"/>
      <c r="F252" s="101"/>
      <c r="G252" s="101"/>
      <c r="H252" s="101"/>
      <c r="I252" s="113"/>
      <c r="J252" s="113"/>
      <c r="K252" s="72"/>
      <c r="L252" s="72"/>
      <c r="M252" s="72"/>
      <c r="N252" s="72"/>
      <c r="O252" s="72"/>
      <c r="P252" s="72"/>
      <c r="Q252" s="72"/>
      <c r="R252" s="72"/>
      <c r="S252" s="72"/>
    </row>
    <row r="253" spans="1:19" ht="12.75">
      <c r="A253" s="100"/>
      <c r="B253" s="101"/>
      <c r="C253" s="101"/>
      <c r="D253" s="101"/>
      <c r="E253" s="101"/>
      <c r="F253" s="101"/>
      <c r="G253" s="101"/>
      <c r="H253" s="101"/>
      <c r="I253" s="113"/>
      <c r="J253" s="113"/>
      <c r="K253" s="72"/>
      <c r="L253" s="72"/>
      <c r="M253" s="72"/>
      <c r="N253" s="72"/>
      <c r="O253" s="72"/>
      <c r="P253" s="72"/>
      <c r="Q253" s="72"/>
      <c r="R253" s="72"/>
      <c r="S253" s="72"/>
    </row>
    <row r="254" spans="1:19" ht="12.75">
      <c r="A254" s="100"/>
      <c r="B254" s="101"/>
      <c r="C254" s="101"/>
      <c r="D254" s="101"/>
      <c r="E254" s="101"/>
      <c r="F254" s="101"/>
      <c r="G254" s="101"/>
      <c r="H254" s="101"/>
      <c r="I254" s="113"/>
      <c r="J254" s="113"/>
      <c r="K254" s="72"/>
      <c r="L254" s="72"/>
      <c r="M254" s="72"/>
      <c r="N254" s="72"/>
      <c r="O254" s="72"/>
      <c r="P254" s="72"/>
      <c r="Q254" s="72"/>
      <c r="R254" s="72"/>
      <c r="S254" s="72"/>
    </row>
    <row r="255" spans="1:19" ht="12.75">
      <c r="A255" s="100"/>
      <c r="B255" s="101"/>
      <c r="C255" s="101"/>
      <c r="D255" s="101"/>
      <c r="E255" s="101"/>
      <c r="F255" s="101"/>
      <c r="G255" s="101"/>
      <c r="H255" s="101"/>
      <c r="I255" s="113"/>
      <c r="J255" s="113"/>
      <c r="K255" s="72"/>
      <c r="L255" s="72"/>
      <c r="M255" s="72"/>
      <c r="N255" s="72"/>
      <c r="O255" s="72"/>
      <c r="P255" s="72"/>
      <c r="Q255" s="72"/>
      <c r="R255" s="72"/>
      <c r="S255" s="72"/>
    </row>
    <row r="256" spans="1:19" ht="12.75">
      <c r="A256" s="100"/>
      <c r="B256" s="101"/>
      <c r="C256" s="101"/>
      <c r="D256" s="101"/>
      <c r="E256" s="101"/>
      <c r="F256" s="101"/>
      <c r="G256" s="101"/>
      <c r="H256" s="101"/>
      <c r="I256" s="113"/>
      <c r="J256" s="113"/>
      <c r="K256" s="72"/>
      <c r="L256" s="72"/>
      <c r="M256" s="72"/>
      <c r="N256" s="72"/>
      <c r="O256" s="72"/>
      <c r="P256" s="72"/>
      <c r="Q256" s="72"/>
      <c r="R256" s="72"/>
      <c r="S256" s="72"/>
    </row>
    <row r="257" spans="1:19" ht="12.75">
      <c r="A257" s="100"/>
      <c r="B257" s="101"/>
      <c r="C257" s="101"/>
      <c r="D257" s="101"/>
      <c r="E257" s="101"/>
      <c r="F257" s="101"/>
      <c r="G257" s="101"/>
      <c r="H257" s="101"/>
      <c r="I257" s="113"/>
      <c r="J257" s="113"/>
      <c r="K257" s="72"/>
      <c r="L257" s="72"/>
      <c r="M257" s="72"/>
      <c r="N257" s="72"/>
      <c r="O257" s="72"/>
      <c r="P257" s="72"/>
      <c r="Q257" s="72"/>
      <c r="R257" s="72"/>
      <c r="S257" s="72"/>
    </row>
    <row r="258" spans="1:19" ht="12.75">
      <c r="A258" s="100"/>
      <c r="B258" s="101"/>
      <c r="C258" s="101"/>
      <c r="D258" s="101"/>
      <c r="E258" s="101"/>
      <c r="F258" s="101"/>
      <c r="G258" s="101"/>
      <c r="H258" s="101"/>
      <c r="I258" s="113"/>
      <c r="J258" s="113"/>
      <c r="K258" s="72"/>
      <c r="L258" s="72"/>
      <c r="M258" s="72"/>
      <c r="N258" s="72"/>
      <c r="O258" s="72"/>
      <c r="P258" s="72"/>
      <c r="Q258" s="72"/>
      <c r="R258" s="72"/>
      <c r="S258" s="72"/>
    </row>
    <row r="259" spans="1:19" ht="12.75">
      <c r="A259" s="100"/>
      <c r="B259" s="101"/>
      <c r="C259" s="101"/>
      <c r="D259" s="101"/>
      <c r="E259" s="101"/>
      <c r="F259" s="101"/>
      <c r="G259" s="101"/>
      <c r="H259" s="101"/>
      <c r="I259" s="113"/>
      <c r="J259" s="113"/>
      <c r="K259" s="72"/>
      <c r="L259" s="72"/>
      <c r="M259" s="72"/>
      <c r="N259" s="72"/>
      <c r="O259" s="72"/>
      <c r="P259" s="72"/>
      <c r="Q259" s="72"/>
      <c r="R259" s="72"/>
      <c r="S259" s="72"/>
    </row>
    <row r="260" spans="1:19" ht="12.75">
      <c r="A260" s="100"/>
      <c r="B260" s="101"/>
      <c r="C260" s="101"/>
      <c r="D260" s="101"/>
      <c r="E260" s="101"/>
      <c r="F260" s="101"/>
      <c r="G260" s="101"/>
      <c r="H260" s="101"/>
      <c r="I260" s="113"/>
      <c r="J260" s="113"/>
      <c r="K260" s="72"/>
      <c r="L260" s="72"/>
      <c r="M260" s="72"/>
      <c r="N260" s="72"/>
      <c r="O260" s="72"/>
      <c r="P260" s="72"/>
      <c r="Q260" s="72"/>
      <c r="R260" s="72"/>
      <c r="S260" s="72"/>
    </row>
    <row r="261" spans="1:19" ht="12.75">
      <c r="A261" s="100"/>
      <c r="B261" s="101"/>
      <c r="C261" s="101"/>
      <c r="D261" s="101"/>
      <c r="E261" s="101"/>
      <c r="F261" s="101"/>
      <c r="G261" s="101"/>
      <c r="H261" s="101"/>
      <c r="I261" s="113"/>
      <c r="J261" s="113"/>
      <c r="K261" s="72"/>
      <c r="L261" s="72"/>
      <c r="M261" s="72"/>
      <c r="N261" s="72"/>
      <c r="O261" s="72"/>
      <c r="P261" s="72"/>
      <c r="Q261" s="72"/>
      <c r="R261" s="72"/>
      <c r="S261" s="72"/>
    </row>
    <row r="262" spans="1:19" ht="12.75">
      <c r="A262" s="100"/>
      <c r="B262" s="101"/>
      <c r="C262" s="101"/>
      <c r="D262" s="101"/>
      <c r="E262" s="101"/>
      <c r="F262" s="101"/>
      <c r="G262" s="101"/>
      <c r="H262" s="101"/>
      <c r="I262" s="113"/>
      <c r="J262" s="113"/>
      <c r="K262" s="72"/>
      <c r="L262" s="72"/>
      <c r="M262" s="72"/>
      <c r="N262" s="72"/>
      <c r="O262" s="72"/>
      <c r="P262" s="72"/>
      <c r="Q262" s="72"/>
      <c r="R262" s="72"/>
      <c r="S262" s="72"/>
    </row>
    <row r="263" spans="1:19" ht="12.75">
      <c r="A263" s="100"/>
      <c r="B263" s="101"/>
      <c r="C263" s="101"/>
      <c r="D263" s="101"/>
      <c r="E263" s="101"/>
      <c r="F263" s="101"/>
      <c r="G263" s="101"/>
      <c r="H263" s="101"/>
      <c r="I263" s="113"/>
      <c r="J263" s="113"/>
      <c r="K263" s="72"/>
      <c r="L263" s="72"/>
      <c r="M263" s="72"/>
      <c r="N263" s="72"/>
      <c r="O263" s="72"/>
      <c r="P263" s="72"/>
      <c r="Q263" s="72"/>
      <c r="R263" s="72"/>
      <c r="S263" s="72"/>
    </row>
    <row r="264" spans="1:19" ht="12.75">
      <c r="A264" s="100"/>
      <c r="B264" s="101"/>
      <c r="C264" s="101"/>
      <c r="D264" s="101"/>
      <c r="E264" s="101"/>
      <c r="F264" s="101"/>
      <c r="G264" s="101"/>
      <c r="H264" s="101"/>
      <c r="I264" s="113"/>
      <c r="J264" s="113"/>
      <c r="K264" s="72"/>
      <c r="L264" s="72"/>
      <c r="M264" s="72"/>
      <c r="N264" s="72"/>
      <c r="O264" s="72"/>
      <c r="P264" s="72"/>
      <c r="Q264" s="72"/>
      <c r="R264" s="72"/>
      <c r="S264" s="72"/>
    </row>
    <row r="265" spans="1:19" ht="12.75">
      <c r="A265" s="100"/>
      <c r="B265" s="101"/>
      <c r="C265" s="101"/>
      <c r="D265" s="101"/>
      <c r="E265" s="101"/>
      <c r="F265" s="101"/>
      <c r="G265" s="101"/>
      <c r="H265" s="101"/>
      <c r="I265" s="113"/>
      <c r="J265" s="113"/>
      <c r="K265" s="72"/>
      <c r="L265" s="72"/>
      <c r="M265" s="72"/>
      <c r="N265" s="72"/>
      <c r="O265" s="72"/>
      <c r="P265" s="72"/>
      <c r="Q265" s="72"/>
      <c r="R265" s="72"/>
      <c r="S265" s="72"/>
    </row>
    <row r="266" spans="1:19" ht="12.75">
      <c r="A266" s="100"/>
      <c r="B266" s="101"/>
      <c r="C266" s="101"/>
      <c r="D266" s="101"/>
      <c r="E266" s="101"/>
      <c r="F266" s="101"/>
      <c r="G266" s="101"/>
      <c r="H266" s="101"/>
      <c r="I266" s="113"/>
      <c r="J266" s="113"/>
      <c r="K266" s="72"/>
      <c r="L266" s="72"/>
      <c r="M266" s="72"/>
      <c r="N266" s="72"/>
      <c r="O266" s="72"/>
      <c r="P266" s="72"/>
      <c r="Q266" s="72"/>
      <c r="R266" s="72"/>
      <c r="S266" s="72"/>
    </row>
    <row r="267" spans="1:19" ht="12.75">
      <c r="A267" s="100"/>
      <c r="B267" s="101"/>
      <c r="C267" s="101"/>
      <c r="D267" s="101"/>
      <c r="E267" s="101"/>
      <c r="F267" s="101"/>
      <c r="G267" s="101"/>
      <c r="H267" s="101"/>
      <c r="I267" s="113"/>
      <c r="J267" s="113"/>
      <c r="K267" s="72"/>
      <c r="L267" s="72"/>
      <c r="M267" s="72"/>
      <c r="N267" s="72"/>
      <c r="O267" s="72"/>
      <c r="P267" s="72"/>
      <c r="Q267" s="72"/>
      <c r="R267" s="72"/>
      <c r="S267" s="72"/>
    </row>
    <row r="268" spans="1:19" ht="12.75">
      <c r="A268" s="100"/>
      <c r="B268" s="101"/>
      <c r="C268" s="101"/>
      <c r="D268" s="101"/>
      <c r="E268" s="101"/>
      <c r="F268" s="101"/>
      <c r="G268" s="101"/>
      <c r="H268" s="101"/>
      <c r="I268" s="113"/>
      <c r="J268" s="113"/>
      <c r="K268" s="72"/>
      <c r="L268" s="72"/>
      <c r="M268" s="72"/>
      <c r="N268" s="72"/>
      <c r="O268" s="72"/>
      <c r="P268" s="72"/>
      <c r="Q268" s="72"/>
      <c r="R268" s="72"/>
      <c r="S268" s="72"/>
    </row>
    <row r="269" spans="1:19" ht="12.75">
      <c r="A269" s="100"/>
      <c r="B269" s="101"/>
      <c r="C269" s="101"/>
      <c r="D269" s="101"/>
      <c r="E269" s="101"/>
      <c r="F269" s="101"/>
      <c r="G269" s="101"/>
      <c r="H269" s="101"/>
      <c r="I269" s="113"/>
      <c r="J269" s="113"/>
      <c r="K269" s="72"/>
      <c r="L269" s="72"/>
      <c r="M269" s="72"/>
      <c r="N269" s="72"/>
      <c r="O269" s="72"/>
      <c r="P269" s="72"/>
      <c r="Q269" s="72"/>
      <c r="R269" s="72"/>
      <c r="S269" s="72"/>
    </row>
    <row r="270" spans="1:19" ht="12.75">
      <c r="A270" s="100"/>
      <c r="B270" s="101"/>
      <c r="C270" s="101"/>
      <c r="D270" s="101"/>
      <c r="E270" s="101"/>
      <c r="F270" s="101"/>
      <c r="G270" s="101"/>
      <c r="H270" s="101"/>
      <c r="I270" s="113"/>
      <c r="J270" s="113"/>
      <c r="K270" s="72"/>
      <c r="L270" s="72"/>
      <c r="M270" s="72"/>
      <c r="N270" s="72"/>
      <c r="O270" s="72"/>
      <c r="P270" s="72"/>
      <c r="Q270" s="72"/>
      <c r="R270" s="72"/>
      <c r="S270" s="72"/>
    </row>
    <row r="271" spans="1:19" ht="12.75">
      <c r="A271" s="100"/>
      <c r="B271" s="101"/>
      <c r="C271" s="101"/>
      <c r="D271" s="101"/>
      <c r="E271" s="101"/>
      <c r="F271" s="101"/>
      <c r="G271" s="101"/>
      <c r="H271" s="101"/>
      <c r="I271" s="113"/>
      <c r="J271" s="113"/>
      <c r="K271" s="72"/>
      <c r="L271" s="72"/>
      <c r="M271" s="72"/>
      <c r="N271" s="72"/>
      <c r="O271" s="72"/>
      <c r="P271" s="72"/>
      <c r="Q271" s="72"/>
      <c r="R271" s="72"/>
      <c r="S271" s="72"/>
    </row>
    <row r="272" spans="1:19" ht="12.75">
      <c r="A272" s="100"/>
      <c r="B272" s="101"/>
      <c r="C272" s="101"/>
      <c r="D272" s="101"/>
      <c r="E272" s="101"/>
      <c r="F272" s="101"/>
      <c r="G272" s="101"/>
      <c r="H272" s="101"/>
      <c r="I272" s="113"/>
      <c r="J272" s="113"/>
      <c r="K272" s="72"/>
      <c r="L272" s="72"/>
      <c r="M272" s="72"/>
      <c r="N272" s="72"/>
      <c r="O272" s="72"/>
      <c r="P272" s="72"/>
      <c r="Q272" s="72"/>
      <c r="R272" s="72"/>
      <c r="S272" s="72"/>
    </row>
    <row r="273" spans="1:19" ht="12.75">
      <c r="A273" s="100"/>
      <c r="B273" s="101"/>
      <c r="C273" s="101"/>
      <c r="D273" s="101"/>
      <c r="E273" s="101"/>
      <c r="F273" s="101"/>
      <c r="G273" s="101"/>
      <c r="H273" s="101"/>
      <c r="I273" s="113"/>
      <c r="J273" s="113"/>
      <c r="K273" s="72"/>
      <c r="L273" s="72"/>
      <c r="M273" s="72"/>
      <c r="N273" s="72"/>
      <c r="O273" s="72"/>
      <c r="P273" s="72"/>
      <c r="Q273" s="72"/>
      <c r="R273" s="72"/>
      <c r="S273" s="72"/>
    </row>
    <row r="274" spans="1:19" ht="12.75">
      <c r="A274" s="100"/>
      <c r="B274" s="101"/>
      <c r="C274" s="101"/>
      <c r="D274" s="101"/>
      <c r="E274" s="101"/>
      <c r="F274" s="101"/>
      <c r="G274" s="101"/>
      <c r="H274" s="101"/>
      <c r="I274" s="113"/>
      <c r="J274" s="113"/>
      <c r="K274" s="72"/>
      <c r="L274" s="72"/>
      <c r="M274" s="72"/>
      <c r="N274" s="72"/>
      <c r="O274" s="72"/>
      <c r="P274" s="72"/>
      <c r="Q274" s="72"/>
      <c r="R274" s="72"/>
      <c r="S274" s="72"/>
    </row>
    <row r="275" spans="1:19" ht="12.75">
      <c r="A275" s="100"/>
      <c r="B275" s="101"/>
      <c r="C275" s="101"/>
      <c r="D275" s="101"/>
      <c r="E275" s="101"/>
      <c r="F275" s="101"/>
      <c r="G275" s="101"/>
      <c r="H275" s="101"/>
      <c r="I275" s="113"/>
      <c r="J275" s="113"/>
      <c r="K275" s="72"/>
      <c r="L275" s="72"/>
      <c r="M275" s="72"/>
      <c r="N275" s="72"/>
      <c r="O275" s="72"/>
      <c r="P275" s="72"/>
      <c r="Q275" s="72"/>
      <c r="R275" s="72"/>
      <c r="S275" s="72"/>
    </row>
    <row r="276" spans="1:19" ht="12.75">
      <c r="A276" s="100"/>
      <c r="B276" s="101"/>
      <c r="C276" s="101"/>
      <c r="D276" s="101"/>
      <c r="E276" s="101"/>
      <c r="F276" s="101"/>
      <c r="G276" s="101"/>
      <c r="H276" s="101"/>
      <c r="I276" s="113"/>
      <c r="J276" s="113"/>
      <c r="K276" s="72"/>
      <c r="L276" s="72"/>
      <c r="M276" s="72"/>
      <c r="N276" s="72"/>
      <c r="O276" s="72"/>
      <c r="P276" s="72"/>
      <c r="Q276" s="72"/>
      <c r="R276" s="72"/>
      <c r="S276" s="72"/>
    </row>
    <row r="277" spans="1:19" ht="12.75">
      <c r="A277" s="100"/>
      <c r="B277" s="101"/>
      <c r="C277" s="101"/>
      <c r="D277" s="101"/>
      <c r="E277" s="101"/>
      <c r="F277" s="101"/>
      <c r="G277" s="101"/>
      <c r="H277" s="101"/>
      <c r="I277" s="113"/>
      <c r="J277" s="113"/>
      <c r="K277" s="72"/>
      <c r="L277" s="72"/>
      <c r="M277" s="72"/>
      <c r="N277" s="72"/>
      <c r="O277" s="72"/>
      <c r="P277" s="72"/>
      <c r="Q277" s="72"/>
      <c r="R277" s="72"/>
      <c r="S277" s="72"/>
    </row>
    <row r="278" spans="1:19" ht="12.75">
      <c r="A278" s="100"/>
      <c r="B278" s="101"/>
      <c r="C278" s="101"/>
      <c r="D278" s="101"/>
      <c r="E278" s="101"/>
      <c r="F278" s="101"/>
      <c r="G278" s="101"/>
      <c r="H278" s="101"/>
      <c r="I278" s="113"/>
      <c r="J278" s="113"/>
      <c r="K278" s="72"/>
      <c r="L278" s="72"/>
      <c r="M278" s="72"/>
      <c r="N278" s="72"/>
      <c r="O278" s="72"/>
      <c r="P278" s="72"/>
      <c r="Q278" s="72"/>
      <c r="R278" s="72"/>
      <c r="S278" s="72"/>
    </row>
    <row r="279" spans="1:19" ht="12.75">
      <c r="A279" s="100"/>
      <c r="B279" s="101"/>
      <c r="C279" s="101"/>
      <c r="D279" s="101"/>
      <c r="E279" s="101"/>
      <c r="F279" s="101"/>
      <c r="G279" s="101"/>
      <c r="H279" s="101"/>
      <c r="I279" s="113"/>
      <c r="J279" s="113"/>
      <c r="K279" s="72"/>
      <c r="L279" s="72"/>
      <c r="M279" s="72"/>
      <c r="N279" s="72"/>
      <c r="O279" s="72"/>
      <c r="P279" s="72"/>
      <c r="Q279" s="72"/>
      <c r="R279" s="72"/>
      <c r="S279" s="72"/>
    </row>
    <row r="280" spans="1:19" ht="12.75">
      <c r="A280" s="100"/>
      <c r="B280" s="101"/>
      <c r="C280" s="101"/>
      <c r="D280" s="101"/>
      <c r="E280" s="101"/>
      <c r="F280" s="101"/>
      <c r="G280" s="101"/>
      <c r="H280" s="101"/>
      <c r="I280" s="113"/>
      <c r="J280" s="113"/>
      <c r="K280" s="72"/>
      <c r="L280" s="72"/>
      <c r="M280" s="72"/>
      <c r="N280" s="72"/>
      <c r="O280" s="72"/>
      <c r="P280" s="72"/>
      <c r="Q280" s="72"/>
      <c r="R280" s="72"/>
      <c r="S280" s="72"/>
    </row>
    <row r="281" spans="1:19" ht="12.75">
      <c r="A281" s="100"/>
      <c r="B281" s="101"/>
      <c r="C281" s="101"/>
      <c r="D281" s="101"/>
      <c r="E281" s="101"/>
      <c r="F281" s="101"/>
      <c r="G281" s="101"/>
      <c r="H281" s="101"/>
      <c r="I281" s="113"/>
      <c r="J281" s="113"/>
      <c r="K281" s="72"/>
      <c r="L281" s="72"/>
      <c r="M281" s="72"/>
      <c r="N281" s="72"/>
      <c r="O281" s="72"/>
      <c r="P281" s="72"/>
      <c r="Q281" s="72"/>
      <c r="R281" s="72"/>
      <c r="S281" s="72"/>
    </row>
    <row r="282" spans="1:19" ht="12.75">
      <c r="A282" s="100"/>
      <c r="B282" s="101"/>
      <c r="C282" s="101"/>
      <c r="D282" s="101"/>
      <c r="E282" s="101"/>
      <c r="F282" s="101"/>
      <c r="G282" s="101"/>
      <c r="H282" s="101"/>
      <c r="I282" s="113"/>
      <c r="J282" s="113"/>
      <c r="K282" s="72"/>
      <c r="L282" s="72"/>
      <c r="M282" s="72"/>
      <c r="N282" s="72"/>
      <c r="O282" s="72"/>
      <c r="P282" s="72"/>
      <c r="Q282" s="72"/>
      <c r="R282" s="72"/>
      <c r="S282" s="72"/>
    </row>
    <row r="283" spans="1:19" ht="12.75">
      <c r="A283" s="100"/>
      <c r="B283" s="101"/>
      <c r="C283" s="101"/>
      <c r="D283" s="101"/>
      <c r="E283" s="101"/>
      <c r="F283" s="101"/>
      <c r="G283" s="101"/>
      <c r="H283" s="101"/>
      <c r="I283" s="113"/>
      <c r="J283" s="113"/>
      <c r="K283" s="72"/>
      <c r="L283" s="72"/>
      <c r="M283" s="72"/>
      <c r="N283" s="72"/>
      <c r="O283" s="72"/>
      <c r="P283" s="72"/>
      <c r="Q283" s="72"/>
      <c r="R283" s="72"/>
      <c r="S283" s="72"/>
    </row>
    <row r="284" spans="1:19" ht="12.75">
      <c r="A284" s="100"/>
      <c r="B284" s="101"/>
      <c r="C284" s="101"/>
      <c r="D284" s="101"/>
      <c r="E284" s="101"/>
      <c r="F284" s="101"/>
      <c r="G284" s="101"/>
      <c r="H284" s="101"/>
      <c r="I284" s="113"/>
      <c r="J284" s="113"/>
      <c r="K284" s="72"/>
      <c r="L284" s="72"/>
      <c r="M284" s="72"/>
      <c r="N284" s="72"/>
      <c r="O284" s="72"/>
      <c r="P284" s="72"/>
      <c r="Q284" s="72"/>
      <c r="R284" s="72"/>
      <c r="S284" s="72"/>
    </row>
    <row r="285" spans="1:19" ht="12.75">
      <c r="A285" s="100"/>
      <c r="B285" s="101"/>
      <c r="C285" s="101"/>
      <c r="D285" s="101"/>
      <c r="E285" s="101"/>
      <c r="F285" s="101"/>
      <c r="G285" s="101"/>
      <c r="H285" s="101"/>
      <c r="I285" s="113"/>
      <c r="J285" s="113"/>
      <c r="K285" s="72"/>
      <c r="L285" s="72"/>
      <c r="M285" s="72"/>
      <c r="N285" s="72"/>
      <c r="O285" s="72"/>
      <c r="P285" s="72"/>
      <c r="Q285" s="72"/>
      <c r="R285" s="72"/>
      <c r="S285" s="72"/>
    </row>
    <row r="286" spans="1:19" ht="12.75">
      <c r="A286" s="100"/>
      <c r="B286" s="101"/>
      <c r="C286" s="101"/>
      <c r="D286" s="101"/>
      <c r="E286" s="101"/>
      <c r="F286" s="101"/>
      <c r="G286" s="101"/>
      <c r="H286" s="101"/>
      <c r="I286" s="113"/>
      <c r="J286" s="113"/>
      <c r="K286" s="72"/>
      <c r="L286" s="72"/>
      <c r="M286" s="72"/>
      <c r="N286" s="72"/>
      <c r="O286" s="72"/>
      <c r="P286" s="72"/>
      <c r="Q286" s="72"/>
      <c r="R286" s="72"/>
      <c r="S286" s="72"/>
    </row>
    <row r="287" spans="1:19" ht="12.75">
      <c r="A287" s="100"/>
      <c r="B287" s="101"/>
      <c r="C287" s="101"/>
      <c r="D287" s="101"/>
      <c r="E287" s="101"/>
      <c r="F287" s="101"/>
      <c r="G287" s="101"/>
      <c r="H287" s="101"/>
      <c r="I287" s="113"/>
      <c r="J287" s="113"/>
      <c r="K287" s="72"/>
      <c r="L287" s="72"/>
      <c r="M287" s="72"/>
      <c r="N287" s="72"/>
      <c r="O287" s="72"/>
      <c r="P287" s="72"/>
      <c r="Q287" s="72"/>
      <c r="R287" s="72"/>
      <c r="S287" s="72"/>
    </row>
    <row r="288" spans="1:19" ht="12.75">
      <c r="A288" s="100"/>
      <c r="B288" s="101"/>
      <c r="C288" s="101"/>
      <c r="D288" s="101"/>
      <c r="E288" s="101"/>
      <c r="F288" s="101"/>
      <c r="G288" s="101"/>
      <c r="H288" s="101"/>
      <c r="I288" s="113"/>
      <c r="J288" s="113"/>
      <c r="K288" s="72"/>
      <c r="L288" s="72"/>
      <c r="M288" s="72"/>
      <c r="N288" s="72"/>
      <c r="O288" s="72"/>
      <c r="P288" s="72"/>
      <c r="Q288" s="72"/>
      <c r="R288" s="72"/>
      <c r="S288" s="72"/>
    </row>
    <row r="289" spans="1:19" ht="12.75">
      <c r="A289" s="100"/>
      <c r="B289" s="101"/>
      <c r="C289" s="101"/>
      <c r="D289" s="101"/>
      <c r="E289" s="101"/>
      <c r="F289" s="101"/>
      <c r="G289" s="101"/>
      <c r="H289" s="101"/>
      <c r="I289" s="113"/>
      <c r="J289" s="113"/>
      <c r="K289" s="72"/>
      <c r="L289" s="72"/>
      <c r="M289" s="72"/>
      <c r="N289" s="72"/>
      <c r="O289" s="72"/>
      <c r="P289" s="72"/>
      <c r="Q289" s="72"/>
      <c r="R289" s="72"/>
      <c r="S289" s="72"/>
    </row>
    <row r="290" spans="1:19" ht="12.75">
      <c r="A290" s="100"/>
      <c r="B290" s="101"/>
      <c r="C290" s="101"/>
      <c r="D290" s="101"/>
      <c r="E290" s="101"/>
      <c r="F290" s="101"/>
      <c r="G290" s="101"/>
      <c r="H290" s="101"/>
      <c r="I290" s="113"/>
      <c r="J290" s="113"/>
      <c r="K290" s="72"/>
      <c r="L290" s="72"/>
      <c r="M290" s="72"/>
      <c r="N290" s="72"/>
      <c r="O290" s="72"/>
      <c r="P290" s="72"/>
      <c r="Q290" s="72"/>
      <c r="R290" s="72"/>
      <c r="S290" s="72"/>
    </row>
    <row r="291" spans="1:19" ht="12.75">
      <c r="A291" s="100"/>
      <c r="B291" s="101"/>
      <c r="C291" s="101"/>
      <c r="D291" s="101"/>
      <c r="E291" s="101"/>
      <c r="F291" s="101"/>
      <c r="G291" s="101"/>
      <c r="H291" s="101"/>
      <c r="I291" s="113"/>
      <c r="J291" s="113"/>
      <c r="K291" s="72"/>
      <c r="L291" s="72"/>
      <c r="M291" s="72"/>
      <c r="N291" s="72"/>
      <c r="O291" s="72"/>
      <c r="P291" s="72"/>
      <c r="Q291" s="72"/>
      <c r="R291" s="72"/>
      <c r="S291" s="72"/>
    </row>
    <row r="292" spans="1:19" ht="12.75">
      <c r="A292" s="100"/>
      <c r="B292" s="101"/>
      <c r="C292" s="101"/>
      <c r="D292" s="101"/>
      <c r="E292" s="101"/>
      <c r="F292" s="101"/>
      <c r="G292" s="101"/>
      <c r="H292" s="101"/>
      <c r="I292" s="113"/>
      <c r="J292" s="113"/>
      <c r="K292" s="72"/>
      <c r="L292" s="72"/>
      <c r="M292" s="72"/>
      <c r="N292" s="72"/>
      <c r="O292" s="72"/>
      <c r="P292" s="72"/>
      <c r="Q292" s="72"/>
      <c r="R292" s="72"/>
      <c r="S292" s="72"/>
    </row>
    <row r="293" spans="1:19" ht="12.75">
      <c r="A293" s="100"/>
      <c r="B293" s="101"/>
      <c r="C293" s="101"/>
      <c r="D293" s="101"/>
      <c r="E293" s="101"/>
      <c r="F293" s="101"/>
      <c r="G293" s="101"/>
      <c r="H293" s="101"/>
      <c r="I293" s="113"/>
      <c r="J293" s="113"/>
      <c r="K293" s="72"/>
      <c r="L293" s="72"/>
      <c r="M293" s="72"/>
      <c r="N293" s="72"/>
      <c r="O293" s="72"/>
      <c r="P293" s="72"/>
      <c r="Q293" s="72"/>
      <c r="R293" s="72"/>
      <c r="S293" s="72"/>
    </row>
    <row r="294" spans="1:19" ht="12.75">
      <c r="A294" s="100"/>
      <c r="B294" s="101"/>
      <c r="C294" s="101"/>
      <c r="D294" s="101"/>
      <c r="E294" s="101"/>
      <c r="F294" s="101"/>
      <c r="G294" s="101"/>
      <c r="H294" s="101"/>
      <c r="I294" s="113"/>
      <c r="J294" s="113"/>
      <c r="K294" s="72"/>
      <c r="L294" s="72"/>
      <c r="M294" s="72"/>
      <c r="N294" s="72"/>
      <c r="O294" s="72"/>
      <c r="P294" s="72"/>
      <c r="Q294" s="72"/>
      <c r="R294" s="72"/>
      <c r="S294" s="72"/>
    </row>
    <row r="295" spans="1:19" ht="12.75">
      <c r="A295" s="100"/>
      <c r="B295" s="101"/>
      <c r="C295" s="101"/>
      <c r="D295" s="101"/>
      <c r="E295" s="101"/>
      <c r="F295" s="101"/>
      <c r="G295" s="101"/>
      <c r="H295" s="101"/>
      <c r="I295" s="113"/>
      <c r="J295" s="113"/>
      <c r="K295" s="72"/>
      <c r="L295" s="72"/>
      <c r="M295" s="72"/>
      <c r="N295" s="72"/>
      <c r="O295" s="72"/>
      <c r="P295" s="72"/>
      <c r="Q295" s="72"/>
      <c r="R295" s="72"/>
      <c r="S295" s="72"/>
    </row>
    <row r="296" spans="1:19" ht="12.75">
      <c r="A296" s="100"/>
      <c r="B296" s="101"/>
      <c r="C296" s="101"/>
      <c r="D296" s="101"/>
      <c r="E296" s="101"/>
      <c r="F296" s="101"/>
      <c r="G296" s="101"/>
      <c r="H296" s="101"/>
      <c r="I296" s="113"/>
      <c r="J296" s="113"/>
      <c r="K296" s="72"/>
      <c r="L296" s="72"/>
      <c r="M296" s="72"/>
      <c r="N296" s="72"/>
      <c r="O296" s="72"/>
      <c r="P296" s="72"/>
      <c r="Q296" s="72"/>
      <c r="R296" s="72"/>
      <c r="S296" s="72"/>
    </row>
    <row r="297" spans="1:19" ht="12.75">
      <c r="A297" s="100"/>
      <c r="B297" s="101"/>
      <c r="C297" s="101"/>
      <c r="D297" s="101"/>
      <c r="E297" s="101"/>
      <c r="F297" s="101"/>
      <c r="G297" s="101"/>
      <c r="H297" s="101"/>
      <c r="I297" s="113"/>
      <c r="J297" s="113"/>
      <c r="K297" s="72"/>
      <c r="L297" s="72"/>
      <c r="M297" s="72"/>
      <c r="N297" s="72"/>
      <c r="O297" s="72"/>
      <c r="P297" s="72"/>
      <c r="Q297" s="72"/>
      <c r="R297" s="72"/>
      <c r="S297" s="72"/>
    </row>
    <row r="298" spans="1:19" ht="12.75">
      <c r="A298" s="100"/>
      <c r="B298" s="101"/>
      <c r="C298" s="101"/>
      <c r="D298" s="101"/>
      <c r="E298" s="101"/>
      <c r="F298" s="101"/>
      <c r="G298" s="101"/>
      <c r="H298" s="101"/>
      <c r="I298" s="113"/>
      <c r="J298" s="113"/>
      <c r="K298" s="72"/>
      <c r="L298" s="72"/>
      <c r="M298" s="72"/>
      <c r="N298" s="72"/>
      <c r="O298" s="72"/>
      <c r="P298" s="72"/>
      <c r="Q298" s="72"/>
      <c r="R298" s="72"/>
      <c r="S298" s="72"/>
    </row>
    <row r="299" spans="1:19" ht="12.75">
      <c r="A299" s="100"/>
      <c r="B299" s="101"/>
      <c r="C299" s="101"/>
      <c r="D299" s="101"/>
      <c r="E299" s="101"/>
      <c r="F299" s="101"/>
      <c r="G299" s="101"/>
      <c r="H299" s="101"/>
      <c r="I299" s="113"/>
      <c r="J299" s="113"/>
      <c r="K299" s="72"/>
      <c r="L299" s="72"/>
      <c r="M299" s="72"/>
      <c r="N299" s="72"/>
      <c r="O299" s="72"/>
      <c r="P299" s="72"/>
      <c r="Q299" s="72"/>
      <c r="R299" s="72"/>
      <c r="S299" s="72"/>
    </row>
    <row r="300" spans="1:19" ht="12.75">
      <c r="A300" s="100"/>
      <c r="B300" s="101"/>
      <c r="C300" s="101"/>
      <c r="D300" s="101"/>
      <c r="E300" s="101"/>
      <c r="F300" s="101"/>
      <c r="G300" s="101"/>
      <c r="H300" s="101"/>
      <c r="I300" s="113"/>
      <c r="J300" s="113"/>
      <c r="K300" s="72"/>
      <c r="L300" s="72"/>
      <c r="M300" s="72"/>
      <c r="N300" s="72"/>
      <c r="O300" s="72"/>
      <c r="P300" s="72"/>
      <c r="Q300" s="72"/>
      <c r="R300" s="72"/>
      <c r="S300" s="72"/>
    </row>
    <row r="301" spans="1:19" ht="12.75">
      <c r="A301" s="100"/>
      <c r="B301" s="101"/>
      <c r="C301" s="101"/>
      <c r="D301" s="101"/>
      <c r="E301" s="101"/>
      <c r="F301" s="101"/>
      <c r="G301" s="101"/>
      <c r="H301" s="101"/>
      <c r="I301" s="113"/>
      <c r="J301" s="113"/>
      <c r="K301" s="72"/>
      <c r="L301" s="72"/>
      <c r="M301" s="72"/>
      <c r="N301" s="72"/>
      <c r="O301" s="72"/>
      <c r="P301" s="72"/>
      <c r="Q301" s="72"/>
      <c r="R301" s="72"/>
      <c r="S301" s="72"/>
    </row>
    <row r="302" spans="1:19" ht="12.75">
      <c r="A302" s="100"/>
      <c r="B302" s="101"/>
      <c r="C302" s="101"/>
      <c r="D302" s="101"/>
      <c r="E302" s="101"/>
      <c r="F302" s="101"/>
      <c r="G302" s="101"/>
      <c r="H302" s="101"/>
      <c r="I302" s="113"/>
      <c r="J302" s="113"/>
      <c r="K302" s="72"/>
      <c r="L302" s="72"/>
      <c r="M302" s="72"/>
      <c r="N302" s="72"/>
      <c r="O302" s="72"/>
      <c r="P302" s="72"/>
      <c r="Q302" s="72"/>
      <c r="R302" s="72"/>
      <c r="S302" s="72"/>
    </row>
    <row r="303" spans="1:19" ht="12.75">
      <c r="A303" s="100"/>
      <c r="B303" s="101"/>
      <c r="C303" s="101"/>
      <c r="D303" s="101"/>
      <c r="E303" s="101"/>
      <c r="F303" s="101"/>
      <c r="G303" s="101"/>
      <c r="H303" s="101"/>
      <c r="I303" s="113"/>
      <c r="J303" s="113"/>
      <c r="K303" s="72"/>
      <c r="L303" s="72"/>
      <c r="M303" s="72"/>
      <c r="N303" s="72"/>
      <c r="O303" s="72"/>
      <c r="P303" s="72"/>
      <c r="Q303" s="72"/>
      <c r="R303" s="72"/>
      <c r="S303" s="72"/>
    </row>
    <row r="304" spans="1:19" ht="12.75">
      <c r="A304" s="100"/>
      <c r="B304" s="101"/>
      <c r="C304" s="101"/>
      <c r="D304" s="101"/>
      <c r="E304" s="101"/>
      <c r="F304" s="101"/>
      <c r="G304" s="101"/>
      <c r="H304" s="101"/>
      <c r="I304" s="113"/>
      <c r="J304" s="113"/>
      <c r="K304" s="72"/>
      <c r="L304" s="72"/>
      <c r="M304" s="72"/>
      <c r="N304" s="72"/>
      <c r="O304" s="72"/>
      <c r="P304" s="72"/>
      <c r="Q304" s="72"/>
      <c r="R304" s="72"/>
      <c r="S304" s="72"/>
    </row>
    <row r="305" spans="1:19" ht="12.75">
      <c r="A305" s="100"/>
      <c r="B305" s="101"/>
      <c r="C305" s="101"/>
      <c r="D305" s="101"/>
      <c r="E305" s="101"/>
      <c r="F305" s="101"/>
      <c r="G305" s="101"/>
      <c r="H305" s="101"/>
      <c r="I305" s="113"/>
      <c r="J305" s="113"/>
      <c r="K305" s="72"/>
      <c r="L305" s="72"/>
      <c r="M305" s="72"/>
      <c r="N305" s="72"/>
      <c r="O305" s="72"/>
      <c r="P305" s="72"/>
      <c r="Q305" s="72"/>
      <c r="R305" s="72"/>
      <c r="S305" s="72"/>
    </row>
    <row r="306" spans="1:19" ht="12.75">
      <c r="A306" s="100"/>
      <c r="B306" s="101"/>
      <c r="C306" s="101"/>
      <c r="D306" s="101"/>
      <c r="E306" s="101"/>
      <c r="F306" s="101"/>
      <c r="G306" s="101"/>
      <c r="H306" s="101"/>
      <c r="I306" s="113"/>
      <c r="J306" s="113"/>
      <c r="K306" s="72"/>
      <c r="L306" s="72"/>
      <c r="M306" s="72"/>
      <c r="N306" s="72"/>
      <c r="O306" s="72"/>
      <c r="P306" s="72"/>
      <c r="Q306" s="72"/>
      <c r="R306" s="72"/>
      <c r="S306" s="72"/>
    </row>
    <row r="307" spans="1:19" ht="12.75">
      <c r="A307" s="100"/>
      <c r="B307" s="101"/>
      <c r="C307" s="101"/>
      <c r="D307" s="101"/>
      <c r="E307" s="101"/>
      <c r="F307" s="101"/>
      <c r="G307" s="101"/>
      <c r="H307" s="101"/>
      <c r="I307" s="113"/>
      <c r="J307" s="113"/>
      <c r="K307" s="72"/>
      <c r="L307" s="72"/>
      <c r="M307" s="72"/>
      <c r="N307" s="72"/>
      <c r="O307" s="72"/>
      <c r="P307" s="72"/>
      <c r="Q307" s="72"/>
      <c r="R307" s="72"/>
      <c r="S307" s="72"/>
    </row>
    <row r="308" spans="1:19" ht="12.75">
      <c r="A308" s="100"/>
      <c r="B308" s="101"/>
      <c r="C308" s="101"/>
      <c r="D308" s="101"/>
      <c r="E308" s="101"/>
      <c r="F308" s="101"/>
      <c r="G308" s="101"/>
      <c r="H308" s="101"/>
      <c r="I308" s="113"/>
      <c r="J308" s="113"/>
      <c r="K308" s="72"/>
      <c r="L308" s="72"/>
      <c r="M308" s="72"/>
      <c r="N308" s="72"/>
      <c r="O308" s="72"/>
      <c r="P308" s="72"/>
      <c r="Q308" s="72"/>
      <c r="R308" s="72"/>
      <c r="S308" s="72"/>
    </row>
    <row r="309" spans="1:19" ht="12.75">
      <c r="A309" s="100"/>
      <c r="B309" s="101"/>
      <c r="C309" s="101"/>
      <c r="D309" s="101"/>
      <c r="E309" s="101"/>
      <c r="F309" s="101"/>
      <c r="G309" s="101"/>
      <c r="H309" s="101"/>
      <c r="I309" s="113"/>
      <c r="J309" s="113"/>
      <c r="K309" s="72"/>
      <c r="L309" s="72"/>
      <c r="M309" s="72"/>
      <c r="N309" s="72"/>
      <c r="O309" s="72"/>
      <c r="P309" s="72"/>
      <c r="Q309" s="72"/>
      <c r="R309" s="72"/>
      <c r="S309" s="72"/>
    </row>
    <row r="310" spans="1:19" ht="12.75">
      <c r="A310" s="100"/>
      <c r="B310" s="101"/>
      <c r="C310" s="101"/>
      <c r="D310" s="101"/>
      <c r="E310" s="101"/>
      <c r="F310" s="101"/>
      <c r="G310" s="101"/>
      <c r="H310" s="101"/>
      <c r="I310" s="113"/>
      <c r="J310" s="113"/>
      <c r="K310" s="72"/>
      <c r="L310" s="72"/>
      <c r="M310" s="72"/>
      <c r="N310" s="72"/>
      <c r="O310" s="72"/>
      <c r="P310" s="72"/>
      <c r="Q310" s="72"/>
      <c r="R310" s="72"/>
      <c r="S310" s="72"/>
    </row>
    <row r="311" spans="1:19" ht="12.75">
      <c r="A311" s="100"/>
      <c r="B311" s="101"/>
      <c r="C311" s="101"/>
      <c r="D311" s="101"/>
      <c r="E311" s="101"/>
      <c r="F311" s="101"/>
      <c r="G311" s="101"/>
      <c r="H311" s="101"/>
      <c r="I311" s="113"/>
      <c r="J311" s="113"/>
      <c r="K311" s="72"/>
      <c r="L311" s="72"/>
      <c r="M311" s="72"/>
      <c r="N311" s="72"/>
      <c r="O311" s="72"/>
      <c r="P311" s="72"/>
      <c r="Q311" s="72"/>
      <c r="R311" s="72"/>
      <c r="S311" s="72"/>
    </row>
    <row r="312" spans="1:19" ht="12.75">
      <c r="A312" s="100"/>
      <c r="B312" s="101"/>
      <c r="C312" s="101"/>
      <c r="D312" s="101"/>
      <c r="E312" s="101"/>
      <c r="F312" s="101"/>
      <c r="G312" s="101"/>
      <c r="H312" s="101"/>
      <c r="I312" s="113"/>
      <c r="J312" s="113"/>
      <c r="K312" s="72"/>
      <c r="L312" s="72"/>
      <c r="M312" s="72"/>
      <c r="N312" s="72"/>
      <c r="O312" s="72"/>
      <c r="P312" s="72"/>
      <c r="Q312" s="72"/>
      <c r="R312" s="72"/>
      <c r="S312" s="72"/>
    </row>
    <row r="313" spans="1:19" ht="12.75">
      <c r="A313" s="100"/>
      <c r="B313" s="101"/>
      <c r="C313" s="101"/>
      <c r="D313" s="101"/>
      <c r="E313" s="101"/>
      <c r="F313" s="101"/>
      <c r="G313" s="101"/>
      <c r="H313" s="101"/>
      <c r="I313" s="113"/>
      <c r="J313" s="113"/>
      <c r="K313" s="72"/>
      <c r="L313" s="72"/>
      <c r="M313" s="72"/>
      <c r="N313" s="72"/>
      <c r="O313" s="72"/>
      <c r="P313" s="72"/>
      <c r="Q313" s="72"/>
      <c r="R313" s="72"/>
      <c r="S313" s="72"/>
    </row>
    <row r="314" spans="1:19" ht="12.75">
      <c r="A314" s="100"/>
      <c r="B314" s="101"/>
      <c r="C314" s="101"/>
      <c r="D314" s="101"/>
      <c r="E314" s="101"/>
      <c r="F314" s="101"/>
      <c r="G314" s="101"/>
      <c r="H314" s="101"/>
      <c r="I314" s="113"/>
      <c r="J314" s="113"/>
      <c r="K314" s="72"/>
      <c r="L314" s="72"/>
      <c r="M314" s="72"/>
      <c r="N314" s="72"/>
      <c r="O314" s="72"/>
      <c r="P314" s="72"/>
      <c r="Q314" s="72"/>
      <c r="R314" s="72"/>
      <c r="S314" s="72"/>
    </row>
    <row r="315" spans="1:19" ht="12.75">
      <c r="A315" s="100"/>
      <c r="B315" s="101"/>
      <c r="C315" s="101"/>
      <c r="D315" s="101"/>
      <c r="E315" s="101"/>
      <c r="F315" s="101"/>
      <c r="G315" s="101"/>
      <c r="H315" s="101"/>
      <c r="I315" s="113"/>
      <c r="J315" s="113"/>
      <c r="K315" s="72"/>
      <c r="L315" s="72"/>
      <c r="M315" s="72"/>
      <c r="N315" s="72"/>
      <c r="O315" s="72"/>
      <c r="P315" s="72"/>
      <c r="Q315" s="72"/>
      <c r="R315" s="72"/>
      <c r="S315" s="72"/>
    </row>
    <row r="316" spans="1:19" ht="12.75">
      <c r="A316" s="100"/>
      <c r="B316" s="101"/>
      <c r="C316" s="101"/>
      <c r="D316" s="101"/>
      <c r="E316" s="101"/>
      <c r="F316" s="101"/>
      <c r="G316" s="101"/>
      <c r="H316" s="101"/>
      <c r="I316" s="113"/>
      <c r="J316" s="113"/>
      <c r="K316" s="72"/>
      <c r="L316" s="72"/>
      <c r="M316" s="72"/>
      <c r="N316" s="72"/>
      <c r="O316" s="72"/>
      <c r="P316" s="72"/>
      <c r="Q316" s="72"/>
      <c r="R316" s="72"/>
      <c r="S316" s="72"/>
    </row>
    <row r="317" spans="1:19" ht="12.75">
      <c r="A317" s="100"/>
      <c r="B317" s="101"/>
      <c r="C317" s="101"/>
      <c r="D317" s="101"/>
      <c r="E317" s="101"/>
      <c r="F317" s="101"/>
      <c r="G317" s="101"/>
      <c r="H317" s="101"/>
      <c r="I317" s="113"/>
      <c r="J317" s="113"/>
      <c r="K317" s="72"/>
      <c r="L317" s="72"/>
      <c r="M317" s="72"/>
      <c r="N317" s="72"/>
      <c r="O317" s="72"/>
      <c r="P317" s="72"/>
      <c r="Q317" s="72"/>
      <c r="R317" s="72"/>
      <c r="S317" s="72"/>
    </row>
    <row r="318" spans="1:19" ht="12.75">
      <c r="A318" s="100"/>
      <c r="B318" s="101"/>
      <c r="C318" s="101"/>
      <c r="D318" s="101"/>
      <c r="E318" s="101"/>
      <c r="F318" s="101"/>
      <c r="G318" s="101"/>
      <c r="H318" s="101"/>
      <c r="I318" s="113"/>
      <c r="J318" s="113"/>
      <c r="K318" s="72"/>
      <c r="L318" s="72"/>
      <c r="M318" s="72"/>
      <c r="N318" s="72"/>
      <c r="O318" s="72"/>
      <c r="P318" s="72"/>
      <c r="Q318" s="72"/>
      <c r="R318" s="72"/>
      <c r="S318" s="72"/>
    </row>
    <row r="319" spans="1:19" ht="12.75">
      <c r="A319" s="100"/>
      <c r="B319" s="101"/>
      <c r="C319" s="101"/>
      <c r="D319" s="101"/>
      <c r="E319" s="101"/>
      <c r="F319" s="101"/>
      <c r="G319" s="101"/>
      <c r="H319" s="101"/>
      <c r="I319" s="113"/>
      <c r="J319" s="113"/>
      <c r="K319" s="72"/>
      <c r="L319" s="72"/>
      <c r="M319" s="72"/>
      <c r="N319" s="72"/>
      <c r="O319" s="72"/>
      <c r="P319" s="72"/>
      <c r="Q319" s="72"/>
      <c r="R319" s="72"/>
      <c r="S319" s="72"/>
    </row>
    <row r="320" spans="1:19" ht="12.75">
      <c r="A320" s="100"/>
      <c r="B320" s="101"/>
      <c r="C320" s="101"/>
      <c r="D320" s="101"/>
      <c r="E320" s="101"/>
      <c r="F320" s="101"/>
      <c r="G320" s="101"/>
      <c r="H320" s="101"/>
      <c r="I320" s="113"/>
      <c r="J320" s="113"/>
      <c r="K320" s="72"/>
      <c r="L320" s="72"/>
      <c r="M320" s="72"/>
      <c r="N320" s="72"/>
      <c r="O320" s="72"/>
      <c r="P320" s="72"/>
      <c r="Q320" s="72"/>
      <c r="R320" s="72"/>
      <c r="S320" s="72"/>
    </row>
    <row r="321" spans="1:19" ht="12.75">
      <c r="A321" s="100"/>
      <c r="B321" s="101"/>
      <c r="C321" s="101"/>
      <c r="D321" s="101"/>
      <c r="E321" s="101"/>
      <c r="F321" s="101"/>
      <c r="G321" s="101"/>
      <c r="H321" s="101"/>
      <c r="I321" s="113"/>
      <c r="J321" s="113"/>
      <c r="K321" s="72"/>
      <c r="L321" s="72"/>
      <c r="M321" s="72"/>
      <c r="N321" s="72"/>
      <c r="O321" s="72"/>
      <c r="P321" s="72"/>
      <c r="Q321" s="72"/>
      <c r="R321" s="72"/>
      <c r="S321" s="72"/>
    </row>
    <row r="322" spans="1:19" ht="12.75">
      <c r="A322" s="100"/>
      <c r="B322" s="101"/>
      <c r="C322" s="101"/>
      <c r="D322" s="101"/>
      <c r="E322" s="101"/>
      <c r="F322" s="101"/>
      <c r="G322" s="101"/>
      <c r="H322" s="101"/>
      <c r="I322" s="113"/>
      <c r="J322" s="113"/>
      <c r="K322" s="72"/>
      <c r="L322" s="72"/>
      <c r="M322" s="72"/>
      <c r="N322" s="72"/>
      <c r="O322" s="72"/>
      <c r="P322" s="72"/>
      <c r="Q322" s="72"/>
      <c r="R322" s="72"/>
      <c r="S322" s="72"/>
    </row>
    <row r="323" spans="1:19" ht="12.75">
      <c r="A323" s="100"/>
      <c r="B323" s="101"/>
      <c r="C323" s="101"/>
      <c r="D323" s="101"/>
      <c r="E323" s="101"/>
      <c r="F323" s="101"/>
      <c r="G323" s="101"/>
      <c r="H323" s="101"/>
      <c r="I323" s="113"/>
      <c r="J323" s="113"/>
      <c r="K323" s="72"/>
      <c r="L323" s="72"/>
      <c r="M323" s="72"/>
      <c r="N323" s="72"/>
      <c r="O323" s="72"/>
      <c r="P323" s="72"/>
      <c r="Q323" s="72"/>
      <c r="R323" s="72"/>
      <c r="S323" s="72"/>
    </row>
    <row r="324" spans="1:19" ht="12.75">
      <c r="A324" s="100"/>
      <c r="B324" s="101"/>
      <c r="C324" s="101"/>
      <c r="D324" s="101"/>
      <c r="E324" s="101"/>
      <c r="F324" s="101"/>
      <c r="G324" s="101"/>
      <c r="H324" s="101"/>
      <c r="I324" s="113"/>
      <c r="J324" s="113"/>
      <c r="K324" s="72"/>
      <c r="L324" s="72"/>
      <c r="M324" s="72"/>
      <c r="N324" s="72"/>
      <c r="O324" s="72"/>
      <c r="P324" s="72"/>
      <c r="Q324" s="72"/>
      <c r="R324" s="72"/>
      <c r="S324" s="72"/>
    </row>
    <row r="325" spans="1:19" ht="12.75">
      <c r="A325" s="100"/>
      <c r="B325" s="101"/>
      <c r="C325" s="101"/>
      <c r="D325" s="101"/>
      <c r="E325" s="101"/>
      <c r="F325" s="101"/>
      <c r="G325" s="101"/>
      <c r="H325" s="101"/>
      <c r="I325" s="113"/>
      <c r="J325" s="113"/>
      <c r="K325" s="72"/>
      <c r="L325" s="72"/>
      <c r="M325" s="72"/>
      <c r="N325" s="72"/>
      <c r="O325" s="72"/>
      <c r="P325" s="72"/>
      <c r="Q325" s="72"/>
      <c r="R325" s="72"/>
      <c r="S325" s="72"/>
    </row>
    <row r="326" spans="1:19" ht="12.75">
      <c r="A326" s="100"/>
      <c r="B326" s="101"/>
      <c r="C326" s="101"/>
      <c r="D326" s="101"/>
      <c r="E326" s="101"/>
      <c r="F326" s="101"/>
      <c r="G326" s="101"/>
      <c r="H326" s="101"/>
      <c r="I326" s="113"/>
      <c r="J326" s="113"/>
      <c r="K326" s="72"/>
      <c r="L326" s="72"/>
      <c r="M326" s="72"/>
      <c r="N326" s="72"/>
      <c r="O326" s="72"/>
      <c r="P326" s="72"/>
      <c r="Q326" s="72"/>
      <c r="R326" s="72"/>
      <c r="S326" s="72"/>
    </row>
    <row r="327" spans="1:19" ht="12.75">
      <c r="A327" s="100"/>
      <c r="B327" s="101"/>
      <c r="C327" s="101"/>
      <c r="D327" s="101"/>
      <c r="E327" s="101"/>
      <c r="F327" s="101"/>
      <c r="G327" s="101"/>
      <c r="H327" s="101"/>
      <c r="I327" s="113"/>
      <c r="J327" s="113"/>
      <c r="K327" s="72"/>
      <c r="L327" s="72"/>
      <c r="M327" s="72"/>
      <c r="N327" s="72"/>
      <c r="O327" s="72"/>
      <c r="P327" s="72"/>
      <c r="Q327" s="72"/>
      <c r="R327" s="72"/>
      <c r="S327" s="72"/>
    </row>
    <row r="328" spans="1:19" ht="12.75">
      <c r="A328" s="100"/>
      <c r="B328" s="101"/>
      <c r="C328" s="101"/>
      <c r="D328" s="101"/>
      <c r="E328" s="101"/>
      <c r="F328" s="101"/>
      <c r="G328" s="101"/>
      <c r="H328" s="101"/>
      <c r="I328" s="113"/>
      <c r="J328" s="113"/>
      <c r="K328" s="72"/>
      <c r="L328" s="72"/>
      <c r="M328" s="72"/>
      <c r="N328" s="72"/>
      <c r="O328" s="72"/>
      <c r="P328" s="72"/>
      <c r="Q328" s="72"/>
      <c r="R328" s="72"/>
      <c r="S328" s="72"/>
    </row>
    <row r="329" spans="1:19" ht="12.75">
      <c r="A329" s="100"/>
      <c r="B329" s="101"/>
      <c r="C329" s="101"/>
      <c r="D329" s="101"/>
      <c r="E329" s="101"/>
      <c r="F329" s="101"/>
      <c r="G329" s="101"/>
      <c r="H329" s="101"/>
      <c r="I329" s="113"/>
      <c r="J329" s="113"/>
      <c r="K329" s="72"/>
      <c r="L329" s="72"/>
      <c r="M329" s="72"/>
      <c r="N329" s="72"/>
      <c r="O329" s="72"/>
      <c r="P329" s="72"/>
      <c r="Q329" s="72"/>
      <c r="R329" s="72"/>
      <c r="S329" s="72"/>
    </row>
    <row r="330" spans="1:19" ht="12.75">
      <c r="A330" s="100"/>
      <c r="B330" s="101"/>
      <c r="C330" s="101"/>
      <c r="D330" s="101"/>
      <c r="E330" s="101"/>
      <c r="F330" s="101"/>
      <c r="G330" s="101"/>
      <c r="H330" s="101"/>
      <c r="I330" s="113"/>
      <c r="J330" s="113"/>
      <c r="K330" s="72"/>
      <c r="L330" s="72"/>
      <c r="M330" s="72"/>
      <c r="N330" s="72"/>
      <c r="O330" s="72"/>
      <c r="P330" s="72"/>
      <c r="Q330" s="72"/>
      <c r="R330" s="72"/>
      <c r="S330" s="72"/>
    </row>
    <row r="331" spans="1:19" ht="12.75">
      <c r="A331" s="100"/>
      <c r="B331" s="101"/>
      <c r="C331" s="101"/>
      <c r="D331" s="101"/>
      <c r="E331" s="101"/>
      <c r="F331" s="101"/>
      <c r="G331" s="101"/>
      <c r="H331" s="101"/>
      <c r="I331" s="113"/>
      <c r="J331" s="113"/>
      <c r="K331" s="72"/>
      <c r="L331" s="72"/>
      <c r="M331" s="72"/>
      <c r="N331" s="72"/>
      <c r="O331" s="72"/>
      <c r="P331" s="72"/>
      <c r="Q331" s="72"/>
      <c r="R331" s="72"/>
      <c r="S331" s="72"/>
    </row>
    <row r="332" spans="1:19" ht="12.75">
      <c r="A332" s="100"/>
      <c r="B332" s="101"/>
      <c r="C332" s="101"/>
      <c r="D332" s="101"/>
      <c r="E332" s="101"/>
      <c r="F332" s="101"/>
      <c r="G332" s="101"/>
      <c r="H332" s="101"/>
      <c r="I332" s="113"/>
      <c r="J332" s="113"/>
      <c r="K332" s="72"/>
      <c r="L332" s="72"/>
      <c r="M332" s="72"/>
      <c r="N332" s="72"/>
      <c r="O332" s="72"/>
      <c r="P332" s="72"/>
      <c r="Q332" s="72"/>
      <c r="R332" s="72"/>
      <c r="S332" s="72"/>
    </row>
    <row r="333" spans="1:19" ht="12.75">
      <c r="A333" s="100"/>
      <c r="B333" s="101"/>
      <c r="C333" s="101"/>
      <c r="D333" s="101"/>
      <c r="E333" s="101"/>
      <c r="F333" s="101"/>
      <c r="G333" s="101"/>
      <c r="H333" s="101"/>
      <c r="I333" s="113"/>
      <c r="J333" s="113"/>
      <c r="K333" s="72"/>
      <c r="L333" s="72"/>
      <c r="M333" s="72"/>
      <c r="N333" s="72"/>
      <c r="O333" s="72"/>
      <c r="P333" s="72"/>
      <c r="Q333" s="72"/>
      <c r="R333" s="72"/>
      <c r="S333" s="72"/>
    </row>
    <row r="334" spans="1:19" ht="12.75">
      <c r="A334" s="100"/>
      <c r="B334" s="101"/>
      <c r="C334" s="101"/>
      <c r="D334" s="101"/>
      <c r="E334" s="101"/>
      <c r="F334" s="101"/>
      <c r="G334" s="101"/>
      <c r="H334" s="101"/>
      <c r="I334" s="113"/>
      <c r="J334" s="113"/>
      <c r="K334" s="72"/>
      <c r="L334" s="72"/>
      <c r="M334" s="72"/>
      <c r="N334" s="72"/>
      <c r="O334" s="72"/>
      <c r="P334" s="72"/>
      <c r="Q334" s="72"/>
      <c r="R334" s="72"/>
      <c r="S334" s="72"/>
    </row>
    <row r="335" spans="1:19" ht="12.75">
      <c r="A335" s="100"/>
      <c r="B335" s="101"/>
      <c r="C335" s="101"/>
      <c r="D335" s="101"/>
      <c r="E335" s="101"/>
      <c r="F335" s="101"/>
      <c r="G335" s="101"/>
      <c r="H335" s="101"/>
      <c r="I335" s="113"/>
      <c r="J335" s="113"/>
      <c r="K335" s="72"/>
      <c r="L335" s="72"/>
      <c r="M335" s="72"/>
      <c r="N335" s="72"/>
      <c r="O335" s="72"/>
      <c r="P335" s="72"/>
      <c r="Q335" s="72"/>
      <c r="R335" s="72"/>
      <c r="S335" s="72"/>
    </row>
    <row r="336" spans="1:19" ht="12.75">
      <c r="A336" s="100"/>
      <c r="B336" s="101"/>
      <c r="C336" s="101"/>
      <c r="D336" s="101"/>
      <c r="E336" s="101"/>
      <c r="F336" s="101"/>
      <c r="G336" s="101"/>
      <c r="H336" s="101"/>
      <c r="I336" s="113"/>
      <c r="J336" s="113"/>
      <c r="K336" s="72"/>
      <c r="L336" s="72"/>
      <c r="M336" s="72"/>
      <c r="N336" s="72"/>
      <c r="O336" s="72"/>
      <c r="P336" s="72"/>
      <c r="Q336" s="72"/>
      <c r="R336" s="72"/>
      <c r="S336" s="72"/>
    </row>
    <row r="337" spans="1:19" ht="12.75">
      <c r="A337" s="100"/>
      <c r="B337" s="101"/>
      <c r="C337" s="101"/>
      <c r="D337" s="101"/>
      <c r="E337" s="101"/>
      <c r="F337" s="101"/>
      <c r="G337" s="101"/>
      <c r="H337" s="101"/>
      <c r="I337" s="113"/>
      <c r="J337" s="113"/>
      <c r="K337" s="72"/>
      <c r="L337" s="72"/>
      <c r="M337" s="72"/>
      <c r="N337" s="72"/>
      <c r="O337" s="72"/>
      <c r="P337" s="72"/>
      <c r="Q337" s="72"/>
      <c r="R337" s="72"/>
      <c r="S337" s="72"/>
    </row>
    <row r="338" spans="1:19" ht="12.75">
      <c r="A338" s="100"/>
      <c r="B338" s="101"/>
      <c r="C338" s="101"/>
      <c r="D338" s="101"/>
      <c r="E338" s="101"/>
      <c r="F338" s="101"/>
      <c r="G338" s="101"/>
      <c r="H338" s="101"/>
      <c r="I338" s="113"/>
      <c r="J338" s="113"/>
      <c r="K338" s="72"/>
      <c r="L338" s="72"/>
      <c r="M338" s="72"/>
      <c r="N338" s="72"/>
      <c r="O338" s="72"/>
      <c r="P338" s="72"/>
      <c r="Q338" s="72"/>
      <c r="R338" s="72"/>
      <c r="S338" s="72"/>
    </row>
    <row r="339" spans="1:19" ht="12.75">
      <c r="A339" s="100"/>
      <c r="B339" s="101"/>
      <c r="C339" s="101"/>
      <c r="D339" s="101"/>
      <c r="E339" s="101"/>
      <c r="F339" s="101"/>
      <c r="G339" s="101"/>
      <c r="H339" s="101"/>
      <c r="I339" s="113"/>
      <c r="J339" s="113"/>
      <c r="K339" s="72"/>
      <c r="L339" s="72"/>
      <c r="M339" s="72"/>
      <c r="N339" s="72"/>
      <c r="O339" s="72"/>
      <c r="P339" s="72"/>
      <c r="Q339" s="72"/>
      <c r="R339" s="72"/>
      <c r="S339" s="72"/>
    </row>
    <row r="340" spans="1:19" ht="12.75">
      <c r="A340" s="100"/>
      <c r="B340" s="101"/>
      <c r="C340" s="101"/>
      <c r="D340" s="101"/>
      <c r="E340" s="101"/>
      <c r="F340" s="101"/>
      <c r="G340" s="101"/>
      <c r="H340" s="101"/>
      <c r="I340" s="113"/>
      <c r="J340" s="113"/>
      <c r="K340" s="72"/>
      <c r="L340" s="72"/>
      <c r="M340" s="72"/>
      <c r="N340" s="72"/>
      <c r="O340" s="72"/>
      <c r="P340" s="72"/>
      <c r="Q340" s="72"/>
      <c r="R340" s="72"/>
      <c r="S340" s="72"/>
    </row>
    <row r="341" spans="1:19" ht="12.75">
      <c r="A341" s="100"/>
      <c r="B341" s="101"/>
      <c r="C341" s="101"/>
      <c r="D341" s="101"/>
      <c r="E341" s="101"/>
      <c r="F341" s="101"/>
      <c r="G341" s="101"/>
      <c r="H341" s="101"/>
      <c r="I341" s="113"/>
      <c r="J341" s="113"/>
      <c r="K341" s="72"/>
      <c r="L341" s="72"/>
      <c r="M341" s="72"/>
      <c r="N341" s="72"/>
      <c r="O341" s="72"/>
      <c r="P341" s="72"/>
      <c r="Q341" s="72"/>
      <c r="R341" s="72"/>
      <c r="S341" s="72"/>
    </row>
    <row r="342" spans="1:19" ht="12.75">
      <c r="A342" s="100"/>
      <c r="B342" s="101"/>
      <c r="C342" s="101"/>
      <c r="D342" s="101"/>
      <c r="E342" s="101"/>
      <c r="F342" s="101"/>
      <c r="G342" s="101"/>
      <c r="H342" s="101"/>
      <c r="I342" s="113"/>
      <c r="J342" s="113"/>
      <c r="K342" s="72"/>
      <c r="L342" s="72"/>
      <c r="M342" s="72"/>
      <c r="N342" s="72"/>
      <c r="O342" s="72"/>
      <c r="P342" s="72"/>
      <c r="Q342" s="72"/>
      <c r="R342" s="72"/>
      <c r="S342" s="72"/>
    </row>
    <row r="343" spans="1:19" ht="12.75">
      <c r="A343" s="100"/>
      <c r="B343" s="101"/>
      <c r="C343" s="101"/>
      <c r="D343" s="101"/>
      <c r="E343" s="101"/>
      <c r="F343" s="101"/>
      <c r="G343" s="101"/>
      <c r="H343" s="101"/>
      <c r="I343" s="113"/>
      <c r="J343" s="113"/>
      <c r="K343" s="72"/>
      <c r="L343" s="72"/>
      <c r="M343" s="72"/>
      <c r="N343" s="72"/>
      <c r="O343" s="72"/>
      <c r="P343" s="72"/>
      <c r="Q343" s="72"/>
      <c r="R343" s="72"/>
      <c r="S343" s="72"/>
    </row>
    <row r="344" spans="1:19" ht="12.75">
      <c r="A344" s="100"/>
      <c r="B344" s="101"/>
      <c r="C344" s="101"/>
      <c r="D344" s="101"/>
      <c r="E344" s="101"/>
      <c r="F344" s="101"/>
      <c r="G344" s="101"/>
      <c r="H344" s="101"/>
      <c r="I344" s="113"/>
      <c r="J344" s="113"/>
      <c r="K344" s="72"/>
      <c r="L344" s="72"/>
      <c r="M344" s="72"/>
      <c r="N344" s="72"/>
      <c r="O344" s="72"/>
      <c r="P344" s="72"/>
      <c r="Q344" s="72"/>
      <c r="R344" s="72"/>
      <c r="S344" s="72"/>
    </row>
    <row r="345" spans="1:19" ht="12.75">
      <c r="A345" s="100"/>
      <c r="B345" s="101"/>
      <c r="C345" s="101"/>
      <c r="D345" s="101"/>
      <c r="E345" s="101"/>
      <c r="F345" s="101"/>
      <c r="G345" s="101"/>
      <c r="H345" s="101"/>
      <c r="I345" s="113"/>
      <c r="J345" s="113"/>
      <c r="K345" s="72"/>
      <c r="L345" s="72"/>
      <c r="M345" s="72"/>
      <c r="N345" s="72"/>
      <c r="O345" s="72"/>
      <c r="P345" s="72"/>
      <c r="Q345" s="72"/>
      <c r="R345" s="72"/>
      <c r="S345" s="72"/>
    </row>
    <row r="346" spans="1:19" ht="12.75">
      <c r="A346" s="100"/>
      <c r="B346" s="101"/>
      <c r="C346" s="101"/>
      <c r="D346" s="101"/>
      <c r="E346" s="101"/>
      <c r="F346" s="101"/>
      <c r="G346" s="101"/>
      <c r="H346" s="101"/>
      <c r="I346" s="113"/>
      <c r="J346" s="113"/>
      <c r="K346" s="72"/>
      <c r="L346" s="72"/>
      <c r="M346" s="72"/>
      <c r="N346" s="72"/>
      <c r="O346" s="72"/>
      <c r="P346" s="72"/>
      <c r="Q346" s="72"/>
      <c r="R346" s="72"/>
      <c r="S346" s="72"/>
    </row>
    <row r="347" spans="1:19" ht="12.75">
      <c r="A347" s="100"/>
      <c r="B347" s="101"/>
      <c r="C347" s="101"/>
      <c r="D347" s="101"/>
      <c r="E347" s="101"/>
      <c r="F347" s="101"/>
      <c r="G347" s="101"/>
      <c r="H347" s="101"/>
      <c r="I347" s="113"/>
      <c r="J347" s="113"/>
      <c r="K347" s="72"/>
      <c r="L347" s="72"/>
      <c r="M347" s="72"/>
      <c r="N347" s="72"/>
      <c r="O347" s="72"/>
      <c r="P347" s="72"/>
      <c r="Q347" s="72"/>
      <c r="R347" s="72"/>
      <c r="S347" s="72"/>
    </row>
    <row r="348" spans="1:19" ht="12.75">
      <c r="A348" s="100"/>
      <c r="B348" s="101"/>
      <c r="C348" s="101"/>
      <c r="D348" s="101"/>
      <c r="E348" s="101"/>
      <c r="F348" s="101"/>
      <c r="G348" s="101"/>
      <c r="H348" s="101"/>
      <c r="I348" s="113"/>
      <c r="J348" s="113"/>
      <c r="K348" s="72"/>
      <c r="L348" s="72"/>
      <c r="M348" s="72"/>
      <c r="N348" s="72"/>
      <c r="O348" s="72"/>
      <c r="P348" s="72"/>
      <c r="Q348" s="72"/>
      <c r="R348" s="72"/>
      <c r="S348" s="72"/>
    </row>
    <row r="349" spans="1:19" ht="12.75">
      <c r="A349" s="100"/>
      <c r="B349" s="101"/>
      <c r="C349" s="101"/>
      <c r="D349" s="101"/>
      <c r="E349" s="101"/>
      <c r="F349" s="101"/>
      <c r="G349" s="101"/>
      <c r="H349" s="101"/>
      <c r="I349" s="113"/>
      <c r="J349" s="113"/>
      <c r="K349" s="72"/>
      <c r="L349" s="72"/>
      <c r="M349" s="72"/>
      <c r="N349" s="72"/>
      <c r="O349" s="72"/>
      <c r="P349" s="72"/>
      <c r="Q349" s="72"/>
      <c r="R349" s="72"/>
      <c r="S349" s="72"/>
    </row>
    <row r="350" spans="1:19" ht="12.75">
      <c r="A350" s="100"/>
      <c r="B350" s="101"/>
      <c r="C350" s="101"/>
      <c r="D350" s="101"/>
      <c r="E350" s="101"/>
      <c r="F350" s="101"/>
      <c r="G350" s="101"/>
      <c r="H350" s="101"/>
      <c r="I350" s="113"/>
      <c r="J350" s="113"/>
      <c r="K350" s="72"/>
      <c r="L350" s="72"/>
      <c r="M350" s="72"/>
      <c r="N350" s="72"/>
      <c r="O350" s="72"/>
      <c r="P350" s="72"/>
      <c r="Q350" s="72"/>
      <c r="R350" s="72"/>
      <c r="S350" s="72"/>
    </row>
    <row r="351" spans="1:19" ht="12.75">
      <c r="A351" s="100"/>
      <c r="B351" s="101"/>
      <c r="C351" s="101"/>
      <c r="D351" s="101"/>
      <c r="E351" s="101"/>
      <c r="F351" s="101"/>
      <c r="G351" s="101"/>
      <c r="H351" s="101"/>
      <c r="I351" s="113"/>
      <c r="J351" s="113"/>
      <c r="K351" s="72"/>
      <c r="L351" s="72"/>
      <c r="M351" s="72"/>
      <c r="N351" s="72"/>
      <c r="O351" s="72"/>
      <c r="P351" s="72"/>
      <c r="Q351" s="72"/>
      <c r="R351" s="72"/>
      <c r="S351" s="72"/>
    </row>
    <row r="352" spans="1:19" ht="12.75">
      <c r="A352" s="100"/>
      <c r="B352" s="101"/>
      <c r="C352" s="101"/>
      <c r="D352" s="101"/>
      <c r="E352" s="101"/>
      <c r="F352" s="101"/>
      <c r="G352" s="101"/>
      <c r="H352" s="101"/>
      <c r="I352" s="113"/>
      <c r="J352" s="113"/>
      <c r="K352" s="72"/>
      <c r="L352" s="72"/>
      <c r="M352" s="72"/>
      <c r="N352" s="72"/>
      <c r="O352" s="72"/>
      <c r="P352" s="72"/>
      <c r="Q352" s="72"/>
      <c r="R352" s="72"/>
      <c r="S352" s="72"/>
    </row>
    <row r="353" spans="1:19" ht="12.75">
      <c r="A353" s="100"/>
      <c r="B353" s="101"/>
      <c r="C353" s="101"/>
      <c r="D353" s="101"/>
      <c r="E353" s="101"/>
      <c r="F353" s="101"/>
      <c r="G353" s="101"/>
      <c r="H353" s="101"/>
      <c r="I353" s="113"/>
      <c r="J353" s="113"/>
      <c r="K353" s="72"/>
      <c r="L353" s="72"/>
      <c r="M353" s="72"/>
      <c r="N353" s="72"/>
      <c r="O353" s="72"/>
      <c r="P353" s="72"/>
      <c r="Q353" s="72"/>
      <c r="R353" s="72"/>
      <c r="S353" s="72"/>
    </row>
    <row r="354" spans="1:19" ht="12.75">
      <c r="A354" s="100"/>
      <c r="B354" s="101"/>
      <c r="C354" s="101"/>
      <c r="D354" s="101"/>
      <c r="E354" s="101"/>
      <c r="F354" s="101"/>
      <c r="G354" s="101"/>
      <c r="H354" s="101"/>
      <c r="I354" s="113"/>
      <c r="J354" s="113"/>
      <c r="K354" s="72"/>
      <c r="L354" s="72"/>
      <c r="M354" s="72"/>
      <c r="N354" s="72"/>
      <c r="O354" s="72"/>
      <c r="P354" s="72"/>
      <c r="Q354" s="72"/>
      <c r="R354" s="72"/>
      <c r="S354" s="72"/>
    </row>
    <row r="355" spans="1:19" ht="12.75">
      <c r="A355" s="100"/>
      <c r="B355" s="101"/>
      <c r="C355" s="101"/>
      <c r="D355" s="101"/>
      <c r="E355" s="101"/>
      <c r="F355" s="101"/>
      <c r="G355" s="101"/>
      <c r="H355" s="101"/>
      <c r="I355" s="113"/>
      <c r="J355" s="113"/>
      <c r="K355" s="72"/>
      <c r="L355" s="72"/>
      <c r="M355" s="72"/>
      <c r="N355" s="72"/>
      <c r="O355" s="72"/>
      <c r="P355" s="72"/>
      <c r="Q355" s="72"/>
      <c r="R355" s="72"/>
      <c r="S355" s="72"/>
    </row>
    <row r="356" spans="1:19" ht="12.75">
      <c r="A356" s="100"/>
      <c r="B356" s="101"/>
      <c r="C356" s="101"/>
      <c r="D356" s="101"/>
      <c r="E356" s="101"/>
      <c r="F356" s="101"/>
      <c r="G356" s="101"/>
      <c r="H356" s="101"/>
      <c r="I356" s="113"/>
      <c r="J356" s="113"/>
      <c r="K356" s="72"/>
      <c r="L356" s="72"/>
      <c r="M356" s="72"/>
      <c r="N356" s="72"/>
      <c r="O356" s="72"/>
      <c r="P356" s="72"/>
      <c r="Q356" s="72"/>
      <c r="R356" s="72"/>
      <c r="S356" s="72"/>
    </row>
    <row r="357" spans="1:19" ht="12.75">
      <c r="A357" s="100"/>
      <c r="B357" s="101"/>
      <c r="C357" s="101"/>
      <c r="D357" s="101"/>
      <c r="E357" s="101"/>
      <c r="F357" s="101"/>
      <c r="G357" s="101"/>
      <c r="H357" s="101"/>
      <c r="I357" s="113"/>
      <c r="J357" s="113"/>
      <c r="K357" s="72"/>
      <c r="L357" s="72"/>
      <c r="M357" s="72"/>
      <c r="N357" s="72"/>
      <c r="O357" s="72"/>
      <c r="P357" s="72"/>
      <c r="Q357" s="72"/>
      <c r="R357" s="72"/>
      <c r="S357" s="72"/>
    </row>
    <row r="358" spans="1:19" ht="12.75">
      <c r="A358" s="100"/>
      <c r="B358" s="101"/>
      <c r="C358" s="101"/>
      <c r="D358" s="101"/>
      <c r="E358" s="101"/>
      <c r="F358" s="101"/>
      <c r="G358" s="101"/>
      <c r="H358" s="101"/>
      <c r="I358" s="113"/>
      <c r="J358" s="113"/>
      <c r="K358" s="72"/>
      <c r="L358" s="72"/>
      <c r="M358" s="72"/>
      <c r="N358" s="72"/>
      <c r="O358" s="72"/>
      <c r="P358" s="72"/>
      <c r="Q358" s="72"/>
      <c r="R358" s="72"/>
      <c r="S358" s="72"/>
    </row>
    <row r="359" spans="1:19" ht="12.75">
      <c r="A359" s="100"/>
      <c r="B359" s="101"/>
      <c r="C359" s="101"/>
      <c r="D359" s="101"/>
      <c r="E359" s="101"/>
      <c r="F359" s="101"/>
      <c r="G359" s="101"/>
      <c r="H359" s="101"/>
      <c r="I359" s="113"/>
      <c r="J359" s="113"/>
      <c r="K359" s="72"/>
      <c r="L359" s="72"/>
      <c r="M359" s="72"/>
      <c r="N359" s="72"/>
      <c r="O359" s="72"/>
      <c r="P359" s="72"/>
      <c r="Q359" s="72"/>
      <c r="R359" s="72"/>
      <c r="S359" s="72"/>
    </row>
    <row r="360" spans="1:19" ht="12.75">
      <c r="A360" s="100"/>
      <c r="B360" s="101"/>
      <c r="C360" s="101"/>
      <c r="D360" s="101"/>
      <c r="E360" s="101"/>
      <c r="F360" s="101"/>
      <c r="G360" s="101"/>
      <c r="H360" s="101"/>
      <c r="I360" s="113"/>
      <c r="J360" s="113"/>
      <c r="K360" s="72"/>
      <c r="L360" s="72"/>
      <c r="M360" s="72"/>
      <c r="N360" s="72"/>
      <c r="O360" s="72"/>
      <c r="P360" s="72"/>
      <c r="Q360" s="72"/>
      <c r="R360" s="72"/>
      <c r="S360" s="72"/>
    </row>
    <row r="361" spans="1:19" ht="12.75">
      <c r="A361" s="100"/>
      <c r="B361" s="101"/>
      <c r="C361" s="101"/>
      <c r="D361" s="101"/>
      <c r="E361" s="101"/>
      <c r="F361" s="101"/>
      <c r="G361" s="101"/>
      <c r="H361" s="101"/>
      <c r="I361" s="113"/>
      <c r="J361" s="113"/>
      <c r="K361" s="72"/>
      <c r="L361" s="72"/>
      <c r="M361" s="72"/>
      <c r="N361" s="72"/>
      <c r="O361" s="72"/>
      <c r="P361" s="72"/>
      <c r="Q361" s="72"/>
      <c r="R361" s="72"/>
      <c r="S361" s="72"/>
    </row>
    <row r="362" spans="1:19" ht="12.75">
      <c r="A362" s="100"/>
      <c r="B362" s="101"/>
      <c r="C362" s="101"/>
      <c r="D362" s="101"/>
      <c r="E362" s="101"/>
      <c r="F362" s="101"/>
      <c r="G362" s="101"/>
      <c r="H362" s="101"/>
      <c r="I362" s="113"/>
      <c r="J362" s="113"/>
      <c r="K362" s="72"/>
      <c r="L362" s="72"/>
      <c r="M362" s="72"/>
      <c r="N362" s="72"/>
      <c r="O362" s="72"/>
      <c r="P362" s="72"/>
      <c r="Q362" s="72"/>
      <c r="R362" s="72"/>
      <c r="S362" s="72"/>
    </row>
    <row r="363" spans="1:19" ht="12.75">
      <c r="A363" s="100"/>
      <c r="B363" s="101"/>
      <c r="C363" s="101"/>
      <c r="D363" s="101"/>
      <c r="E363" s="101"/>
      <c r="F363" s="101"/>
      <c r="G363" s="101"/>
      <c r="H363" s="101"/>
      <c r="I363" s="113"/>
      <c r="J363" s="113"/>
      <c r="K363" s="72"/>
      <c r="L363" s="72"/>
      <c r="M363" s="72"/>
      <c r="N363" s="72"/>
      <c r="O363" s="72"/>
      <c r="P363" s="72"/>
      <c r="Q363" s="72"/>
      <c r="R363" s="72"/>
      <c r="S363" s="72"/>
    </row>
    <row r="364" spans="1:19" ht="12.75">
      <c r="A364" s="100"/>
      <c r="B364" s="101"/>
      <c r="C364" s="101"/>
      <c r="D364" s="101"/>
      <c r="E364" s="101"/>
      <c r="F364" s="101"/>
      <c r="G364" s="101"/>
      <c r="H364" s="101"/>
      <c r="I364" s="113"/>
      <c r="J364" s="113"/>
      <c r="K364" s="72"/>
      <c r="L364" s="72"/>
      <c r="M364" s="72"/>
      <c r="N364" s="72"/>
      <c r="O364" s="72"/>
      <c r="P364" s="72"/>
      <c r="Q364" s="72"/>
      <c r="R364" s="72"/>
      <c r="S364" s="72"/>
    </row>
    <row r="365" spans="1:19" ht="12.75">
      <c r="A365" s="100"/>
      <c r="B365" s="101"/>
      <c r="C365" s="101"/>
      <c r="D365" s="101"/>
      <c r="E365" s="101"/>
      <c r="F365" s="101"/>
      <c r="G365" s="101"/>
      <c r="H365" s="101"/>
      <c r="I365" s="113"/>
      <c r="J365" s="113"/>
      <c r="K365" s="72"/>
      <c r="L365" s="72"/>
      <c r="M365" s="72"/>
      <c r="N365" s="72"/>
      <c r="O365" s="72"/>
      <c r="P365" s="72"/>
      <c r="Q365" s="72"/>
      <c r="R365" s="72"/>
      <c r="S365" s="72"/>
    </row>
    <row r="366" spans="1:19" ht="12.75">
      <c r="A366" s="100"/>
      <c r="B366" s="101"/>
      <c r="C366" s="101"/>
      <c r="D366" s="101"/>
      <c r="E366" s="101"/>
      <c r="F366" s="101"/>
      <c r="G366" s="101"/>
      <c r="H366" s="101"/>
      <c r="I366" s="113"/>
      <c r="J366" s="113"/>
      <c r="K366" s="72"/>
      <c r="L366" s="72"/>
      <c r="M366" s="72"/>
      <c r="N366" s="72"/>
      <c r="O366" s="72"/>
      <c r="P366" s="72"/>
      <c r="Q366" s="72"/>
      <c r="R366" s="72"/>
      <c r="S366" s="72"/>
    </row>
    <row r="367" spans="1:19" ht="12.75">
      <c r="A367" s="100"/>
      <c r="B367" s="101"/>
      <c r="C367" s="101"/>
      <c r="D367" s="101"/>
      <c r="E367" s="101"/>
      <c r="F367" s="101"/>
      <c r="G367" s="101"/>
      <c r="H367" s="101"/>
      <c r="I367" s="113"/>
      <c r="J367" s="113"/>
      <c r="K367" s="72"/>
      <c r="L367" s="72"/>
      <c r="M367" s="72"/>
      <c r="N367" s="72"/>
      <c r="O367" s="72"/>
      <c r="P367" s="72"/>
      <c r="Q367" s="72"/>
      <c r="R367" s="72"/>
      <c r="S367" s="72"/>
    </row>
    <row r="368" spans="1:19" ht="12.75">
      <c r="A368" s="100"/>
      <c r="B368" s="101"/>
      <c r="C368" s="101"/>
      <c r="D368" s="101"/>
      <c r="E368" s="101"/>
      <c r="F368" s="101"/>
      <c r="G368" s="101"/>
      <c r="H368" s="101"/>
      <c r="I368" s="113"/>
      <c r="J368" s="113"/>
      <c r="K368" s="72"/>
      <c r="L368" s="72"/>
      <c r="M368" s="72"/>
      <c r="N368" s="72"/>
      <c r="O368" s="72"/>
      <c r="P368" s="72"/>
      <c r="Q368" s="72"/>
      <c r="R368" s="72"/>
      <c r="S368" s="72"/>
    </row>
    <row r="369" spans="1:19" ht="12.75">
      <c r="A369" s="100"/>
      <c r="B369" s="101"/>
      <c r="C369" s="101"/>
      <c r="D369" s="101"/>
      <c r="E369" s="101"/>
      <c r="F369" s="101"/>
      <c r="G369" s="101"/>
      <c r="H369" s="101"/>
      <c r="I369" s="113"/>
      <c r="J369" s="113"/>
      <c r="K369" s="72"/>
      <c r="L369" s="72"/>
      <c r="M369" s="72"/>
      <c r="N369" s="72"/>
      <c r="O369" s="72"/>
      <c r="P369" s="72"/>
      <c r="Q369" s="72"/>
      <c r="R369" s="72"/>
      <c r="S369" s="72"/>
    </row>
    <row r="370" spans="1:19" ht="12.75">
      <c r="A370" s="100"/>
      <c r="B370" s="101"/>
      <c r="C370" s="101"/>
      <c r="D370" s="101"/>
      <c r="E370" s="101"/>
      <c r="F370" s="101"/>
      <c r="G370" s="101"/>
      <c r="H370" s="101"/>
      <c r="I370" s="113"/>
      <c r="J370" s="113"/>
      <c r="K370" s="72"/>
      <c r="L370" s="72"/>
      <c r="M370" s="72"/>
      <c r="N370" s="72"/>
      <c r="O370" s="72"/>
      <c r="P370" s="72"/>
      <c r="Q370" s="72"/>
      <c r="R370" s="72"/>
      <c r="S370" s="72"/>
    </row>
    <row r="371" spans="1:19" ht="12.75">
      <c r="A371" s="100"/>
      <c r="B371" s="101"/>
      <c r="C371" s="101"/>
      <c r="D371" s="101"/>
      <c r="E371" s="101"/>
      <c r="F371" s="101"/>
      <c r="G371" s="101"/>
      <c r="H371" s="101"/>
      <c r="I371" s="113"/>
      <c r="J371" s="113"/>
      <c r="K371" s="72"/>
      <c r="L371" s="72"/>
      <c r="M371" s="72"/>
      <c r="N371" s="72"/>
      <c r="O371" s="72"/>
      <c r="P371" s="72"/>
      <c r="Q371" s="72"/>
      <c r="R371" s="72"/>
      <c r="S371" s="72"/>
    </row>
    <row r="372" spans="1:19" ht="12.75">
      <c r="A372" s="100"/>
      <c r="B372" s="101"/>
      <c r="C372" s="101"/>
      <c r="D372" s="101"/>
      <c r="E372" s="101"/>
      <c r="F372" s="101"/>
      <c r="G372" s="101"/>
      <c r="H372" s="101"/>
      <c r="I372" s="113"/>
      <c r="J372" s="113"/>
      <c r="K372" s="72"/>
      <c r="L372" s="72"/>
      <c r="M372" s="72"/>
      <c r="N372" s="72"/>
      <c r="O372" s="72"/>
      <c r="P372" s="72"/>
      <c r="Q372" s="72"/>
      <c r="R372" s="72"/>
      <c r="S372" s="72"/>
    </row>
    <row r="373" spans="1:19" ht="12.75">
      <c r="A373" s="100"/>
      <c r="B373" s="101"/>
      <c r="C373" s="101"/>
      <c r="D373" s="101"/>
      <c r="E373" s="101"/>
      <c r="F373" s="101"/>
      <c r="G373" s="101"/>
      <c r="H373" s="101"/>
      <c r="I373" s="113"/>
      <c r="J373" s="113"/>
      <c r="K373" s="72"/>
      <c r="L373" s="72"/>
      <c r="M373" s="72"/>
      <c r="N373" s="72"/>
      <c r="O373" s="72"/>
      <c r="P373" s="72"/>
      <c r="Q373" s="72"/>
      <c r="R373" s="72"/>
      <c r="S373" s="72"/>
    </row>
    <row r="374" spans="1:19" ht="12.75">
      <c r="A374" s="100"/>
      <c r="B374" s="101"/>
      <c r="C374" s="101"/>
      <c r="D374" s="101"/>
      <c r="E374" s="101"/>
      <c r="F374" s="101"/>
      <c r="G374" s="101"/>
      <c r="H374" s="101"/>
      <c r="I374" s="113"/>
      <c r="J374" s="113"/>
      <c r="K374" s="72"/>
      <c r="L374" s="72"/>
      <c r="M374" s="72"/>
      <c r="N374" s="72"/>
      <c r="O374" s="72"/>
      <c r="P374" s="72"/>
      <c r="Q374" s="72"/>
      <c r="R374" s="72"/>
      <c r="S374" s="72"/>
    </row>
    <row r="375" spans="1:19" ht="12.75">
      <c r="A375" s="100"/>
      <c r="B375" s="101"/>
      <c r="C375" s="101"/>
      <c r="D375" s="101"/>
      <c r="E375" s="101"/>
      <c r="F375" s="101"/>
      <c r="G375" s="101"/>
      <c r="H375" s="101"/>
      <c r="I375" s="113"/>
      <c r="J375" s="113"/>
      <c r="K375" s="72"/>
      <c r="L375" s="72"/>
      <c r="M375" s="72"/>
      <c r="N375" s="72"/>
      <c r="O375" s="72"/>
      <c r="P375" s="72"/>
      <c r="Q375" s="72"/>
      <c r="R375" s="72"/>
      <c r="S375" s="72"/>
    </row>
    <row r="376" spans="1:19" ht="12.75">
      <c r="A376" s="100"/>
      <c r="B376" s="101"/>
      <c r="C376" s="101"/>
      <c r="D376" s="101"/>
      <c r="E376" s="101"/>
      <c r="F376" s="101"/>
      <c r="G376" s="101"/>
      <c r="H376" s="101"/>
      <c r="I376" s="113"/>
      <c r="J376" s="113"/>
      <c r="K376" s="72"/>
      <c r="L376" s="72"/>
      <c r="M376" s="72"/>
      <c r="N376" s="72"/>
      <c r="O376" s="72"/>
      <c r="P376" s="72"/>
      <c r="Q376" s="72"/>
      <c r="R376" s="72"/>
      <c r="S376" s="72"/>
    </row>
    <row r="377" spans="1:19" ht="12.75">
      <c r="A377" s="100"/>
      <c r="B377" s="101"/>
      <c r="C377" s="101"/>
      <c r="D377" s="101"/>
      <c r="E377" s="101"/>
      <c r="F377" s="101"/>
      <c r="G377" s="101"/>
      <c r="H377" s="101"/>
      <c r="I377" s="113"/>
      <c r="J377" s="113"/>
      <c r="K377" s="72"/>
      <c r="L377" s="72"/>
      <c r="M377" s="72"/>
      <c r="N377" s="72"/>
      <c r="O377" s="72"/>
      <c r="P377" s="72"/>
      <c r="Q377" s="72"/>
      <c r="R377" s="72"/>
      <c r="S377" s="72"/>
    </row>
    <row r="378" spans="1:19" ht="12.75">
      <c r="A378" s="100"/>
      <c r="B378" s="101"/>
      <c r="C378" s="101"/>
      <c r="D378" s="101"/>
      <c r="E378" s="101"/>
      <c r="F378" s="101"/>
      <c r="G378" s="101"/>
      <c r="H378" s="101"/>
      <c r="I378" s="113"/>
      <c r="J378" s="113"/>
      <c r="K378" s="72"/>
      <c r="L378" s="72"/>
      <c r="M378" s="72"/>
      <c r="N378" s="72"/>
      <c r="O378" s="72"/>
      <c r="P378" s="72"/>
      <c r="Q378" s="72"/>
      <c r="R378" s="72"/>
      <c r="S378" s="72"/>
    </row>
    <row r="379" spans="1:19" ht="12.75">
      <c r="A379" s="100"/>
      <c r="B379" s="101"/>
      <c r="C379" s="101"/>
      <c r="D379" s="101"/>
      <c r="E379" s="101"/>
      <c r="F379" s="101"/>
      <c r="G379" s="101"/>
      <c r="H379" s="101"/>
      <c r="I379" s="113"/>
      <c r="J379" s="113"/>
      <c r="K379" s="72"/>
      <c r="L379" s="72"/>
      <c r="M379" s="72"/>
      <c r="N379" s="72"/>
      <c r="O379" s="72"/>
      <c r="P379" s="72"/>
      <c r="Q379" s="72"/>
      <c r="R379" s="72"/>
      <c r="S379" s="72"/>
    </row>
    <row r="380" spans="1:19" ht="12.75">
      <c r="A380" s="100"/>
      <c r="B380" s="101"/>
      <c r="C380" s="101"/>
      <c r="D380" s="101"/>
      <c r="E380" s="101"/>
      <c r="F380" s="101"/>
      <c r="G380" s="101"/>
      <c r="H380" s="101"/>
      <c r="I380" s="113"/>
      <c r="J380" s="113"/>
      <c r="K380" s="72"/>
      <c r="L380" s="72"/>
      <c r="M380" s="72"/>
      <c r="N380" s="72"/>
      <c r="O380" s="72"/>
      <c r="P380" s="72"/>
      <c r="Q380" s="72"/>
      <c r="R380" s="72"/>
      <c r="S380" s="72"/>
    </row>
    <row r="381" spans="1:19" ht="12.75">
      <c r="A381" s="100"/>
      <c r="B381" s="101"/>
      <c r="C381" s="101"/>
      <c r="D381" s="101"/>
      <c r="E381" s="101"/>
      <c r="F381" s="101"/>
      <c r="G381" s="101"/>
      <c r="H381" s="101"/>
      <c r="I381" s="113"/>
      <c r="J381" s="113"/>
      <c r="K381" s="72"/>
      <c r="L381" s="72"/>
      <c r="M381" s="72"/>
      <c r="N381" s="72"/>
      <c r="O381" s="72"/>
      <c r="P381" s="72"/>
      <c r="Q381" s="72"/>
      <c r="R381" s="72"/>
      <c r="S381" s="72"/>
    </row>
    <row r="382" spans="1:19" ht="12.75">
      <c r="A382" s="100"/>
      <c r="B382" s="101"/>
      <c r="C382" s="101"/>
      <c r="D382" s="101"/>
      <c r="E382" s="101"/>
      <c r="F382" s="101"/>
      <c r="G382" s="101"/>
      <c r="H382" s="101"/>
      <c r="I382" s="113"/>
      <c r="J382" s="113"/>
      <c r="K382" s="72"/>
      <c r="L382" s="72"/>
      <c r="M382" s="72"/>
      <c r="N382" s="72"/>
      <c r="O382" s="72"/>
      <c r="P382" s="72"/>
      <c r="Q382" s="72"/>
      <c r="R382" s="72"/>
      <c r="S382" s="72"/>
    </row>
    <row r="383" spans="1:19" ht="12.75">
      <c r="A383" s="100"/>
      <c r="B383" s="101"/>
      <c r="C383" s="101"/>
      <c r="D383" s="101"/>
      <c r="E383" s="101"/>
      <c r="F383" s="101"/>
      <c r="G383" s="101"/>
      <c r="H383" s="101"/>
      <c r="I383" s="113"/>
      <c r="J383" s="113"/>
      <c r="K383" s="72"/>
      <c r="L383" s="72"/>
      <c r="M383" s="72"/>
      <c r="N383" s="72"/>
      <c r="O383" s="72"/>
      <c r="P383" s="72"/>
      <c r="Q383" s="72"/>
      <c r="R383" s="72"/>
      <c r="S383" s="72"/>
    </row>
    <row r="384" spans="1:19" ht="12.75">
      <c r="A384" s="100"/>
      <c r="B384" s="101"/>
      <c r="C384" s="101"/>
      <c r="D384" s="101"/>
      <c r="E384" s="101"/>
      <c r="F384" s="101"/>
      <c r="G384" s="101"/>
      <c r="H384" s="101"/>
      <c r="I384" s="113"/>
      <c r="J384" s="113"/>
      <c r="K384" s="72"/>
      <c r="L384" s="72"/>
      <c r="M384" s="72"/>
      <c r="N384" s="72"/>
      <c r="O384" s="72"/>
      <c r="P384" s="72"/>
      <c r="Q384" s="72"/>
      <c r="R384" s="72"/>
      <c r="S384" s="72"/>
    </row>
    <row r="385" spans="1:19" ht="12.75">
      <c r="A385" s="100"/>
      <c r="B385" s="101"/>
      <c r="C385" s="101"/>
      <c r="D385" s="101"/>
      <c r="E385" s="101"/>
      <c r="F385" s="101"/>
      <c r="G385" s="101"/>
      <c r="H385" s="101"/>
      <c r="I385" s="113"/>
      <c r="J385" s="113"/>
      <c r="K385" s="72"/>
      <c r="L385" s="72"/>
      <c r="M385" s="72"/>
      <c r="N385" s="72"/>
      <c r="O385" s="72"/>
      <c r="P385" s="72"/>
      <c r="Q385" s="72"/>
      <c r="R385" s="72"/>
      <c r="S385" s="72"/>
    </row>
    <row r="386" spans="1:19" ht="12.75">
      <c r="A386" s="100"/>
      <c r="B386" s="101"/>
      <c r="C386" s="101"/>
      <c r="D386" s="101"/>
      <c r="E386" s="101"/>
      <c r="F386" s="101"/>
      <c r="G386" s="101"/>
      <c r="H386" s="101"/>
      <c r="I386" s="113"/>
      <c r="J386" s="113"/>
      <c r="K386" s="72"/>
      <c r="L386" s="72"/>
      <c r="M386" s="72"/>
      <c r="N386" s="72"/>
      <c r="O386" s="72"/>
      <c r="P386" s="72"/>
      <c r="Q386" s="72"/>
      <c r="R386" s="72"/>
      <c r="S386" s="72"/>
    </row>
    <row r="387" spans="1:19" ht="12.75">
      <c r="A387" s="100"/>
      <c r="B387" s="101"/>
      <c r="C387" s="101"/>
      <c r="D387" s="101"/>
      <c r="E387" s="101"/>
      <c r="F387" s="101"/>
      <c r="G387" s="101"/>
      <c r="H387" s="101"/>
      <c r="I387" s="113"/>
      <c r="J387" s="113"/>
      <c r="K387" s="72"/>
      <c r="L387" s="72"/>
      <c r="M387" s="72"/>
      <c r="N387" s="72"/>
      <c r="O387" s="72"/>
      <c r="P387" s="72"/>
      <c r="Q387" s="72"/>
      <c r="R387" s="72"/>
      <c r="S387" s="72"/>
    </row>
    <row r="388" spans="1:19" ht="12.75">
      <c r="A388" s="100"/>
      <c r="B388" s="101"/>
      <c r="C388" s="101"/>
      <c r="D388" s="101"/>
      <c r="E388" s="101"/>
      <c r="F388" s="101"/>
      <c r="G388" s="101"/>
      <c r="H388" s="101"/>
      <c r="I388" s="113"/>
      <c r="J388" s="113"/>
      <c r="K388" s="72"/>
      <c r="L388" s="72"/>
      <c r="M388" s="72"/>
      <c r="N388" s="72"/>
      <c r="O388" s="72"/>
      <c r="P388" s="72"/>
      <c r="Q388" s="72"/>
      <c r="R388" s="72"/>
      <c r="S388" s="72"/>
    </row>
    <row r="389" spans="1:19" ht="12.75">
      <c r="A389" s="100"/>
      <c r="B389" s="101"/>
      <c r="C389" s="101"/>
      <c r="D389" s="101"/>
      <c r="E389" s="101"/>
      <c r="F389" s="101"/>
      <c r="G389" s="101"/>
      <c r="H389" s="101"/>
      <c r="I389" s="113"/>
      <c r="J389" s="113"/>
      <c r="K389" s="72"/>
      <c r="L389" s="72"/>
      <c r="M389" s="72"/>
      <c r="N389" s="72"/>
      <c r="O389" s="72"/>
      <c r="P389" s="72"/>
      <c r="Q389" s="72"/>
      <c r="R389" s="72"/>
      <c r="S389" s="72"/>
    </row>
    <row r="390" spans="1:19" ht="12.75">
      <c r="A390" s="100"/>
      <c r="B390" s="101"/>
      <c r="C390" s="101"/>
      <c r="D390" s="101"/>
      <c r="E390" s="101"/>
      <c r="F390" s="101"/>
      <c r="G390" s="101"/>
      <c r="H390" s="101"/>
      <c r="I390" s="113"/>
      <c r="J390" s="113"/>
      <c r="K390" s="72"/>
      <c r="L390" s="72"/>
      <c r="M390" s="72"/>
      <c r="N390" s="72"/>
      <c r="O390" s="72"/>
      <c r="P390" s="72"/>
      <c r="Q390" s="72"/>
      <c r="R390" s="72"/>
      <c r="S390" s="72"/>
    </row>
    <row r="391" spans="1:19" ht="12.75">
      <c r="A391" s="100"/>
      <c r="B391" s="101"/>
      <c r="C391" s="101"/>
      <c r="D391" s="101"/>
      <c r="E391" s="101"/>
      <c r="F391" s="101"/>
      <c r="G391" s="101"/>
      <c r="H391" s="101"/>
      <c r="I391" s="113"/>
      <c r="J391" s="113"/>
      <c r="K391" s="72"/>
      <c r="L391" s="72"/>
      <c r="M391" s="72"/>
      <c r="N391" s="72"/>
      <c r="O391" s="72"/>
      <c r="P391" s="72"/>
      <c r="Q391" s="72"/>
      <c r="R391" s="72"/>
      <c r="S391" s="72"/>
    </row>
    <row r="392" spans="1:19" ht="12.75">
      <c r="A392" s="100"/>
      <c r="B392" s="101"/>
      <c r="C392" s="101"/>
      <c r="D392" s="101"/>
      <c r="E392" s="101"/>
      <c r="F392" s="101"/>
      <c r="G392" s="101"/>
      <c r="H392" s="101"/>
      <c r="I392" s="113"/>
      <c r="J392" s="113"/>
      <c r="K392" s="72"/>
      <c r="L392" s="72"/>
      <c r="M392" s="72"/>
      <c r="N392" s="72"/>
      <c r="O392" s="72"/>
      <c r="P392" s="72"/>
      <c r="Q392" s="72"/>
      <c r="R392" s="72"/>
      <c r="S392" s="72"/>
    </row>
    <row r="393" spans="1:19" ht="12.75">
      <c r="A393" s="100"/>
      <c r="B393" s="101"/>
      <c r="C393" s="101"/>
      <c r="D393" s="101"/>
      <c r="E393" s="101"/>
      <c r="F393" s="101"/>
      <c r="G393" s="101"/>
      <c r="H393" s="101"/>
      <c r="I393" s="113"/>
      <c r="J393" s="113"/>
      <c r="K393" s="72"/>
      <c r="L393" s="72"/>
      <c r="M393" s="72"/>
      <c r="N393" s="72"/>
      <c r="O393" s="72"/>
      <c r="P393" s="72"/>
      <c r="Q393" s="72"/>
      <c r="R393" s="72"/>
      <c r="S393" s="72"/>
    </row>
    <row r="394" spans="1:19" ht="12.75">
      <c r="A394" s="100"/>
      <c r="B394" s="101"/>
      <c r="C394" s="101"/>
      <c r="D394" s="101"/>
      <c r="E394" s="101"/>
      <c r="F394" s="101"/>
      <c r="G394" s="101"/>
      <c r="H394" s="101"/>
      <c r="I394" s="113"/>
      <c r="J394" s="113"/>
      <c r="K394" s="72"/>
      <c r="L394" s="72"/>
      <c r="M394" s="72"/>
      <c r="N394" s="72"/>
      <c r="O394" s="72"/>
      <c r="P394" s="72"/>
      <c r="Q394" s="72"/>
      <c r="R394" s="72"/>
      <c r="S394" s="72"/>
    </row>
    <row r="395" spans="1:19" ht="12.75">
      <c r="A395" s="100"/>
      <c r="B395" s="101"/>
      <c r="C395" s="101"/>
      <c r="D395" s="101"/>
      <c r="E395" s="101"/>
      <c r="F395" s="101"/>
      <c r="G395" s="101"/>
      <c r="H395" s="101"/>
      <c r="I395" s="113"/>
      <c r="J395" s="113"/>
      <c r="K395" s="72"/>
      <c r="L395" s="72"/>
      <c r="M395" s="72"/>
      <c r="N395" s="72"/>
      <c r="O395" s="72"/>
      <c r="P395" s="72"/>
      <c r="Q395" s="72"/>
      <c r="R395" s="72"/>
      <c r="S395" s="72"/>
    </row>
    <row r="396" spans="1:19" ht="12.75">
      <c r="A396" s="100"/>
      <c r="B396" s="101"/>
      <c r="C396" s="101"/>
      <c r="D396" s="101"/>
      <c r="E396" s="101"/>
      <c r="F396" s="101"/>
      <c r="G396" s="101"/>
      <c r="H396" s="101"/>
      <c r="I396" s="113"/>
      <c r="J396" s="113"/>
      <c r="K396" s="72"/>
      <c r="L396" s="72"/>
      <c r="M396" s="72"/>
      <c r="N396" s="72"/>
      <c r="O396" s="72"/>
      <c r="P396" s="72"/>
      <c r="Q396" s="72"/>
      <c r="R396" s="72"/>
      <c r="S396" s="72"/>
    </row>
    <row r="397" spans="1:19" ht="12.75">
      <c r="A397" s="100"/>
      <c r="B397" s="101"/>
      <c r="C397" s="101"/>
      <c r="D397" s="101"/>
      <c r="E397" s="101"/>
      <c r="F397" s="101"/>
      <c r="G397" s="101"/>
      <c r="H397" s="101"/>
      <c r="I397" s="113"/>
      <c r="J397" s="113"/>
      <c r="K397" s="72"/>
      <c r="L397" s="72"/>
      <c r="M397" s="72"/>
      <c r="N397" s="72"/>
      <c r="O397" s="72"/>
      <c r="P397" s="72"/>
      <c r="Q397" s="72"/>
      <c r="R397" s="72"/>
      <c r="S397" s="72"/>
    </row>
    <row r="398" spans="1:19" ht="12.75">
      <c r="A398" s="100"/>
      <c r="B398" s="101"/>
      <c r="C398" s="101"/>
      <c r="D398" s="101"/>
      <c r="E398" s="101"/>
      <c r="F398" s="101"/>
      <c r="G398" s="101"/>
      <c r="H398" s="101"/>
      <c r="I398" s="113"/>
      <c r="J398" s="113"/>
      <c r="K398" s="72"/>
      <c r="L398" s="72"/>
      <c r="M398" s="72"/>
      <c r="N398" s="72"/>
      <c r="O398" s="72"/>
      <c r="P398" s="72"/>
      <c r="Q398" s="72"/>
      <c r="R398" s="72"/>
      <c r="S398" s="72"/>
    </row>
    <row r="399" spans="1:19" ht="12.75">
      <c r="A399" s="100"/>
      <c r="B399" s="101"/>
      <c r="C399" s="101"/>
      <c r="D399" s="101"/>
      <c r="E399" s="101"/>
      <c r="F399" s="101"/>
      <c r="G399" s="101"/>
      <c r="H399" s="101"/>
      <c r="I399" s="113"/>
      <c r="J399" s="113"/>
      <c r="K399" s="72"/>
      <c r="L399" s="72"/>
      <c r="M399" s="72"/>
      <c r="N399" s="72"/>
      <c r="O399" s="72"/>
      <c r="P399" s="72"/>
      <c r="Q399" s="72"/>
      <c r="R399" s="72"/>
      <c r="S399" s="72"/>
    </row>
    <row r="400" spans="1:19" ht="12.75">
      <c r="A400" s="100"/>
      <c r="B400" s="101"/>
      <c r="C400" s="101"/>
      <c r="D400" s="101"/>
      <c r="E400" s="101"/>
      <c r="F400" s="101"/>
      <c r="G400" s="101"/>
      <c r="H400" s="101"/>
      <c r="I400" s="113"/>
      <c r="J400" s="113"/>
      <c r="K400" s="72"/>
      <c r="L400" s="72"/>
      <c r="M400" s="72"/>
      <c r="N400" s="72"/>
      <c r="O400" s="72"/>
      <c r="P400" s="72"/>
      <c r="Q400" s="72"/>
      <c r="R400" s="72"/>
      <c r="S400" s="72"/>
    </row>
    <row r="401" spans="1:19" ht="12.75">
      <c r="A401" s="100"/>
      <c r="B401" s="101"/>
      <c r="C401" s="101"/>
      <c r="D401" s="101"/>
      <c r="E401" s="101"/>
      <c r="F401" s="101"/>
      <c r="G401" s="101"/>
      <c r="H401" s="101"/>
      <c r="I401" s="113"/>
      <c r="J401" s="113"/>
      <c r="K401" s="72"/>
      <c r="L401" s="72"/>
      <c r="M401" s="72"/>
      <c r="N401" s="72"/>
      <c r="O401" s="72"/>
      <c r="P401" s="72"/>
      <c r="Q401" s="72"/>
      <c r="R401" s="72"/>
      <c r="S401" s="72"/>
    </row>
    <row r="402" spans="1:19" ht="12.75">
      <c r="A402" s="100"/>
      <c r="B402" s="101"/>
      <c r="C402" s="101"/>
      <c r="D402" s="101"/>
      <c r="E402" s="101"/>
      <c r="F402" s="101"/>
      <c r="G402" s="101"/>
      <c r="H402" s="101"/>
      <c r="I402" s="113"/>
      <c r="J402" s="113"/>
      <c r="K402" s="72"/>
      <c r="L402" s="72"/>
      <c r="M402" s="72"/>
      <c r="N402" s="72"/>
      <c r="O402" s="72"/>
      <c r="P402" s="72"/>
      <c r="Q402" s="72"/>
      <c r="R402" s="72"/>
      <c r="S402" s="72"/>
    </row>
    <row r="403" spans="1:19" ht="12.75">
      <c r="A403" s="100"/>
      <c r="B403" s="101"/>
      <c r="C403" s="101"/>
      <c r="D403" s="101"/>
      <c r="E403" s="101"/>
      <c r="F403" s="101"/>
      <c r="G403" s="101"/>
      <c r="H403" s="101"/>
      <c r="I403" s="113"/>
      <c r="J403" s="113"/>
      <c r="K403" s="72"/>
      <c r="L403" s="72"/>
      <c r="M403" s="72"/>
      <c r="N403" s="72"/>
      <c r="O403" s="72"/>
      <c r="P403" s="72"/>
      <c r="Q403" s="72"/>
      <c r="R403" s="72"/>
      <c r="S403" s="72"/>
    </row>
    <row r="404" spans="1:19" ht="12.75">
      <c r="A404" s="100"/>
      <c r="B404" s="101"/>
      <c r="C404" s="101"/>
      <c r="D404" s="101"/>
      <c r="E404" s="101"/>
      <c r="F404" s="101"/>
      <c r="G404" s="101"/>
      <c r="H404" s="101"/>
      <c r="I404" s="113"/>
      <c r="J404" s="113"/>
      <c r="K404" s="72"/>
      <c r="L404" s="72"/>
      <c r="M404" s="72"/>
      <c r="N404" s="72"/>
      <c r="O404" s="72"/>
      <c r="P404" s="72"/>
      <c r="Q404" s="72"/>
      <c r="R404" s="72"/>
      <c r="S404" s="72"/>
    </row>
    <row r="405" spans="1:19" ht="12.75">
      <c r="A405" s="100"/>
      <c r="B405" s="101"/>
      <c r="C405" s="101"/>
      <c r="D405" s="101"/>
      <c r="E405" s="101"/>
      <c r="F405" s="101"/>
      <c r="G405" s="101"/>
      <c r="H405" s="101"/>
      <c r="I405" s="113"/>
      <c r="J405" s="113"/>
      <c r="K405" s="72"/>
      <c r="L405" s="72"/>
      <c r="M405" s="72"/>
      <c r="N405" s="72"/>
      <c r="O405" s="72"/>
      <c r="P405" s="72"/>
      <c r="Q405" s="72"/>
      <c r="R405" s="72"/>
      <c r="S405" s="72"/>
    </row>
    <row r="406" spans="1:19" ht="12.75">
      <c r="A406" s="100"/>
      <c r="B406" s="101"/>
      <c r="C406" s="101"/>
      <c r="D406" s="101"/>
      <c r="E406" s="101"/>
      <c r="F406" s="101"/>
      <c r="G406" s="101"/>
      <c r="H406" s="101"/>
      <c r="I406" s="113"/>
      <c r="J406" s="113"/>
      <c r="K406" s="72"/>
      <c r="L406" s="72"/>
      <c r="M406" s="72"/>
      <c r="N406" s="72"/>
      <c r="O406" s="72"/>
      <c r="P406" s="72"/>
      <c r="Q406" s="72"/>
      <c r="R406" s="72"/>
      <c r="S406" s="72"/>
    </row>
    <row r="407" spans="1:19" ht="12.75">
      <c r="A407" s="100"/>
      <c r="B407" s="101"/>
      <c r="C407" s="101"/>
      <c r="D407" s="101"/>
      <c r="E407" s="101"/>
      <c r="F407" s="101"/>
      <c r="G407" s="101"/>
      <c r="H407" s="101"/>
      <c r="I407" s="113"/>
      <c r="J407" s="113"/>
      <c r="K407" s="72"/>
      <c r="L407" s="72"/>
      <c r="M407" s="72"/>
      <c r="N407" s="72"/>
      <c r="O407" s="72"/>
      <c r="P407" s="72"/>
      <c r="Q407" s="72"/>
      <c r="R407" s="72"/>
      <c r="S407" s="72"/>
    </row>
    <row r="408" spans="1:19" ht="12.75">
      <c r="A408" s="100"/>
      <c r="B408" s="101"/>
      <c r="C408" s="101"/>
      <c r="D408" s="101"/>
      <c r="E408" s="101"/>
      <c r="F408" s="101"/>
      <c r="G408" s="101"/>
      <c r="H408" s="101"/>
      <c r="I408" s="113"/>
      <c r="J408" s="113"/>
      <c r="K408" s="72"/>
      <c r="L408" s="72"/>
      <c r="M408" s="72"/>
      <c r="N408" s="72"/>
      <c r="O408" s="72"/>
      <c r="P408" s="72"/>
      <c r="Q408" s="72"/>
      <c r="R408" s="72"/>
      <c r="S408" s="72"/>
    </row>
    <row r="409" spans="1:19" ht="12.75">
      <c r="A409" s="100"/>
      <c r="B409" s="101"/>
      <c r="C409" s="101"/>
      <c r="D409" s="101"/>
      <c r="E409" s="101"/>
      <c r="F409" s="101"/>
      <c r="G409" s="101"/>
      <c r="H409" s="101"/>
      <c r="I409" s="113"/>
      <c r="J409" s="113"/>
      <c r="K409" s="72"/>
      <c r="L409" s="72"/>
      <c r="M409" s="72"/>
      <c r="N409" s="72"/>
      <c r="O409" s="72"/>
      <c r="P409" s="72"/>
      <c r="Q409" s="72"/>
      <c r="R409" s="72"/>
      <c r="S409" s="72"/>
    </row>
    <row r="410" spans="1:19" ht="12.75">
      <c r="A410" s="100"/>
      <c r="B410" s="101"/>
      <c r="C410" s="101"/>
      <c r="D410" s="101"/>
      <c r="E410" s="101"/>
      <c r="F410" s="101"/>
      <c r="G410" s="101"/>
      <c r="H410" s="101"/>
      <c r="I410" s="113"/>
      <c r="J410" s="113"/>
      <c r="K410" s="72"/>
      <c r="L410" s="72"/>
      <c r="M410" s="72"/>
      <c r="N410" s="72"/>
      <c r="O410" s="72"/>
      <c r="P410" s="72"/>
      <c r="Q410" s="72"/>
      <c r="R410" s="72"/>
      <c r="S410" s="72"/>
    </row>
    <row r="411" spans="1:19" ht="12.75">
      <c r="A411" s="100"/>
      <c r="B411" s="101"/>
      <c r="C411" s="101"/>
      <c r="D411" s="101"/>
      <c r="E411" s="101"/>
      <c r="F411" s="101"/>
      <c r="G411" s="101"/>
      <c r="H411" s="101"/>
      <c r="I411" s="113"/>
      <c r="J411" s="113"/>
      <c r="K411" s="72"/>
      <c r="L411" s="72"/>
      <c r="M411" s="72"/>
      <c r="N411" s="72"/>
      <c r="O411" s="72"/>
      <c r="P411" s="72"/>
      <c r="Q411" s="72"/>
      <c r="R411" s="72"/>
      <c r="S411" s="72"/>
    </row>
    <row r="412" spans="1:19" ht="12.75">
      <c r="A412" s="100"/>
      <c r="B412" s="101"/>
      <c r="C412" s="101"/>
      <c r="D412" s="101"/>
      <c r="E412" s="101"/>
      <c r="F412" s="101"/>
      <c r="G412" s="101"/>
      <c r="H412" s="101"/>
      <c r="I412" s="113"/>
      <c r="J412" s="113"/>
      <c r="K412" s="72"/>
      <c r="L412" s="72"/>
      <c r="M412" s="72"/>
      <c r="N412" s="72"/>
      <c r="O412" s="72"/>
      <c r="P412" s="72"/>
      <c r="Q412" s="72"/>
      <c r="R412" s="72"/>
      <c r="S412" s="72"/>
    </row>
    <row r="413" spans="1:19" ht="12.75">
      <c r="A413" s="100"/>
      <c r="B413" s="101"/>
      <c r="C413" s="101"/>
      <c r="D413" s="101"/>
      <c r="E413" s="101"/>
      <c r="F413" s="101"/>
      <c r="G413" s="101"/>
      <c r="H413" s="101"/>
      <c r="I413" s="113"/>
      <c r="J413" s="113"/>
      <c r="K413" s="72"/>
      <c r="L413" s="72"/>
      <c r="M413" s="72"/>
      <c r="N413" s="72"/>
      <c r="O413" s="72"/>
      <c r="P413" s="72"/>
      <c r="Q413" s="72"/>
      <c r="R413" s="72"/>
      <c r="S413" s="72"/>
    </row>
    <row r="414" spans="1:19" ht="12.75">
      <c r="A414" s="100"/>
      <c r="B414" s="101"/>
      <c r="C414" s="101"/>
      <c r="D414" s="101"/>
      <c r="E414" s="101"/>
      <c r="F414" s="101"/>
      <c r="G414" s="101"/>
      <c r="H414" s="101"/>
      <c r="I414" s="113"/>
      <c r="J414" s="113"/>
      <c r="K414" s="72"/>
      <c r="L414" s="72"/>
      <c r="M414" s="72"/>
      <c r="N414" s="72"/>
      <c r="O414" s="72"/>
      <c r="P414" s="72"/>
      <c r="Q414" s="72"/>
      <c r="R414" s="72"/>
      <c r="S414" s="72"/>
    </row>
    <row r="415" spans="1:19" ht="12.75">
      <c r="A415" s="100"/>
      <c r="B415" s="101"/>
      <c r="C415" s="101"/>
      <c r="D415" s="101"/>
      <c r="E415" s="101"/>
      <c r="F415" s="101"/>
      <c r="G415" s="101"/>
      <c r="H415" s="101"/>
      <c r="I415" s="113"/>
      <c r="J415" s="113"/>
      <c r="K415" s="72"/>
      <c r="L415" s="72"/>
      <c r="M415" s="72"/>
      <c r="N415" s="72"/>
      <c r="O415" s="72"/>
      <c r="P415" s="72"/>
      <c r="Q415" s="72"/>
      <c r="R415" s="72"/>
      <c r="S415" s="72"/>
    </row>
    <row r="416" spans="1:19" ht="12.75">
      <c r="A416" s="100"/>
      <c r="B416" s="101"/>
      <c r="C416" s="101"/>
      <c r="D416" s="101"/>
      <c r="E416" s="101"/>
      <c r="F416" s="101"/>
      <c r="G416" s="101"/>
      <c r="H416" s="101"/>
      <c r="I416" s="113"/>
      <c r="J416" s="113"/>
      <c r="K416" s="72"/>
      <c r="L416" s="72"/>
      <c r="M416" s="72"/>
      <c r="N416" s="72"/>
      <c r="O416" s="72"/>
      <c r="P416" s="72"/>
      <c r="Q416" s="72"/>
      <c r="R416" s="72"/>
      <c r="S416" s="72"/>
    </row>
    <row r="417" spans="1:19" ht="12.75">
      <c r="A417" s="100"/>
      <c r="B417" s="101"/>
      <c r="C417" s="101"/>
      <c r="D417" s="101"/>
      <c r="E417" s="101"/>
      <c r="F417" s="101"/>
      <c r="G417" s="101"/>
      <c r="H417" s="101"/>
      <c r="I417" s="113"/>
      <c r="J417" s="113"/>
      <c r="K417" s="72"/>
      <c r="L417" s="72"/>
      <c r="M417" s="72"/>
      <c r="N417" s="72"/>
      <c r="O417" s="72"/>
      <c r="P417" s="72"/>
      <c r="Q417" s="72"/>
      <c r="R417" s="72"/>
      <c r="S417" s="72"/>
    </row>
    <row r="418" spans="1:19" ht="12.75">
      <c r="A418" s="100"/>
      <c r="B418" s="101"/>
      <c r="C418" s="101"/>
      <c r="D418" s="101"/>
      <c r="E418" s="101"/>
      <c r="F418" s="101"/>
      <c r="G418" s="101"/>
      <c r="H418" s="101"/>
      <c r="I418" s="113"/>
      <c r="J418" s="113"/>
      <c r="K418" s="72"/>
      <c r="L418" s="72"/>
      <c r="M418" s="72"/>
      <c r="N418" s="72"/>
      <c r="O418" s="72"/>
      <c r="P418" s="72"/>
      <c r="Q418" s="72"/>
      <c r="R418" s="72"/>
      <c r="S418" s="72"/>
    </row>
    <row r="419" spans="1:19" ht="12.75">
      <c r="A419" s="100"/>
      <c r="B419" s="101"/>
      <c r="C419" s="101"/>
      <c r="D419" s="101"/>
      <c r="E419" s="101"/>
      <c r="F419" s="101"/>
      <c r="G419" s="101"/>
      <c r="H419" s="101"/>
      <c r="I419" s="113"/>
      <c r="J419" s="113"/>
      <c r="K419" s="72"/>
      <c r="L419" s="72"/>
      <c r="M419" s="72"/>
      <c r="N419" s="72"/>
      <c r="O419" s="72"/>
      <c r="P419" s="72"/>
      <c r="Q419" s="72"/>
      <c r="R419" s="72"/>
      <c r="S419" s="72"/>
    </row>
    <row r="420" spans="1:19" ht="12.75">
      <c r="A420" s="100"/>
      <c r="B420" s="101"/>
      <c r="C420" s="101"/>
      <c r="D420" s="101"/>
      <c r="E420" s="101"/>
      <c r="F420" s="101"/>
      <c r="G420" s="101"/>
      <c r="H420" s="101"/>
      <c r="I420" s="113"/>
      <c r="J420" s="113"/>
      <c r="K420" s="72"/>
      <c r="L420" s="72"/>
      <c r="M420" s="72"/>
      <c r="N420" s="72"/>
      <c r="O420" s="72"/>
      <c r="P420" s="72"/>
      <c r="Q420" s="72"/>
      <c r="R420" s="72"/>
      <c r="S420" s="72"/>
    </row>
    <row r="421" spans="1:19" ht="12.75">
      <c r="A421" s="100"/>
      <c r="B421" s="101"/>
      <c r="C421" s="101"/>
      <c r="D421" s="101"/>
      <c r="E421" s="101"/>
      <c r="F421" s="101"/>
      <c r="G421" s="101"/>
      <c r="H421" s="101"/>
      <c r="I421" s="113"/>
      <c r="J421" s="113"/>
      <c r="K421" s="72"/>
      <c r="L421" s="72"/>
      <c r="M421" s="72"/>
      <c r="N421" s="72"/>
      <c r="O421" s="72"/>
      <c r="P421" s="72"/>
      <c r="Q421" s="72"/>
      <c r="R421" s="72"/>
      <c r="S421" s="72"/>
    </row>
    <row r="422" spans="1:19" ht="12.75">
      <c r="A422" s="100"/>
      <c r="B422" s="101"/>
      <c r="C422" s="101"/>
      <c r="D422" s="101"/>
      <c r="E422" s="101"/>
      <c r="F422" s="101"/>
      <c r="G422" s="101"/>
      <c r="H422" s="101"/>
      <c r="I422" s="113"/>
      <c r="J422" s="113"/>
      <c r="K422" s="72"/>
      <c r="L422" s="72"/>
      <c r="M422" s="72"/>
      <c r="N422" s="72"/>
      <c r="O422" s="72"/>
      <c r="P422" s="72"/>
      <c r="Q422" s="72"/>
      <c r="R422" s="72"/>
      <c r="S422" s="72"/>
    </row>
    <row r="423" spans="1:19" ht="12.75">
      <c r="A423" s="100"/>
      <c r="B423" s="101"/>
      <c r="C423" s="101"/>
      <c r="D423" s="101"/>
      <c r="E423" s="101"/>
      <c r="F423" s="101"/>
      <c r="G423" s="101"/>
      <c r="H423" s="101"/>
      <c r="I423" s="113"/>
      <c r="J423" s="113"/>
      <c r="K423" s="72"/>
      <c r="L423" s="72"/>
      <c r="M423" s="72"/>
      <c r="N423" s="72"/>
      <c r="O423" s="72"/>
      <c r="P423" s="72"/>
      <c r="Q423" s="72"/>
      <c r="R423" s="72"/>
      <c r="S423" s="72"/>
    </row>
    <row r="424" spans="1:19" ht="12.75">
      <c r="A424" s="100"/>
      <c r="B424" s="101"/>
      <c r="C424" s="101"/>
      <c r="D424" s="101"/>
      <c r="E424" s="101"/>
      <c r="F424" s="101"/>
      <c r="G424" s="101"/>
      <c r="H424" s="101"/>
      <c r="I424" s="113"/>
      <c r="J424" s="113"/>
      <c r="K424" s="72"/>
      <c r="L424" s="72"/>
      <c r="M424" s="72"/>
      <c r="N424" s="72"/>
      <c r="O424" s="72"/>
      <c r="P424" s="72"/>
      <c r="Q424" s="72"/>
      <c r="R424" s="72"/>
      <c r="S424" s="72"/>
    </row>
    <row r="425" spans="1:19" ht="12.75">
      <c r="A425" s="100"/>
      <c r="B425" s="101"/>
      <c r="C425" s="101"/>
      <c r="D425" s="101"/>
      <c r="E425" s="101"/>
      <c r="F425" s="101"/>
      <c r="G425" s="101"/>
      <c r="H425" s="101"/>
      <c r="I425" s="113"/>
      <c r="J425" s="113"/>
      <c r="K425" s="72"/>
      <c r="L425" s="72"/>
      <c r="M425" s="72"/>
      <c r="N425" s="72"/>
      <c r="O425" s="72"/>
      <c r="P425" s="72"/>
      <c r="Q425" s="72"/>
      <c r="R425" s="72"/>
      <c r="S425" s="72"/>
    </row>
    <row r="426" spans="1:19" ht="12.75">
      <c r="A426" s="100"/>
      <c r="B426" s="101"/>
      <c r="C426" s="101"/>
      <c r="D426" s="101"/>
      <c r="E426" s="101"/>
      <c r="F426" s="101"/>
      <c r="G426" s="101"/>
      <c r="H426" s="101"/>
      <c r="I426" s="113"/>
      <c r="J426" s="113"/>
      <c r="K426" s="72"/>
      <c r="L426" s="72"/>
      <c r="M426" s="72"/>
      <c r="N426" s="72"/>
      <c r="O426" s="72"/>
      <c r="P426" s="72"/>
      <c r="Q426" s="72"/>
      <c r="R426" s="72"/>
      <c r="S426" s="72"/>
    </row>
    <row r="427" spans="1:19" ht="12.75">
      <c r="A427" s="100"/>
      <c r="B427" s="101"/>
      <c r="C427" s="101"/>
      <c r="D427" s="101"/>
      <c r="E427" s="101"/>
      <c r="F427" s="101"/>
      <c r="G427" s="101"/>
      <c r="H427" s="101"/>
      <c r="I427" s="113"/>
      <c r="J427" s="113"/>
      <c r="K427" s="72"/>
      <c r="L427" s="72"/>
      <c r="M427" s="72"/>
      <c r="N427" s="72"/>
      <c r="O427" s="72"/>
      <c r="P427" s="72"/>
      <c r="Q427" s="72"/>
      <c r="R427" s="72"/>
      <c r="S427" s="72"/>
    </row>
    <row r="428" spans="1:19" ht="12.75">
      <c r="A428" s="100"/>
      <c r="B428" s="101"/>
      <c r="C428" s="101"/>
      <c r="D428" s="101"/>
      <c r="E428" s="101"/>
      <c r="F428" s="101"/>
      <c r="G428" s="101"/>
      <c r="H428" s="101"/>
      <c r="I428" s="113"/>
      <c r="J428" s="113"/>
      <c r="K428" s="72"/>
      <c r="L428" s="72"/>
      <c r="M428" s="72"/>
      <c r="N428" s="72"/>
      <c r="O428" s="72"/>
      <c r="P428" s="72"/>
      <c r="Q428" s="72"/>
      <c r="R428" s="72"/>
      <c r="S428" s="72"/>
    </row>
    <row r="429" spans="1:19" ht="12.75">
      <c r="A429" s="100"/>
      <c r="B429" s="101"/>
      <c r="C429" s="101"/>
      <c r="D429" s="101"/>
      <c r="E429" s="101"/>
      <c r="F429" s="101"/>
      <c r="G429" s="101"/>
      <c r="H429" s="101"/>
      <c r="I429" s="113"/>
      <c r="J429" s="113"/>
      <c r="K429" s="72"/>
      <c r="L429" s="72"/>
      <c r="M429" s="72"/>
      <c r="N429" s="72"/>
      <c r="O429" s="72"/>
      <c r="P429" s="72"/>
      <c r="Q429" s="72"/>
      <c r="R429" s="72"/>
      <c r="S429" s="72"/>
    </row>
    <row r="430" spans="1:19" ht="12.75">
      <c r="A430" s="100"/>
      <c r="B430" s="101"/>
      <c r="C430" s="101"/>
      <c r="D430" s="101"/>
      <c r="E430" s="101"/>
      <c r="F430" s="101"/>
      <c r="G430" s="101"/>
      <c r="H430" s="101"/>
      <c r="I430" s="113"/>
      <c r="J430" s="113"/>
      <c r="K430" s="72"/>
      <c r="L430" s="72"/>
      <c r="M430" s="72"/>
      <c r="N430" s="72"/>
      <c r="O430" s="72"/>
      <c r="P430" s="72"/>
      <c r="Q430" s="72"/>
      <c r="R430" s="72"/>
      <c r="S430" s="72"/>
    </row>
    <row r="431" spans="1:19" ht="12.75">
      <c r="A431" s="100"/>
      <c r="B431" s="101"/>
      <c r="C431" s="101"/>
      <c r="D431" s="101"/>
      <c r="E431" s="101"/>
      <c r="F431" s="101"/>
      <c r="G431" s="101"/>
      <c r="H431" s="101"/>
      <c r="I431" s="113"/>
      <c r="J431" s="113"/>
      <c r="K431" s="72"/>
      <c r="L431" s="72"/>
      <c r="M431" s="72"/>
      <c r="N431" s="72"/>
      <c r="O431" s="72"/>
      <c r="P431" s="72"/>
      <c r="Q431" s="72"/>
      <c r="R431" s="72"/>
      <c r="S431" s="72"/>
    </row>
    <row r="432" spans="1:19" ht="12.75">
      <c r="A432" s="100"/>
      <c r="B432" s="101"/>
      <c r="C432" s="101"/>
      <c r="D432" s="101"/>
      <c r="E432" s="101"/>
      <c r="F432" s="101"/>
      <c r="G432" s="101"/>
      <c r="H432" s="101"/>
      <c r="I432" s="113"/>
      <c r="J432" s="113"/>
      <c r="K432" s="72"/>
      <c r="L432" s="72"/>
      <c r="M432" s="72"/>
      <c r="N432" s="72"/>
      <c r="O432" s="72"/>
      <c r="P432" s="72"/>
      <c r="Q432" s="72"/>
      <c r="R432" s="72"/>
      <c r="S432" s="72"/>
    </row>
    <row r="433" spans="1:19" ht="12.75">
      <c r="A433" s="100"/>
      <c r="B433" s="101"/>
      <c r="C433" s="101"/>
      <c r="D433" s="101"/>
      <c r="E433" s="101"/>
      <c r="F433" s="101"/>
      <c r="G433" s="101"/>
      <c r="H433" s="101"/>
      <c r="I433" s="113"/>
      <c r="J433" s="113"/>
      <c r="K433" s="72"/>
      <c r="L433" s="72"/>
      <c r="M433" s="72"/>
      <c r="N433" s="72"/>
      <c r="O433" s="72"/>
      <c r="P433" s="72"/>
      <c r="Q433" s="72"/>
      <c r="R433" s="72"/>
      <c r="S433" s="72"/>
    </row>
    <row r="434" spans="1:19" ht="12.75">
      <c r="A434" s="100"/>
      <c r="B434" s="101"/>
      <c r="C434" s="101"/>
      <c r="D434" s="101"/>
      <c r="E434" s="101"/>
      <c r="F434" s="101"/>
      <c r="G434" s="101"/>
      <c r="H434" s="101"/>
      <c r="I434" s="113"/>
      <c r="J434" s="113"/>
      <c r="K434" s="72"/>
      <c r="L434" s="72"/>
      <c r="M434" s="72"/>
      <c r="N434" s="72"/>
      <c r="O434" s="72"/>
      <c r="P434" s="72"/>
      <c r="Q434" s="72"/>
      <c r="R434" s="72"/>
      <c r="S434" s="72"/>
    </row>
    <row r="435" spans="1:19" ht="12.75">
      <c r="A435" s="100"/>
      <c r="B435" s="101"/>
      <c r="C435" s="101"/>
      <c r="D435" s="101"/>
      <c r="E435" s="101"/>
      <c r="F435" s="101"/>
      <c r="G435" s="101"/>
      <c r="H435" s="101"/>
      <c r="I435" s="113"/>
      <c r="J435" s="113"/>
      <c r="K435" s="72"/>
      <c r="L435" s="72"/>
      <c r="M435" s="72"/>
      <c r="N435" s="72"/>
      <c r="O435" s="72"/>
      <c r="P435" s="72"/>
      <c r="Q435" s="72"/>
      <c r="R435" s="72"/>
      <c r="S435" s="72"/>
    </row>
    <row r="436" spans="1:19" ht="12.75">
      <c r="A436" s="100"/>
      <c r="B436" s="101"/>
      <c r="C436" s="101"/>
      <c r="D436" s="101"/>
      <c r="E436" s="101"/>
      <c r="F436" s="101"/>
      <c r="G436" s="101"/>
      <c r="H436" s="101"/>
      <c r="I436" s="113"/>
      <c r="J436" s="113"/>
      <c r="K436" s="72"/>
      <c r="L436" s="72"/>
      <c r="M436" s="72"/>
      <c r="N436" s="72"/>
      <c r="O436" s="72"/>
      <c r="P436" s="72"/>
      <c r="Q436" s="72"/>
      <c r="R436" s="72"/>
      <c r="S436" s="72"/>
    </row>
    <row r="437" spans="1:19" ht="12.75">
      <c r="A437" s="100"/>
      <c r="B437" s="101"/>
      <c r="C437" s="101"/>
      <c r="D437" s="101"/>
      <c r="E437" s="101"/>
      <c r="F437" s="101"/>
      <c r="G437" s="101"/>
      <c r="H437" s="101"/>
      <c r="I437" s="113"/>
      <c r="J437" s="113"/>
      <c r="K437" s="72"/>
      <c r="L437" s="72"/>
      <c r="M437" s="72"/>
      <c r="N437" s="72"/>
      <c r="O437" s="72"/>
      <c r="P437" s="72"/>
      <c r="Q437" s="72"/>
      <c r="R437" s="72"/>
      <c r="S437" s="72"/>
    </row>
    <row r="438" spans="1:19" ht="12.75">
      <c r="A438" s="100"/>
      <c r="B438" s="101"/>
      <c r="C438" s="101"/>
      <c r="D438" s="101"/>
      <c r="E438" s="101"/>
      <c r="F438" s="101"/>
      <c r="G438" s="101"/>
      <c r="H438" s="101"/>
      <c r="I438" s="113"/>
      <c r="J438" s="113"/>
      <c r="K438" s="72"/>
      <c r="L438" s="72"/>
      <c r="M438" s="72"/>
      <c r="N438" s="72"/>
      <c r="O438" s="72"/>
      <c r="P438" s="72"/>
      <c r="Q438" s="72"/>
      <c r="R438" s="72"/>
      <c r="S438" s="72"/>
    </row>
    <row r="439" spans="1:19" ht="12.75">
      <c r="A439" s="100"/>
      <c r="B439" s="101"/>
      <c r="C439" s="101"/>
      <c r="D439" s="101"/>
      <c r="E439" s="101"/>
      <c r="F439" s="101"/>
      <c r="G439" s="101"/>
      <c r="H439" s="101"/>
      <c r="I439" s="113"/>
      <c r="J439" s="113"/>
      <c r="K439" s="72"/>
      <c r="L439" s="72"/>
      <c r="M439" s="72"/>
      <c r="N439" s="72"/>
      <c r="O439" s="72"/>
      <c r="P439" s="72"/>
      <c r="Q439" s="72"/>
      <c r="R439" s="72"/>
      <c r="S439" s="72"/>
    </row>
    <row r="440" spans="1:19" ht="12.75">
      <c r="A440" s="100"/>
      <c r="B440" s="101"/>
      <c r="C440" s="101"/>
      <c r="D440" s="101"/>
      <c r="E440" s="101"/>
      <c r="F440" s="101"/>
      <c r="G440" s="101"/>
      <c r="H440" s="101"/>
      <c r="I440" s="113"/>
      <c r="J440" s="113"/>
      <c r="K440" s="72"/>
      <c r="L440" s="72"/>
      <c r="M440" s="72"/>
      <c r="N440" s="72"/>
      <c r="O440" s="72"/>
      <c r="P440" s="72"/>
      <c r="Q440" s="72"/>
      <c r="R440" s="72"/>
      <c r="S440" s="72"/>
    </row>
    <row r="441" spans="1:19" ht="12.75">
      <c r="A441" s="100"/>
      <c r="B441" s="101"/>
      <c r="C441" s="101"/>
      <c r="D441" s="101"/>
      <c r="E441" s="101"/>
      <c r="F441" s="101"/>
      <c r="G441" s="101"/>
      <c r="H441" s="101"/>
      <c r="I441" s="113"/>
      <c r="J441" s="113"/>
      <c r="K441" s="72"/>
      <c r="L441" s="72"/>
      <c r="M441" s="72"/>
      <c r="N441" s="72"/>
      <c r="O441" s="72"/>
      <c r="P441" s="72"/>
      <c r="Q441" s="72"/>
      <c r="R441" s="72"/>
      <c r="S441" s="72"/>
    </row>
    <row r="442" spans="1:19" ht="12.75">
      <c r="A442" s="100"/>
      <c r="B442" s="101"/>
      <c r="C442" s="101"/>
      <c r="D442" s="101"/>
      <c r="E442" s="101"/>
      <c r="F442" s="101"/>
      <c r="G442" s="101"/>
      <c r="H442" s="101"/>
      <c r="I442" s="113"/>
      <c r="J442" s="113"/>
      <c r="K442" s="72"/>
      <c r="L442" s="72"/>
      <c r="M442" s="72"/>
      <c r="N442" s="72"/>
      <c r="O442" s="72"/>
      <c r="P442" s="72"/>
      <c r="Q442" s="72"/>
      <c r="R442" s="72"/>
      <c r="S442" s="72"/>
    </row>
    <row r="443" spans="1:19" ht="12.75">
      <c r="A443" s="100"/>
      <c r="B443" s="101"/>
      <c r="C443" s="101"/>
      <c r="D443" s="101"/>
      <c r="E443" s="101"/>
      <c r="F443" s="101"/>
      <c r="G443" s="101"/>
      <c r="H443" s="101"/>
      <c r="I443" s="113"/>
      <c r="J443" s="113"/>
      <c r="K443" s="72"/>
      <c r="L443" s="72"/>
      <c r="M443" s="72"/>
      <c r="N443" s="72"/>
      <c r="O443" s="72"/>
      <c r="P443" s="72"/>
      <c r="Q443" s="72"/>
      <c r="R443" s="72"/>
      <c r="S443" s="72"/>
    </row>
    <row r="444" spans="1:19" ht="12.75">
      <c r="A444" s="100"/>
      <c r="B444" s="101"/>
      <c r="C444" s="101"/>
      <c r="D444" s="101"/>
      <c r="E444" s="101"/>
      <c r="F444" s="101"/>
      <c r="G444" s="101"/>
      <c r="H444" s="101"/>
      <c r="I444" s="113"/>
      <c r="J444" s="113"/>
      <c r="K444" s="72"/>
      <c r="L444" s="72"/>
      <c r="M444" s="72"/>
      <c r="N444" s="72"/>
      <c r="O444" s="72"/>
      <c r="P444" s="72"/>
      <c r="Q444" s="72"/>
      <c r="R444" s="72"/>
      <c r="S444" s="72"/>
    </row>
    <row r="445" spans="1:19" ht="12.75">
      <c r="A445" s="100"/>
      <c r="B445" s="101"/>
      <c r="C445" s="101"/>
      <c r="D445" s="101"/>
      <c r="E445" s="101"/>
      <c r="F445" s="101"/>
      <c r="G445" s="101"/>
      <c r="H445" s="101"/>
      <c r="I445" s="113"/>
      <c r="J445" s="113"/>
      <c r="K445" s="72"/>
      <c r="L445" s="72"/>
      <c r="M445" s="72"/>
      <c r="N445" s="72"/>
      <c r="O445" s="72"/>
      <c r="P445" s="72"/>
      <c r="Q445" s="72"/>
      <c r="R445" s="72"/>
      <c r="S445" s="72"/>
    </row>
    <row r="446" spans="1:19" ht="12.75">
      <c r="A446" s="100"/>
      <c r="B446" s="101"/>
      <c r="C446" s="101"/>
      <c r="D446" s="101"/>
      <c r="E446" s="101"/>
      <c r="F446" s="101"/>
      <c r="G446" s="101"/>
      <c r="H446" s="101"/>
      <c r="I446" s="113"/>
      <c r="J446" s="113"/>
      <c r="K446" s="72"/>
      <c r="L446" s="72"/>
      <c r="M446" s="72"/>
      <c r="N446" s="72"/>
      <c r="O446" s="72"/>
      <c r="P446" s="72"/>
      <c r="Q446" s="72"/>
      <c r="R446" s="72"/>
      <c r="S446" s="72"/>
    </row>
    <row r="447" spans="1:19" ht="12.75">
      <c r="A447" s="100"/>
      <c r="B447" s="101"/>
      <c r="C447" s="101"/>
      <c r="D447" s="101"/>
      <c r="E447" s="101"/>
      <c r="F447" s="101"/>
      <c r="G447" s="101"/>
      <c r="H447" s="101"/>
      <c r="I447" s="113"/>
      <c r="J447" s="113"/>
      <c r="K447" s="72"/>
      <c r="L447" s="72"/>
      <c r="M447" s="72"/>
      <c r="N447" s="72"/>
      <c r="O447" s="72"/>
      <c r="P447" s="72"/>
      <c r="Q447" s="72"/>
      <c r="R447" s="72"/>
      <c r="S447" s="72"/>
    </row>
    <row r="448" spans="1:19" ht="12.75">
      <c r="A448" s="100"/>
      <c r="B448" s="101"/>
      <c r="C448" s="101"/>
      <c r="D448" s="101"/>
      <c r="E448" s="101"/>
      <c r="F448" s="101"/>
      <c r="G448" s="101"/>
      <c r="H448" s="101"/>
      <c r="I448" s="113"/>
      <c r="J448" s="113"/>
      <c r="K448" s="72"/>
      <c r="L448" s="72"/>
      <c r="M448" s="72"/>
      <c r="N448" s="72"/>
      <c r="O448" s="72"/>
      <c r="P448" s="72"/>
      <c r="Q448" s="72"/>
      <c r="R448" s="72"/>
      <c r="S448" s="72"/>
    </row>
    <row r="449" spans="1:19" ht="12.75">
      <c r="A449" s="100"/>
      <c r="B449" s="101"/>
      <c r="C449" s="101"/>
      <c r="D449" s="101"/>
      <c r="E449" s="101"/>
      <c r="F449" s="101"/>
      <c r="G449" s="101"/>
      <c r="H449" s="101"/>
      <c r="I449" s="113"/>
      <c r="J449" s="113"/>
      <c r="K449" s="72"/>
      <c r="L449" s="72"/>
      <c r="M449" s="72"/>
      <c r="N449" s="72"/>
      <c r="O449" s="72"/>
      <c r="P449" s="72"/>
      <c r="Q449" s="72"/>
      <c r="R449" s="72"/>
      <c r="S449" s="72"/>
    </row>
    <row r="450" spans="1:19" ht="12.75">
      <c r="A450" s="100"/>
      <c r="B450" s="101"/>
      <c r="C450" s="101"/>
      <c r="D450" s="101"/>
      <c r="E450" s="101"/>
      <c r="F450" s="101"/>
      <c r="G450" s="101"/>
      <c r="H450" s="101"/>
      <c r="I450" s="113"/>
      <c r="J450" s="113"/>
      <c r="K450" s="72"/>
      <c r="L450" s="72"/>
      <c r="M450" s="72"/>
      <c r="N450" s="72"/>
      <c r="O450" s="72"/>
      <c r="P450" s="72"/>
      <c r="Q450" s="72"/>
      <c r="R450" s="72"/>
      <c r="S450" s="72"/>
    </row>
    <row r="451" spans="1:19" ht="12.75">
      <c r="A451" s="100"/>
      <c r="B451" s="101"/>
      <c r="C451" s="101"/>
      <c r="D451" s="101"/>
      <c r="E451" s="101"/>
      <c r="F451" s="101"/>
      <c r="G451" s="101"/>
      <c r="H451" s="101"/>
      <c r="I451" s="113"/>
      <c r="J451" s="113"/>
      <c r="K451" s="72"/>
      <c r="L451" s="72"/>
      <c r="M451" s="72"/>
      <c r="N451" s="72"/>
      <c r="O451" s="72"/>
      <c r="P451" s="72"/>
      <c r="Q451" s="72"/>
      <c r="R451" s="72"/>
      <c r="S451" s="72"/>
    </row>
    <row r="452" spans="1:19" ht="12.75">
      <c r="A452" s="100"/>
      <c r="B452" s="101"/>
      <c r="C452" s="101"/>
      <c r="D452" s="101"/>
      <c r="E452" s="101"/>
      <c r="F452" s="101"/>
      <c r="G452" s="101"/>
      <c r="H452" s="101"/>
      <c r="I452" s="113"/>
      <c r="J452" s="113"/>
      <c r="K452" s="72"/>
      <c r="L452" s="72"/>
      <c r="M452" s="72"/>
      <c r="N452" s="72"/>
      <c r="O452" s="72"/>
      <c r="P452" s="72"/>
      <c r="Q452" s="72"/>
      <c r="R452" s="72"/>
      <c r="S452" s="72"/>
    </row>
    <row r="453" spans="1:19" ht="12.75">
      <c r="A453" s="100"/>
      <c r="B453" s="101"/>
      <c r="C453" s="101"/>
      <c r="D453" s="101"/>
      <c r="E453" s="101"/>
      <c r="F453" s="101"/>
      <c r="G453" s="101"/>
      <c r="H453" s="101"/>
      <c r="I453" s="113"/>
      <c r="J453" s="113"/>
      <c r="K453" s="72"/>
      <c r="L453" s="72"/>
      <c r="M453" s="72"/>
      <c r="N453" s="72"/>
      <c r="O453" s="72"/>
      <c r="P453" s="72"/>
      <c r="Q453" s="72"/>
      <c r="R453" s="72"/>
      <c r="S453" s="72"/>
    </row>
    <row r="454" spans="1:19" ht="12.75">
      <c r="A454" s="100"/>
      <c r="B454" s="101"/>
      <c r="C454" s="101"/>
      <c r="D454" s="101"/>
      <c r="E454" s="101"/>
      <c r="F454" s="101"/>
      <c r="G454" s="101"/>
      <c r="H454" s="101"/>
      <c r="I454" s="113"/>
      <c r="J454" s="113"/>
      <c r="K454" s="72"/>
      <c r="L454" s="72"/>
      <c r="M454" s="72"/>
      <c r="N454" s="72"/>
      <c r="O454" s="72"/>
      <c r="P454" s="72"/>
      <c r="Q454" s="72"/>
      <c r="R454" s="72"/>
      <c r="S454" s="72"/>
    </row>
    <row r="455" spans="1:19" ht="12.75">
      <c r="A455" s="100"/>
      <c r="B455" s="101"/>
      <c r="C455" s="101"/>
      <c r="D455" s="101"/>
      <c r="E455" s="101"/>
      <c r="F455" s="101"/>
      <c r="G455" s="101"/>
      <c r="H455" s="101"/>
      <c r="I455" s="113"/>
      <c r="J455" s="113"/>
      <c r="K455" s="72"/>
      <c r="L455" s="72"/>
      <c r="M455" s="72"/>
      <c r="N455" s="72"/>
      <c r="O455" s="72"/>
      <c r="P455" s="72"/>
      <c r="Q455" s="72"/>
      <c r="R455" s="72"/>
      <c r="S455" s="72"/>
    </row>
    <row r="456" spans="1:19" ht="12.75">
      <c r="A456" s="100"/>
      <c r="B456" s="101"/>
      <c r="C456" s="101"/>
      <c r="D456" s="101"/>
      <c r="E456" s="101"/>
      <c r="F456" s="101"/>
      <c r="G456" s="101"/>
      <c r="H456" s="101"/>
      <c r="I456" s="113"/>
      <c r="J456" s="113"/>
      <c r="K456" s="72"/>
      <c r="L456" s="72"/>
      <c r="M456" s="72"/>
      <c r="N456" s="72"/>
      <c r="O456" s="72"/>
      <c r="P456" s="72"/>
      <c r="Q456" s="72"/>
      <c r="R456" s="72"/>
      <c r="S456" s="72"/>
    </row>
    <row r="457" spans="1:19" ht="12.75">
      <c r="A457" s="100"/>
      <c r="B457" s="101"/>
      <c r="C457" s="101"/>
      <c r="D457" s="101"/>
      <c r="E457" s="101"/>
      <c r="F457" s="101"/>
      <c r="G457" s="101"/>
      <c r="H457" s="101"/>
      <c r="I457" s="113"/>
      <c r="J457" s="113"/>
      <c r="K457" s="72"/>
      <c r="L457" s="72"/>
      <c r="M457" s="72"/>
      <c r="N457" s="72"/>
      <c r="O457" s="72"/>
      <c r="P457" s="72"/>
      <c r="Q457" s="72"/>
      <c r="R457" s="72"/>
      <c r="S457" s="72"/>
    </row>
    <row r="458" spans="1:19" ht="12.75">
      <c r="A458" s="100"/>
      <c r="B458" s="101"/>
      <c r="C458" s="101"/>
      <c r="D458" s="101"/>
      <c r="E458" s="101"/>
      <c r="F458" s="101"/>
      <c r="G458" s="101"/>
      <c r="H458" s="101"/>
      <c r="I458" s="113"/>
      <c r="J458" s="113"/>
      <c r="K458" s="72"/>
      <c r="L458" s="72"/>
      <c r="M458" s="72"/>
      <c r="N458" s="72"/>
      <c r="O458" s="72"/>
      <c r="P458" s="72"/>
      <c r="Q458" s="72"/>
      <c r="R458" s="72"/>
      <c r="S458" s="72"/>
    </row>
    <row r="459" spans="1:19" ht="12.75">
      <c r="A459" s="100"/>
      <c r="B459" s="101"/>
      <c r="C459" s="101"/>
      <c r="D459" s="101"/>
      <c r="E459" s="101"/>
      <c r="F459" s="101"/>
      <c r="G459" s="101"/>
      <c r="H459" s="101"/>
      <c r="I459" s="113"/>
      <c r="J459" s="113"/>
      <c r="K459" s="72"/>
      <c r="L459" s="72"/>
      <c r="M459" s="72"/>
      <c r="N459" s="72"/>
      <c r="O459" s="72"/>
      <c r="P459" s="72"/>
      <c r="Q459" s="72"/>
      <c r="R459" s="72"/>
      <c r="S459" s="72"/>
    </row>
    <row r="460" spans="1:19" ht="12.75">
      <c r="A460" s="100"/>
      <c r="B460" s="101"/>
      <c r="C460" s="101"/>
      <c r="D460" s="101"/>
      <c r="E460" s="101"/>
      <c r="F460" s="101"/>
      <c r="G460" s="101"/>
      <c r="H460" s="101"/>
      <c r="I460" s="113"/>
      <c r="J460" s="113"/>
      <c r="K460" s="72"/>
      <c r="L460" s="72"/>
      <c r="M460" s="72"/>
      <c r="N460" s="72"/>
      <c r="O460" s="72"/>
      <c r="P460" s="72"/>
      <c r="Q460" s="72"/>
      <c r="R460" s="72"/>
      <c r="S460" s="72"/>
    </row>
    <row r="461" spans="1:19" ht="12.75">
      <c r="A461" s="100"/>
      <c r="B461" s="101"/>
      <c r="C461" s="101"/>
      <c r="D461" s="101"/>
      <c r="E461" s="101"/>
      <c r="F461" s="101"/>
      <c r="G461" s="101"/>
      <c r="H461" s="101"/>
      <c r="I461" s="113"/>
      <c r="J461" s="113"/>
      <c r="K461" s="72"/>
      <c r="L461" s="72"/>
      <c r="M461" s="72"/>
      <c r="N461" s="72"/>
      <c r="O461" s="72"/>
      <c r="P461" s="72"/>
      <c r="Q461" s="72"/>
      <c r="R461" s="72"/>
      <c r="S461" s="72"/>
    </row>
    <row r="462" spans="1:19" ht="12.75">
      <c r="A462" s="100"/>
      <c r="B462" s="101"/>
      <c r="C462" s="101"/>
      <c r="D462" s="101"/>
      <c r="E462" s="101"/>
      <c r="F462" s="101"/>
      <c r="G462" s="101"/>
      <c r="H462" s="101"/>
      <c r="I462" s="113"/>
      <c r="J462" s="113"/>
      <c r="K462" s="72"/>
      <c r="L462" s="72"/>
      <c r="M462" s="72"/>
      <c r="N462" s="72"/>
      <c r="O462" s="72"/>
      <c r="P462" s="72"/>
      <c r="Q462" s="72"/>
      <c r="R462" s="72"/>
      <c r="S462" s="72"/>
    </row>
    <row r="463" spans="1:19" ht="12.75">
      <c r="A463" s="100"/>
      <c r="B463" s="101"/>
      <c r="C463" s="101"/>
      <c r="D463" s="101"/>
      <c r="E463" s="101"/>
      <c r="F463" s="101"/>
      <c r="G463" s="101"/>
      <c r="H463" s="101"/>
      <c r="I463" s="113"/>
      <c r="J463" s="113"/>
      <c r="K463" s="72"/>
      <c r="L463" s="72"/>
      <c r="M463" s="72"/>
      <c r="N463" s="72"/>
      <c r="O463" s="72"/>
      <c r="P463" s="72"/>
      <c r="Q463" s="72"/>
      <c r="R463" s="72"/>
      <c r="S463" s="72"/>
    </row>
    <row r="464" spans="1:19" ht="12.75">
      <c r="A464" s="100"/>
      <c r="B464" s="101"/>
      <c r="C464" s="101"/>
      <c r="D464" s="101"/>
      <c r="E464" s="101"/>
      <c r="F464" s="101"/>
      <c r="G464" s="101"/>
      <c r="H464" s="101"/>
      <c r="I464" s="113"/>
      <c r="J464" s="113"/>
      <c r="K464" s="72"/>
      <c r="L464" s="72"/>
      <c r="M464" s="72"/>
      <c r="N464" s="72"/>
      <c r="O464" s="72"/>
      <c r="P464" s="72"/>
      <c r="Q464" s="72"/>
      <c r="R464" s="72"/>
      <c r="S464" s="72"/>
    </row>
    <row r="465" spans="1:19" ht="12.75">
      <c r="A465" s="100"/>
      <c r="B465" s="101"/>
      <c r="C465" s="101"/>
      <c r="D465" s="101"/>
      <c r="E465" s="101"/>
      <c r="F465" s="101"/>
      <c r="G465" s="101"/>
      <c r="H465" s="101"/>
      <c r="I465" s="113"/>
      <c r="J465" s="113"/>
      <c r="K465" s="72"/>
      <c r="L465" s="72"/>
      <c r="M465" s="72"/>
      <c r="N465" s="72"/>
      <c r="O465" s="72"/>
      <c r="P465" s="72"/>
      <c r="Q465" s="72"/>
      <c r="R465" s="72"/>
      <c r="S465" s="72"/>
    </row>
    <row r="466" spans="1:19" ht="12.75">
      <c r="A466" s="100"/>
      <c r="B466" s="101"/>
      <c r="C466" s="101"/>
      <c r="D466" s="101"/>
      <c r="E466" s="101"/>
      <c r="F466" s="101"/>
      <c r="G466" s="101"/>
      <c r="H466" s="101"/>
      <c r="I466" s="113"/>
      <c r="J466" s="113"/>
      <c r="K466" s="72"/>
      <c r="L466" s="72"/>
      <c r="M466" s="72"/>
      <c r="N466" s="72"/>
      <c r="O466" s="72"/>
      <c r="P466" s="72"/>
      <c r="Q466" s="72"/>
      <c r="R466" s="72"/>
      <c r="S466" s="72"/>
    </row>
    <row r="467" spans="1:19" ht="12.75">
      <c r="A467" s="100"/>
      <c r="B467" s="101"/>
      <c r="C467" s="101"/>
      <c r="D467" s="101"/>
      <c r="E467" s="101"/>
      <c r="F467" s="101"/>
      <c r="G467" s="101"/>
      <c r="H467" s="101"/>
      <c r="I467" s="113"/>
      <c r="J467" s="113"/>
      <c r="K467" s="72"/>
      <c r="L467" s="72"/>
      <c r="M467" s="72"/>
      <c r="N467" s="72"/>
      <c r="O467" s="72"/>
      <c r="P467" s="72"/>
      <c r="Q467" s="72"/>
      <c r="R467" s="72"/>
      <c r="S467" s="72"/>
    </row>
    <row r="468" spans="1:19" ht="12.75">
      <c r="A468" s="100"/>
      <c r="B468" s="101"/>
      <c r="C468" s="101"/>
      <c r="D468" s="101"/>
      <c r="E468" s="101"/>
      <c r="F468" s="101"/>
      <c r="G468" s="101"/>
      <c r="H468" s="101"/>
      <c r="I468" s="113"/>
      <c r="J468" s="113"/>
      <c r="K468" s="72"/>
      <c r="L468" s="72"/>
      <c r="M468" s="72"/>
      <c r="N468" s="72"/>
      <c r="O468" s="72"/>
      <c r="P468" s="72"/>
      <c r="Q468" s="72"/>
      <c r="R468" s="72"/>
      <c r="S468" s="72"/>
    </row>
    <row r="469" spans="1:19" ht="12.75">
      <c r="A469" s="100"/>
      <c r="B469" s="101"/>
      <c r="C469" s="101"/>
      <c r="D469" s="101"/>
      <c r="E469" s="101"/>
      <c r="F469" s="101"/>
      <c r="G469" s="101"/>
      <c r="H469" s="101"/>
      <c r="I469" s="113"/>
      <c r="J469" s="113"/>
      <c r="K469" s="72"/>
      <c r="L469" s="72"/>
      <c r="M469" s="72"/>
      <c r="N469" s="72"/>
      <c r="O469" s="72"/>
      <c r="P469" s="72"/>
      <c r="Q469" s="72"/>
      <c r="R469" s="72"/>
      <c r="S469" s="72"/>
    </row>
    <row r="470" spans="1:19" ht="12.75">
      <c r="A470" s="100"/>
      <c r="B470" s="101"/>
      <c r="C470" s="101"/>
      <c r="D470" s="101"/>
      <c r="E470" s="101"/>
      <c r="F470" s="101"/>
      <c r="G470" s="101"/>
      <c r="H470" s="101"/>
      <c r="I470" s="113"/>
      <c r="J470" s="113"/>
      <c r="K470" s="72"/>
      <c r="L470" s="72"/>
      <c r="M470" s="72"/>
      <c r="N470" s="72"/>
      <c r="O470" s="72"/>
      <c r="P470" s="72"/>
      <c r="Q470" s="72"/>
      <c r="R470" s="72"/>
      <c r="S470" s="72"/>
    </row>
    <row r="471" spans="1:19" ht="12.75">
      <c r="A471" s="100"/>
      <c r="B471" s="101"/>
      <c r="C471" s="101"/>
      <c r="D471" s="101"/>
      <c r="E471" s="101"/>
      <c r="F471" s="101"/>
      <c r="G471" s="101"/>
      <c r="H471" s="101"/>
      <c r="I471" s="113"/>
      <c r="J471" s="113"/>
      <c r="K471" s="72"/>
      <c r="L471" s="72"/>
      <c r="M471" s="72"/>
      <c r="N471" s="72"/>
      <c r="O471" s="72"/>
      <c r="P471" s="72"/>
      <c r="Q471" s="72"/>
      <c r="R471" s="72"/>
      <c r="S471" s="72"/>
    </row>
    <row r="472" spans="1:19" ht="12.75">
      <c r="A472" s="100"/>
      <c r="B472" s="101"/>
      <c r="C472" s="101"/>
      <c r="D472" s="101"/>
      <c r="E472" s="101"/>
      <c r="F472" s="101"/>
      <c r="G472" s="101"/>
      <c r="H472" s="101"/>
      <c r="I472" s="113"/>
      <c r="J472" s="113"/>
      <c r="K472" s="72"/>
      <c r="L472" s="72"/>
      <c r="M472" s="72"/>
      <c r="N472" s="72"/>
      <c r="O472" s="72"/>
      <c r="P472" s="72"/>
      <c r="Q472" s="72"/>
      <c r="R472" s="72"/>
      <c r="S472" s="72"/>
    </row>
    <row r="473" spans="1:19" ht="12.75">
      <c r="A473" s="100"/>
      <c r="B473" s="101"/>
      <c r="C473" s="101"/>
      <c r="D473" s="101"/>
      <c r="E473" s="101"/>
      <c r="F473" s="101"/>
      <c r="G473" s="101"/>
      <c r="H473" s="101"/>
      <c r="I473" s="113"/>
      <c r="J473" s="113"/>
      <c r="K473" s="72"/>
      <c r="L473" s="72"/>
      <c r="M473" s="72"/>
      <c r="N473" s="72"/>
      <c r="O473" s="72"/>
      <c r="P473" s="72"/>
      <c r="Q473" s="72"/>
      <c r="R473" s="72"/>
      <c r="S473" s="72"/>
    </row>
    <row r="474" spans="1:19" ht="12.75">
      <c r="A474" s="100"/>
      <c r="B474" s="101"/>
      <c r="C474" s="101"/>
      <c r="D474" s="101"/>
      <c r="E474" s="101"/>
      <c r="F474" s="101"/>
      <c r="G474" s="101"/>
      <c r="H474" s="101"/>
      <c r="I474" s="113"/>
      <c r="J474" s="113"/>
      <c r="K474" s="72"/>
      <c r="L474" s="72"/>
      <c r="M474" s="72"/>
      <c r="N474" s="72"/>
      <c r="O474" s="72"/>
      <c r="P474" s="72"/>
      <c r="Q474" s="72"/>
      <c r="R474" s="72"/>
      <c r="S474" s="72"/>
    </row>
    <row r="475" spans="1:19" ht="12.75">
      <c r="A475" s="100"/>
      <c r="B475" s="101"/>
      <c r="C475" s="101"/>
      <c r="D475" s="101"/>
      <c r="E475" s="101"/>
      <c r="F475" s="101"/>
      <c r="G475" s="101"/>
      <c r="H475" s="101"/>
      <c r="I475" s="113"/>
      <c r="J475" s="113"/>
      <c r="K475" s="72"/>
      <c r="L475" s="72"/>
      <c r="M475" s="72"/>
      <c r="N475" s="72"/>
      <c r="O475" s="72"/>
      <c r="P475" s="72"/>
      <c r="Q475" s="72"/>
      <c r="R475" s="72"/>
      <c r="S475" s="72"/>
    </row>
    <row r="476" spans="1:19" ht="12.75">
      <c r="A476" s="100"/>
      <c r="B476" s="101"/>
      <c r="C476" s="101"/>
      <c r="D476" s="101"/>
      <c r="E476" s="101"/>
      <c r="F476" s="101"/>
      <c r="G476" s="101"/>
      <c r="H476" s="101"/>
      <c r="I476" s="113"/>
      <c r="J476" s="113"/>
      <c r="K476" s="72"/>
      <c r="L476" s="72"/>
      <c r="M476" s="72"/>
      <c r="N476" s="72"/>
      <c r="O476" s="72"/>
      <c r="P476" s="72"/>
      <c r="Q476" s="72"/>
      <c r="R476" s="72"/>
      <c r="S476" s="72"/>
    </row>
    <row r="477" spans="1:19" ht="12.75">
      <c r="A477" s="100"/>
      <c r="B477" s="101"/>
      <c r="C477" s="101"/>
      <c r="D477" s="101"/>
      <c r="E477" s="101"/>
      <c r="F477" s="101"/>
      <c r="G477" s="101"/>
      <c r="H477" s="101"/>
      <c r="I477" s="113"/>
      <c r="J477" s="113"/>
      <c r="K477" s="72"/>
      <c r="L477" s="72"/>
      <c r="M477" s="72"/>
      <c r="N477" s="72"/>
      <c r="O477" s="72"/>
      <c r="P477" s="72"/>
      <c r="Q477" s="72"/>
      <c r="R477" s="72"/>
      <c r="S477" s="72"/>
    </row>
    <row r="478" spans="1:19" ht="12.75">
      <c r="A478" s="100"/>
      <c r="B478" s="101"/>
      <c r="C478" s="101"/>
      <c r="D478" s="101"/>
      <c r="E478" s="101"/>
      <c r="F478" s="101"/>
      <c r="G478" s="101"/>
      <c r="H478" s="101"/>
      <c r="I478" s="113"/>
      <c r="J478" s="113"/>
      <c r="K478" s="72"/>
      <c r="L478" s="72"/>
      <c r="M478" s="72"/>
      <c r="N478" s="72"/>
      <c r="O478" s="72"/>
      <c r="P478" s="72"/>
      <c r="Q478" s="72"/>
      <c r="R478" s="72"/>
      <c r="S478" s="72"/>
    </row>
    <row r="479" spans="1:19" ht="12.75">
      <c r="A479" s="100"/>
      <c r="B479" s="101"/>
      <c r="C479" s="101"/>
      <c r="D479" s="101"/>
      <c r="E479" s="101"/>
      <c r="F479" s="101"/>
      <c r="G479" s="101"/>
      <c r="H479" s="101"/>
      <c r="I479" s="113"/>
      <c r="J479" s="113"/>
      <c r="K479" s="72"/>
      <c r="L479" s="72"/>
      <c r="M479" s="72"/>
      <c r="N479" s="72"/>
      <c r="O479" s="72"/>
      <c r="P479" s="72"/>
      <c r="Q479" s="72"/>
      <c r="R479" s="72"/>
      <c r="S479" s="72"/>
    </row>
    <row r="480" spans="1:19" ht="12.75">
      <c r="A480" s="100"/>
      <c r="B480" s="101"/>
      <c r="C480" s="101"/>
      <c r="D480" s="101"/>
      <c r="E480" s="101"/>
      <c r="F480" s="101"/>
      <c r="G480" s="101"/>
      <c r="H480" s="101"/>
      <c r="I480" s="113"/>
      <c r="J480" s="113"/>
      <c r="K480" s="72"/>
      <c r="L480" s="72"/>
      <c r="M480" s="72"/>
      <c r="N480" s="72"/>
      <c r="O480" s="72"/>
      <c r="P480" s="72"/>
      <c r="Q480" s="72"/>
      <c r="R480" s="72"/>
      <c r="S480" s="72"/>
    </row>
    <row r="481" spans="1:19" ht="12.75">
      <c r="A481" s="100"/>
      <c r="B481" s="101"/>
      <c r="C481" s="101"/>
      <c r="D481" s="101"/>
      <c r="E481" s="101"/>
      <c r="F481" s="101"/>
      <c r="G481" s="101"/>
      <c r="H481" s="101"/>
      <c r="I481" s="113"/>
      <c r="J481" s="113"/>
      <c r="K481" s="72"/>
      <c r="L481" s="72"/>
      <c r="M481" s="72"/>
      <c r="N481" s="72"/>
      <c r="O481" s="72"/>
      <c r="P481" s="72"/>
      <c r="Q481" s="72"/>
      <c r="R481" s="72"/>
      <c r="S481" s="72"/>
    </row>
    <row r="482" spans="1:19" ht="12.75">
      <c r="A482" s="100"/>
      <c r="B482" s="101"/>
      <c r="C482" s="101"/>
      <c r="D482" s="101"/>
      <c r="E482" s="101"/>
      <c r="F482" s="101"/>
      <c r="G482" s="101"/>
      <c r="H482" s="101"/>
      <c r="I482" s="113"/>
      <c r="J482" s="113"/>
      <c r="K482" s="72"/>
      <c r="L482" s="72"/>
      <c r="M482" s="72"/>
      <c r="N482" s="72"/>
      <c r="O482" s="72"/>
      <c r="P482" s="72"/>
      <c r="Q482" s="72"/>
      <c r="R482" s="72"/>
      <c r="S482" s="72"/>
    </row>
    <row r="483" spans="1:19" ht="12.75">
      <c r="A483" s="100"/>
      <c r="B483" s="101"/>
      <c r="C483" s="101"/>
      <c r="D483" s="101"/>
      <c r="E483" s="101"/>
      <c r="F483" s="101"/>
      <c r="G483" s="101"/>
      <c r="H483" s="101"/>
      <c r="I483" s="113"/>
      <c r="J483" s="113"/>
      <c r="K483" s="72"/>
      <c r="L483" s="72"/>
      <c r="M483" s="72"/>
      <c r="N483" s="72"/>
      <c r="O483" s="72"/>
      <c r="P483" s="72"/>
      <c r="Q483" s="72"/>
      <c r="R483" s="72"/>
      <c r="S483" s="72"/>
    </row>
    <row r="484" spans="1:19" ht="12.75">
      <c r="A484" s="100"/>
      <c r="B484" s="101"/>
      <c r="C484" s="101"/>
      <c r="D484" s="101"/>
      <c r="E484" s="101"/>
      <c r="F484" s="101"/>
      <c r="G484" s="101"/>
      <c r="H484" s="101"/>
      <c r="I484" s="113"/>
      <c r="J484" s="113"/>
      <c r="K484" s="72"/>
      <c r="L484" s="72"/>
      <c r="M484" s="72"/>
      <c r="N484" s="72"/>
      <c r="O484" s="72"/>
      <c r="P484" s="72"/>
      <c r="Q484" s="72"/>
      <c r="R484" s="72"/>
      <c r="S484" s="72"/>
    </row>
    <row r="485" spans="1:19" ht="12.75">
      <c r="A485" s="100"/>
      <c r="B485" s="101"/>
      <c r="C485" s="101"/>
      <c r="D485" s="101"/>
      <c r="E485" s="101"/>
      <c r="F485" s="101"/>
      <c r="G485" s="101"/>
      <c r="H485" s="101"/>
      <c r="I485" s="113"/>
      <c r="J485" s="113"/>
      <c r="K485" s="72"/>
      <c r="L485" s="72"/>
      <c r="M485" s="72"/>
      <c r="N485" s="72"/>
      <c r="O485" s="72"/>
      <c r="P485" s="72"/>
      <c r="Q485" s="72"/>
      <c r="R485" s="72"/>
      <c r="S485" s="72"/>
    </row>
    <row r="486" spans="1:19" ht="12.75">
      <c r="A486" s="100"/>
      <c r="B486" s="101"/>
      <c r="C486" s="101"/>
      <c r="D486" s="101"/>
      <c r="E486" s="101"/>
      <c r="F486" s="101"/>
      <c r="G486" s="101"/>
      <c r="H486" s="101"/>
      <c r="I486" s="113"/>
      <c r="J486" s="113"/>
      <c r="K486" s="72"/>
      <c r="L486" s="72"/>
      <c r="M486" s="72"/>
      <c r="N486" s="72"/>
      <c r="O486" s="72"/>
      <c r="P486" s="72"/>
      <c r="Q486" s="72"/>
      <c r="R486" s="72"/>
      <c r="S486" s="72"/>
    </row>
    <row r="487" spans="1:19" ht="12.75">
      <c r="A487" s="100"/>
      <c r="B487" s="101"/>
      <c r="C487" s="101"/>
      <c r="D487" s="101"/>
      <c r="E487" s="101"/>
      <c r="F487" s="101"/>
      <c r="G487" s="101"/>
      <c r="H487" s="101"/>
      <c r="I487" s="113"/>
      <c r="J487" s="113"/>
      <c r="K487" s="72"/>
      <c r="L487" s="72"/>
      <c r="M487" s="72"/>
      <c r="N487" s="72"/>
      <c r="O487" s="72"/>
      <c r="P487" s="72"/>
      <c r="Q487" s="72"/>
      <c r="R487" s="72"/>
      <c r="S487" s="72"/>
    </row>
    <row r="488" spans="1:19" ht="12.75">
      <c r="A488" s="100"/>
      <c r="B488" s="101"/>
      <c r="C488" s="101"/>
      <c r="D488" s="101"/>
      <c r="E488" s="101"/>
      <c r="F488" s="101"/>
      <c r="G488" s="101"/>
      <c r="H488" s="101"/>
      <c r="I488" s="113"/>
      <c r="J488" s="113"/>
      <c r="K488" s="72"/>
      <c r="L488" s="72"/>
      <c r="M488" s="72"/>
      <c r="N488" s="72"/>
      <c r="O488" s="72"/>
      <c r="P488" s="72"/>
      <c r="Q488" s="72"/>
      <c r="R488" s="72"/>
      <c r="S488" s="72"/>
    </row>
    <row r="489" spans="1:19" ht="12.75">
      <c r="A489" s="100"/>
      <c r="B489" s="101"/>
      <c r="C489" s="101"/>
      <c r="D489" s="101"/>
      <c r="E489" s="101"/>
      <c r="F489" s="101"/>
      <c r="G489" s="101"/>
      <c r="H489" s="101"/>
      <c r="I489" s="113"/>
      <c r="J489" s="113"/>
      <c r="K489" s="72"/>
      <c r="L489" s="72"/>
      <c r="M489" s="72"/>
      <c r="N489" s="72"/>
      <c r="O489" s="72"/>
      <c r="P489" s="72"/>
      <c r="Q489" s="72"/>
      <c r="R489" s="72"/>
      <c r="S489" s="72"/>
    </row>
    <row r="490" spans="1:19" ht="12.75">
      <c r="A490" s="100"/>
      <c r="B490" s="101"/>
      <c r="C490" s="101"/>
      <c r="D490" s="101"/>
      <c r="E490" s="101"/>
      <c r="F490" s="101"/>
      <c r="G490" s="101"/>
      <c r="H490" s="101"/>
      <c r="I490" s="113"/>
      <c r="J490" s="113"/>
      <c r="K490" s="72"/>
      <c r="L490" s="72"/>
      <c r="M490" s="72"/>
      <c r="N490" s="72"/>
      <c r="O490" s="72"/>
      <c r="P490" s="72"/>
      <c r="Q490" s="72"/>
      <c r="R490" s="72"/>
      <c r="S490" s="72"/>
    </row>
    <row r="491" spans="1:19" ht="12.75">
      <c r="A491" s="100"/>
      <c r="B491" s="101"/>
      <c r="C491" s="101"/>
      <c r="D491" s="101"/>
      <c r="E491" s="101"/>
      <c r="F491" s="101"/>
      <c r="G491" s="101"/>
      <c r="H491" s="101"/>
      <c r="I491" s="113"/>
      <c r="J491" s="113"/>
      <c r="K491" s="72"/>
      <c r="L491" s="72"/>
      <c r="M491" s="72"/>
      <c r="N491" s="72"/>
      <c r="O491" s="72"/>
      <c r="P491" s="72"/>
      <c r="Q491" s="72"/>
      <c r="R491" s="72"/>
      <c r="S491" s="72"/>
    </row>
    <row r="492" spans="1:19" ht="12.75">
      <c r="A492" s="100"/>
      <c r="B492" s="101"/>
      <c r="C492" s="101"/>
      <c r="D492" s="101"/>
      <c r="E492" s="101"/>
      <c r="F492" s="101"/>
      <c r="G492" s="101"/>
      <c r="H492" s="101"/>
      <c r="I492" s="113"/>
      <c r="J492" s="113"/>
      <c r="K492" s="72"/>
      <c r="L492" s="72"/>
      <c r="M492" s="72"/>
      <c r="N492" s="72"/>
      <c r="O492" s="72"/>
      <c r="P492" s="72"/>
      <c r="Q492" s="72"/>
      <c r="R492" s="72"/>
      <c r="S492" s="72"/>
    </row>
    <row r="493" spans="1:19" ht="12.75">
      <c r="A493" s="100"/>
      <c r="B493" s="101"/>
      <c r="C493" s="101"/>
      <c r="D493" s="101"/>
      <c r="E493" s="101"/>
      <c r="F493" s="101"/>
      <c r="G493" s="101"/>
      <c r="H493" s="101"/>
      <c r="I493" s="113"/>
      <c r="J493" s="113"/>
      <c r="K493" s="72"/>
      <c r="L493" s="72"/>
      <c r="M493" s="72"/>
      <c r="N493" s="72"/>
      <c r="O493" s="72"/>
      <c r="P493" s="72"/>
      <c r="Q493" s="72"/>
      <c r="R493" s="72"/>
      <c r="S493" s="72"/>
    </row>
    <row r="494" spans="1:19" ht="12.75">
      <c r="A494" s="100"/>
      <c r="B494" s="101"/>
      <c r="C494" s="101"/>
      <c r="D494" s="101"/>
      <c r="E494" s="101"/>
      <c r="F494" s="101"/>
      <c r="G494" s="101"/>
      <c r="H494" s="101"/>
      <c r="I494" s="113"/>
      <c r="J494" s="113"/>
      <c r="K494" s="72"/>
      <c r="L494" s="72"/>
      <c r="M494" s="72"/>
      <c r="N494" s="72"/>
      <c r="O494" s="72"/>
      <c r="P494" s="72"/>
      <c r="Q494" s="72"/>
      <c r="R494" s="72"/>
      <c r="S494" s="72"/>
    </row>
    <row r="495" spans="1:19" ht="12.75">
      <c r="A495" s="100"/>
      <c r="B495" s="101"/>
      <c r="C495" s="101"/>
      <c r="D495" s="101"/>
      <c r="E495" s="101"/>
      <c r="F495" s="101"/>
      <c r="G495" s="101"/>
      <c r="H495" s="101"/>
      <c r="I495" s="113"/>
      <c r="J495" s="113"/>
      <c r="K495" s="72"/>
      <c r="L495" s="72"/>
      <c r="M495" s="72"/>
      <c r="N495" s="72"/>
      <c r="O495" s="72"/>
      <c r="P495" s="72"/>
      <c r="Q495" s="72"/>
      <c r="R495" s="72"/>
      <c r="S495" s="72"/>
    </row>
    <row r="496" spans="1:19" ht="12.75">
      <c r="A496" s="100"/>
      <c r="B496" s="101"/>
      <c r="C496" s="101"/>
      <c r="D496" s="101"/>
      <c r="E496" s="101"/>
      <c r="F496" s="101"/>
      <c r="G496" s="101"/>
      <c r="H496" s="101"/>
      <c r="I496" s="113"/>
      <c r="J496" s="113"/>
      <c r="K496" s="72"/>
      <c r="L496" s="72"/>
      <c r="M496" s="72"/>
      <c r="N496" s="72"/>
      <c r="O496" s="72"/>
      <c r="P496" s="72"/>
      <c r="Q496" s="72"/>
      <c r="R496" s="72"/>
      <c r="S496" s="72"/>
    </row>
    <row r="497" spans="1:19" ht="12.75">
      <c r="A497" s="100"/>
      <c r="B497" s="101"/>
      <c r="C497" s="101"/>
      <c r="D497" s="101"/>
      <c r="E497" s="101"/>
      <c r="F497" s="101"/>
      <c r="G497" s="101"/>
      <c r="H497" s="101"/>
      <c r="I497" s="113"/>
      <c r="J497" s="113"/>
      <c r="K497" s="72"/>
      <c r="L497" s="72"/>
      <c r="M497" s="72"/>
      <c r="N497" s="72"/>
      <c r="O497" s="72"/>
      <c r="P497" s="72"/>
      <c r="Q497" s="72"/>
      <c r="R497" s="72"/>
      <c r="S497" s="72"/>
    </row>
    <row r="498" spans="1:19" ht="12.75">
      <c r="A498" s="100"/>
      <c r="B498" s="101"/>
      <c r="C498" s="101"/>
      <c r="D498" s="101"/>
      <c r="E498" s="101"/>
      <c r="F498" s="101"/>
      <c r="G498" s="101"/>
      <c r="H498" s="101"/>
      <c r="I498" s="113"/>
      <c r="J498" s="113"/>
      <c r="K498" s="72"/>
      <c r="L498" s="72"/>
      <c r="M498" s="72"/>
      <c r="N498" s="72"/>
      <c r="O498" s="72"/>
      <c r="P498" s="72"/>
      <c r="Q498" s="72"/>
      <c r="R498" s="72"/>
      <c r="S498" s="72"/>
    </row>
    <row r="499" spans="1:19" ht="12.75">
      <c r="A499" s="100"/>
      <c r="B499" s="101"/>
      <c r="C499" s="101"/>
      <c r="D499" s="101"/>
      <c r="E499" s="101"/>
      <c r="F499" s="101"/>
      <c r="G499" s="101"/>
      <c r="H499" s="101"/>
      <c r="I499" s="113"/>
      <c r="J499" s="113"/>
      <c r="K499" s="72"/>
      <c r="L499" s="72"/>
      <c r="M499" s="72"/>
      <c r="N499" s="72"/>
      <c r="O499" s="72"/>
      <c r="P499" s="72"/>
      <c r="Q499" s="72"/>
      <c r="R499" s="72"/>
      <c r="S499" s="72"/>
    </row>
    <row r="500" spans="1:19" ht="12.75">
      <c r="A500" s="100"/>
      <c r="B500" s="101"/>
      <c r="C500" s="101"/>
      <c r="D500" s="101"/>
      <c r="E500" s="101"/>
      <c r="F500" s="101"/>
      <c r="G500" s="101"/>
      <c r="H500" s="101"/>
      <c r="I500" s="113"/>
      <c r="J500" s="113"/>
      <c r="K500" s="72"/>
      <c r="L500" s="72"/>
      <c r="M500" s="72"/>
      <c r="N500" s="72"/>
      <c r="O500" s="72"/>
      <c r="P500" s="72"/>
      <c r="Q500" s="72"/>
      <c r="R500" s="72"/>
      <c r="S500" s="72"/>
    </row>
    <row r="501" spans="1:19" ht="12.75">
      <c r="A501" s="100"/>
      <c r="B501" s="101"/>
      <c r="C501" s="101"/>
      <c r="D501" s="101"/>
      <c r="E501" s="101"/>
      <c r="F501" s="101"/>
      <c r="G501" s="101"/>
      <c r="H501" s="101"/>
      <c r="I501" s="113"/>
      <c r="J501" s="113"/>
      <c r="K501" s="72"/>
      <c r="L501" s="72"/>
      <c r="M501" s="72"/>
      <c r="N501" s="72"/>
      <c r="O501" s="72"/>
      <c r="P501" s="72"/>
      <c r="Q501" s="72"/>
      <c r="R501" s="72"/>
      <c r="S501" s="72"/>
    </row>
    <row r="502" spans="1:19" ht="12.75">
      <c r="A502" s="100"/>
      <c r="B502" s="101"/>
      <c r="C502" s="101"/>
      <c r="D502" s="101"/>
      <c r="E502" s="101"/>
      <c r="F502" s="101"/>
      <c r="G502" s="101"/>
      <c r="H502" s="101"/>
      <c r="I502" s="113"/>
      <c r="J502" s="113"/>
      <c r="K502" s="72"/>
      <c r="L502" s="72"/>
      <c r="M502" s="72"/>
      <c r="N502" s="72"/>
      <c r="O502" s="72"/>
      <c r="P502" s="72"/>
      <c r="Q502" s="72"/>
      <c r="R502" s="72"/>
      <c r="S502" s="72"/>
    </row>
    <row r="503" spans="1:19" ht="12.75">
      <c r="A503" s="100"/>
      <c r="B503" s="101"/>
      <c r="C503" s="101"/>
      <c r="D503" s="101"/>
      <c r="E503" s="101"/>
      <c r="F503" s="101"/>
      <c r="G503" s="101"/>
      <c r="H503" s="101"/>
      <c r="I503" s="113"/>
      <c r="J503" s="113"/>
      <c r="K503" s="72"/>
      <c r="L503" s="72"/>
      <c r="M503" s="72"/>
      <c r="N503" s="72"/>
      <c r="O503" s="72"/>
      <c r="P503" s="72"/>
      <c r="Q503" s="72"/>
      <c r="R503" s="72"/>
      <c r="S503" s="72"/>
    </row>
    <row r="504" spans="1:19" ht="12.75">
      <c r="A504" s="100"/>
      <c r="B504" s="101"/>
      <c r="C504" s="101"/>
      <c r="D504" s="101"/>
      <c r="E504" s="101"/>
      <c r="F504" s="101"/>
      <c r="G504" s="101"/>
      <c r="H504" s="101"/>
      <c r="I504" s="113"/>
      <c r="J504" s="113"/>
      <c r="K504" s="72"/>
      <c r="L504" s="72"/>
      <c r="M504" s="72"/>
      <c r="N504" s="72"/>
      <c r="O504" s="72"/>
      <c r="P504" s="72"/>
      <c r="Q504" s="72"/>
      <c r="R504" s="72"/>
      <c r="S504" s="72"/>
    </row>
    <row r="505" spans="1:19" ht="12.75">
      <c r="A505" s="100"/>
      <c r="B505" s="101"/>
      <c r="C505" s="101"/>
      <c r="D505" s="101"/>
      <c r="E505" s="101"/>
      <c r="F505" s="101"/>
      <c r="G505" s="101"/>
      <c r="H505" s="101"/>
      <c r="I505" s="113"/>
      <c r="J505" s="113"/>
      <c r="K505" s="72"/>
      <c r="L505" s="72"/>
      <c r="M505" s="72"/>
      <c r="N505" s="72"/>
      <c r="O505" s="72"/>
      <c r="P505" s="72"/>
      <c r="Q505" s="72"/>
      <c r="R505" s="72"/>
      <c r="S505" s="72"/>
    </row>
    <row r="506" spans="1:19" ht="12.75">
      <c r="A506" s="100"/>
      <c r="B506" s="101"/>
      <c r="C506" s="101"/>
      <c r="D506" s="101"/>
      <c r="E506" s="101"/>
      <c r="F506" s="101"/>
      <c r="G506" s="101"/>
      <c r="H506" s="101"/>
      <c r="I506" s="113"/>
      <c r="J506" s="113"/>
      <c r="K506" s="72"/>
      <c r="L506" s="72"/>
      <c r="M506" s="72"/>
      <c r="N506" s="72"/>
      <c r="O506" s="72"/>
      <c r="P506" s="72"/>
      <c r="Q506" s="72"/>
      <c r="R506" s="72"/>
      <c r="S506" s="72"/>
    </row>
    <row r="507" spans="1:19" ht="12.75">
      <c r="A507" s="100"/>
      <c r="B507" s="101"/>
      <c r="C507" s="101"/>
      <c r="D507" s="101"/>
      <c r="E507" s="101"/>
      <c r="F507" s="101"/>
      <c r="G507" s="101"/>
      <c r="H507" s="101"/>
      <c r="I507" s="113"/>
      <c r="J507" s="113"/>
      <c r="K507" s="72"/>
      <c r="L507" s="72"/>
      <c r="M507" s="72"/>
      <c r="N507" s="72"/>
      <c r="O507" s="72"/>
      <c r="P507" s="72"/>
      <c r="Q507" s="72"/>
      <c r="R507" s="72"/>
      <c r="S507" s="72"/>
    </row>
    <row r="508" spans="1:19" ht="12.75">
      <c r="A508" s="100"/>
      <c r="B508" s="101"/>
      <c r="C508" s="101"/>
      <c r="D508" s="101"/>
      <c r="E508" s="101"/>
      <c r="F508" s="101"/>
      <c r="G508" s="101"/>
      <c r="H508" s="101"/>
      <c r="I508" s="113"/>
      <c r="J508" s="113"/>
      <c r="K508" s="72"/>
      <c r="L508" s="72"/>
      <c r="M508" s="72"/>
      <c r="N508" s="72"/>
      <c r="O508" s="72"/>
      <c r="P508" s="72"/>
      <c r="Q508" s="72"/>
      <c r="R508" s="72"/>
      <c r="S508" s="72"/>
    </row>
    <row r="509" spans="1:19" ht="12.75">
      <c r="A509" s="100"/>
      <c r="B509" s="101"/>
      <c r="C509" s="101"/>
      <c r="D509" s="101"/>
      <c r="E509" s="101"/>
      <c r="F509" s="101"/>
      <c r="G509" s="101"/>
      <c r="H509" s="101"/>
      <c r="I509" s="113"/>
      <c r="J509" s="113"/>
      <c r="K509" s="72"/>
      <c r="L509" s="72"/>
      <c r="M509" s="72"/>
      <c r="N509" s="72"/>
      <c r="O509" s="72"/>
      <c r="P509" s="72"/>
      <c r="Q509" s="72"/>
      <c r="R509" s="72"/>
      <c r="S509" s="72"/>
    </row>
    <row r="510" spans="1:19" ht="12.75">
      <c r="A510" s="100"/>
      <c r="B510" s="101"/>
      <c r="C510" s="101"/>
      <c r="D510" s="101"/>
      <c r="E510" s="101"/>
      <c r="F510" s="101"/>
      <c r="G510" s="101"/>
      <c r="H510" s="101"/>
      <c r="I510" s="113"/>
      <c r="J510" s="113"/>
      <c r="K510" s="72"/>
      <c r="L510" s="72"/>
      <c r="M510" s="72"/>
      <c r="N510" s="72"/>
      <c r="O510" s="72"/>
      <c r="P510" s="72"/>
      <c r="Q510" s="72"/>
      <c r="R510" s="72"/>
      <c r="S510" s="72"/>
    </row>
    <row r="511" spans="1:19" ht="12.75">
      <c r="A511" s="100"/>
      <c r="B511" s="101"/>
      <c r="C511" s="101"/>
      <c r="D511" s="101"/>
      <c r="E511" s="101"/>
      <c r="F511" s="101"/>
      <c r="G511" s="101"/>
      <c r="H511" s="101"/>
      <c r="I511" s="113"/>
      <c r="J511" s="113"/>
      <c r="K511" s="72"/>
      <c r="L511" s="72"/>
      <c r="M511" s="72"/>
      <c r="N511" s="72"/>
      <c r="O511" s="72"/>
      <c r="P511" s="72"/>
      <c r="Q511" s="72"/>
      <c r="R511" s="72"/>
      <c r="S511" s="72"/>
    </row>
    <row r="512" spans="1:19" ht="12.75">
      <c r="A512" s="100"/>
      <c r="B512" s="101"/>
      <c r="C512" s="101"/>
      <c r="D512" s="101"/>
      <c r="E512" s="101"/>
      <c r="F512" s="101"/>
      <c r="G512" s="101"/>
      <c r="H512" s="101"/>
      <c r="I512" s="113"/>
      <c r="J512" s="113"/>
      <c r="K512" s="72"/>
      <c r="L512" s="72"/>
      <c r="M512" s="72"/>
      <c r="N512" s="72"/>
      <c r="O512" s="72"/>
      <c r="P512" s="72"/>
      <c r="Q512" s="72"/>
      <c r="R512" s="72"/>
      <c r="S512" s="72"/>
    </row>
    <row r="513" spans="1:19" ht="12.75">
      <c r="A513" s="100"/>
      <c r="B513" s="101"/>
      <c r="C513" s="101"/>
      <c r="D513" s="101"/>
      <c r="E513" s="101"/>
      <c r="F513" s="101"/>
      <c r="G513" s="101"/>
      <c r="H513" s="101"/>
      <c r="I513" s="113"/>
      <c r="J513" s="113"/>
      <c r="K513" s="72"/>
      <c r="L513" s="72"/>
      <c r="M513" s="72"/>
      <c r="N513" s="72"/>
      <c r="O513" s="72"/>
      <c r="P513" s="72"/>
      <c r="Q513" s="72"/>
      <c r="R513" s="72"/>
      <c r="S513" s="72"/>
    </row>
    <row r="514" spans="1:19" ht="12.75">
      <c r="A514" s="100"/>
      <c r="B514" s="101"/>
      <c r="C514" s="101"/>
      <c r="D514" s="101"/>
      <c r="E514" s="101"/>
      <c r="F514" s="101"/>
      <c r="G514" s="101"/>
      <c r="H514" s="101"/>
      <c r="I514" s="113"/>
      <c r="J514" s="113"/>
      <c r="K514" s="72"/>
      <c r="L514" s="72"/>
      <c r="M514" s="72"/>
      <c r="N514" s="72"/>
      <c r="O514" s="72"/>
      <c r="P514" s="72"/>
      <c r="Q514" s="72"/>
      <c r="R514" s="72"/>
      <c r="S514" s="72"/>
    </row>
    <row r="515" spans="1:19" ht="12.75">
      <c r="A515" s="100"/>
      <c r="B515" s="101"/>
      <c r="C515" s="101"/>
      <c r="D515" s="101"/>
      <c r="E515" s="101"/>
      <c r="F515" s="101"/>
      <c r="G515" s="101"/>
      <c r="H515" s="101"/>
      <c r="I515" s="113"/>
      <c r="J515" s="113"/>
      <c r="K515" s="72"/>
      <c r="L515" s="72"/>
      <c r="M515" s="72"/>
      <c r="N515" s="72"/>
      <c r="O515" s="72"/>
      <c r="P515" s="72"/>
      <c r="Q515" s="72"/>
      <c r="R515" s="72"/>
      <c r="S515" s="72"/>
    </row>
    <row r="516" spans="1:19" ht="12.75">
      <c r="A516" s="100"/>
      <c r="B516" s="101"/>
      <c r="C516" s="101"/>
      <c r="D516" s="101"/>
      <c r="E516" s="101"/>
      <c r="F516" s="101"/>
      <c r="G516" s="101"/>
      <c r="H516" s="101"/>
      <c r="I516" s="113"/>
      <c r="J516" s="113"/>
      <c r="K516" s="72"/>
      <c r="L516" s="72"/>
      <c r="M516" s="72"/>
      <c r="N516" s="72"/>
      <c r="O516" s="72"/>
      <c r="P516" s="72"/>
      <c r="Q516" s="72"/>
      <c r="R516" s="72"/>
      <c r="S516" s="72"/>
    </row>
    <row r="517" spans="1:19" ht="12.75">
      <c r="A517" s="100"/>
      <c r="B517" s="101"/>
      <c r="C517" s="101"/>
      <c r="D517" s="101"/>
      <c r="E517" s="101"/>
      <c r="F517" s="101"/>
      <c r="G517" s="101"/>
      <c r="H517" s="101"/>
      <c r="I517" s="113"/>
      <c r="J517" s="113"/>
      <c r="K517" s="72"/>
      <c r="L517" s="72"/>
      <c r="M517" s="72"/>
      <c r="N517" s="72"/>
      <c r="O517" s="72"/>
      <c r="P517" s="72"/>
      <c r="Q517" s="72"/>
      <c r="R517" s="72"/>
      <c r="S517" s="72"/>
    </row>
    <row r="518" spans="1:19" ht="12.75">
      <c r="A518" s="100"/>
      <c r="B518" s="101"/>
      <c r="C518" s="101"/>
      <c r="D518" s="101"/>
      <c r="E518" s="101"/>
      <c r="F518" s="101"/>
      <c r="G518" s="101"/>
      <c r="H518" s="101"/>
      <c r="I518" s="113"/>
      <c r="J518" s="113"/>
      <c r="K518" s="72"/>
      <c r="L518" s="72"/>
      <c r="M518" s="72"/>
      <c r="N518" s="72"/>
      <c r="O518" s="72"/>
      <c r="P518" s="72"/>
      <c r="Q518" s="72"/>
      <c r="R518" s="72"/>
      <c r="S518" s="72"/>
    </row>
    <row r="519" spans="1:19" ht="12.75">
      <c r="A519" s="100"/>
      <c r="B519" s="101"/>
      <c r="C519" s="101"/>
      <c r="D519" s="101"/>
      <c r="E519" s="101"/>
      <c r="F519" s="101"/>
      <c r="G519" s="101"/>
      <c r="H519" s="101"/>
      <c r="I519" s="113"/>
      <c r="J519" s="113"/>
      <c r="K519" s="72"/>
      <c r="L519" s="72"/>
      <c r="M519" s="72"/>
      <c r="N519" s="72"/>
      <c r="O519" s="72"/>
      <c r="P519" s="72"/>
      <c r="Q519" s="72"/>
      <c r="R519" s="72"/>
      <c r="S519" s="72"/>
    </row>
    <row r="520" spans="1:19" ht="12.75">
      <c r="A520" s="100"/>
      <c r="B520" s="101"/>
      <c r="C520" s="101"/>
      <c r="D520" s="101"/>
      <c r="E520" s="101"/>
      <c r="F520" s="101"/>
      <c r="G520" s="101"/>
      <c r="H520" s="101"/>
      <c r="I520" s="113"/>
      <c r="J520" s="113"/>
      <c r="K520" s="72"/>
      <c r="L520" s="72"/>
      <c r="M520" s="72"/>
      <c r="N520" s="72"/>
      <c r="O520" s="72"/>
      <c r="P520" s="72"/>
      <c r="Q520" s="72"/>
      <c r="R520" s="72"/>
      <c r="S520" s="72"/>
    </row>
    <row r="521" spans="1:19" ht="12.75">
      <c r="A521" s="100"/>
      <c r="B521" s="101"/>
      <c r="C521" s="101"/>
      <c r="D521" s="101"/>
      <c r="E521" s="101"/>
      <c r="F521" s="101"/>
      <c r="G521" s="101"/>
      <c r="H521" s="101"/>
      <c r="I521" s="113"/>
      <c r="J521" s="113"/>
      <c r="K521" s="72"/>
      <c r="L521" s="72"/>
      <c r="M521" s="72"/>
      <c r="N521" s="72"/>
      <c r="O521" s="72"/>
      <c r="P521" s="72"/>
      <c r="Q521" s="72"/>
      <c r="R521" s="72"/>
      <c r="S521" s="72"/>
    </row>
    <row r="522" spans="1:19" ht="12.75">
      <c r="A522" s="100"/>
      <c r="B522" s="101"/>
      <c r="C522" s="101"/>
      <c r="D522" s="101"/>
      <c r="E522" s="101"/>
      <c r="F522" s="101"/>
      <c r="G522" s="101"/>
      <c r="H522" s="101"/>
      <c r="I522" s="113"/>
      <c r="J522" s="113"/>
      <c r="K522" s="72"/>
      <c r="L522" s="72"/>
      <c r="M522" s="72"/>
      <c r="N522" s="72"/>
      <c r="O522" s="72"/>
      <c r="P522" s="72"/>
      <c r="Q522" s="72"/>
      <c r="R522" s="72"/>
      <c r="S522" s="72"/>
    </row>
    <row r="523" spans="1:19" ht="12.75">
      <c r="A523" s="100"/>
      <c r="B523" s="101"/>
      <c r="C523" s="101"/>
      <c r="D523" s="101"/>
      <c r="E523" s="101"/>
      <c r="F523" s="101"/>
      <c r="G523" s="101"/>
      <c r="H523" s="101"/>
      <c r="I523" s="113"/>
      <c r="J523" s="113"/>
      <c r="K523" s="72"/>
      <c r="L523" s="72"/>
      <c r="M523" s="72"/>
      <c r="N523" s="72"/>
      <c r="O523" s="72"/>
      <c r="P523" s="72"/>
      <c r="Q523" s="72"/>
      <c r="R523" s="72"/>
      <c r="S523" s="72"/>
    </row>
    <row r="524" spans="1:19" ht="12.75">
      <c r="A524" s="100"/>
      <c r="B524" s="101"/>
      <c r="C524" s="101"/>
      <c r="D524" s="101"/>
      <c r="E524" s="101"/>
      <c r="F524" s="101"/>
      <c r="G524" s="101"/>
      <c r="H524" s="101"/>
      <c r="I524" s="113"/>
      <c r="J524" s="113"/>
      <c r="K524" s="72"/>
      <c r="L524" s="72"/>
      <c r="M524" s="72"/>
      <c r="N524" s="72"/>
      <c r="O524" s="72"/>
      <c r="P524" s="72"/>
      <c r="Q524" s="72"/>
      <c r="R524" s="72"/>
      <c r="S524" s="72"/>
    </row>
    <row r="525" spans="1:19" ht="12.75">
      <c r="A525" s="100"/>
      <c r="B525" s="101"/>
      <c r="C525" s="101"/>
      <c r="D525" s="101"/>
      <c r="E525" s="101"/>
      <c r="F525" s="101"/>
      <c r="G525" s="101"/>
      <c r="H525" s="101"/>
      <c r="I525" s="113"/>
      <c r="J525" s="113"/>
      <c r="K525" s="72"/>
      <c r="L525" s="72"/>
      <c r="M525" s="72"/>
      <c r="N525" s="72"/>
      <c r="O525" s="72"/>
      <c r="P525" s="72"/>
      <c r="Q525" s="72"/>
      <c r="R525" s="72"/>
      <c r="S525" s="72"/>
    </row>
    <row r="526" spans="1:19" ht="12.75">
      <c r="A526" s="100"/>
      <c r="B526" s="101"/>
      <c r="C526" s="101"/>
      <c r="D526" s="101"/>
      <c r="E526" s="101"/>
      <c r="F526" s="101"/>
      <c r="G526" s="101"/>
      <c r="H526" s="101"/>
      <c r="I526" s="113"/>
      <c r="J526" s="113"/>
      <c r="K526" s="72"/>
      <c r="L526" s="72"/>
      <c r="M526" s="72"/>
      <c r="N526" s="72"/>
      <c r="O526" s="72"/>
      <c r="P526" s="72"/>
      <c r="Q526" s="72"/>
      <c r="R526" s="72"/>
      <c r="S526" s="72"/>
    </row>
    <row r="527" spans="1:19" ht="12.75">
      <c r="A527" s="100"/>
      <c r="B527" s="101"/>
      <c r="C527" s="101"/>
      <c r="D527" s="101"/>
      <c r="E527" s="101"/>
      <c r="F527" s="101"/>
      <c r="G527" s="101"/>
      <c r="H527" s="101"/>
      <c r="I527" s="113"/>
      <c r="J527" s="113"/>
      <c r="K527" s="72"/>
      <c r="L527" s="72"/>
      <c r="M527" s="72"/>
      <c r="N527" s="72"/>
      <c r="O527" s="72"/>
      <c r="P527" s="72"/>
      <c r="Q527" s="72"/>
      <c r="R527" s="72"/>
      <c r="S527" s="72"/>
    </row>
    <row r="528" spans="1:19" ht="12.75">
      <c r="A528" s="100"/>
      <c r="B528" s="101"/>
      <c r="C528" s="101"/>
      <c r="D528" s="101"/>
      <c r="E528" s="101"/>
      <c r="F528" s="101"/>
      <c r="G528" s="101"/>
      <c r="H528" s="101"/>
      <c r="I528" s="113"/>
      <c r="J528" s="113"/>
      <c r="K528" s="72"/>
      <c r="L528" s="72"/>
      <c r="M528" s="72"/>
      <c r="N528" s="72"/>
      <c r="O528" s="72"/>
      <c r="P528" s="72"/>
      <c r="Q528" s="72"/>
      <c r="R528" s="72"/>
      <c r="S528" s="72"/>
    </row>
    <row r="529" spans="1:19" ht="12.75">
      <c r="A529" s="100"/>
      <c r="B529" s="101"/>
      <c r="C529" s="101"/>
      <c r="D529" s="101"/>
      <c r="E529" s="101"/>
      <c r="F529" s="101"/>
      <c r="G529" s="101"/>
      <c r="H529" s="101"/>
      <c r="I529" s="113"/>
      <c r="J529" s="113"/>
      <c r="K529" s="72"/>
      <c r="L529" s="72"/>
      <c r="M529" s="72"/>
      <c r="N529" s="72"/>
      <c r="O529" s="72"/>
      <c r="P529" s="72"/>
      <c r="Q529" s="72"/>
      <c r="R529" s="72"/>
      <c r="S529" s="72"/>
    </row>
    <row r="530" spans="1:19" ht="12.75">
      <c r="A530" s="100"/>
      <c r="B530" s="101"/>
      <c r="C530" s="101"/>
      <c r="D530" s="101"/>
      <c r="E530" s="101"/>
      <c r="F530" s="101"/>
      <c r="G530" s="101"/>
      <c r="H530" s="101"/>
      <c r="I530" s="113"/>
      <c r="J530" s="113"/>
      <c r="K530" s="72"/>
      <c r="L530" s="72"/>
      <c r="M530" s="72"/>
      <c r="N530" s="72"/>
      <c r="O530" s="72"/>
      <c r="P530" s="72"/>
      <c r="Q530" s="72"/>
      <c r="R530" s="72"/>
      <c r="S530" s="72"/>
    </row>
    <row r="531" spans="1:19" ht="12.75">
      <c r="A531" s="100"/>
      <c r="B531" s="101"/>
      <c r="C531" s="101"/>
      <c r="D531" s="101"/>
      <c r="E531" s="101"/>
      <c r="F531" s="101"/>
      <c r="G531" s="101"/>
      <c r="H531" s="101"/>
      <c r="I531" s="113"/>
      <c r="J531" s="113"/>
      <c r="K531" s="72"/>
      <c r="L531" s="72"/>
      <c r="M531" s="72"/>
      <c r="N531" s="72"/>
      <c r="O531" s="72"/>
      <c r="P531" s="72"/>
      <c r="Q531" s="72"/>
      <c r="R531" s="72"/>
      <c r="S531" s="72"/>
    </row>
    <row r="532" spans="1:19" ht="12.75">
      <c r="A532" s="100"/>
      <c r="B532" s="101"/>
      <c r="C532" s="101"/>
      <c r="D532" s="101"/>
      <c r="E532" s="101"/>
      <c r="F532" s="101"/>
      <c r="G532" s="101"/>
      <c r="H532" s="101"/>
      <c r="I532" s="113"/>
      <c r="J532" s="113"/>
      <c r="K532" s="72"/>
      <c r="L532" s="72"/>
      <c r="M532" s="72"/>
      <c r="N532" s="72"/>
      <c r="O532" s="72"/>
      <c r="P532" s="72"/>
      <c r="Q532" s="72"/>
      <c r="R532" s="72"/>
      <c r="S532" s="72"/>
    </row>
    <row r="533" spans="1:19" ht="12.75">
      <c r="A533" s="100"/>
      <c r="B533" s="101"/>
      <c r="C533" s="101"/>
      <c r="D533" s="101"/>
      <c r="E533" s="101"/>
      <c r="F533" s="101"/>
      <c r="G533" s="101"/>
      <c r="H533" s="101"/>
      <c r="I533" s="113"/>
      <c r="J533" s="113"/>
      <c r="K533" s="72"/>
      <c r="L533" s="72"/>
      <c r="M533" s="72"/>
      <c r="N533" s="72"/>
      <c r="O533" s="72"/>
      <c r="P533" s="72"/>
      <c r="Q533" s="72"/>
      <c r="R533" s="72"/>
      <c r="S533" s="72"/>
    </row>
    <row r="534" spans="1:19" ht="12.75">
      <c r="A534" s="100"/>
      <c r="B534" s="101"/>
      <c r="C534" s="101"/>
      <c r="D534" s="101"/>
      <c r="E534" s="101"/>
      <c r="F534" s="101"/>
      <c r="G534" s="101"/>
      <c r="H534" s="101"/>
      <c r="I534" s="113"/>
      <c r="J534" s="113"/>
      <c r="K534" s="72"/>
      <c r="L534" s="72"/>
      <c r="M534" s="72"/>
      <c r="N534" s="72"/>
      <c r="O534" s="72"/>
      <c r="P534" s="72"/>
      <c r="Q534" s="72"/>
      <c r="R534" s="72"/>
      <c r="S534" s="72"/>
    </row>
    <row r="535" spans="1:19" ht="12.75">
      <c r="A535" s="100"/>
      <c r="B535" s="101"/>
      <c r="C535" s="101"/>
      <c r="D535" s="101"/>
      <c r="E535" s="101"/>
      <c r="F535" s="101"/>
      <c r="G535" s="101"/>
      <c r="H535" s="101"/>
      <c r="I535" s="113"/>
      <c r="J535" s="113"/>
      <c r="K535" s="72"/>
      <c r="L535" s="72"/>
      <c r="M535" s="72"/>
      <c r="N535" s="72"/>
      <c r="O535" s="72"/>
      <c r="P535" s="72"/>
      <c r="Q535" s="72"/>
      <c r="R535" s="72"/>
      <c r="S535" s="72"/>
    </row>
    <row r="536" spans="1:19" ht="12.75">
      <c r="A536" s="100"/>
      <c r="B536" s="101"/>
      <c r="C536" s="101"/>
      <c r="D536" s="101"/>
      <c r="E536" s="101"/>
      <c r="F536" s="101"/>
      <c r="G536" s="101"/>
      <c r="H536" s="101"/>
      <c r="I536" s="113"/>
      <c r="J536" s="113"/>
      <c r="K536" s="72"/>
      <c r="L536" s="72"/>
      <c r="M536" s="72"/>
      <c r="N536" s="72"/>
      <c r="O536" s="72"/>
      <c r="P536" s="72"/>
      <c r="Q536" s="72"/>
      <c r="R536" s="72"/>
      <c r="S536" s="72"/>
    </row>
    <row r="537" spans="1:19" ht="12.75">
      <c r="A537" s="100"/>
      <c r="B537" s="101"/>
      <c r="C537" s="101"/>
      <c r="D537" s="101"/>
      <c r="E537" s="101"/>
      <c r="F537" s="101"/>
      <c r="G537" s="101"/>
      <c r="H537" s="101"/>
      <c r="I537" s="113"/>
      <c r="J537" s="113"/>
      <c r="K537" s="72"/>
      <c r="L537" s="72"/>
      <c r="M537" s="72"/>
      <c r="N537" s="72"/>
      <c r="O537" s="72"/>
      <c r="P537" s="72"/>
      <c r="Q537" s="72"/>
      <c r="R537" s="72"/>
      <c r="S537" s="72"/>
    </row>
    <row r="538" spans="1:19" ht="12.75">
      <c r="A538" s="100"/>
      <c r="B538" s="101"/>
      <c r="C538" s="101"/>
      <c r="D538" s="101"/>
      <c r="E538" s="101"/>
      <c r="F538" s="101"/>
      <c r="G538" s="101"/>
      <c r="H538" s="101"/>
      <c r="I538" s="113"/>
      <c r="J538" s="113"/>
      <c r="K538" s="72"/>
      <c r="L538" s="72"/>
      <c r="M538" s="72"/>
      <c r="N538" s="72"/>
      <c r="O538" s="72"/>
      <c r="P538" s="72"/>
      <c r="Q538" s="72"/>
      <c r="R538" s="72"/>
      <c r="S538" s="72"/>
    </row>
    <row r="539" spans="1:19" ht="12.75">
      <c r="A539" s="100"/>
      <c r="B539" s="101"/>
      <c r="C539" s="101"/>
      <c r="D539" s="101"/>
      <c r="E539" s="101"/>
      <c r="F539" s="101"/>
      <c r="G539" s="101"/>
      <c r="H539" s="101"/>
      <c r="I539" s="113"/>
      <c r="J539" s="113"/>
      <c r="K539" s="72"/>
      <c r="L539" s="72"/>
      <c r="M539" s="72"/>
      <c r="N539" s="72"/>
      <c r="O539" s="72"/>
      <c r="P539" s="72"/>
      <c r="Q539" s="72"/>
      <c r="R539" s="72"/>
      <c r="S539" s="72"/>
    </row>
    <row r="540" spans="1:19" ht="12.75">
      <c r="A540" s="100"/>
      <c r="B540" s="101"/>
      <c r="C540" s="101"/>
      <c r="D540" s="101"/>
      <c r="E540" s="101"/>
      <c r="F540" s="101"/>
      <c r="G540" s="101"/>
      <c r="H540" s="101"/>
      <c r="I540" s="113"/>
      <c r="J540" s="113"/>
      <c r="K540" s="72"/>
      <c r="L540" s="72"/>
      <c r="M540" s="72"/>
      <c r="N540" s="72"/>
      <c r="O540" s="72"/>
      <c r="P540" s="72"/>
      <c r="Q540" s="72"/>
      <c r="R540" s="72"/>
      <c r="S540" s="72"/>
    </row>
    <row r="541" spans="1:19" ht="12.75">
      <c r="A541" s="100"/>
      <c r="B541" s="101"/>
      <c r="C541" s="101"/>
      <c r="D541" s="101"/>
      <c r="E541" s="101"/>
      <c r="F541" s="101"/>
      <c r="G541" s="101"/>
      <c r="H541" s="101"/>
      <c r="I541" s="113"/>
      <c r="J541" s="113"/>
      <c r="K541" s="72"/>
      <c r="L541" s="72"/>
      <c r="M541" s="72"/>
      <c r="N541" s="72"/>
      <c r="O541" s="72"/>
      <c r="P541" s="72"/>
      <c r="Q541" s="72"/>
      <c r="R541" s="72"/>
      <c r="S541" s="72"/>
    </row>
    <row r="542" spans="1:19" ht="12.75">
      <c r="A542" s="100"/>
      <c r="B542" s="101"/>
      <c r="C542" s="101"/>
      <c r="D542" s="101"/>
      <c r="E542" s="101"/>
      <c r="F542" s="101"/>
      <c r="G542" s="101"/>
      <c r="H542" s="101"/>
      <c r="I542" s="113"/>
      <c r="J542" s="113"/>
      <c r="K542" s="72"/>
      <c r="L542" s="72"/>
      <c r="M542" s="72"/>
      <c r="N542" s="72"/>
      <c r="O542" s="72"/>
      <c r="P542" s="72"/>
      <c r="Q542" s="72"/>
      <c r="R542" s="72"/>
      <c r="S542" s="72"/>
    </row>
    <row r="543" spans="1:19" ht="12.75">
      <c r="A543" s="100"/>
      <c r="B543" s="101"/>
      <c r="C543" s="101"/>
      <c r="D543" s="101"/>
      <c r="E543" s="101"/>
      <c r="F543" s="101"/>
      <c r="G543" s="101"/>
      <c r="H543" s="101"/>
      <c r="I543" s="113"/>
      <c r="J543" s="113"/>
      <c r="K543" s="72"/>
      <c r="L543" s="72"/>
      <c r="M543" s="72"/>
      <c r="N543" s="72"/>
      <c r="O543" s="72"/>
      <c r="P543" s="72"/>
      <c r="Q543" s="72"/>
      <c r="R543" s="72"/>
      <c r="S543" s="72"/>
    </row>
    <row r="544" spans="1:19" ht="12.75">
      <c r="A544" s="100"/>
      <c r="B544" s="101"/>
      <c r="C544" s="101"/>
      <c r="D544" s="101"/>
      <c r="E544" s="101"/>
      <c r="F544" s="101"/>
      <c r="G544" s="101"/>
      <c r="H544" s="101"/>
      <c r="I544" s="113"/>
      <c r="J544" s="113"/>
      <c r="K544" s="72"/>
      <c r="L544" s="72"/>
      <c r="M544" s="72"/>
      <c r="N544" s="72"/>
      <c r="O544" s="72"/>
      <c r="P544" s="72"/>
      <c r="Q544" s="72"/>
      <c r="R544" s="72"/>
      <c r="S544" s="72"/>
    </row>
    <row r="545" spans="1:19" ht="12.75">
      <c r="A545" s="100"/>
      <c r="B545" s="101"/>
      <c r="C545" s="101"/>
      <c r="D545" s="101"/>
      <c r="E545" s="101"/>
      <c r="F545" s="101"/>
      <c r="G545" s="101"/>
      <c r="H545" s="101"/>
      <c r="I545" s="113"/>
      <c r="J545" s="113"/>
      <c r="K545" s="72"/>
      <c r="L545" s="72"/>
      <c r="M545" s="72"/>
      <c r="N545" s="72"/>
      <c r="O545" s="72"/>
      <c r="P545" s="72"/>
      <c r="Q545" s="72"/>
      <c r="R545" s="72"/>
      <c r="S545" s="72"/>
    </row>
    <row r="546" spans="1:19" ht="12.75">
      <c r="A546" s="100"/>
      <c r="B546" s="101"/>
      <c r="C546" s="101"/>
      <c r="D546" s="101"/>
      <c r="E546" s="101"/>
      <c r="F546" s="101"/>
      <c r="G546" s="101"/>
      <c r="H546" s="101"/>
      <c r="I546" s="113"/>
      <c r="J546" s="113"/>
      <c r="K546" s="72"/>
      <c r="L546" s="72"/>
      <c r="M546" s="72"/>
      <c r="N546" s="72"/>
      <c r="O546" s="72"/>
      <c r="P546" s="72"/>
      <c r="Q546" s="72"/>
      <c r="R546" s="72"/>
      <c r="S546" s="72"/>
    </row>
    <row r="547" spans="1:19" ht="12.75">
      <c r="A547" s="100"/>
      <c r="B547" s="101"/>
      <c r="C547" s="101"/>
      <c r="D547" s="101"/>
      <c r="E547" s="101"/>
      <c r="F547" s="101"/>
      <c r="G547" s="101"/>
      <c r="H547" s="101"/>
      <c r="I547" s="113"/>
      <c r="J547" s="113"/>
      <c r="K547" s="72"/>
      <c r="L547" s="72"/>
      <c r="M547" s="72"/>
      <c r="N547" s="72"/>
      <c r="O547" s="72"/>
      <c r="P547" s="72"/>
      <c r="Q547" s="72"/>
      <c r="R547" s="72"/>
      <c r="S547" s="72"/>
    </row>
    <row r="548" spans="1:19" ht="12.75">
      <c r="A548" s="100"/>
      <c r="B548" s="101"/>
      <c r="C548" s="101"/>
      <c r="D548" s="101"/>
      <c r="E548" s="101"/>
      <c r="F548" s="101"/>
      <c r="G548" s="101"/>
      <c r="H548" s="101"/>
      <c r="I548" s="113"/>
      <c r="J548" s="113"/>
      <c r="K548" s="72"/>
      <c r="L548" s="72"/>
      <c r="M548" s="72"/>
      <c r="N548" s="72"/>
      <c r="O548" s="72"/>
      <c r="P548" s="72"/>
      <c r="Q548" s="72"/>
      <c r="R548" s="72"/>
      <c r="S548" s="72"/>
    </row>
    <row r="549" spans="1:19" ht="12.75">
      <c r="A549" s="100"/>
      <c r="B549" s="101"/>
      <c r="C549" s="101"/>
      <c r="D549" s="101"/>
      <c r="E549" s="101"/>
      <c r="F549" s="101"/>
      <c r="G549" s="101"/>
      <c r="H549" s="101"/>
      <c r="I549" s="113"/>
      <c r="J549" s="113"/>
      <c r="K549" s="72"/>
      <c r="L549" s="72"/>
      <c r="M549" s="72"/>
      <c r="N549" s="72"/>
      <c r="O549" s="72"/>
      <c r="P549" s="72"/>
      <c r="Q549" s="72"/>
      <c r="R549" s="72"/>
      <c r="S549" s="72"/>
    </row>
    <row r="550" spans="1:19" ht="12.75">
      <c r="A550" s="100"/>
      <c r="B550" s="101"/>
      <c r="C550" s="101"/>
      <c r="D550" s="101"/>
      <c r="E550" s="101"/>
      <c r="F550" s="101"/>
      <c r="G550" s="101"/>
      <c r="H550" s="101"/>
      <c r="I550" s="113"/>
      <c r="J550" s="113"/>
      <c r="K550" s="72"/>
      <c r="L550" s="72"/>
      <c r="M550" s="72"/>
      <c r="N550" s="72"/>
      <c r="O550" s="72"/>
      <c r="P550" s="72"/>
      <c r="Q550" s="72"/>
      <c r="R550" s="72"/>
      <c r="S550" s="72"/>
    </row>
    <row r="551" spans="1:19" ht="12.75">
      <c r="A551" s="100"/>
      <c r="B551" s="101"/>
      <c r="C551" s="101"/>
      <c r="D551" s="101"/>
      <c r="E551" s="101"/>
      <c r="F551" s="101"/>
      <c r="G551" s="101"/>
      <c r="H551" s="101"/>
      <c r="I551" s="113"/>
      <c r="J551" s="113"/>
      <c r="K551" s="72"/>
      <c r="L551" s="72"/>
      <c r="M551" s="72"/>
      <c r="N551" s="72"/>
      <c r="O551" s="72"/>
      <c r="P551" s="72"/>
      <c r="Q551" s="72"/>
      <c r="R551" s="72"/>
      <c r="S551" s="72"/>
    </row>
    <row r="552" spans="1:19" ht="12.75">
      <c r="A552" s="100"/>
      <c r="B552" s="101"/>
      <c r="C552" s="101"/>
      <c r="D552" s="101"/>
      <c r="E552" s="101"/>
      <c r="F552" s="101"/>
      <c r="G552" s="101"/>
      <c r="H552" s="101"/>
      <c r="I552" s="113"/>
      <c r="J552" s="113"/>
      <c r="K552" s="72"/>
      <c r="L552" s="72"/>
      <c r="M552" s="72"/>
      <c r="N552" s="72"/>
      <c r="O552" s="72"/>
      <c r="P552" s="72"/>
      <c r="Q552" s="72"/>
      <c r="R552" s="72"/>
      <c r="S552" s="72"/>
    </row>
    <row r="553" spans="1:19" ht="12.75">
      <c r="A553" s="100"/>
      <c r="B553" s="101"/>
      <c r="C553" s="101"/>
      <c r="D553" s="101"/>
      <c r="E553" s="101"/>
      <c r="F553" s="101"/>
      <c r="G553" s="101"/>
      <c r="H553" s="101"/>
      <c r="I553" s="113"/>
      <c r="J553" s="113"/>
      <c r="K553" s="72"/>
      <c r="L553" s="72"/>
      <c r="M553" s="72"/>
      <c r="N553" s="72"/>
      <c r="O553" s="72"/>
      <c r="P553" s="72"/>
      <c r="Q553" s="72"/>
      <c r="R553" s="72"/>
      <c r="S553" s="72"/>
    </row>
    <row r="554" spans="1:19" ht="12.75">
      <c r="A554" s="100"/>
      <c r="B554" s="101"/>
      <c r="C554" s="101"/>
      <c r="D554" s="101"/>
      <c r="E554" s="101"/>
      <c r="F554" s="101"/>
      <c r="G554" s="101"/>
      <c r="H554" s="101"/>
      <c r="I554" s="113"/>
      <c r="J554" s="113"/>
      <c r="K554" s="72"/>
      <c r="L554" s="72"/>
      <c r="M554" s="72"/>
      <c r="N554" s="72"/>
      <c r="O554" s="72"/>
      <c r="P554" s="72"/>
      <c r="Q554" s="72"/>
      <c r="R554" s="72"/>
      <c r="S554" s="72"/>
    </row>
    <row r="555" spans="1:19" ht="12.75">
      <c r="A555" s="100"/>
      <c r="B555" s="101"/>
      <c r="C555" s="101"/>
      <c r="D555" s="101"/>
      <c r="E555" s="101"/>
      <c r="F555" s="101"/>
      <c r="G555" s="101"/>
      <c r="H555" s="101"/>
      <c r="I555" s="113"/>
      <c r="J555" s="113"/>
      <c r="K555" s="72"/>
      <c r="L555" s="72"/>
      <c r="M555" s="72"/>
      <c r="N555" s="72"/>
      <c r="O555" s="72"/>
      <c r="P555" s="72"/>
      <c r="Q555" s="72"/>
      <c r="R555" s="72"/>
      <c r="S555" s="72"/>
    </row>
    <row r="556" spans="1:19" ht="12.75">
      <c r="A556" s="100"/>
      <c r="B556" s="101"/>
      <c r="C556" s="101"/>
      <c r="D556" s="101"/>
      <c r="E556" s="101"/>
      <c r="F556" s="101"/>
      <c r="G556" s="101"/>
      <c r="H556" s="101"/>
      <c r="I556" s="113"/>
      <c r="J556" s="113"/>
      <c r="K556" s="72"/>
      <c r="L556" s="72"/>
      <c r="M556" s="72"/>
      <c r="N556" s="72"/>
      <c r="O556" s="72"/>
      <c r="P556" s="72"/>
      <c r="Q556" s="72"/>
      <c r="R556" s="72"/>
      <c r="S556" s="72"/>
    </row>
    <row r="557" spans="1:19" ht="12.75">
      <c r="A557" s="100"/>
      <c r="B557" s="101"/>
      <c r="C557" s="101"/>
      <c r="D557" s="101"/>
      <c r="E557" s="101"/>
      <c r="F557" s="101"/>
      <c r="G557" s="101"/>
      <c r="H557" s="101"/>
      <c r="I557" s="113"/>
      <c r="J557" s="113"/>
      <c r="K557" s="72"/>
      <c r="L557" s="72"/>
      <c r="M557" s="72"/>
      <c r="N557" s="72"/>
      <c r="O557" s="72"/>
      <c r="P557" s="72"/>
      <c r="Q557" s="72"/>
      <c r="R557" s="72"/>
      <c r="S557" s="72"/>
    </row>
    <row r="558" spans="1:19" ht="12.75">
      <c r="A558" s="100"/>
      <c r="B558" s="101"/>
      <c r="C558" s="101"/>
      <c r="D558" s="101"/>
      <c r="E558" s="101"/>
      <c r="F558" s="101"/>
      <c r="G558" s="101"/>
      <c r="H558" s="101"/>
      <c r="I558" s="113"/>
      <c r="J558" s="113"/>
      <c r="K558" s="72"/>
      <c r="L558" s="72"/>
      <c r="M558" s="72"/>
      <c r="N558" s="72"/>
      <c r="O558" s="72"/>
      <c r="P558" s="72"/>
      <c r="Q558" s="72"/>
      <c r="R558" s="72"/>
      <c r="S558" s="72"/>
    </row>
    <row r="559" spans="1:19" ht="12.75">
      <c r="A559" s="100"/>
      <c r="B559" s="101"/>
      <c r="C559" s="101"/>
      <c r="D559" s="101"/>
      <c r="E559" s="101"/>
      <c r="F559" s="101"/>
      <c r="G559" s="101"/>
      <c r="H559" s="101"/>
      <c r="I559" s="113"/>
      <c r="J559" s="113"/>
      <c r="K559" s="72"/>
      <c r="L559" s="72"/>
      <c r="M559" s="72"/>
      <c r="N559" s="72"/>
      <c r="O559" s="72"/>
      <c r="P559" s="72"/>
      <c r="Q559" s="72"/>
      <c r="R559" s="72"/>
      <c r="S559" s="72"/>
    </row>
    <row r="560" spans="1:19" ht="12.75">
      <c r="A560" s="100"/>
      <c r="B560" s="101"/>
      <c r="C560" s="101"/>
      <c r="D560" s="101"/>
      <c r="E560" s="101"/>
      <c r="F560" s="101"/>
      <c r="G560" s="101"/>
      <c r="H560" s="101"/>
      <c r="I560" s="113"/>
      <c r="J560" s="113"/>
      <c r="K560" s="72"/>
      <c r="L560" s="72"/>
      <c r="M560" s="72"/>
      <c r="N560" s="72"/>
      <c r="O560" s="72"/>
      <c r="P560" s="72"/>
      <c r="Q560" s="72"/>
      <c r="R560" s="72"/>
      <c r="S560" s="72"/>
    </row>
    <row r="561" spans="1:19" ht="12.75">
      <c r="A561" s="100"/>
      <c r="B561" s="101"/>
      <c r="C561" s="101"/>
      <c r="D561" s="101"/>
      <c r="E561" s="101"/>
      <c r="F561" s="101"/>
      <c r="G561" s="101"/>
      <c r="H561" s="101"/>
      <c r="I561" s="113"/>
      <c r="J561" s="113"/>
      <c r="K561" s="72"/>
      <c r="L561" s="72"/>
      <c r="M561" s="72"/>
      <c r="N561" s="72"/>
      <c r="O561" s="72"/>
      <c r="P561" s="72"/>
      <c r="Q561" s="72"/>
      <c r="R561" s="72"/>
      <c r="S561" s="72"/>
    </row>
    <row r="562" spans="1:19" ht="12.75">
      <c r="A562" s="100"/>
      <c r="B562" s="101"/>
      <c r="C562" s="101"/>
      <c r="D562" s="101"/>
      <c r="E562" s="101"/>
      <c r="F562" s="101"/>
      <c r="G562" s="101"/>
      <c r="H562" s="101"/>
      <c r="I562" s="113"/>
      <c r="J562" s="113"/>
      <c r="K562" s="72"/>
      <c r="L562" s="72"/>
      <c r="M562" s="72"/>
      <c r="N562" s="72"/>
      <c r="O562" s="72"/>
      <c r="P562" s="72"/>
      <c r="Q562" s="72"/>
      <c r="R562" s="72"/>
      <c r="S562" s="72"/>
    </row>
    <row r="563" spans="1:19" ht="12.75">
      <c r="A563" s="100"/>
      <c r="B563" s="101"/>
      <c r="C563" s="101"/>
      <c r="D563" s="101"/>
      <c r="E563" s="101"/>
      <c r="F563" s="101"/>
      <c r="G563" s="101"/>
      <c r="H563" s="101"/>
      <c r="I563" s="113"/>
      <c r="J563" s="113"/>
      <c r="K563" s="72"/>
      <c r="L563" s="72"/>
      <c r="M563" s="72"/>
      <c r="N563" s="72"/>
      <c r="O563" s="72"/>
      <c r="P563" s="72"/>
      <c r="Q563" s="72"/>
      <c r="R563" s="72"/>
      <c r="S563" s="72"/>
    </row>
    <row r="564" spans="1:19" ht="12.75">
      <c r="A564" s="100"/>
      <c r="B564" s="101"/>
      <c r="C564" s="101"/>
      <c r="D564" s="101"/>
      <c r="E564" s="101"/>
      <c r="F564" s="101"/>
      <c r="G564" s="101"/>
      <c r="H564" s="101"/>
      <c r="I564" s="113"/>
      <c r="J564" s="113"/>
      <c r="K564" s="72"/>
      <c r="L564" s="72"/>
      <c r="M564" s="72"/>
      <c r="N564" s="72"/>
      <c r="O564" s="72"/>
      <c r="P564" s="72"/>
      <c r="Q564" s="72"/>
      <c r="R564" s="72"/>
      <c r="S564" s="72"/>
    </row>
    <row r="565" spans="1:19" ht="12.75">
      <c r="A565" s="100"/>
      <c r="B565" s="101"/>
      <c r="C565" s="101"/>
      <c r="D565" s="101"/>
      <c r="E565" s="101"/>
      <c r="F565" s="101"/>
      <c r="G565" s="101"/>
      <c r="H565" s="101"/>
      <c r="I565" s="113"/>
      <c r="J565" s="113"/>
      <c r="K565" s="72"/>
      <c r="L565" s="72"/>
      <c r="M565" s="72"/>
      <c r="N565" s="72"/>
      <c r="O565" s="72"/>
      <c r="P565" s="72"/>
      <c r="Q565" s="72"/>
      <c r="R565" s="72"/>
      <c r="S565" s="72"/>
    </row>
    <row r="566" spans="1:19" ht="12.75">
      <c r="A566" s="100"/>
      <c r="B566" s="101"/>
      <c r="C566" s="101"/>
      <c r="D566" s="101"/>
      <c r="E566" s="101"/>
      <c r="F566" s="101"/>
      <c r="G566" s="101"/>
      <c r="H566" s="101"/>
      <c r="I566" s="113"/>
      <c r="J566" s="113"/>
      <c r="K566" s="72"/>
      <c r="L566" s="72"/>
      <c r="M566" s="72"/>
      <c r="N566" s="72"/>
      <c r="O566" s="72"/>
      <c r="P566" s="72"/>
      <c r="Q566" s="72"/>
      <c r="R566" s="72"/>
      <c r="S566" s="72"/>
    </row>
    <row r="567" spans="1:19" ht="12.75">
      <c r="A567" s="100"/>
      <c r="B567" s="101"/>
      <c r="C567" s="101"/>
      <c r="D567" s="101"/>
      <c r="E567" s="101"/>
      <c r="F567" s="101"/>
      <c r="G567" s="101"/>
      <c r="H567" s="101"/>
      <c r="I567" s="113"/>
      <c r="J567" s="113"/>
      <c r="K567" s="72"/>
      <c r="L567" s="72"/>
      <c r="M567" s="72"/>
      <c r="N567" s="72"/>
      <c r="O567" s="72"/>
      <c r="P567" s="72"/>
      <c r="Q567" s="72"/>
      <c r="R567" s="72"/>
      <c r="S567" s="72"/>
    </row>
    <row r="568" spans="1:19" ht="12.75">
      <c r="A568" s="100"/>
      <c r="B568" s="101"/>
      <c r="C568" s="101"/>
      <c r="D568" s="101"/>
      <c r="E568" s="101"/>
      <c r="F568" s="101"/>
      <c r="G568" s="101"/>
      <c r="H568" s="101"/>
      <c r="I568" s="113"/>
      <c r="J568" s="113"/>
      <c r="K568" s="72"/>
      <c r="L568" s="72"/>
      <c r="M568" s="72"/>
      <c r="N568" s="72"/>
      <c r="O568" s="72"/>
      <c r="P568" s="72"/>
      <c r="Q568" s="72"/>
      <c r="R568" s="72"/>
      <c r="S568" s="72"/>
    </row>
    <row r="569" spans="1:19" ht="12.75">
      <c r="A569" s="100"/>
      <c r="B569" s="101"/>
      <c r="C569" s="101"/>
      <c r="D569" s="101"/>
      <c r="E569" s="101"/>
      <c r="F569" s="101"/>
      <c r="G569" s="101"/>
      <c r="H569" s="101"/>
      <c r="I569" s="113"/>
      <c r="J569" s="113"/>
      <c r="K569" s="72"/>
      <c r="L569" s="72"/>
      <c r="M569" s="72"/>
      <c r="N569" s="72"/>
      <c r="O569" s="72"/>
      <c r="P569" s="72"/>
      <c r="Q569" s="72"/>
      <c r="R569" s="72"/>
      <c r="S569" s="72"/>
    </row>
    <row r="570" spans="1:19" ht="12.75">
      <c r="A570" s="100"/>
      <c r="B570" s="101"/>
      <c r="C570" s="101"/>
      <c r="D570" s="101"/>
      <c r="E570" s="101"/>
      <c r="F570" s="101"/>
      <c r="G570" s="101"/>
      <c r="H570" s="101"/>
      <c r="I570" s="113"/>
      <c r="J570" s="113"/>
      <c r="K570" s="72"/>
      <c r="L570" s="72"/>
      <c r="M570" s="72"/>
      <c r="N570" s="72"/>
      <c r="O570" s="72"/>
      <c r="P570" s="72"/>
      <c r="Q570" s="72"/>
      <c r="R570" s="72"/>
      <c r="S570" s="72"/>
    </row>
    <row r="571" spans="1:19" ht="12.75">
      <c r="A571" s="100"/>
      <c r="B571" s="101"/>
      <c r="C571" s="101"/>
      <c r="D571" s="101"/>
      <c r="E571" s="101"/>
      <c r="F571" s="101"/>
      <c r="G571" s="101"/>
      <c r="H571" s="101"/>
      <c r="I571" s="113"/>
      <c r="J571" s="113"/>
      <c r="K571" s="72"/>
      <c r="L571" s="72"/>
      <c r="M571" s="72"/>
      <c r="N571" s="72"/>
      <c r="O571" s="72"/>
      <c r="P571" s="72"/>
      <c r="Q571" s="72"/>
      <c r="R571" s="72"/>
      <c r="S571" s="72"/>
    </row>
    <row r="572" spans="1:19" ht="12.75">
      <c r="A572" s="100"/>
      <c r="B572" s="101"/>
      <c r="C572" s="101"/>
      <c r="D572" s="101"/>
      <c r="E572" s="101"/>
      <c r="F572" s="101"/>
      <c r="G572" s="101"/>
      <c r="H572" s="101"/>
      <c r="I572" s="113"/>
      <c r="J572" s="113"/>
      <c r="K572" s="72"/>
      <c r="L572" s="72"/>
      <c r="M572" s="72"/>
      <c r="N572" s="72"/>
      <c r="O572" s="72"/>
      <c r="P572" s="72"/>
      <c r="Q572" s="72"/>
      <c r="R572" s="72"/>
      <c r="S572" s="72"/>
    </row>
    <row r="573" spans="1:19" ht="12.75">
      <c r="A573" s="100"/>
      <c r="B573" s="101"/>
      <c r="C573" s="101"/>
      <c r="D573" s="101"/>
      <c r="E573" s="101"/>
      <c r="F573" s="101"/>
      <c r="G573" s="101"/>
      <c r="H573" s="101"/>
      <c r="I573" s="113"/>
      <c r="J573" s="113"/>
      <c r="K573" s="72"/>
      <c r="L573" s="72"/>
      <c r="M573" s="72"/>
      <c r="N573" s="72"/>
      <c r="O573" s="72"/>
      <c r="P573" s="72"/>
      <c r="Q573" s="72"/>
      <c r="R573" s="72"/>
      <c r="S573" s="72"/>
    </row>
    <row r="574" spans="1:19" ht="12.75">
      <c r="A574" s="100"/>
      <c r="B574" s="101"/>
      <c r="C574" s="101"/>
      <c r="D574" s="101"/>
      <c r="E574" s="101"/>
      <c r="F574" s="101"/>
      <c r="G574" s="101"/>
      <c r="H574" s="101"/>
      <c r="I574" s="113"/>
      <c r="J574" s="113"/>
      <c r="K574" s="72"/>
      <c r="L574" s="72"/>
      <c r="M574" s="72"/>
      <c r="N574" s="72"/>
      <c r="O574" s="72"/>
      <c r="P574" s="72"/>
      <c r="Q574" s="72"/>
      <c r="R574" s="72"/>
      <c r="S574" s="72"/>
    </row>
    <row r="575" spans="1:19" ht="12.75">
      <c r="A575" s="100"/>
      <c r="B575" s="101"/>
      <c r="C575" s="101"/>
      <c r="D575" s="101"/>
      <c r="E575" s="101"/>
      <c r="F575" s="101"/>
      <c r="G575" s="101"/>
      <c r="H575" s="101"/>
      <c r="I575" s="113"/>
      <c r="J575" s="113"/>
      <c r="K575" s="72"/>
      <c r="L575" s="72"/>
      <c r="M575" s="72"/>
      <c r="N575" s="72"/>
      <c r="O575" s="72"/>
      <c r="P575" s="72"/>
      <c r="Q575" s="72"/>
      <c r="R575" s="72"/>
      <c r="S575" s="72"/>
    </row>
    <row r="576" spans="1:19" ht="12.75">
      <c r="A576" s="100"/>
      <c r="B576" s="101"/>
      <c r="C576" s="101"/>
      <c r="D576" s="101"/>
      <c r="E576" s="101"/>
      <c r="F576" s="101"/>
      <c r="G576" s="101"/>
      <c r="H576" s="101"/>
      <c r="I576" s="113"/>
      <c r="J576" s="113"/>
      <c r="K576" s="72"/>
      <c r="L576" s="72"/>
      <c r="M576" s="72"/>
      <c r="N576" s="72"/>
      <c r="O576" s="72"/>
      <c r="P576" s="72"/>
      <c r="Q576" s="72"/>
      <c r="R576" s="72"/>
      <c r="S576" s="72"/>
    </row>
    <row r="577" spans="1:19" ht="12.75">
      <c r="A577" s="100"/>
      <c r="B577" s="101"/>
      <c r="C577" s="101"/>
      <c r="D577" s="101"/>
      <c r="E577" s="101"/>
      <c r="F577" s="101"/>
      <c r="G577" s="101"/>
      <c r="H577" s="101"/>
      <c r="I577" s="113"/>
      <c r="J577" s="113"/>
      <c r="K577" s="72"/>
      <c r="L577" s="72"/>
      <c r="M577" s="72"/>
      <c r="N577" s="72"/>
      <c r="O577" s="72"/>
      <c r="P577" s="72"/>
      <c r="Q577" s="72"/>
      <c r="R577" s="72"/>
      <c r="S577" s="72"/>
    </row>
    <row r="578" spans="1:19" ht="12.75">
      <c r="A578" s="100"/>
      <c r="B578" s="101"/>
      <c r="C578" s="101"/>
      <c r="D578" s="101"/>
      <c r="E578" s="101"/>
      <c r="F578" s="101"/>
      <c r="G578" s="101"/>
      <c r="H578" s="101"/>
      <c r="I578" s="113"/>
      <c r="J578" s="113"/>
      <c r="K578" s="72"/>
      <c r="L578" s="72"/>
      <c r="M578" s="72"/>
      <c r="N578" s="72"/>
      <c r="O578" s="72"/>
      <c r="P578" s="72"/>
      <c r="Q578" s="72"/>
      <c r="R578" s="72"/>
      <c r="S578" s="72"/>
    </row>
    <row r="579" spans="1:19" ht="12.75">
      <c r="A579" s="100"/>
      <c r="B579" s="101"/>
      <c r="C579" s="101"/>
      <c r="D579" s="101"/>
      <c r="E579" s="101"/>
      <c r="F579" s="101"/>
      <c r="G579" s="101"/>
      <c r="H579" s="101"/>
      <c r="I579" s="113"/>
      <c r="J579" s="113"/>
      <c r="K579" s="72"/>
      <c r="L579" s="72"/>
      <c r="M579" s="72"/>
      <c r="N579" s="72"/>
      <c r="O579" s="72"/>
      <c r="P579" s="72"/>
      <c r="Q579" s="72"/>
      <c r="R579" s="72"/>
      <c r="S579" s="72"/>
    </row>
    <row r="580" spans="1:19" ht="12.75">
      <c r="A580" s="100"/>
      <c r="B580" s="101"/>
      <c r="C580" s="101"/>
      <c r="D580" s="101"/>
      <c r="E580" s="101"/>
      <c r="F580" s="101"/>
      <c r="G580" s="101"/>
      <c r="H580" s="101"/>
      <c r="I580" s="113"/>
      <c r="J580" s="113"/>
      <c r="K580" s="72"/>
      <c r="L580" s="72"/>
      <c r="M580" s="72"/>
      <c r="N580" s="72"/>
      <c r="O580" s="72"/>
      <c r="P580" s="72"/>
      <c r="Q580" s="72"/>
      <c r="R580" s="72"/>
      <c r="S580" s="72"/>
    </row>
    <row r="581" spans="1:19" ht="12.75">
      <c r="A581" s="100"/>
      <c r="B581" s="101"/>
      <c r="C581" s="101"/>
      <c r="D581" s="101"/>
      <c r="E581" s="101"/>
      <c r="F581" s="101"/>
      <c r="G581" s="101"/>
      <c r="H581" s="101"/>
      <c r="I581" s="113"/>
      <c r="J581" s="113"/>
      <c r="K581" s="72"/>
      <c r="L581" s="72"/>
      <c r="M581" s="72"/>
      <c r="N581" s="72"/>
      <c r="O581" s="72"/>
      <c r="P581" s="72"/>
      <c r="Q581" s="72"/>
      <c r="R581" s="72"/>
      <c r="S581" s="72"/>
    </row>
    <row r="582" spans="1:19" ht="12.75">
      <c r="A582" s="100"/>
      <c r="B582" s="101"/>
      <c r="C582" s="101"/>
      <c r="D582" s="101"/>
      <c r="E582" s="101"/>
      <c r="F582" s="101"/>
      <c r="G582" s="101"/>
      <c r="H582" s="101"/>
      <c r="I582" s="113"/>
      <c r="J582" s="113"/>
      <c r="K582" s="72"/>
      <c r="L582" s="72"/>
      <c r="M582" s="72"/>
      <c r="N582" s="72"/>
      <c r="O582" s="72"/>
      <c r="P582" s="72"/>
      <c r="Q582" s="72"/>
      <c r="R582" s="72"/>
      <c r="S582" s="72"/>
    </row>
    <row r="583" spans="1:19" ht="12.75">
      <c r="A583" s="100"/>
      <c r="B583" s="101"/>
      <c r="C583" s="101"/>
      <c r="D583" s="101"/>
      <c r="E583" s="101"/>
      <c r="F583" s="101"/>
      <c r="G583" s="101"/>
      <c r="H583" s="101"/>
      <c r="I583" s="113"/>
      <c r="J583" s="113"/>
      <c r="K583" s="72"/>
      <c r="L583" s="72"/>
      <c r="M583" s="72"/>
      <c r="N583" s="72"/>
      <c r="O583" s="72"/>
      <c r="P583" s="72"/>
      <c r="Q583" s="72"/>
      <c r="R583" s="72"/>
      <c r="S583" s="72"/>
    </row>
    <row r="584" spans="1:19" ht="12.75">
      <c r="A584" s="100"/>
      <c r="B584" s="101"/>
      <c r="C584" s="101"/>
      <c r="D584" s="101"/>
      <c r="E584" s="101"/>
      <c r="F584" s="101"/>
      <c r="G584" s="101"/>
      <c r="H584" s="101"/>
      <c r="I584" s="113"/>
      <c r="J584" s="113"/>
      <c r="K584" s="72"/>
      <c r="L584" s="72"/>
      <c r="M584" s="72"/>
      <c r="N584" s="72"/>
      <c r="O584" s="72"/>
      <c r="P584" s="72"/>
      <c r="Q584" s="72"/>
      <c r="R584" s="72"/>
      <c r="S584" s="72"/>
    </row>
    <row r="585" spans="1:19" ht="12.75">
      <c r="A585" s="100"/>
      <c r="B585" s="101"/>
      <c r="C585" s="101"/>
      <c r="D585" s="101"/>
      <c r="E585" s="101"/>
      <c r="F585" s="101"/>
      <c r="G585" s="101"/>
      <c r="H585" s="101"/>
      <c r="I585" s="113"/>
      <c r="J585" s="113"/>
      <c r="K585" s="72"/>
      <c r="L585" s="72"/>
      <c r="M585" s="72"/>
      <c r="N585" s="72"/>
      <c r="O585" s="72"/>
      <c r="P585" s="72"/>
      <c r="Q585" s="72"/>
      <c r="R585" s="72"/>
      <c r="S585" s="72"/>
    </row>
    <row r="586" spans="1:19" ht="12.75">
      <c r="A586" s="100"/>
      <c r="B586" s="101"/>
      <c r="C586" s="101"/>
      <c r="D586" s="101"/>
      <c r="E586" s="101"/>
      <c r="F586" s="101"/>
      <c r="G586" s="101"/>
      <c r="H586" s="101"/>
      <c r="I586" s="113"/>
      <c r="J586" s="113"/>
      <c r="K586" s="72"/>
      <c r="L586" s="72"/>
      <c r="M586" s="72"/>
      <c r="N586" s="72"/>
      <c r="O586" s="72"/>
      <c r="P586" s="72"/>
      <c r="Q586" s="72"/>
      <c r="R586" s="72"/>
      <c r="S586" s="72"/>
    </row>
    <row r="587" spans="1:19" ht="12.75">
      <c r="A587" s="100"/>
      <c r="B587" s="101"/>
      <c r="C587" s="101"/>
      <c r="D587" s="101"/>
      <c r="E587" s="101"/>
      <c r="F587" s="101"/>
      <c r="G587" s="101"/>
      <c r="H587" s="101"/>
      <c r="I587" s="113"/>
      <c r="J587" s="113"/>
      <c r="K587" s="72"/>
      <c r="L587" s="72"/>
      <c r="M587" s="72"/>
      <c r="N587" s="72"/>
      <c r="O587" s="72"/>
      <c r="P587" s="72"/>
      <c r="Q587" s="72"/>
      <c r="R587" s="72"/>
      <c r="S587" s="72"/>
    </row>
    <row r="588" spans="1:19" ht="12.75">
      <c r="A588" s="100"/>
      <c r="B588" s="101"/>
      <c r="C588" s="101"/>
      <c r="D588" s="101"/>
      <c r="E588" s="101"/>
      <c r="F588" s="101"/>
      <c r="G588" s="101"/>
      <c r="H588" s="101"/>
      <c r="I588" s="113"/>
      <c r="J588" s="113"/>
      <c r="K588" s="72"/>
      <c r="L588" s="72"/>
      <c r="M588" s="72"/>
      <c r="N588" s="72"/>
      <c r="O588" s="72"/>
      <c r="P588" s="72"/>
      <c r="Q588" s="72"/>
      <c r="R588" s="72"/>
      <c r="S588" s="72"/>
    </row>
    <row r="589" spans="1:19" ht="12.75">
      <c r="A589" s="100"/>
      <c r="B589" s="101"/>
      <c r="C589" s="101"/>
      <c r="D589" s="101"/>
      <c r="E589" s="101"/>
      <c r="F589" s="101"/>
      <c r="G589" s="101"/>
      <c r="H589" s="101"/>
      <c r="I589" s="113"/>
      <c r="J589" s="113"/>
      <c r="K589" s="72"/>
      <c r="L589" s="72"/>
      <c r="M589" s="72"/>
      <c r="N589" s="72"/>
      <c r="O589" s="72"/>
      <c r="P589" s="72"/>
      <c r="Q589" s="72"/>
      <c r="R589" s="72"/>
      <c r="S589" s="72"/>
    </row>
    <row r="590" spans="1:19" ht="12.75">
      <c r="A590" s="100"/>
      <c r="B590" s="101"/>
      <c r="C590" s="101"/>
      <c r="D590" s="101"/>
      <c r="E590" s="101"/>
      <c r="F590" s="101"/>
      <c r="G590" s="101"/>
      <c r="H590" s="101"/>
      <c r="I590" s="113"/>
      <c r="J590" s="113"/>
      <c r="K590" s="72"/>
      <c r="L590" s="72"/>
      <c r="M590" s="72"/>
      <c r="N590" s="72"/>
      <c r="O590" s="72"/>
      <c r="P590" s="72"/>
      <c r="Q590" s="72"/>
      <c r="R590" s="72"/>
      <c r="S590" s="72"/>
    </row>
    <row r="591" spans="1:19" ht="12.75">
      <c r="A591" s="100"/>
      <c r="B591" s="101"/>
      <c r="C591" s="101"/>
      <c r="D591" s="101"/>
      <c r="E591" s="101"/>
      <c r="F591" s="101"/>
      <c r="G591" s="101"/>
      <c r="H591" s="101"/>
      <c r="I591" s="113"/>
      <c r="J591" s="113"/>
      <c r="K591" s="72"/>
      <c r="L591" s="72"/>
      <c r="M591" s="72"/>
      <c r="N591" s="72"/>
      <c r="O591" s="72"/>
      <c r="P591" s="72"/>
      <c r="Q591" s="72"/>
      <c r="R591" s="72"/>
      <c r="S591" s="72"/>
    </row>
    <row r="592" spans="1:19" ht="12.75">
      <c r="A592" s="100"/>
      <c r="B592" s="101"/>
      <c r="C592" s="101"/>
      <c r="D592" s="101"/>
      <c r="E592" s="101"/>
      <c r="F592" s="101"/>
      <c r="G592" s="101"/>
      <c r="H592" s="101"/>
      <c r="I592" s="113"/>
      <c r="J592" s="113"/>
      <c r="K592" s="72"/>
      <c r="L592" s="72"/>
      <c r="M592" s="72"/>
      <c r="N592" s="72"/>
      <c r="O592" s="72"/>
      <c r="P592" s="72"/>
      <c r="Q592" s="72"/>
      <c r="R592" s="72"/>
      <c r="S592" s="72"/>
    </row>
    <row r="593" spans="1:19" ht="12.75">
      <c r="A593" s="100"/>
      <c r="B593" s="101"/>
      <c r="C593" s="101"/>
      <c r="D593" s="101"/>
      <c r="E593" s="101"/>
      <c r="F593" s="101"/>
      <c r="G593" s="101"/>
      <c r="H593" s="101"/>
      <c r="I593" s="113"/>
      <c r="J593" s="113"/>
      <c r="K593" s="72"/>
      <c r="L593" s="72"/>
      <c r="M593" s="72"/>
      <c r="N593" s="72"/>
      <c r="O593" s="72"/>
      <c r="P593" s="72"/>
      <c r="Q593" s="72"/>
      <c r="R593" s="72"/>
      <c r="S593" s="72"/>
    </row>
    <row r="594" spans="1:19" ht="12.75">
      <c r="A594" s="100"/>
      <c r="B594" s="101"/>
      <c r="C594" s="101"/>
      <c r="D594" s="101"/>
      <c r="E594" s="101"/>
      <c r="F594" s="101"/>
      <c r="G594" s="101"/>
      <c r="H594" s="101"/>
      <c r="I594" s="113"/>
      <c r="J594" s="113"/>
      <c r="K594" s="72"/>
      <c r="L594" s="72"/>
      <c r="M594" s="72"/>
      <c r="N594" s="72"/>
      <c r="O594" s="72"/>
      <c r="P594" s="72"/>
      <c r="Q594" s="72"/>
      <c r="R594" s="72"/>
      <c r="S594" s="72"/>
    </row>
    <row r="595" spans="1:19" ht="12.75">
      <c r="A595" s="100"/>
      <c r="B595" s="101"/>
      <c r="C595" s="101"/>
      <c r="D595" s="101"/>
      <c r="E595" s="101"/>
      <c r="F595" s="101"/>
      <c r="G595" s="101"/>
      <c r="H595" s="101"/>
      <c r="I595" s="113"/>
      <c r="J595" s="113"/>
      <c r="K595" s="72"/>
      <c r="L595" s="72"/>
      <c r="M595" s="72"/>
      <c r="N595" s="72"/>
      <c r="O595" s="72"/>
      <c r="P595" s="72"/>
      <c r="Q595" s="72"/>
      <c r="R595" s="72"/>
      <c r="S595" s="72"/>
    </row>
    <row r="596" spans="1:19" ht="12.75">
      <c r="A596" s="100"/>
      <c r="B596" s="101"/>
      <c r="C596" s="101"/>
      <c r="D596" s="101"/>
      <c r="E596" s="101"/>
      <c r="F596" s="101"/>
      <c r="G596" s="101"/>
      <c r="H596" s="101"/>
      <c r="I596" s="113"/>
      <c r="J596" s="113"/>
      <c r="K596" s="72"/>
      <c r="L596" s="72"/>
      <c r="M596" s="72"/>
      <c r="N596" s="72"/>
      <c r="O596" s="72"/>
      <c r="P596" s="72"/>
      <c r="Q596" s="72"/>
      <c r="R596" s="72"/>
      <c r="S596" s="72"/>
    </row>
    <row r="597" spans="1:19" ht="12.75">
      <c r="A597" s="100"/>
      <c r="B597" s="101"/>
      <c r="C597" s="101"/>
      <c r="D597" s="101"/>
      <c r="E597" s="101"/>
      <c r="F597" s="101"/>
      <c r="G597" s="101"/>
      <c r="H597" s="101"/>
      <c r="I597" s="113"/>
      <c r="J597" s="113"/>
      <c r="K597" s="72"/>
      <c r="L597" s="72"/>
      <c r="M597" s="72"/>
      <c r="N597" s="72"/>
      <c r="O597" s="72"/>
      <c r="P597" s="72"/>
      <c r="Q597" s="72"/>
      <c r="R597" s="72"/>
      <c r="S597" s="72"/>
    </row>
    <row r="598" spans="1:19" ht="12.75">
      <c r="A598" s="100"/>
      <c r="B598" s="101"/>
      <c r="C598" s="101"/>
      <c r="D598" s="101"/>
      <c r="E598" s="101"/>
      <c r="F598" s="101"/>
      <c r="G598" s="101"/>
      <c r="H598" s="101"/>
      <c r="I598" s="113"/>
      <c r="J598" s="113"/>
      <c r="K598" s="72"/>
      <c r="L598" s="72"/>
      <c r="M598" s="72"/>
      <c r="N598" s="72"/>
      <c r="O598" s="72"/>
      <c r="P598" s="72"/>
      <c r="Q598" s="72"/>
      <c r="R598" s="72"/>
      <c r="S598" s="72"/>
    </row>
    <row r="599" spans="1:19" ht="12.75">
      <c r="A599" s="100"/>
      <c r="B599" s="101"/>
      <c r="C599" s="101"/>
      <c r="D599" s="101"/>
      <c r="E599" s="101"/>
      <c r="F599" s="101"/>
      <c r="G599" s="101"/>
      <c r="H599" s="101"/>
      <c r="I599" s="113"/>
      <c r="J599" s="113"/>
      <c r="K599" s="72"/>
      <c r="L599" s="72"/>
      <c r="M599" s="72"/>
      <c r="N599" s="72"/>
      <c r="O599" s="72"/>
      <c r="P599" s="72"/>
      <c r="Q599" s="72"/>
      <c r="R599" s="72"/>
      <c r="S599" s="72"/>
    </row>
    <row r="600" spans="1:19" ht="12.75">
      <c r="A600" s="100"/>
      <c r="B600" s="101"/>
      <c r="C600" s="101"/>
      <c r="D600" s="101"/>
      <c r="E600" s="101"/>
      <c r="F600" s="101"/>
      <c r="G600" s="101"/>
      <c r="H600" s="101"/>
      <c r="I600" s="113"/>
      <c r="J600" s="113"/>
      <c r="K600" s="72"/>
      <c r="L600" s="72"/>
      <c r="M600" s="72"/>
      <c r="N600" s="72"/>
      <c r="O600" s="72"/>
      <c r="P600" s="72"/>
      <c r="Q600" s="72"/>
      <c r="R600" s="72"/>
      <c r="S600" s="72"/>
    </row>
    <row r="601" spans="1:19" ht="12.75">
      <c r="A601" s="100"/>
      <c r="B601" s="101"/>
      <c r="C601" s="101"/>
      <c r="D601" s="101"/>
      <c r="E601" s="101"/>
      <c r="F601" s="101"/>
      <c r="G601" s="101"/>
      <c r="H601" s="101"/>
      <c r="I601" s="113"/>
      <c r="J601" s="113"/>
      <c r="K601" s="72"/>
      <c r="L601" s="72"/>
      <c r="M601" s="72"/>
      <c r="N601" s="72"/>
      <c r="O601" s="72"/>
      <c r="P601" s="72"/>
      <c r="Q601" s="72"/>
      <c r="R601" s="72"/>
      <c r="S601" s="72"/>
    </row>
    <row r="602" spans="1:19" ht="12.75">
      <c r="A602" s="100"/>
      <c r="B602" s="101"/>
      <c r="C602" s="101"/>
      <c r="D602" s="101"/>
      <c r="E602" s="101"/>
      <c r="F602" s="101"/>
      <c r="G602" s="101"/>
      <c r="H602" s="101"/>
      <c r="I602" s="113"/>
      <c r="J602" s="113"/>
      <c r="K602" s="72"/>
      <c r="L602" s="72"/>
      <c r="M602" s="72"/>
      <c r="N602" s="72"/>
      <c r="O602" s="72"/>
      <c r="P602" s="72"/>
      <c r="Q602" s="72"/>
      <c r="R602" s="72"/>
      <c r="S602" s="72"/>
    </row>
    <row r="603" spans="1:19" ht="12.75">
      <c r="A603" s="100"/>
      <c r="B603" s="101"/>
      <c r="C603" s="101"/>
      <c r="D603" s="101"/>
      <c r="E603" s="101"/>
      <c r="F603" s="101"/>
      <c r="G603" s="101"/>
      <c r="H603" s="101"/>
      <c r="I603" s="113"/>
      <c r="J603" s="113"/>
      <c r="K603" s="72"/>
      <c r="L603" s="72"/>
      <c r="M603" s="72"/>
      <c r="N603" s="72"/>
      <c r="O603" s="72"/>
      <c r="P603" s="72"/>
      <c r="Q603" s="72"/>
      <c r="R603" s="72"/>
      <c r="S603" s="72"/>
    </row>
    <row r="604" spans="1:19" ht="12.75">
      <c r="A604" s="100"/>
      <c r="B604" s="101"/>
      <c r="C604" s="101"/>
      <c r="D604" s="101"/>
      <c r="E604" s="101"/>
      <c r="F604" s="101"/>
      <c r="G604" s="101"/>
      <c r="H604" s="101"/>
      <c r="I604" s="113"/>
      <c r="J604" s="113"/>
      <c r="K604" s="72"/>
      <c r="L604" s="72"/>
      <c r="M604" s="72"/>
      <c r="N604" s="72"/>
      <c r="O604" s="72"/>
      <c r="P604" s="72"/>
      <c r="Q604" s="72"/>
      <c r="R604" s="72"/>
      <c r="S604" s="72"/>
    </row>
    <row r="605" spans="1:19" ht="12.75">
      <c r="A605" s="100"/>
      <c r="B605" s="101"/>
      <c r="C605" s="101"/>
      <c r="D605" s="101"/>
      <c r="E605" s="101"/>
      <c r="F605" s="101"/>
      <c r="G605" s="101"/>
      <c r="H605" s="101"/>
      <c r="I605" s="113"/>
      <c r="J605" s="113"/>
      <c r="K605" s="72"/>
      <c r="L605" s="72"/>
      <c r="M605" s="72"/>
      <c r="N605" s="72"/>
      <c r="O605" s="72"/>
      <c r="P605" s="72"/>
      <c r="Q605" s="72"/>
      <c r="R605" s="72"/>
      <c r="S605" s="72"/>
    </row>
    <row r="606" spans="1:19" ht="12.75">
      <c r="A606" s="100"/>
      <c r="B606" s="101"/>
      <c r="C606" s="101"/>
      <c r="D606" s="101"/>
      <c r="E606" s="101"/>
      <c r="F606" s="101"/>
      <c r="G606" s="101"/>
      <c r="H606" s="101"/>
      <c r="I606" s="113"/>
      <c r="J606" s="113"/>
      <c r="K606" s="72"/>
      <c r="L606" s="72"/>
      <c r="M606" s="72"/>
      <c r="N606" s="72"/>
      <c r="O606" s="72"/>
      <c r="P606" s="72"/>
      <c r="Q606" s="72"/>
      <c r="R606" s="72"/>
      <c r="S606" s="72"/>
    </row>
    <row r="607" spans="1:19" ht="12.75">
      <c r="A607" s="100"/>
      <c r="B607" s="101"/>
      <c r="C607" s="101"/>
      <c r="D607" s="101"/>
      <c r="E607" s="101"/>
      <c r="F607" s="101"/>
      <c r="G607" s="101"/>
      <c r="H607" s="101"/>
      <c r="I607" s="113"/>
      <c r="J607" s="113"/>
      <c r="K607" s="72"/>
      <c r="L607" s="72"/>
      <c r="M607" s="72"/>
      <c r="N607" s="72"/>
      <c r="O607" s="72"/>
      <c r="P607" s="72"/>
      <c r="Q607" s="72"/>
      <c r="R607" s="72"/>
      <c r="S607" s="72"/>
    </row>
    <row r="608" spans="1:19" ht="12.75">
      <c r="A608" s="100"/>
      <c r="B608" s="101"/>
      <c r="C608" s="101"/>
      <c r="D608" s="101"/>
      <c r="E608" s="101"/>
      <c r="F608" s="101"/>
      <c r="G608" s="101"/>
      <c r="H608" s="101"/>
      <c r="I608" s="113"/>
      <c r="J608" s="113"/>
      <c r="K608" s="72"/>
      <c r="L608" s="72"/>
      <c r="M608" s="72"/>
      <c r="N608" s="72"/>
      <c r="O608" s="72"/>
      <c r="P608" s="72"/>
      <c r="Q608" s="72"/>
      <c r="R608" s="72"/>
      <c r="S608" s="72"/>
    </row>
    <row r="609" spans="1:19" ht="12.75">
      <c r="A609" s="100"/>
      <c r="B609" s="101"/>
      <c r="C609" s="101"/>
      <c r="D609" s="101"/>
      <c r="E609" s="101"/>
      <c r="F609" s="101"/>
      <c r="G609" s="101"/>
      <c r="H609" s="101"/>
      <c r="I609" s="113"/>
      <c r="J609" s="113"/>
      <c r="K609" s="72"/>
      <c r="L609" s="72"/>
      <c r="M609" s="72"/>
      <c r="N609" s="72"/>
      <c r="O609" s="72"/>
      <c r="P609" s="72"/>
      <c r="Q609" s="72"/>
      <c r="R609" s="72"/>
      <c r="S609" s="72"/>
    </row>
    <row r="610" spans="1:19" ht="12.75">
      <c r="A610" s="100"/>
      <c r="B610" s="101"/>
      <c r="C610" s="101"/>
      <c r="D610" s="101"/>
      <c r="E610" s="101"/>
      <c r="F610" s="101"/>
      <c r="G610" s="101"/>
      <c r="H610" s="101"/>
      <c r="I610" s="113"/>
      <c r="J610" s="113"/>
      <c r="K610" s="72"/>
      <c r="L610" s="72"/>
      <c r="M610" s="72"/>
      <c r="N610" s="72"/>
      <c r="O610" s="72"/>
      <c r="P610" s="72"/>
      <c r="Q610" s="72"/>
      <c r="R610" s="72"/>
      <c r="S610" s="72"/>
    </row>
    <row r="611" spans="1:19" ht="12.75">
      <c r="A611" s="100"/>
      <c r="B611" s="101"/>
      <c r="C611" s="101"/>
      <c r="D611" s="101"/>
      <c r="E611" s="101"/>
      <c r="F611" s="101"/>
      <c r="G611" s="101"/>
      <c r="H611" s="101"/>
      <c r="I611" s="113"/>
      <c r="J611" s="113"/>
      <c r="K611" s="72"/>
      <c r="L611" s="72"/>
      <c r="M611" s="72"/>
      <c r="N611" s="72"/>
      <c r="O611" s="72"/>
      <c r="P611" s="72"/>
      <c r="Q611" s="72"/>
      <c r="R611" s="72"/>
      <c r="S611" s="72"/>
    </row>
    <row r="612" spans="1:19" ht="12.75">
      <c r="A612" s="100"/>
      <c r="B612" s="101"/>
      <c r="C612" s="101"/>
      <c r="D612" s="101"/>
      <c r="E612" s="101"/>
      <c r="F612" s="101"/>
      <c r="G612" s="101"/>
      <c r="H612" s="101"/>
      <c r="I612" s="113"/>
      <c r="J612" s="113"/>
      <c r="K612" s="72"/>
      <c r="L612" s="72"/>
      <c r="M612" s="72"/>
      <c r="N612" s="72"/>
      <c r="O612" s="72"/>
      <c r="P612" s="72"/>
      <c r="Q612" s="72"/>
      <c r="R612" s="72"/>
      <c r="S612" s="72"/>
    </row>
    <row r="613" spans="1:19" ht="12.75">
      <c r="A613" s="100"/>
      <c r="B613" s="101"/>
      <c r="C613" s="101"/>
      <c r="D613" s="101"/>
      <c r="E613" s="101"/>
      <c r="F613" s="101"/>
      <c r="G613" s="101"/>
      <c r="H613" s="101"/>
      <c r="I613" s="113"/>
      <c r="J613" s="113"/>
      <c r="K613" s="72"/>
      <c r="L613" s="72"/>
      <c r="M613" s="72"/>
      <c r="N613" s="72"/>
      <c r="O613" s="72"/>
      <c r="P613" s="72"/>
      <c r="Q613" s="72"/>
      <c r="R613" s="72"/>
      <c r="S613" s="72"/>
    </row>
    <row r="614" spans="1:19" ht="12.75">
      <c r="A614" s="100"/>
      <c r="B614" s="101"/>
      <c r="C614" s="101"/>
      <c r="D614" s="101"/>
      <c r="E614" s="101"/>
      <c r="F614" s="101"/>
      <c r="G614" s="101"/>
      <c r="H614" s="101"/>
      <c r="I614" s="113"/>
      <c r="J614" s="113"/>
      <c r="K614" s="72"/>
      <c r="L614" s="72"/>
      <c r="M614" s="72"/>
      <c r="N614" s="72"/>
      <c r="O614" s="72"/>
      <c r="P614" s="72"/>
      <c r="Q614" s="72"/>
      <c r="R614" s="72"/>
      <c r="S614" s="72"/>
    </row>
    <row r="615" spans="1:19" ht="12.75">
      <c r="A615" s="100"/>
      <c r="B615" s="101"/>
      <c r="C615" s="101"/>
      <c r="D615" s="101"/>
      <c r="E615" s="101"/>
      <c r="F615" s="101"/>
      <c r="G615" s="101"/>
      <c r="H615" s="101"/>
      <c r="I615" s="113"/>
      <c r="J615" s="113"/>
      <c r="K615" s="72"/>
      <c r="L615" s="72"/>
      <c r="M615" s="72"/>
      <c r="N615" s="72"/>
      <c r="O615" s="72"/>
      <c r="P615" s="72"/>
      <c r="Q615" s="72"/>
      <c r="R615" s="72"/>
      <c r="S615" s="72"/>
    </row>
    <row r="616" spans="1:19" ht="12.75">
      <c r="A616" s="100"/>
      <c r="B616" s="101"/>
      <c r="C616" s="101"/>
      <c r="D616" s="101"/>
      <c r="E616" s="101"/>
      <c r="F616" s="101"/>
      <c r="G616" s="101"/>
      <c r="H616" s="101"/>
      <c r="I616" s="113"/>
      <c r="J616" s="113"/>
      <c r="K616" s="72"/>
      <c r="L616" s="72"/>
      <c r="M616" s="72"/>
      <c r="N616" s="72"/>
      <c r="O616" s="72"/>
      <c r="P616" s="72"/>
      <c r="Q616" s="72"/>
      <c r="R616" s="72"/>
      <c r="S616" s="72"/>
    </row>
    <row r="617" spans="1:19" ht="12.75">
      <c r="A617" s="100"/>
      <c r="B617" s="101"/>
      <c r="C617" s="101"/>
      <c r="D617" s="101"/>
      <c r="E617" s="101"/>
      <c r="F617" s="101"/>
      <c r="G617" s="101"/>
      <c r="H617" s="101"/>
      <c r="I617" s="113"/>
      <c r="J617" s="113"/>
      <c r="K617" s="72"/>
      <c r="L617" s="72"/>
      <c r="M617" s="72"/>
      <c r="N617" s="72"/>
      <c r="O617" s="72"/>
      <c r="P617" s="72"/>
      <c r="Q617" s="72"/>
      <c r="R617" s="72"/>
      <c r="S617" s="72"/>
    </row>
    <row r="618" spans="1:19" ht="12.75">
      <c r="A618" s="100"/>
      <c r="B618" s="101"/>
      <c r="C618" s="101"/>
      <c r="D618" s="101"/>
      <c r="E618" s="101"/>
      <c r="F618" s="101"/>
      <c r="G618" s="101"/>
      <c r="H618" s="101"/>
      <c r="I618" s="113"/>
      <c r="J618" s="113"/>
      <c r="K618" s="72"/>
      <c r="L618" s="72"/>
      <c r="M618" s="72"/>
      <c r="N618" s="72"/>
      <c r="O618" s="72"/>
      <c r="P618" s="72"/>
      <c r="Q618" s="72"/>
      <c r="R618" s="72"/>
      <c r="S618" s="72"/>
    </row>
    <row r="619" spans="1:19" ht="12.75">
      <c r="A619" s="100"/>
      <c r="B619" s="101"/>
      <c r="C619" s="101"/>
      <c r="D619" s="101"/>
      <c r="E619" s="101"/>
      <c r="F619" s="101"/>
      <c r="G619" s="101"/>
      <c r="H619" s="101"/>
      <c r="I619" s="113"/>
      <c r="J619" s="113"/>
      <c r="K619" s="72"/>
      <c r="L619" s="72"/>
      <c r="M619" s="72"/>
      <c r="N619" s="72"/>
      <c r="O619" s="72"/>
      <c r="P619" s="72"/>
      <c r="Q619" s="72"/>
      <c r="R619" s="72"/>
      <c r="S619" s="72"/>
    </row>
    <row r="620" spans="1:19" ht="12.75">
      <c r="A620" s="100"/>
      <c r="B620" s="101"/>
      <c r="C620" s="101"/>
      <c r="D620" s="101"/>
      <c r="E620" s="101"/>
      <c r="F620" s="101"/>
      <c r="G620" s="101"/>
      <c r="H620" s="101"/>
      <c r="I620" s="113"/>
      <c r="J620" s="113"/>
      <c r="K620" s="72"/>
      <c r="L620" s="72"/>
      <c r="M620" s="72"/>
      <c r="N620" s="72"/>
      <c r="O620" s="72"/>
      <c r="P620" s="72"/>
      <c r="Q620" s="72"/>
      <c r="R620" s="72"/>
      <c r="S620" s="72"/>
    </row>
    <row r="621" spans="1:19" ht="12.75">
      <c r="A621" s="100"/>
      <c r="B621" s="101"/>
      <c r="C621" s="101"/>
      <c r="D621" s="101"/>
      <c r="E621" s="101"/>
      <c r="F621" s="101"/>
      <c r="G621" s="101"/>
      <c r="H621" s="101"/>
      <c r="I621" s="113"/>
      <c r="J621" s="113"/>
      <c r="K621" s="72"/>
      <c r="L621" s="72"/>
      <c r="M621" s="72"/>
      <c r="N621" s="72"/>
      <c r="O621" s="72"/>
      <c r="P621" s="72"/>
      <c r="Q621" s="72"/>
      <c r="R621" s="72"/>
      <c r="S621" s="72"/>
    </row>
    <row r="622" spans="1:19" ht="12.75">
      <c r="A622" s="100"/>
      <c r="B622" s="101"/>
      <c r="C622" s="101"/>
      <c r="D622" s="101"/>
      <c r="E622" s="101"/>
      <c r="F622" s="101"/>
      <c r="G622" s="101"/>
      <c r="H622" s="101"/>
      <c r="I622" s="113"/>
      <c r="J622" s="113"/>
      <c r="K622" s="72"/>
      <c r="L622" s="72"/>
      <c r="M622" s="72"/>
      <c r="N622" s="72"/>
      <c r="O622" s="72"/>
      <c r="P622" s="72"/>
      <c r="Q622" s="72"/>
      <c r="R622" s="72"/>
      <c r="S622" s="72"/>
    </row>
    <row r="623" spans="1:19" ht="12.75">
      <c r="A623" s="100"/>
      <c r="B623" s="101"/>
      <c r="C623" s="101"/>
      <c r="D623" s="101"/>
      <c r="E623" s="101"/>
      <c r="F623" s="101"/>
      <c r="G623" s="101"/>
      <c r="H623" s="101"/>
      <c r="I623" s="113"/>
      <c r="J623" s="113"/>
      <c r="K623" s="72"/>
      <c r="L623" s="72"/>
      <c r="M623" s="72"/>
      <c r="N623" s="72"/>
      <c r="O623" s="72"/>
      <c r="P623" s="72"/>
      <c r="Q623" s="72"/>
      <c r="R623" s="72"/>
      <c r="S623" s="72"/>
    </row>
    <row r="624" spans="1:19" ht="12.75">
      <c r="A624" s="100"/>
      <c r="B624" s="101"/>
      <c r="C624" s="101"/>
      <c r="D624" s="101"/>
      <c r="E624" s="101"/>
      <c r="F624" s="101"/>
      <c r="G624" s="101"/>
      <c r="H624" s="101"/>
      <c r="I624" s="113"/>
      <c r="J624" s="113"/>
      <c r="K624" s="72"/>
      <c r="L624" s="72"/>
      <c r="M624" s="72"/>
      <c r="N624" s="72"/>
      <c r="O624" s="72"/>
      <c r="P624" s="72"/>
      <c r="Q624" s="72"/>
      <c r="R624" s="72"/>
      <c r="S624" s="72"/>
    </row>
    <row r="625" spans="1:19" ht="12.75">
      <c r="A625" s="100"/>
      <c r="B625" s="101"/>
      <c r="C625" s="101"/>
      <c r="D625" s="101"/>
      <c r="E625" s="101"/>
      <c r="F625" s="101"/>
      <c r="G625" s="101"/>
      <c r="H625" s="101"/>
      <c r="I625" s="113"/>
      <c r="J625" s="113"/>
      <c r="K625" s="72"/>
      <c r="L625" s="72"/>
      <c r="M625" s="72"/>
      <c r="N625" s="72"/>
      <c r="O625" s="72"/>
      <c r="P625" s="72"/>
      <c r="Q625" s="72"/>
      <c r="R625" s="72"/>
      <c r="S625" s="72"/>
    </row>
    <row r="626" spans="1:19" ht="12.75">
      <c r="A626" s="100"/>
      <c r="B626" s="101"/>
      <c r="C626" s="101"/>
      <c r="D626" s="101"/>
      <c r="E626" s="101"/>
      <c r="F626" s="101"/>
      <c r="G626" s="101"/>
      <c r="H626" s="101"/>
      <c r="I626" s="113"/>
      <c r="J626" s="113"/>
      <c r="K626" s="72"/>
      <c r="L626" s="72"/>
      <c r="M626" s="72"/>
      <c r="N626" s="72"/>
      <c r="O626" s="72"/>
      <c r="P626" s="72"/>
      <c r="Q626" s="72"/>
      <c r="R626" s="72"/>
      <c r="S626" s="72"/>
    </row>
    <row r="627" spans="1:19" ht="12.75">
      <c r="A627" s="100"/>
      <c r="B627" s="101"/>
      <c r="C627" s="101"/>
      <c r="D627" s="101"/>
      <c r="E627" s="101"/>
      <c r="F627" s="101"/>
      <c r="G627" s="101"/>
      <c r="H627" s="101"/>
      <c r="I627" s="113"/>
      <c r="J627" s="113"/>
      <c r="K627" s="72"/>
      <c r="L627" s="72"/>
      <c r="M627" s="72"/>
      <c r="N627" s="72"/>
      <c r="O627" s="72"/>
      <c r="P627" s="72"/>
      <c r="Q627" s="72"/>
      <c r="R627" s="72"/>
      <c r="S627" s="72"/>
    </row>
    <row r="628" spans="1:19" ht="12.75">
      <c r="A628" s="100"/>
      <c r="B628" s="101"/>
      <c r="C628" s="101"/>
      <c r="D628" s="101"/>
      <c r="E628" s="101"/>
      <c r="F628" s="101"/>
      <c r="G628" s="101"/>
      <c r="H628" s="101"/>
      <c r="I628" s="113"/>
      <c r="J628" s="113"/>
      <c r="K628" s="72"/>
      <c r="L628" s="72"/>
      <c r="M628" s="72"/>
      <c r="N628" s="72"/>
      <c r="O628" s="72"/>
      <c r="P628" s="72"/>
      <c r="Q628" s="72"/>
      <c r="R628" s="72"/>
      <c r="S628" s="72"/>
    </row>
    <row r="629" spans="1:19" ht="12.75">
      <c r="A629" s="100"/>
      <c r="B629" s="101"/>
      <c r="C629" s="101"/>
      <c r="D629" s="101"/>
      <c r="E629" s="101"/>
      <c r="F629" s="101"/>
      <c r="G629" s="101"/>
      <c r="H629" s="101"/>
      <c r="I629" s="113"/>
      <c r="J629" s="113"/>
      <c r="K629" s="72"/>
      <c r="L629" s="72"/>
      <c r="M629" s="72"/>
      <c r="N629" s="72"/>
      <c r="O629" s="72"/>
      <c r="P629" s="72"/>
      <c r="Q629" s="72"/>
      <c r="R629" s="72"/>
      <c r="S629" s="72"/>
    </row>
    <row r="630" spans="1:19" ht="12.75">
      <c r="A630" s="100"/>
      <c r="B630" s="101"/>
      <c r="C630" s="101"/>
      <c r="D630" s="101"/>
      <c r="E630" s="101"/>
      <c r="F630" s="101"/>
      <c r="G630" s="101"/>
      <c r="H630" s="101"/>
      <c r="I630" s="113"/>
      <c r="J630" s="113"/>
      <c r="K630" s="72"/>
      <c r="L630" s="72"/>
      <c r="M630" s="72"/>
      <c r="N630" s="72"/>
      <c r="O630" s="72"/>
      <c r="P630" s="72"/>
      <c r="Q630" s="72"/>
      <c r="R630" s="72"/>
      <c r="S630" s="72"/>
    </row>
    <row r="631" spans="1:19" ht="12.75">
      <c r="A631" s="100"/>
      <c r="B631" s="101"/>
      <c r="C631" s="101"/>
      <c r="D631" s="101"/>
      <c r="E631" s="101"/>
      <c r="F631" s="101"/>
      <c r="G631" s="101"/>
      <c r="H631" s="101"/>
      <c r="I631" s="113"/>
      <c r="J631" s="113"/>
      <c r="K631" s="72"/>
      <c r="L631" s="72"/>
      <c r="M631" s="72"/>
      <c r="N631" s="72"/>
      <c r="O631" s="72"/>
      <c r="P631" s="72"/>
      <c r="Q631" s="72"/>
      <c r="R631" s="72"/>
      <c r="S631" s="72"/>
    </row>
    <row r="632" spans="1:19" ht="12.75">
      <c r="A632" s="100"/>
      <c r="B632" s="101"/>
      <c r="C632" s="101"/>
      <c r="D632" s="101"/>
      <c r="E632" s="101"/>
      <c r="F632" s="101"/>
      <c r="G632" s="101"/>
      <c r="H632" s="101"/>
      <c r="I632" s="113"/>
      <c r="J632" s="113"/>
      <c r="K632" s="72"/>
      <c r="L632" s="72"/>
      <c r="M632" s="72"/>
      <c r="N632" s="72"/>
      <c r="O632" s="72"/>
      <c r="P632" s="72"/>
      <c r="Q632" s="72"/>
      <c r="R632" s="72"/>
      <c r="S632" s="72"/>
    </row>
    <row r="633" spans="1:19" ht="12.75">
      <c r="A633" s="100"/>
      <c r="B633" s="101"/>
      <c r="C633" s="101"/>
      <c r="D633" s="101"/>
      <c r="E633" s="101"/>
      <c r="F633" s="101"/>
      <c r="G633" s="101"/>
      <c r="H633" s="101"/>
      <c r="I633" s="113"/>
      <c r="J633" s="113"/>
      <c r="K633" s="72"/>
      <c r="L633" s="72"/>
      <c r="M633" s="72"/>
      <c r="N633" s="72"/>
      <c r="O633" s="72"/>
      <c r="P633" s="72"/>
      <c r="Q633" s="72"/>
      <c r="R633" s="72"/>
      <c r="S633" s="72"/>
    </row>
    <row r="634" spans="1:19" ht="12.75">
      <c r="A634" s="100"/>
      <c r="B634" s="101"/>
      <c r="C634" s="101"/>
      <c r="D634" s="101"/>
      <c r="E634" s="101"/>
      <c r="F634" s="101"/>
      <c r="G634" s="101"/>
      <c r="H634" s="101"/>
      <c r="I634" s="113"/>
      <c r="J634" s="113"/>
      <c r="K634" s="72"/>
      <c r="L634" s="72"/>
      <c r="M634" s="72"/>
      <c r="N634" s="72"/>
      <c r="O634" s="72"/>
      <c r="P634" s="72"/>
      <c r="Q634" s="72"/>
      <c r="R634" s="72"/>
      <c r="S634" s="72"/>
    </row>
    <row r="635" spans="1:19" ht="12.75">
      <c r="A635" s="100"/>
      <c r="B635" s="101"/>
      <c r="C635" s="101"/>
      <c r="D635" s="101"/>
      <c r="E635" s="101"/>
      <c r="F635" s="101"/>
      <c r="G635" s="101"/>
      <c r="H635" s="101"/>
      <c r="I635" s="113"/>
      <c r="J635" s="113"/>
      <c r="K635" s="72"/>
      <c r="L635" s="72"/>
      <c r="M635" s="72"/>
      <c r="N635" s="72"/>
      <c r="O635" s="72"/>
      <c r="P635" s="72"/>
      <c r="Q635" s="72"/>
      <c r="R635" s="72"/>
      <c r="S635" s="72"/>
    </row>
    <row r="636" spans="1:19" ht="12.75">
      <c r="A636" s="100"/>
      <c r="B636" s="101"/>
      <c r="C636" s="101"/>
      <c r="D636" s="101"/>
      <c r="E636" s="101"/>
      <c r="F636" s="101"/>
      <c r="G636" s="101"/>
      <c r="H636" s="101"/>
      <c r="I636" s="113"/>
      <c r="J636" s="113"/>
      <c r="K636" s="72"/>
      <c r="L636" s="72"/>
      <c r="M636" s="72"/>
      <c r="N636" s="72"/>
      <c r="O636" s="72"/>
      <c r="P636" s="72"/>
      <c r="Q636" s="72"/>
      <c r="R636" s="72"/>
      <c r="S636" s="72"/>
    </row>
    <row r="637" spans="1:19" ht="12.75">
      <c r="A637" s="100"/>
      <c r="B637" s="101"/>
      <c r="C637" s="101"/>
      <c r="D637" s="101"/>
      <c r="E637" s="101"/>
      <c r="F637" s="101"/>
      <c r="G637" s="101"/>
      <c r="H637" s="101"/>
      <c r="I637" s="113"/>
      <c r="J637" s="113"/>
      <c r="K637" s="72"/>
      <c r="L637" s="72"/>
      <c r="M637" s="72"/>
      <c r="N637" s="72"/>
      <c r="O637" s="72"/>
      <c r="P637" s="72"/>
      <c r="Q637" s="72"/>
      <c r="R637" s="72"/>
      <c r="S637" s="72"/>
    </row>
    <row r="638" spans="1:19" ht="12.75">
      <c r="A638" s="100"/>
      <c r="B638" s="101"/>
      <c r="C638" s="101"/>
      <c r="D638" s="101"/>
      <c r="E638" s="101"/>
      <c r="F638" s="101"/>
      <c r="G638" s="101"/>
      <c r="H638" s="101"/>
      <c r="I638" s="113"/>
      <c r="J638" s="113"/>
      <c r="K638" s="72"/>
      <c r="L638" s="72"/>
      <c r="M638" s="72"/>
      <c r="N638" s="72"/>
      <c r="O638" s="72"/>
      <c r="P638" s="72"/>
      <c r="Q638" s="72"/>
      <c r="R638" s="72"/>
      <c r="S638" s="72"/>
    </row>
    <row r="639" spans="1:19" ht="12.75">
      <c r="A639" s="100"/>
      <c r="B639" s="101"/>
      <c r="C639" s="101"/>
      <c r="D639" s="101"/>
      <c r="E639" s="101"/>
      <c r="F639" s="101"/>
      <c r="G639" s="101"/>
      <c r="H639" s="101"/>
      <c r="I639" s="113"/>
      <c r="J639" s="113"/>
      <c r="K639" s="72"/>
      <c r="L639" s="72"/>
      <c r="M639" s="72"/>
      <c r="N639" s="72"/>
      <c r="O639" s="72"/>
      <c r="P639" s="72"/>
      <c r="Q639" s="72"/>
      <c r="R639" s="72"/>
      <c r="S639" s="72"/>
    </row>
    <row r="640" spans="1:19" ht="12.75">
      <c r="A640" s="100"/>
      <c r="B640" s="101"/>
      <c r="C640" s="101"/>
      <c r="D640" s="101"/>
      <c r="E640" s="101"/>
      <c r="F640" s="101"/>
      <c r="G640" s="101"/>
      <c r="H640" s="101"/>
      <c r="I640" s="113"/>
      <c r="J640" s="113"/>
      <c r="K640" s="72"/>
      <c r="L640" s="72"/>
      <c r="M640" s="72"/>
      <c r="N640" s="72"/>
      <c r="O640" s="72"/>
      <c r="P640" s="72"/>
      <c r="Q640" s="72"/>
      <c r="R640" s="72"/>
      <c r="S640" s="72"/>
    </row>
    <row r="641" spans="1:19" ht="12.75">
      <c r="A641" s="100"/>
      <c r="B641" s="101"/>
      <c r="C641" s="101"/>
      <c r="D641" s="101"/>
      <c r="E641" s="101"/>
      <c r="F641" s="101"/>
      <c r="G641" s="101"/>
      <c r="H641" s="101"/>
      <c r="I641" s="113"/>
      <c r="J641" s="113"/>
      <c r="K641" s="72"/>
      <c r="L641" s="72"/>
      <c r="M641" s="72"/>
      <c r="N641" s="72"/>
      <c r="O641" s="72"/>
      <c r="P641" s="72"/>
      <c r="Q641" s="72"/>
      <c r="R641" s="72"/>
      <c r="S641" s="72"/>
    </row>
    <row r="642" spans="1:19" ht="12.75">
      <c r="A642" s="100"/>
      <c r="B642" s="101"/>
      <c r="C642" s="101"/>
      <c r="D642" s="101"/>
      <c r="E642" s="101"/>
      <c r="F642" s="101"/>
      <c r="G642" s="101"/>
      <c r="H642" s="101"/>
      <c r="I642" s="113"/>
      <c r="J642" s="113"/>
      <c r="K642" s="72"/>
      <c r="L642" s="72"/>
      <c r="M642" s="72"/>
      <c r="N642" s="72"/>
      <c r="O642" s="72"/>
      <c r="P642" s="72"/>
      <c r="Q642" s="72"/>
      <c r="R642" s="72"/>
      <c r="S642" s="72"/>
    </row>
    <row r="643" spans="1:19" ht="12.75">
      <c r="A643" s="100"/>
      <c r="B643" s="101"/>
      <c r="C643" s="101"/>
      <c r="D643" s="101"/>
      <c r="E643" s="101"/>
      <c r="F643" s="101"/>
      <c r="G643" s="101"/>
      <c r="H643" s="101"/>
      <c r="I643" s="113"/>
      <c r="J643" s="113"/>
      <c r="K643" s="72"/>
      <c r="L643" s="72"/>
      <c r="M643" s="72"/>
      <c r="N643" s="72"/>
      <c r="O643" s="72"/>
      <c r="P643" s="72"/>
      <c r="Q643" s="72"/>
      <c r="R643" s="72"/>
      <c r="S643" s="72"/>
    </row>
    <row r="644" spans="1:19" ht="12.75">
      <c r="A644" s="100"/>
      <c r="B644" s="101"/>
      <c r="C644" s="101"/>
      <c r="D644" s="101"/>
      <c r="E644" s="101"/>
      <c r="F644" s="101"/>
      <c r="G644" s="101"/>
      <c r="H644" s="101"/>
      <c r="I644" s="113"/>
      <c r="J644" s="113"/>
      <c r="K644" s="72"/>
      <c r="L644" s="72"/>
      <c r="M644" s="72"/>
      <c r="N644" s="72"/>
      <c r="O644" s="72"/>
      <c r="P644" s="72"/>
      <c r="Q644" s="72"/>
      <c r="R644" s="72"/>
      <c r="S644" s="72"/>
    </row>
    <row r="645" spans="1:19" ht="12.75">
      <c r="A645" s="100"/>
      <c r="B645" s="101"/>
      <c r="C645" s="101"/>
      <c r="D645" s="101"/>
      <c r="E645" s="101"/>
      <c r="F645" s="101"/>
      <c r="G645" s="101"/>
      <c r="H645" s="101"/>
      <c r="I645" s="113"/>
      <c r="J645" s="113"/>
      <c r="K645" s="72"/>
      <c r="L645" s="72"/>
      <c r="M645" s="72"/>
      <c r="N645" s="72"/>
      <c r="O645" s="72"/>
      <c r="P645" s="72"/>
      <c r="Q645" s="72"/>
      <c r="R645" s="72"/>
      <c r="S645" s="72"/>
    </row>
    <row r="646" spans="1:19" ht="12.75">
      <c r="A646" s="100"/>
      <c r="B646" s="101"/>
      <c r="C646" s="101"/>
      <c r="D646" s="101"/>
      <c r="E646" s="101"/>
      <c r="F646" s="101"/>
      <c r="G646" s="101"/>
      <c r="H646" s="101"/>
      <c r="I646" s="113"/>
      <c r="J646" s="113"/>
      <c r="K646" s="72"/>
      <c r="L646" s="72"/>
      <c r="M646" s="72"/>
      <c r="N646" s="72"/>
      <c r="O646" s="72"/>
      <c r="P646" s="72"/>
      <c r="Q646" s="72"/>
      <c r="R646" s="72"/>
      <c r="S646" s="72"/>
    </row>
    <row r="647" spans="1:19" ht="12.75">
      <c r="A647" s="100"/>
      <c r="B647" s="101"/>
      <c r="C647" s="101"/>
      <c r="D647" s="101"/>
      <c r="E647" s="101"/>
      <c r="F647" s="101"/>
      <c r="G647" s="101"/>
      <c r="H647" s="101"/>
      <c r="I647" s="113"/>
      <c r="J647" s="113"/>
      <c r="K647" s="72"/>
      <c r="L647" s="72"/>
      <c r="M647" s="72"/>
      <c r="N647" s="72"/>
      <c r="O647" s="72"/>
      <c r="P647" s="72"/>
      <c r="Q647" s="72"/>
      <c r="R647" s="72"/>
      <c r="S647" s="72"/>
    </row>
    <row r="648" spans="1:19" ht="12.75">
      <c r="A648" s="100"/>
      <c r="B648" s="101"/>
      <c r="C648" s="101"/>
      <c r="D648" s="101"/>
      <c r="E648" s="101"/>
      <c r="F648" s="101"/>
      <c r="G648" s="101"/>
      <c r="H648" s="101"/>
      <c r="I648" s="113"/>
      <c r="J648" s="113"/>
      <c r="K648" s="72"/>
      <c r="L648" s="72"/>
      <c r="M648" s="72"/>
      <c r="N648" s="72"/>
      <c r="O648" s="72"/>
      <c r="P648" s="72"/>
      <c r="Q648" s="72"/>
      <c r="R648" s="72"/>
      <c r="S648" s="72"/>
    </row>
    <row r="649" spans="1:19" ht="12.75">
      <c r="A649" s="100"/>
      <c r="B649" s="101"/>
      <c r="C649" s="101"/>
      <c r="D649" s="101"/>
      <c r="E649" s="101"/>
      <c r="F649" s="101"/>
      <c r="G649" s="101"/>
      <c r="H649" s="101"/>
      <c r="I649" s="113"/>
      <c r="J649" s="113"/>
      <c r="K649" s="72"/>
      <c r="L649" s="72"/>
      <c r="M649" s="72"/>
      <c r="N649" s="72"/>
      <c r="O649" s="72"/>
      <c r="P649" s="72"/>
      <c r="Q649" s="72"/>
      <c r="R649" s="72"/>
      <c r="S649" s="72"/>
    </row>
    <row r="650" spans="1:19" ht="12.75">
      <c r="A650" s="100"/>
      <c r="B650" s="101"/>
      <c r="C650" s="101"/>
      <c r="D650" s="101"/>
      <c r="E650" s="101"/>
      <c r="F650" s="101"/>
      <c r="G650" s="101"/>
      <c r="H650" s="101"/>
      <c r="I650" s="113"/>
      <c r="J650" s="113"/>
      <c r="K650" s="72"/>
      <c r="L650" s="72"/>
      <c r="M650" s="72"/>
      <c r="N650" s="72"/>
      <c r="O650" s="72"/>
      <c r="P650" s="72"/>
      <c r="Q650" s="72"/>
      <c r="R650" s="72"/>
      <c r="S650" s="72"/>
    </row>
    <row r="651" spans="1:19" ht="12.75">
      <c r="A651" s="100"/>
      <c r="B651" s="101"/>
      <c r="C651" s="101"/>
      <c r="D651" s="101"/>
      <c r="E651" s="101"/>
      <c r="F651" s="101"/>
      <c r="G651" s="101"/>
      <c r="H651" s="101"/>
      <c r="I651" s="113"/>
      <c r="J651" s="113"/>
      <c r="K651" s="72"/>
      <c r="L651" s="72"/>
      <c r="M651" s="72"/>
      <c r="N651" s="72"/>
      <c r="O651" s="72"/>
      <c r="P651" s="72"/>
      <c r="Q651" s="72"/>
      <c r="R651" s="72"/>
      <c r="S651" s="72"/>
    </row>
    <row r="652" spans="1:19" ht="12.75">
      <c r="A652" s="100"/>
      <c r="B652" s="101"/>
      <c r="C652" s="101"/>
      <c r="D652" s="101"/>
      <c r="E652" s="101"/>
      <c r="F652" s="101"/>
      <c r="G652" s="101"/>
      <c r="H652" s="101"/>
      <c r="I652" s="113"/>
      <c r="J652" s="113"/>
      <c r="K652" s="72"/>
      <c r="L652" s="72"/>
      <c r="M652" s="72"/>
      <c r="N652" s="72"/>
      <c r="O652" s="72"/>
      <c r="P652" s="72"/>
      <c r="Q652" s="72"/>
      <c r="R652" s="72"/>
      <c r="S652" s="72"/>
    </row>
    <row r="653" spans="1:19" ht="12.75">
      <c r="A653" s="100"/>
      <c r="B653" s="101"/>
      <c r="C653" s="101"/>
      <c r="D653" s="101"/>
      <c r="E653" s="101"/>
      <c r="F653" s="101"/>
      <c r="G653" s="101"/>
      <c r="H653" s="101"/>
      <c r="I653" s="113"/>
      <c r="J653" s="113"/>
      <c r="K653" s="72"/>
      <c r="L653" s="72"/>
      <c r="M653" s="72"/>
      <c r="N653" s="72"/>
      <c r="O653" s="72"/>
      <c r="P653" s="72"/>
      <c r="Q653" s="72"/>
      <c r="R653" s="72"/>
      <c r="S653" s="72"/>
    </row>
    <row r="654" spans="1:19" ht="12.75">
      <c r="A654" s="100"/>
      <c r="B654" s="101"/>
      <c r="C654" s="101"/>
      <c r="D654" s="101"/>
      <c r="E654" s="101"/>
      <c r="F654" s="101"/>
      <c r="G654" s="101"/>
      <c r="H654" s="101"/>
      <c r="I654" s="113"/>
      <c r="J654" s="113"/>
      <c r="K654" s="72"/>
      <c r="L654" s="72"/>
      <c r="M654" s="72"/>
      <c r="N654" s="72"/>
      <c r="O654" s="72"/>
      <c r="P654" s="72"/>
      <c r="Q654" s="72"/>
      <c r="R654" s="72"/>
      <c r="S654" s="72"/>
    </row>
    <row r="655" spans="1:19" ht="12.75">
      <c r="A655" s="100"/>
      <c r="B655" s="101"/>
      <c r="C655" s="101"/>
      <c r="D655" s="101"/>
      <c r="E655" s="101"/>
      <c r="F655" s="101"/>
      <c r="G655" s="101"/>
      <c r="H655" s="101"/>
      <c r="I655" s="113"/>
      <c r="J655" s="113"/>
      <c r="K655" s="72"/>
      <c r="L655" s="72"/>
      <c r="M655" s="72"/>
      <c r="N655" s="72"/>
      <c r="O655" s="72"/>
      <c r="P655" s="72"/>
      <c r="Q655" s="72"/>
      <c r="R655" s="72"/>
      <c r="S655" s="72"/>
    </row>
    <row r="656" spans="1:19" ht="12.75">
      <c r="A656" s="100"/>
      <c r="B656" s="101"/>
      <c r="C656" s="101"/>
      <c r="D656" s="101"/>
      <c r="E656" s="101"/>
      <c r="F656" s="101"/>
      <c r="G656" s="101"/>
      <c r="H656" s="101"/>
      <c r="I656" s="113"/>
      <c r="J656" s="113"/>
      <c r="K656" s="72"/>
      <c r="L656" s="72"/>
      <c r="M656" s="72"/>
      <c r="N656" s="72"/>
      <c r="O656" s="72"/>
      <c r="P656" s="72"/>
      <c r="Q656" s="72"/>
      <c r="R656" s="72"/>
      <c r="S656" s="72"/>
    </row>
    <row r="657" spans="1:19" ht="12.75">
      <c r="A657" s="100"/>
      <c r="B657" s="101"/>
      <c r="C657" s="101"/>
      <c r="D657" s="101"/>
      <c r="E657" s="101"/>
      <c r="F657" s="101"/>
      <c r="G657" s="101"/>
      <c r="H657" s="101"/>
      <c r="I657" s="113"/>
      <c r="J657" s="113"/>
      <c r="K657" s="72"/>
      <c r="L657" s="72"/>
      <c r="M657" s="72"/>
      <c r="N657" s="72"/>
      <c r="O657" s="72"/>
      <c r="P657" s="72"/>
      <c r="Q657" s="72"/>
      <c r="R657" s="72"/>
      <c r="S657" s="72"/>
    </row>
    <row r="658" spans="1:19" ht="12.75">
      <c r="A658" s="100"/>
      <c r="B658" s="101"/>
      <c r="C658" s="101"/>
      <c r="D658" s="101"/>
      <c r="E658" s="101"/>
      <c r="F658" s="101"/>
      <c r="G658" s="101"/>
      <c r="H658" s="101"/>
      <c r="I658" s="113"/>
      <c r="J658" s="113"/>
      <c r="K658" s="72"/>
      <c r="L658" s="72"/>
      <c r="M658" s="72"/>
      <c r="N658" s="72"/>
      <c r="O658" s="72"/>
      <c r="P658" s="72"/>
      <c r="Q658" s="72"/>
      <c r="R658" s="72"/>
      <c r="S658" s="72"/>
    </row>
    <row r="659" spans="1:19" ht="12.75">
      <c r="A659" s="100"/>
      <c r="B659" s="101"/>
      <c r="C659" s="101"/>
      <c r="D659" s="101"/>
      <c r="E659" s="101"/>
      <c r="F659" s="101"/>
      <c r="G659" s="101"/>
      <c r="H659" s="101"/>
      <c r="I659" s="113"/>
      <c r="J659" s="113"/>
      <c r="K659" s="72"/>
      <c r="L659" s="72"/>
      <c r="M659" s="72"/>
      <c r="N659" s="72"/>
      <c r="O659" s="72"/>
      <c r="P659" s="72"/>
      <c r="Q659" s="72"/>
      <c r="R659" s="72"/>
      <c r="S659" s="72"/>
    </row>
    <row r="660" spans="1:19" ht="12.75">
      <c r="A660" s="100"/>
      <c r="B660" s="101"/>
      <c r="C660" s="101"/>
      <c r="D660" s="101"/>
      <c r="E660" s="101"/>
      <c r="F660" s="101"/>
      <c r="G660" s="101"/>
      <c r="H660" s="101"/>
      <c r="I660" s="113"/>
      <c r="J660" s="113"/>
      <c r="K660" s="72"/>
      <c r="L660" s="72"/>
      <c r="M660" s="72"/>
      <c r="N660" s="72"/>
      <c r="O660" s="72"/>
      <c r="P660" s="72"/>
      <c r="Q660" s="72"/>
      <c r="R660" s="72"/>
      <c r="S660" s="72"/>
    </row>
    <row r="661" spans="1:19" ht="12.75">
      <c r="A661" s="100"/>
      <c r="B661" s="101"/>
      <c r="C661" s="101"/>
      <c r="D661" s="101"/>
      <c r="E661" s="101"/>
      <c r="F661" s="101"/>
      <c r="G661" s="101"/>
      <c r="H661" s="101"/>
      <c r="I661" s="113"/>
      <c r="J661" s="113"/>
      <c r="K661" s="72"/>
      <c r="L661" s="72"/>
      <c r="M661" s="72"/>
      <c r="N661" s="72"/>
      <c r="O661" s="72"/>
      <c r="P661" s="72"/>
      <c r="Q661" s="72"/>
      <c r="R661" s="72"/>
      <c r="S661" s="72"/>
    </row>
    <row r="662" spans="1:19" ht="12.75">
      <c r="A662" s="100"/>
      <c r="B662" s="101"/>
      <c r="C662" s="101"/>
      <c r="D662" s="101"/>
      <c r="E662" s="101"/>
      <c r="F662" s="101"/>
      <c r="G662" s="101"/>
      <c r="H662" s="101"/>
      <c r="I662" s="113"/>
      <c r="J662" s="113"/>
      <c r="K662" s="72"/>
      <c r="L662" s="72"/>
      <c r="M662" s="72"/>
      <c r="N662" s="72"/>
      <c r="O662" s="72"/>
      <c r="P662" s="72"/>
      <c r="Q662" s="72"/>
      <c r="R662" s="72"/>
      <c r="S662" s="72"/>
    </row>
    <row r="663" spans="1:19" ht="12.75">
      <c r="A663" s="100"/>
      <c r="B663" s="101"/>
      <c r="C663" s="101"/>
      <c r="D663" s="101"/>
      <c r="E663" s="101"/>
      <c r="F663" s="101"/>
      <c r="G663" s="101"/>
      <c r="H663" s="101"/>
      <c r="I663" s="113"/>
      <c r="J663" s="113"/>
      <c r="K663" s="72"/>
      <c r="L663" s="72"/>
      <c r="M663" s="72"/>
      <c r="N663" s="72"/>
      <c r="O663" s="72"/>
      <c r="P663" s="72"/>
      <c r="Q663" s="72"/>
      <c r="R663" s="72"/>
      <c r="S663" s="72"/>
    </row>
    <row r="664" spans="1:19" ht="12.75">
      <c r="A664" s="100"/>
      <c r="B664" s="101"/>
      <c r="C664" s="101"/>
      <c r="D664" s="101"/>
      <c r="E664" s="101"/>
      <c r="F664" s="101"/>
      <c r="G664" s="101"/>
      <c r="H664" s="101"/>
      <c r="I664" s="113"/>
      <c r="J664" s="113"/>
      <c r="K664" s="72"/>
      <c r="L664" s="72"/>
      <c r="M664" s="72"/>
      <c r="N664" s="72"/>
      <c r="O664" s="72"/>
      <c r="P664" s="72"/>
      <c r="Q664" s="72"/>
      <c r="R664" s="72"/>
      <c r="S664" s="72"/>
    </row>
    <row r="665" spans="1:19" ht="12.75">
      <c r="A665" s="100"/>
      <c r="B665" s="101"/>
      <c r="C665" s="101"/>
      <c r="D665" s="101"/>
      <c r="E665" s="101"/>
      <c r="F665" s="101"/>
      <c r="G665" s="101"/>
      <c r="H665" s="101"/>
      <c r="I665" s="113"/>
      <c r="J665" s="113"/>
      <c r="K665" s="72"/>
      <c r="L665" s="72"/>
      <c r="M665" s="72"/>
      <c r="N665" s="72"/>
      <c r="O665" s="72"/>
      <c r="P665" s="72"/>
      <c r="Q665" s="72"/>
      <c r="R665" s="72"/>
      <c r="S665" s="72"/>
    </row>
    <row r="666" spans="1:19" ht="12.75">
      <c r="A666" s="100"/>
      <c r="B666" s="101"/>
      <c r="C666" s="101"/>
      <c r="D666" s="101"/>
      <c r="E666" s="101"/>
      <c r="F666" s="101"/>
      <c r="G666" s="101"/>
      <c r="H666" s="101"/>
      <c r="I666" s="113"/>
      <c r="J666" s="113"/>
      <c r="K666" s="72"/>
      <c r="L666" s="72"/>
      <c r="M666" s="72"/>
      <c r="N666" s="72"/>
      <c r="O666" s="72"/>
      <c r="P666" s="72"/>
      <c r="Q666" s="72"/>
      <c r="R666" s="72"/>
      <c r="S666" s="72"/>
    </row>
    <row r="667" spans="1:19" ht="12.75">
      <c r="A667" s="100"/>
      <c r="B667" s="101"/>
      <c r="C667" s="101"/>
      <c r="D667" s="101"/>
      <c r="E667" s="101"/>
      <c r="F667" s="101"/>
      <c r="G667" s="101"/>
      <c r="H667" s="101"/>
      <c r="I667" s="113"/>
      <c r="J667" s="113"/>
      <c r="K667" s="72"/>
      <c r="L667" s="72"/>
      <c r="M667" s="72"/>
      <c r="N667" s="72"/>
      <c r="O667" s="72"/>
      <c r="P667" s="72"/>
      <c r="Q667" s="72"/>
      <c r="R667" s="72"/>
      <c r="S667" s="72"/>
    </row>
    <row r="668" spans="1:19" ht="12.75">
      <c r="A668" s="100"/>
      <c r="B668" s="101"/>
      <c r="C668" s="101"/>
      <c r="D668" s="101"/>
      <c r="E668" s="101"/>
      <c r="F668" s="101"/>
      <c r="G668" s="101"/>
      <c r="H668" s="101"/>
      <c r="I668" s="113"/>
      <c r="J668" s="113"/>
      <c r="K668" s="72"/>
      <c r="L668" s="72"/>
      <c r="M668" s="72"/>
      <c r="N668" s="72"/>
      <c r="O668" s="72"/>
      <c r="P668" s="72"/>
      <c r="Q668" s="72"/>
      <c r="R668" s="72"/>
      <c r="S668" s="72"/>
    </row>
    <row r="669" spans="1:19" ht="12.75">
      <c r="A669" s="100"/>
      <c r="B669" s="101"/>
      <c r="C669" s="101"/>
      <c r="D669" s="101"/>
      <c r="E669" s="101"/>
      <c r="F669" s="101"/>
      <c r="G669" s="101"/>
      <c r="H669" s="101"/>
      <c r="I669" s="113"/>
      <c r="J669" s="113"/>
      <c r="K669" s="72"/>
      <c r="L669" s="72"/>
      <c r="M669" s="72"/>
      <c r="N669" s="72"/>
      <c r="O669" s="72"/>
      <c r="P669" s="72"/>
      <c r="Q669" s="72"/>
      <c r="R669" s="72"/>
      <c r="S669" s="72"/>
    </row>
    <row r="670" spans="1:19" ht="12.75">
      <c r="A670" s="100"/>
      <c r="B670" s="101"/>
      <c r="C670" s="101"/>
      <c r="D670" s="101"/>
      <c r="E670" s="101"/>
      <c r="F670" s="101"/>
      <c r="G670" s="101"/>
      <c r="H670" s="101"/>
      <c r="I670" s="113"/>
      <c r="J670" s="113"/>
      <c r="K670" s="72"/>
      <c r="L670" s="72"/>
      <c r="M670" s="72"/>
      <c r="N670" s="72"/>
      <c r="O670" s="72"/>
      <c r="P670" s="72"/>
      <c r="Q670" s="72"/>
      <c r="R670" s="72"/>
      <c r="S670" s="72"/>
    </row>
    <row r="671" spans="1:19" ht="12.75">
      <c r="A671" s="100"/>
      <c r="B671" s="101"/>
      <c r="C671" s="101"/>
      <c r="D671" s="101"/>
      <c r="E671" s="101"/>
      <c r="F671" s="101"/>
      <c r="G671" s="101"/>
      <c r="H671" s="101"/>
      <c r="I671" s="113"/>
      <c r="J671" s="113"/>
      <c r="K671" s="72"/>
      <c r="L671" s="72"/>
      <c r="M671" s="72"/>
      <c r="N671" s="72"/>
      <c r="O671" s="72"/>
      <c r="P671" s="72"/>
      <c r="Q671" s="72"/>
      <c r="R671" s="72"/>
      <c r="S671" s="72"/>
    </row>
    <row r="672" spans="1:19" ht="12.75">
      <c r="A672" s="100"/>
      <c r="B672" s="101"/>
      <c r="C672" s="101"/>
      <c r="D672" s="101"/>
      <c r="E672" s="101"/>
      <c r="F672" s="101"/>
      <c r="G672" s="101"/>
      <c r="H672" s="101"/>
      <c r="I672" s="113"/>
      <c r="J672" s="113"/>
      <c r="K672" s="72"/>
      <c r="L672" s="72"/>
      <c r="M672" s="72"/>
      <c r="N672" s="72"/>
      <c r="O672" s="72"/>
      <c r="P672" s="72"/>
      <c r="Q672" s="72"/>
      <c r="R672" s="72"/>
      <c r="S672" s="72"/>
    </row>
    <row r="673" spans="1:19" ht="12.75">
      <c r="A673" s="100"/>
      <c r="B673" s="101"/>
      <c r="C673" s="101"/>
      <c r="D673" s="101"/>
      <c r="E673" s="101"/>
      <c r="F673" s="101"/>
      <c r="G673" s="101"/>
      <c r="H673" s="101"/>
      <c r="I673" s="113"/>
      <c r="J673" s="113"/>
      <c r="K673" s="72"/>
      <c r="L673" s="72"/>
      <c r="M673" s="72"/>
      <c r="N673" s="72"/>
      <c r="O673" s="72"/>
      <c r="P673" s="72"/>
      <c r="Q673" s="72"/>
      <c r="R673" s="72"/>
      <c r="S673" s="72"/>
    </row>
    <row r="674" spans="1:19" ht="12.75">
      <c r="A674" s="100"/>
      <c r="B674" s="101"/>
      <c r="C674" s="101"/>
      <c r="D674" s="101"/>
      <c r="E674" s="101"/>
      <c r="F674" s="101"/>
      <c r="G674" s="101"/>
      <c r="H674" s="101"/>
      <c r="I674" s="113"/>
      <c r="J674" s="113"/>
      <c r="K674" s="72"/>
      <c r="L674" s="72"/>
      <c r="M674" s="72"/>
      <c r="N674" s="72"/>
      <c r="O674" s="72"/>
      <c r="P674" s="72"/>
      <c r="Q674" s="72"/>
      <c r="R674" s="72"/>
      <c r="S674" s="72"/>
    </row>
    <row r="675" spans="1:19" ht="12.75">
      <c r="A675" s="100"/>
      <c r="B675" s="101"/>
      <c r="C675" s="101"/>
      <c r="D675" s="101"/>
      <c r="E675" s="101"/>
      <c r="F675" s="101"/>
      <c r="G675" s="101"/>
      <c r="H675" s="101"/>
      <c r="I675" s="113"/>
      <c r="J675" s="113"/>
      <c r="K675" s="72"/>
      <c r="L675" s="72"/>
      <c r="M675" s="72"/>
      <c r="N675" s="72"/>
      <c r="O675" s="72"/>
      <c r="P675" s="72"/>
      <c r="Q675" s="72"/>
      <c r="R675" s="72"/>
      <c r="S675" s="72"/>
    </row>
    <row r="676" spans="1:19" ht="12.75">
      <c r="A676" s="100"/>
      <c r="B676" s="101"/>
      <c r="C676" s="101"/>
      <c r="D676" s="101"/>
      <c r="E676" s="101"/>
      <c r="F676" s="101"/>
      <c r="G676" s="101"/>
      <c r="H676" s="101"/>
      <c r="I676" s="113"/>
      <c r="J676" s="113"/>
      <c r="K676" s="72"/>
      <c r="L676" s="72"/>
      <c r="M676" s="72"/>
      <c r="N676" s="72"/>
      <c r="O676" s="72"/>
      <c r="P676" s="72"/>
      <c r="Q676" s="72"/>
      <c r="R676" s="72"/>
      <c r="S676" s="72"/>
    </row>
    <row r="677" spans="1:19" ht="12.75">
      <c r="A677" s="100"/>
      <c r="B677" s="101"/>
      <c r="C677" s="101"/>
      <c r="D677" s="101"/>
      <c r="E677" s="101"/>
      <c r="F677" s="101"/>
      <c r="G677" s="101"/>
      <c r="H677" s="101"/>
      <c r="I677" s="113"/>
      <c r="J677" s="113"/>
      <c r="K677" s="72"/>
      <c r="L677" s="72"/>
      <c r="M677" s="72"/>
      <c r="N677" s="72"/>
      <c r="O677" s="72"/>
      <c r="P677" s="72"/>
      <c r="Q677" s="72"/>
      <c r="R677" s="72"/>
      <c r="S677" s="72"/>
    </row>
    <row r="678" spans="1:19" ht="12.75">
      <c r="A678" s="100"/>
      <c r="B678" s="101"/>
      <c r="C678" s="101"/>
      <c r="D678" s="101"/>
      <c r="E678" s="101"/>
      <c r="F678" s="101"/>
      <c r="G678" s="101"/>
      <c r="H678" s="101"/>
      <c r="I678" s="113"/>
      <c r="J678" s="113"/>
      <c r="K678" s="72"/>
      <c r="L678" s="72"/>
      <c r="M678" s="72"/>
      <c r="N678" s="72"/>
      <c r="O678" s="72"/>
      <c r="P678" s="72"/>
      <c r="Q678" s="72"/>
      <c r="R678" s="72"/>
      <c r="S678" s="72"/>
    </row>
    <row r="679" spans="1:19" ht="12.75">
      <c r="A679" s="100"/>
      <c r="B679" s="101"/>
      <c r="C679" s="101"/>
      <c r="D679" s="101"/>
      <c r="E679" s="101"/>
      <c r="F679" s="101"/>
      <c r="G679" s="101"/>
      <c r="H679" s="101"/>
      <c r="I679" s="113"/>
      <c r="J679" s="113"/>
      <c r="K679" s="72"/>
      <c r="L679" s="72"/>
      <c r="M679" s="72"/>
      <c r="N679" s="72"/>
      <c r="O679" s="72"/>
      <c r="P679" s="72"/>
      <c r="Q679" s="72"/>
      <c r="R679" s="72"/>
      <c r="S679" s="72"/>
    </row>
    <row r="680" spans="1:19" ht="12.75">
      <c r="A680" s="100"/>
      <c r="B680" s="101"/>
      <c r="C680" s="101"/>
      <c r="D680" s="101"/>
      <c r="E680" s="101"/>
      <c r="F680" s="101"/>
      <c r="G680" s="101"/>
      <c r="H680" s="101"/>
      <c r="I680" s="113"/>
      <c r="J680" s="113"/>
      <c r="K680" s="72"/>
      <c r="L680" s="72"/>
      <c r="M680" s="72"/>
      <c r="N680" s="72"/>
      <c r="O680" s="72"/>
      <c r="P680" s="72"/>
      <c r="Q680" s="72"/>
      <c r="R680" s="72"/>
      <c r="S680" s="72"/>
    </row>
    <row r="681" spans="1:19" ht="12.75">
      <c r="A681" s="100"/>
      <c r="B681" s="101"/>
      <c r="C681" s="101"/>
      <c r="D681" s="101"/>
      <c r="E681" s="101"/>
      <c r="F681" s="101"/>
      <c r="G681" s="101"/>
      <c r="H681" s="101"/>
      <c r="I681" s="113"/>
      <c r="J681" s="113"/>
      <c r="K681" s="72"/>
      <c r="L681" s="72"/>
      <c r="M681" s="72"/>
      <c r="N681" s="72"/>
      <c r="O681" s="72"/>
      <c r="P681" s="72"/>
      <c r="Q681" s="72"/>
      <c r="R681" s="72"/>
      <c r="S681" s="72"/>
    </row>
    <row r="682" spans="1:19" ht="12.75">
      <c r="A682" s="100"/>
      <c r="B682" s="101"/>
      <c r="C682" s="101"/>
      <c r="D682" s="101"/>
      <c r="E682" s="101"/>
      <c r="F682" s="101"/>
      <c r="G682" s="101"/>
      <c r="H682" s="101"/>
      <c r="I682" s="113"/>
      <c r="J682" s="113"/>
      <c r="K682" s="72"/>
      <c r="L682" s="72"/>
      <c r="M682" s="72"/>
      <c r="N682" s="72"/>
      <c r="O682" s="72"/>
      <c r="P682" s="72"/>
      <c r="Q682" s="72"/>
      <c r="R682" s="72"/>
      <c r="S682" s="72"/>
    </row>
    <row r="683" spans="1:19" ht="12.75">
      <c r="A683" s="100"/>
      <c r="B683" s="101"/>
      <c r="C683" s="101"/>
      <c r="D683" s="101"/>
      <c r="E683" s="101"/>
      <c r="F683" s="101"/>
      <c r="G683" s="101"/>
      <c r="H683" s="101"/>
      <c r="I683" s="113"/>
      <c r="J683" s="113"/>
      <c r="K683" s="72"/>
      <c r="L683" s="72"/>
      <c r="M683" s="72"/>
      <c r="N683" s="72"/>
      <c r="O683" s="72"/>
      <c r="P683" s="72"/>
      <c r="Q683" s="72"/>
      <c r="R683" s="72"/>
      <c r="S683" s="72"/>
    </row>
    <row r="684" spans="1:19" ht="12.75">
      <c r="A684" s="100"/>
      <c r="B684" s="101"/>
      <c r="C684" s="101"/>
      <c r="D684" s="101"/>
      <c r="E684" s="101"/>
      <c r="F684" s="101"/>
      <c r="G684" s="101"/>
      <c r="H684" s="101"/>
      <c r="I684" s="113"/>
      <c r="J684" s="113"/>
      <c r="K684" s="72"/>
      <c r="L684" s="72"/>
      <c r="M684" s="72"/>
      <c r="N684" s="72"/>
      <c r="O684" s="72"/>
      <c r="P684" s="72"/>
      <c r="Q684" s="72"/>
      <c r="R684" s="72"/>
      <c r="S684" s="72"/>
    </row>
    <row r="685" spans="1:19" ht="12.75">
      <c r="A685" s="100"/>
      <c r="B685" s="101"/>
      <c r="C685" s="101"/>
      <c r="D685" s="101"/>
      <c r="E685" s="101"/>
      <c r="F685" s="101"/>
      <c r="G685" s="101"/>
      <c r="H685" s="101"/>
      <c r="I685" s="113"/>
      <c r="J685" s="113"/>
      <c r="K685" s="72"/>
      <c r="L685" s="72"/>
      <c r="M685" s="72"/>
      <c r="N685" s="72"/>
      <c r="O685" s="72"/>
      <c r="P685" s="72"/>
      <c r="Q685" s="72"/>
      <c r="R685" s="72"/>
      <c r="S685" s="72"/>
    </row>
    <row r="686" spans="1:19" ht="12.75">
      <c r="A686" s="100"/>
      <c r="B686" s="101"/>
      <c r="C686" s="101"/>
      <c r="D686" s="101"/>
      <c r="E686" s="101"/>
      <c r="F686" s="101"/>
      <c r="G686" s="101"/>
      <c r="H686" s="101"/>
      <c r="I686" s="113"/>
      <c r="J686" s="113"/>
      <c r="K686" s="72"/>
      <c r="L686" s="72"/>
      <c r="M686" s="72"/>
      <c r="N686" s="72"/>
      <c r="O686" s="72"/>
      <c r="P686" s="72"/>
      <c r="Q686" s="72"/>
      <c r="R686" s="72"/>
      <c r="S686" s="72"/>
    </row>
    <row r="687" spans="1:19" ht="12.75">
      <c r="A687" s="100"/>
      <c r="B687" s="101"/>
      <c r="C687" s="101"/>
      <c r="D687" s="101"/>
      <c r="E687" s="101"/>
      <c r="F687" s="101"/>
      <c r="G687" s="101"/>
      <c r="H687" s="101"/>
      <c r="I687" s="113"/>
      <c r="J687" s="113"/>
      <c r="K687" s="72"/>
      <c r="L687" s="72"/>
      <c r="M687" s="72"/>
      <c r="N687" s="72"/>
      <c r="O687" s="72"/>
      <c r="P687" s="72"/>
      <c r="Q687" s="72"/>
      <c r="R687" s="72"/>
      <c r="S687" s="72"/>
    </row>
    <row r="688" spans="1:19" ht="12.75">
      <c r="A688" s="100"/>
      <c r="B688" s="101"/>
      <c r="C688" s="101"/>
      <c r="D688" s="101"/>
      <c r="E688" s="101"/>
      <c r="F688" s="101"/>
      <c r="G688" s="101"/>
      <c r="H688" s="101"/>
      <c r="I688" s="113"/>
      <c r="J688" s="113"/>
      <c r="K688" s="72"/>
      <c r="L688" s="72"/>
      <c r="M688" s="72"/>
      <c r="N688" s="72"/>
      <c r="O688" s="72"/>
      <c r="P688" s="72"/>
      <c r="Q688" s="72"/>
      <c r="R688" s="72"/>
      <c r="S688" s="72"/>
    </row>
    <row r="689" spans="1:19" ht="12.75">
      <c r="A689" s="100"/>
      <c r="B689" s="101"/>
      <c r="C689" s="101"/>
      <c r="D689" s="101"/>
      <c r="E689" s="101"/>
      <c r="F689" s="101"/>
      <c r="G689" s="101"/>
      <c r="H689" s="101"/>
      <c r="I689" s="113"/>
      <c r="J689" s="113"/>
      <c r="K689" s="72"/>
      <c r="L689" s="72"/>
      <c r="M689" s="72"/>
      <c r="N689" s="72"/>
      <c r="O689" s="72"/>
      <c r="P689" s="72"/>
      <c r="Q689" s="72"/>
      <c r="R689" s="72"/>
      <c r="S689" s="72"/>
    </row>
    <row r="690" spans="1:19" ht="12.75">
      <c r="A690" s="100"/>
      <c r="B690" s="101"/>
      <c r="C690" s="101"/>
      <c r="D690" s="101"/>
      <c r="E690" s="101"/>
      <c r="F690" s="101"/>
      <c r="G690" s="101"/>
      <c r="H690" s="101"/>
      <c r="I690" s="113"/>
      <c r="J690" s="113"/>
      <c r="K690" s="72"/>
      <c r="L690" s="72"/>
      <c r="M690" s="72"/>
      <c r="N690" s="72"/>
      <c r="O690" s="72"/>
      <c r="P690" s="72"/>
      <c r="Q690" s="72"/>
      <c r="R690" s="72"/>
      <c r="S690" s="72"/>
    </row>
    <row r="691" spans="1:19" ht="12.75">
      <c r="A691" s="100"/>
      <c r="B691" s="101"/>
      <c r="C691" s="101"/>
      <c r="D691" s="101"/>
      <c r="E691" s="101"/>
      <c r="F691" s="101"/>
      <c r="G691" s="101"/>
      <c r="H691" s="101"/>
      <c r="I691" s="113"/>
      <c r="J691" s="113"/>
      <c r="K691" s="72"/>
      <c r="L691" s="72"/>
      <c r="M691" s="72"/>
      <c r="N691" s="72"/>
      <c r="O691" s="72"/>
      <c r="P691" s="72"/>
      <c r="Q691" s="72"/>
      <c r="R691" s="72"/>
      <c r="S691" s="72"/>
    </row>
    <row r="692" spans="1:19" ht="12.75">
      <c r="A692" s="100"/>
      <c r="B692" s="101"/>
      <c r="C692" s="101"/>
      <c r="D692" s="101"/>
      <c r="E692" s="101"/>
      <c r="F692" s="101"/>
      <c r="G692" s="101"/>
      <c r="H692" s="101"/>
      <c r="I692" s="113"/>
      <c r="J692" s="113"/>
      <c r="K692" s="72"/>
      <c r="L692" s="72"/>
      <c r="M692" s="72"/>
      <c r="N692" s="72"/>
      <c r="O692" s="72"/>
      <c r="P692" s="72"/>
      <c r="Q692" s="72"/>
      <c r="R692" s="72"/>
      <c r="S692" s="72"/>
    </row>
    <row r="693" spans="1:19" ht="12.75">
      <c r="A693" s="100"/>
      <c r="B693" s="101"/>
      <c r="C693" s="101"/>
      <c r="D693" s="101"/>
      <c r="E693" s="101"/>
      <c r="F693" s="101"/>
      <c r="G693" s="101"/>
      <c r="H693" s="101"/>
      <c r="I693" s="113"/>
      <c r="J693" s="113"/>
      <c r="K693" s="72"/>
      <c r="L693" s="72"/>
      <c r="M693" s="72"/>
      <c r="N693" s="72"/>
      <c r="O693" s="72"/>
      <c r="P693" s="72"/>
      <c r="Q693" s="72"/>
      <c r="R693" s="72"/>
      <c r="S693" s="72"/>
    </row>
    <row r="694" spans="1:19" ht="12.75">
      <c r="A694" s="100"/>
      <c r="B694" s="101"/>
      <c r="C694" s="101"/>
      <c r="D694" s="101"/>
      <c r="E694" s="101"/>
      <c r="F694" s="101"/>
      <c r="G694" s="101"/>
      <c r="H694" s="101"/>
      <c r="I694" s="113"/>
      <c r="J694" s="113"/>
      <c r="K694" s="72"/>
      <c r="L694" s="72"/>
      <c r="M694" s="72"/>
      <c r="N694" s="72"/>
      <c r="O694" s="72"/>
      <c r="P694" s="72"/>
      <c r="Q694" s="72"/>
      <c r="R694" s="72"/>
      <c r="S694" s="72"/>
    </row>
    <row r="695" spans="1:19" ht="12.75">
      <c r="A695" s="100"/>
      <c r="B695" s="101"/>
      <c r="C695" s="101"/>
      <c r="D695" s="101"/>
      <c r="E695" s="101"/>
      <c r="F695" s="101"/>
      <c r="G695" s="101"/>
      <c r="H695" s="101"/>
      <c r="I695" s="113"/>
      <c r="J695" s="113"/>
      <c r="K695" s="72"/>
      <c r="L695" s="72"/>
      <c r="M695" s="72"/>
      <c r="N695" s="72"/>
      <c r="O695" s="72"/>
      <c r="P695" s="72"/>
      <c r="Q695" s="72"/>
      <c r="R695" s="72"/>
      <c r="S695" s="72"/>
    </row>
    <row r="696" spans="1:19" ht="12.75">
      <c r="A696" s="100"/>
      <c r="B696" s="101"/>
      <c r="C696" s="101"/>
      <c r="D696" s="101"/>
      <c r="E696" s="101"/>
      <c r="F696" s="101"/>
      <c r="G696" s="101"/>
      <c r="H696" s="101"/>
      <c r="I696" s="113"/>
      <c r="J696" s="113"/>
      <c r="K696" s="72"/>
      <c r="L696" s="72"/>
      <c r="M696" s="72"/>
      <c r="N696" s="72"/>
      <c r="O696" s="72"/>
      <c r="P696" s="72"/>
      <c r="Q696" s="72"/>
      <c r="R696" s="72"/>
      <c r="S696" s="72"/>
    </row>
    <row r="697" spans="1:19" ht="12.75">
      <c r="A697" s="100"/>
      <c r="B697" s="101"/>
      <c r="C697" s="101"/>
      <c r="D697" s="101"/>
      <c r="E697" s="101"/>
      <c r="F697" s="101"/>
      <c r="G697" s="101"/>
      <c r="H697" s="101"/>
      <c r="I697" s="113"/>
      <c r="J697" s="113"/>
      <c r="K697" s="72"/>
      <c r="L697" s="72"/>
      <c r="M697" s="72"/>
      <c r="N697" s="72"/>
      <c r="O697" s="72"/>
      <c r="P697" s="72"/>
      <c r="Q697" s="72"/>
      <c r="R697" s="72"/>
      <c r="S697" s="72"/>
    </row>
    <row r="698" spans="1:19" ht="12.75">
      <c r="A698" s="100"/>
      <c r="B698" s="101"/>
      <c r="C698" s="101"/>
      <c r="D698" s="101"/>
      <c r="E698" s="101"/>
      <c r="F698" s="101"/>
      <c r="G698" s="101"/>
      <c r="H698" s="101"/>
      <c r="I698" s="113"/>
      <c r="J698" s="113"/>
      <c r="K698" s="72"/>
      <c r="L698" s="72"/>
      <c r="M698" s="72"/>
      <c r="N698" s="72"/>
      <c r="O698" s="72"/>
      <c r="P698" s="72"/>
      <c r="Q698" s="72"/>
      <c r="R698" s="72"/>
      <c r="S698" s="72"/>
    </row>
    <row r="699" spans="1:19" ht="12.75">
      <c r="A699" s="100"/>
      <c r="B699" s="101"/>
      <c r="C699" s="101"/>
      <c r="D699" s="101"/>
      <c r="E699" s="101"/>
      <c r="F699" s="101"/>
      <c r="G699" s="101"/>
      <c r="H699" s="101"/>
      <c r="I699" s="113"/>
      <c r="J699" s="113"/>
      <c r="K699" s="72"/>
      <c r="L699" s="72"/>
      <c r="M699" s="72"/>
      <c r="N699" s="72"/>
      <c r="O699" s="72"/>
      <c r="P699" s="72"/>
      <c r="Q699" s="72"/>
      <c r="R699" s="72"/>
      <c r="S699" s="72"/>
    </row>
    <row r="700" spans="1:19" ht="12.75">
      <c r="A700" s="100"/>
      <c r="B700" s="101"/>
      <c r="C700" s="101"/>
      <c r="D700" s="101"/>
      <c r="E700" s="101"/>
      <c r="F700" s="101"/>
      <c r="G700" s="101"/>
      <c r="H700" s="101"/>
      <c r="I700" s="113"/>
      <c r="J700" s="113"/>
      <c r="K700" s="72"/>
      <c r="L700" s="72"/>
      <c r="M700" s="72"/>
      <c r="N700" s="72"/>
      <c r="O700" s="72"/>
      <c r="P700" s="72"/>
      <c r="Q700" s="72"/>
      <c r="R700" s="72"/>
      <c r="S700" s="72"/>
    </row>
    <row r="701" spans="1:19" ht="12.75">
      <c r="A701" s="100"/>
      <c r="B701" s="101"/>
      <c r="C701" s="101"/>
      <c r="D701" s="101"/>
      <c r="E701" s="101"/>
      <c r="F701" s="101"/>
      <c r="G701" s="101"/>
      <c r="H701" s="101"/>
      <c r="I701" s="113"/>
      <c r="J701" s="113"/>
      <c r="K701" s="72"/>
      <c r="L701" s="72"/>
      <c r="M701" s="72"/>
      <c r="N701" s="72"/>
      <c r="O701" s="72"/>
      <c r="P701" s="72"/>
      <c r="Q701" s="72"/>
      <c r="R701" s="72"/>
      <c r="S701" s="72"/>
    </row>
  </sheetData>
  <mergeCells count="2">
    <mergeCell ref="A1:B1"/>
    <mergeCell ref="D1:H1"/>
  </mergeCells>
  <conditionalFormatting sqref="A3:A14 A16">
    <cfRule type="expression" dxfId="546" priority="1">
      <formula>$K3="CLOSED"</formula>
    </cfRule>
  </conditionalFormatting>
  <conditionalFormatting sqref="A3:A14 A16">
    <cfRule type="expression" dxfId="545" priority="2">
      <formula>$K3="OPEN"</formula>
    </cfRule>
  </conditionalFormatting>
  <conditionalFormatting sqref="A3:A14 A16">
    <cfRule type="expression" dxfId="544" priority="3">
      <formula>$K3="OPEN"</formula>
    </cfRule>
  </conditionalFormatting>
  <conditionalFormatting sqref="A3:A14 A16">
    <cfRule type="expression" dxfId="543" priority="4">
      <formula>$K3="CLOSED"</formula>
    </cfRule>
  </conditionalFormatting>
  <conditionalFormatting sqref="A3:A14 A16">
    <cfRule type="expression" dxfId="542" priority="5">
      <formula>#REF!="OPEN"</formula>
    </cfRule>
  </conditionalFormatting>
  <conditionalFormatting sqref="A3:A14 A16">
    <cfRule type="expression" dxfId="541" priority="6">
      <formula>#REF!="CLOSED"</formula>
    </cfRule>
  </conditionalFormatting>
  <conditionalFormatting sqref="A3:A14 A16">
    <cfRule type="expression" dxfId="540" priority="7">
      <formula>$I3="OPEN"</formula>
    </cfRule>
  </conditionalFormatting>
  <conditionalFormatting sqref="A3:A14 A16">
    <cfRule type="expression" dxfId="539" priority="8">
      <formula>$I3="CLOSED"</formula>
    </cfRule>
  </conditionalFormatting>
  <conditionalFormatting sqref="A3:A14 A16">
    <cfRule type="expression" dxfId="538" priority="9">
      <formula>$I3="OPEN"</formula>
    </cfRule>
  </conditionalFormatting>
  <conditionalFormatting sqref="A3:A14 A16">
    <cfRule type="expression" dxfId="537" priority="10">
      <formula>$I3="CLOSED"</formula>
    </cfRule>
  </conditionalFormatting>
  <conditionalFormatting sqref="A3:A14 A16">
    <cfRule type="expression" dxfId="536" priority="11">
      <formula>$U3="OPEN"</formula>
    </cfRule>
  </conditionalFormatting>
  <conditionalFormatting sqref="A3:A14 A16">
    <cfRule type="expression" dxfId="535" priority="12">
      <formula>$U3="CLOSED"</formula>
    </cfRule>
  </conditionalFormatting>
  <conditionalFormatting sqref="A3:A14 A16">
    <cfRule type="expression" dxfId="534" priority="13">
      <formula>$T3="CLOSED"</formula>
    </cfRule>
  </conditionalFormatting>
  <conditionalFormatting sqref="A3:A14 A16">
    <cfRule type="expression" dxfId="533" priority="14">
      <formula>$T3="OPEN"</formula>
    </cfRule>
  </conditionalFormatting>
  <conditionalFormatting sqref="A3:A14 A16">
    <cfRule type="expression" dxfId="532" priority="15">
      <formula>$U3="OPEN"</formula>
    </cfRule>
  </conditionalFormatting>
  <conditionalFormatting sqref="A3:A14 A16">
    <cfRule type="expression" dxfId="531" priority="16">
      <formula>$U3="CLOSED"</formula>
    </cfRule>
  </conditionalFormatting>
  <conditionalFormatting sqref="A3:A14 A16">
    <cfRule type="expression" dxfId="530" priority="17">
      <formula>$U3="OPEN"</formula>
    </cfRule>
  </conditionalFormatting>
  <conditionalFormatting sqref="A3:A14 A16">
    <cfRule type="expression" dxfId="529" priority="18">
      <formula>$U3="CLOSED"</formula>
    </cfRule>
  </conditionalFormatting>
  <conditionalFormatting sqref="A3:A14 A16">
    <cfRule type="expression" dxfId="528" priority="19">
      <formula>$M3="CLOSED"</formula>
    </cfRule>
  </conditionalFormatting>
  <conditionalFormatting sqref="A3:A14 A16">
    <cfRule type="expression" dxfId="527" priority="20">
      <formula>$M3="OPEN"</formula>
    </cfRule>
  </conditionalFormatting>
  <conditionalFormatting sqref="A3:A14 A16">
    <cfRule type="expression" dxfId="526" priority="21">
      <formula>$M3="CLOSED"</formula>
    </cfRule>
  </conditionalFormatting>
  <conditionalFormatting sqref="A3:A14 A16">
    <cfRule type="expression" dxfId="525" priority="22">
      <formula>$M3="OPEN"</formula>
    </cfRule>
  </conditionalFormatting>
  <conditionalFormatting sqref="A3:A14 A16">
    <cfRule type="expression" dxfId="524" priority="23">
      <formula>$T3="OPEN"</formula>
    </cfRule>
  </conditionalFormatting>
  <conditionalFormatting sqref="A3:A14 A16">
    <cfRule type="expression" dxfId="523" priority="24">
      <formula>$T3="CLOSED"</formula>
    </cfRule>
  </conditionalFormatting>
  <conditionalFormatting sqref="A3:A14 A16">
    <cfRule type="expression" dxfId="522" priority="25">
      <formula>$S3="CLOSED"</formula>
    </cfRule>
  </conditionalFormatting>
  <conditionalFormatting sqref="A3:A14 A16">
    <cfRule type="expression" dxfId="521" priority="26">
      <formula>$S3="OPEN"</formula>
    </cfRule>
  </conditionalFormatting>
  <conditionalFormatting sqref="A3:A14 A16">
    <cfRule type="expression" dxfId="520" priority="27">
      <formula>$T3="OPEN"</formula>
    </cfRule>
  </conditionalFormatting>
  <conditionalFormatting sqref="A3:A14 A16">
    <cfRule type="expression" dxfId="519" priority="28">
      <formula>$T3="CLOSED"</formula>
    </cfRule>
  </conditionalFormatting>
  <conditionalFormatting sqref="A3:A14 A16">
    <cfRule type="expression" dxfId="518" priority="29">
      <formula>$T3="OPEN"</formula>
    </cfRule>
  </conditionalFormatting>
  <conditionalFormatting sqref="A3:A14 A16">
    <cfRule type="expression" dxfId="517" priority="30">
      <formula>$T3="CLOSED"</formula>
    </cfRule>
  </conditionalFormatting>
  <conditionalFormatting sqref="A3:A14 A16">
    <cfRule type="expression" dxfId="516" priority="31">
      <formula>$L3="CLOSED"</formula>
    </cfRule>
  </conditionalFormatting>
  <conditionalFormatting sqref="A3:A14 A16">
    <cfRule type="expression" dxfId="515" priority="32">
      <formula>$L3="OPEN"</formula>
    </cfRule>
  </conditionalFormatting>
  <conditionalFormatting sqref="A3:A14 A16">
    <cfRule type="expression" dxfId="514" priority="33">
      <formula>$L3="CLOSED"</formula>
    </cfRule>
  </conditionalFormatting>
  <conditionalFormatting sqref="A3:A14 A16">
    <cfRule type="expression" dxfId="513" priority="34">
      <formula>$L3="OPEN"</formula>
    </cfRule>
  </conditionalFormatting>
  <conditionalFormatting sqref="A3:A14 A16">
    <cfRule type="expression" dxfId="512" priority="35">
      <formula>$S3="OPEN"</formula>
    </cfRule>
  </conditionalFormatting>
  <conditionalFormatting sqref="A3:A14 A16">
    <cfRule type="expression" dxfId="511" priority="36">
      <formula>$S3="CLOSED"</formula>
    </cfRule>
  </conditionalFormatting>
  <conditionalFormatting sqref="A3:A14 A16">
    <cfRule type="expression" dxfId="510" priority="37">
      <formula>$R3="CLOSED"</formula>
    </cfRule>
  </conditionalFormatting>
  <conditionalFormatting sqref="A3:A14 A16">
    <cfRule type="expression" dxfId="509" priority="38">
      <formula>$R3="OPEN"</formula>
    </cfRule>
  </conditionalFormatting>
  <conditionalFormatting sqref="A3:A14 A16">
    <cfRule type="expression" dxfId="508" priority="39">
      <formula>$S3="OPEN"</formula>
    </cfRule>
  </conditionalFormatting>
  <conditionalFormatting sqref="A3:A14 A16">
    <cfRule type="expression" dxfId="507" priority="40">
      <formula>$S3="CLOSED"</formula>
    </cfRule>
  </conditionalFormatting>
  <conditionalFormatting sqref="A3:A14 A16">
    <cfRule type="expression" dxfId="506" priority="41">
      <formula>$S3="OPEN"</formula>
    </cfRule>
  </conditionalFormatting>
  <conditionalFormatting sqref="A3:A14 A16">
    <cfRule type="expression" dxfId="505" priority="42">
      <formula>$S3="CLOSED"</formula>
    </cfRule>
  </conditionalFormatting>
  <conditionalFormatting sqref="A3:A14 A16">
    <cfRule type="expression" dxfId="504" priority="43">
      <formula>$R3="OPEN"</formula>
    </cfRule>
  </conditionalFormatting>
  <conditionalFormatting sqref="A3:A14 A16">
    <cfRule type="expression" dxfId="503" priority="44">
      <formula>$R3="CLOSED"</formula>
    </cfRule>
  </conditionalFormatting>
  <conditionalFormatting sqref="A3:A14 A16">
    <cfRule type="expression" dxfId="502" priority="45">
      <formula>$R3="OPEN"</formula>
    </cfRule>
  </conditionalFormatting>
  <conditionalFormatting sqref="A3:A14 A16">
    <cfRule type="expression" dxfId="501" priority="46">
      <formula>$R3="CLOSED"</formula>
    </cfRule>
  </conditionalFormatting>
  <conditionalFormatting sqref="A3:A14 A16">
    <cfRule type="expression" dxfId="500" priority="47">
      <formula>$L3="OPEN"</formula>
    </cfRule>
  </conditionalFormatting>
  <conditionalFormatting sqref="A3:A14 A16">
    <cfRule type="expression" dxfId="499" priority="48">
      <formula>$L3="CLOSED"</formula>
    </cfRule>
  </conditionalFormatting>
  <conditionalFormatting sqref="A3:A14 A16">
    <cfRule type="expression" dxfId="498" priority="49">
      <formula>$M3="OPEN"</formula>
    </cfRule>
  </conditionalFormatting>
  <conditionalFormatting sqref="A3:A14 A16">
    <cfRule type="expression" dxfId="497" priority="50">
      <formula>$M3="CLOSED"</formula>
    </cfRule>
  </conditionalFormatting>
  <conditionalFormatting sqref="A3:A14 A16">
    <cfRule type="expression" dxfId="496" priority="51">
      <formula>$M3="CLOSED"</formula>
    </cfRule>
  </conditionalFormatting>
  <conditionalFormatting sqref="A3:A14 A16">
    <cfRule type="expression" dxfId="495" priority="52">
      <formula>$M3="OPEN"</formula>
    </cfRule>
  </conditionalFormatting>
  <conditionalFormatting sqref="A3:A14 A16">
    <cfRule type="expression" dxfId="494" priority="53">
      <formula>$J3="OPEN"</formula>
    </cfRule>
  </conditionalFormatting>
  <conditionalFormatting sqref="A3:A14 A16">
    <cfRule type="expression" dxfId="493" priority="54">
      <formula>$E3="CLOSED"</formula>
    </cfRule>
  </conditionalFormatting>
  <conditionalFormatting sqref="A3:A14 A16">
    <cfRule type="expression" dxfId="492" priority="55">
      <formula>$E3="OPEN"</formula>
    </cfRule>
  </conditionalFormatting>
  <conditionalFormatting sqref="A3:A14 A16">
    <cfRule type="expression" dxfId="491" priority="56">
      <formula>$E3="OPEN"</formula>
    </cfRule>
  </conditionalFormatting>
  <conditionalFormatting sqref="A3:A14 A16">
    <cfRule type="expression" dxfId="490" priority="57">
      <formula>$E3="CLOSED"</formula>
    </cfRule>
  </conditionalFormatting>
  <conditionalFormatting sqref="A3:A14 A16">
    <cfRule type="expression" dxfId="489" priority="58">
      <formula>$L3="CLOSED"</formula>
    </cfRule>
  </conditionalFormatting>
  <conditionalFormatting sqref="A3:A14 A16">
    <cfRule type="expression" dxfId="488" priority="59">
      <formula>$L3="OPEN"</formula>
    </cfRule>
  </conditionalFormatting>
  <conditionalFormatting sqref="A3:A14 A16">
    <cfRule type="expression" dxfId="487" priority="60">
      <formula>$N3="OPEN"</formula>
    </cfRule>
  </conditionalFormatting>
  <conditionalFormatting sqref="A3:A14 A16">
    <cfRule type="expression" dxfId="486" priority="61">
      <formula>$N3="CLOSED"</formula>
    </cfRule>
  </conditionalFormatting>
  <conditionalFormatting sqref="A3:A14 A16">
    <cfRule type="expression" dxfId="485" priority="62">
      <formula>$P3="CLOSED"</formula>
    </cfRule>
  </conditionalFormatting>
  <conditionalFormatting sqref="A3:A14 A16">
    <cfRule type="expression" dxfId="484" priority="63">
      <formula>$P3="OPEN"</formula>
    </cfRule>
  </conditionalFormatting>
  <conditionalFormatting sqref="A3:A14 A16">
    <cfRule type="expression" dxfId="483" priority="64">
      <formula>$N3="OPEN"</formula>
    </cfRule>
  </conditionalFormatting>
  <conditionalFormatting sqref="A3:A14 A16">
    <cfRule type="expression" dxfId="482" priority="65">
      <formula>$N3="CLOSED"</formula>
    </cfRule>
  </conditionalFormatting>
  <conditionalFormatting sqref="A3:A14 A16">
    <cfRule type="expression" dxfId="481" priority="66">
      <formula>$O3="OPEN"</formula>
    </cfRule>
  </conditionalFormatting>
  <conditionalFormatting sqref="A3:A14 A16">
    <cfRule type="expression" dxfId="480" priority="67">
      <formula>$O3="CLOSED"</formula>
    </cfRule>
  </conditionalFormatting>
  <conditionalFormatting sqref="A3:A14 A16">
    <cfRule type="expression" dxfId="479" priority="68">
      <formula>#REF!="OPEN"</formula>
    </cfRule>
  </conditionalFormatting>
  <conditionalFormatting sqref="A3:A14 A16">
    <cfRule type="expression" dxfId="478" priority="69">
      <formula>$J3="CLOSED"</formula>
    </cfRule>
  </conditionalFormatting>
  <conditionalFormatting sqref="A3:A14 A16">
    <cfRule type="expression" dxfId="477" priority="70">
      <formula>#REF!="CLOSED"</formula>
    </cfRule>
  </conditionalFormatting>
  <conditionalFormatting sqref="A3:A14 A16">
    <cfRule type="expression" dxfId="476" priority="71">
      <formula>$J3="OPEN"</formula>
    </cfRule>
  </conditionalFormatting>
  <conditionalFormatting sqref="A3:A14 A16">
    <cfRule type="expression" dxfId="475" priority="72">
      <formula>$J3="CLOSED"</formula>
    </cfRule>
  </conditionalFormatting>
  <conditionalFormatting sqref="A3:A14 A16">
    <cfRule type="expression" dxfId="474" priority="73">
      <formula>$J3="OPEN"</formula>
    </cfRule>
  </conditionalFormatting>
  <conditionalFormatting sqref="A3:A14 A16">
    <cfRule type="expression" dxfId="473" priority="74">
      <formula>$N3="CLOSED"</formula>
    </cfRule>
  </conditionalFormatting>
  <conditionalFormatting sqref="A3:A14 A16">
    <cfRule type="expression" dxfId="472" priority="75">
      <formula>$N3="OPEN"</formula>
    </cfRule>
  </conditionalFormatting>
  <conditionalFormatting sqref="A3:A14 A16">
    <cfRule type="expression" dxfId="471" priority="76">
      <formula>$O3="OPEN"</formula>
    </cfRule>
  </conditionalFormatting>
  <conditionalFormatting sqref="A3:A14 A16">
    <cfRule type="expression" dxfId="470" priority="77">
      <formula>$O3="CLOSED"</formula>
    </cfRule>
  </conditionalFormatting>
  <conditionalFormatting sqref="A3:A14 A16">
    <cfRule type="expression" dxfId="469" priority="78">
      <formula>$P3="OPEN"</formula>
    </cfRule>
  </conditionalFormatting>
  <conditionalFormatting sqref="A3:A14 A16">
    <cfRule type="expression" dxfId="468" priority="79">
      <formula>$P3="CLOSED"</formula>
    </cfRule>
  </conditionalFormatting>
  <conditionalFormatting sqref="A3:A14 A16">
    <cfRule type="expression" dxfId="467" priority="80">
      <formula>$P3="OPEN"</formula>
    </cfRule>
  </conditionalFormatting>
  <conditionalFormatting sqref="A3:A14 A16">
    <cfRule type="expression" dxfId="466" priority="81">
      <formula>$P3="CLOSED"</formula>
    </cfRule>
  </conditionalFormatting>
  <conditionalFormatting sqref="A3:A14 A16">
    <cfRule type="expression" dxfId="465" priority="82">
      <formula>#REF!="OPEN"</formula>
    </cfRule>
  </conditionalFormatting>
  <conditionalFormatting sqref="A3:A14 A16">
    <cfRule type="expression" dxfId="464" priority="83">
      <formula>#REF!="CLOSED"</formula>
    </cfRule>
  </conditionalFormatting>
  <conditionalFormatting sqref="A3:A14 A16">
    <cfRule type="expression" dxfId="463" priority="84">
      <formula>$O3="CLOSED"</formula>
    </cfRule>
  </conditionalFormatting>
  <conditionalFormatting sqref="A3:A14 A16">
    <cfRule type="expression" dxfId="462" priority="85">
      <formula>$O3="OPEN"</formula>
    </cfRule>
  </conditionalFormatting>
  <conditionalFormatting sqref="A3:A14 A16">
    <cfRule type="expression" dxfId="461" priority="86">
      <formula>#REF!="OPEN"</formula>
    </cfRule>
  </conditionalFormatting>
  <conditionalFormatting sqref="A3:A14 A16">
    <cfRule type="expression" dxfId="460" priority="87">
      <formula>#REF!="OPEN"</formula>
    </cfRule>
  </conditionalFormatting>
  <conditionalFormatting sqref="A3:A14 A16">
    <cfRule type="expression" dxfId="459" priority="88">
      <formula>#REF!="CLOSED"</formula>
    </cfRule>
  </conditionalFormatting>
  <conditionalFormatting sqref="A3:A14 A16">
    <cfRule type="expression" dxfId="458" priority="89">
      <formula>#REF!="OPEN"</formula>
    </cfRule>
  </conditionalFormatting>
  <conditionalFormatting sqref="A3:A14 A16">
    <cfRule type="expression" dxfId="457" priority="90">
      <formula>#REF!="CLOSED"</formula>
    </cfRule>
  </conditionalFormatting>
  <conditionalFormatting sqref="A3:A14 A16">
    <cfRule type="expression" dxfId="456" priority="91">
      <formula>#REF!="OPEN"</formula>
    </cfRule>
  </conditionalFormatting>
  <conditionalFormatting sqref="A3:A14 A16">
    <cfRule type="expression" dxfId="455" priority="92">
      <formula>#REF!="CLOSED"</formula>
    </cfRule>
  </conditionalFormatting>
  <conditionalFormatting sqref="A3:A14 A16">
    <cfRule type="expression" dxfId="454" priority="93">
      <formula>#REF!="CLOSED"</formula>
    </cfRule>
  </conditionalFormatting>
  <conditionalFormatting sqref="A3:A14 A16">
    <cfRule type="expression" dxfId="453" priority="94">
      <formula>#REF!="OPEN"</formula>
    </cfRule>
  </conditionalFormatting>
  <conditionalFormatting sqref="A3:A14 A16">
    <cfRule type="expression" dxfId="452" priority="95">
      <formula>#REF!="OPEN"</formula>
    </cfRule>
  </conditionalFormatting>
  <conditionalFormatting sqref="A3:A14 A16">
    <cfRule type="expression" dxfId="451" priority="96">
      <formula>#REF!="CLOSED"</formula>
    </cfRule>
  </conditionalFormatting>
  <conditionalFormatting sqref="A3:A14 A16">
    <cfRule type="expression" dxfId="450" priority="97">
      <formula>#REF!="OPEN"</formula>
    </cfRule>
  </conditionalFormatting>
  <conditionalFormatting sqref="A3:A14 A16">
    <cfRule type="expression" dxfId="449" priority="98">
      <formula>#REF!="CLOSED"</formula>
    </cfRule>
  </conditionalFormatting>
  <conditionalFormatting sqref="A3:A14 A16">
    <cfRule type="expression" dxfId="448" priority="99">
      <formula>#REF!="OPEN"</formula>
    </cfRule>
  </conditionalFormatting>
  <conditionalFormatting sqref="A3:A14 A16">
    <cfRule type="expression" dxfId="447" priority="100">
      <formula>#REF!="CLOSED"</formula>
    </cfRule>
  </conditionalFormatting>
  <conditionalFormatting sqref="A3:A14 A16">
    <cfRule type="expression" dxfId="446" priority="101">
      <formula>#REF!="CLOSED"</formula>
    </cfRule>
  </conditionalFormatting>
  <conditionalFormatting sqref="A3:A14 A16">
    <cfRule type="expression" dxfId="445" priority="102">
      <formula>#REF!="OPEN"</formula>
    </cfRule>
  </conditionalFormatting>
  <conditionalFormatting sqref="A3:A14 A16">
    <cfRule type="expression" dxfId="444" priority="103">
      <formula>#REF!="CLOSED"</formula>
    </cfRule>
  </conditionalFormatting>
  <conditionalFormatting sqref="A3:A14 A16">
    <cfRule type="expression" dxfId="443" priority="104">
      <formula>#REF!="OPEN"</formula>
    </cfRule>
  </conditionalFormatting>
  <conditionalFormatting sqref="A3:A14 A16">
    <cfRule type="expression" dxfId="442" priority="105">
      <formula>#REF!="CLOSED"</formula>
    </cfRule>
  </conditionalFormatting>
  <conditionalFormatting sqref="A3:A14 A16">
    <cfRule type="expression" dxfId="441" priority="106">
      <formula>#REF!="OPEN"</formula>
    </cfRule>
  </conditionalFormatting>
  <conditionalFormatting sqref="A3:A14 A16">
    <cfRule type="expression" dxfId="440" priority="107">
      <formula>#REF!="OPEN"</formula>
    </cfRule>
  </conditionalFormatting>
  <conditionalFormatting sqref="A3:A14 A16">
    <cfRule type="expression" dxfId="439" priority="108">
      <formula>#REF!="CLOSED"</formula>
    </cfRule>
  </conditionalFormatting>
  <conditionalFormatting sqref="A3:A14 A16">
    <cfRule type="expression" dxfId="438" priority="109">
      <formula>#REF!="OPEN"</formula>
    </cfRule>
  </conditionalFormatting>
  <conditionalFormatting sqref="A3:A14 A16">
    <cfRule type="expression" dxfId="437" priority="110">
      <formula>#REF!="CLOSED"</formula>
    </cfRule>
  </conditionalFormatting>
  <conditionalFormatting sqref="A3:A14 A16">
    <cfRule type="expression" dxfId="436" priority="111">
      <formula>#REF!="OPEN"</formula>
    </cfRule>
  </conditionalFormatting>
  <conditionalFormatting sqref="A3:A14 A16">
    <cfRule type="expression" dxfId="435" priority="112">
      <formula>#REF!="CLOSED"</formula>
    </cfRule>
  </conditionalFormatting>
  <conditionalFormatting sqref="A3:A14 A16">
    <cfRule type="expression" dxfId="434" priority="113">
      <formula>#REF!="CLOSED"</formula>
    </cfRule>
  </conditionalFormatting>
  <conditionalFormatting sqref="A3:A14 A16">
    <cfRule type="expression" dxfId="433" priority="114">
      <formula>#REF!="OPEN"</formula>
    </cfRule>
  </conditionalFormatting>
  <conditionalFormatting sqref="A3:A14 A16">
    <cfRule type="expression" dxfId="432" priority="115">
      <formula>#REF!="CLOSED"</formula>
    </cfRule>
  </conditionalFormatting>
  <conditionalFormatting sqref="A3:A14 A16">
    <cfRule type="expression" dxfId="431" priority="116">
      <formula>#REF!="OPEN"</formula>
    </cfRule>
  </conditionalFormatting>
  <conditionalFormatting sqref="A3:A14 A16">
    <cfRule type="expression" dxfId="430" priority="117">
      <formula>#REF!="OPEN"</formula>
    </cfRule>
  </conditionalFormatting>
  <conditionalFormatting sqref="A3:A14 A16">
    <cfRule type="expression" dxfId="429" priority="118">
      <formula>#REF!="CLOSED"</formula>
    </cfRule>
  </conditionalFormatting>
  <conditionalFormatting sqref="A3:A14 A16">
    <cfRule type="expression" dxfId="428" priority="119">
      <formula>#REF!="CLOSED"</formula>
    </cfRule>
  </conditionalFormatting>
  <conditionalFormatting sqref="A3:A14 A16">
    <cfRule type="expression" dxfId="427" priority="120">
      <formula>#REF!="OPEN"</formula>
    </cfRule>
  </conditionalFormatting>
  <conditionalFormatting sqref="A3:A14 A16">
    <cfRule type="expression" dxfId="426" priority="121">
      <formula>#REF!="OPEN"</formula>
    </cfRule>
  </conditionalFormatting>
  <conditionalFormatting sqref="A3:A14 A16">
    <cfRule type="expression" dxfId="425" priority="122">
      <formula>#REF!="CLOSED"</formula>
    </cfRule>
  </conditionalFormatting>
  <conditionalFormatting sqref="A3:A14 A16">
    <cfRule type="expression" dxfId="424" priority="123">
      <formula>#REF!="OPEN"</formula>
    </cfRule>
  </conditionalFormatting>
  <conditionalFormatting sqref="A3:A14 A16">
    <cfRule type="expression" dxfId="423" priority="124">
      <formula>#REF!="CLOSED"</formula>
    </cfRule>
  </conditionalFormatting>
  <conditionalFormatting sqref="A3:A14 A16">
    <cfRule type="expression" dxfId="422" priority="125">
      <formula>#REF!="OPEN"</formula>
    </cfRule>
  </conditionalFormatting>
  <conditionalFormatting sqref="A3:A14 A16">
    <cfRule type="expression" dxfId="421" priority="126">
      <formula>#REF!="CLOSED"</formula>
    </cfRule>
  </conditionalFormatting>
  <conditionalFormatting sqref="A3:A14 A16">
    <cfRule type="expression" dxfId="420" priority="127">
      <formula>#REF!="CLOSED"</formula>
    </cfRule>
  </conditionalFormatting>
  <conditionalFormatting sqref="A3:A14 A16">
    <cfRule type="expression" dxfId="419" priority="128">
      <formula>#REF!="OPEN"</formula>
    </cfRule>
  </conditionalFormatting>
  <conditionalFormatting sqref="A3:A14 A16">
    <cfRule type="expression" dxfId="418" priority="129">
      <formula>#REF!="OPEN"</formula>
    </cfRule>
  </conditionalFormatting>
  <conditionalFormatting sqref="A3:A14 A16">
    <cfRule type="expression" dxfId="417" priority="130">
      <formula>#REF!="CLOSED"</formula>
    </cfRule>
  </conditionalFormatting>
  <conditionalFormatting sqref="A3:A14 A16">
    <cfRule type="expression" dxfId="416" priority="131">
      <formula>#REF!="CLOSED"</formula>
    </cfRule>
  </conditionalFormatting>
  <conditionalFormatting sqref="A3:A14 A16">
    <cfRule type="expression" dxfId="415" priority="132">
      <formula>#REF!="OPEN"</formula>
    </cfRule>
  </conditionalFormatting>
  <conditionalFormatting sqref="A3:A14 A16">
    <cfRule type="expression" dxfId="414" priority="133">
      <formula>#REF!="OPEN"</formula>
    </cfRule>
  </conditionalFormatting>
  <conditionalFormatting sqref="A3:A14 A16">
    <cfRule type="expression" dxfId="413" priority="134">
      <formula>#REF!="CLOSED"</formula>
    </cfRule>
  </conditionalFormatting>
  <conditionalFormatting sqref="A3:A14 A16">
    <cfRule type="expression" dxfId="412" priority="135">
      <formula>#REF!="OPEN"</formula>
    </cfRule>
  </conditionalFormatting>
  <conditionalFormatting sqref="A3:A14 A16">
    <cfRule type="expression" dxfId="411" priority="136">
      <formula>#REF!="OPEN"</formula>
    </cfRule>
  </conditionalFormatting>
  <conditionalFormatting sqref="A3:A14 A16">
    <cfRule type="expression" dxfId="410" priority="137">
      <formula>#REF!="CLOSED"</formula>
    </cfRule>
  </conditionalFormatting>
  <conditionalFormatting sqref="A3:A14 A16">
    <cfRule type="expression" dxfId="409" priority="138">
      <formula>#REF!="CLOSED"</formula>
    </cfRule>
  </conditionalFormatting>
  <conditionalFormatting sqref="A3:A14 A16">
    <cfRule type="expression" dxfId="408" priority="139">
      <formula>#REF!="OPEN"</formula>
    </cfRule>
  </conditionalFormatting>
  <conditionalFormatting sqref="A3:A14 A16">
    <cfRule type="expression" dxfId="407" priority="140">
      <formula>#REF!="OPEN"</formula>
    </cfRule>
  </conditionalFormatting>
  <conditionalFormatting sqref="A3:A14 A16">
    <cfRule type="expression" dxfId="406" priority="141">
      <formula>#REF!="CLOSED"</formula>
    </cfRule>
  </conditionalFormatting>
  <conditionalFormatting sqref="A3:A14 A16">
    <cfRule type="expression" dxfId="405" priority="142">
      <formula>#REF!="OPEN"</formula>
    </cfRule>
  </conditionalFormatting>
  <conditionalFormatting sqref="A3:A14 A16">
    <cfRule type="expression" dxfId="404" priority="143">
      <formula>#REF!="CLOSED"</formula>
    </cfRule>
  </conditionalFormatting>
  <conditionalFormatting sqref="A3:A14 A16">
    <cfRule type="expression" dxfId="403" priority="144">
      <formula>#REF!="OPEN"</formula>
    </cfRule>
  </conditionalFormatting>
  <conditionalFormatting sqref="A3:A14 A16">
    <cfRule type="expression" dxfId="402" priority="145">
      <formula>#REF!="OPEN"</formula>
    </cfRule>
  </conditionalFormatting>
  <conditionalFormatting sqref="A3:A14 A16">
    <cfRule type="expression" dxfId="401" priority="146">
      <formula>#REF!="CLOSED"</formula>
    </cfRule>
  </conditionalFormatting>
  <conditionalFormatting sqref="A3:A14 A16">
    <cfRule type="expression" dxfId="400" priority="147">
      <formula>#REF!="CLOSED"</formula>
    </cfRule>
  </conditionalFormatting>
  <conditionalFormatting sqref="A3:A14 A16">
    <cfRule type="expression" dxfId="399" priority="148">
      <formula>#REF!="OPEN"</formula>
    </cfRule>
  </conditionalFormatting>
  <conditionalFormatting sqref="A3:A14 A16">
    <cfRule type="expression" dxfId="398" priority="149">
      <formula>#REF!="OPEN"</formula>
    </cfRule>
  </conditionalFormatting>
  <conditionalFormatting sqref="A3:A14 A16">
    <cfRule type="expression" dxfId="397" priority="150">
      <formula>#REF!="CLOSED"</formula>
    </cfRule>
  </conditionalFormatting>
  <conditionalFormatting sqref="A3:A14 A16">
    <cfRule type="expression" dxfId="396" priority="151">
      <formula>#REF!="OPEN"</formula>
    </cfRule>
  </conditionalFormatting>
  <conditionalFormatting sqref="A3:A14 A16">
    <cfRule type="expression" dxfId="395" priority="152">
      <formula>#REF!="CLOSED"</formula>
    </cfRule>
  </conditionalFormatting>
  <conditionalFormatting sqref="A3:A14 A16">
    <cfRule type="expression" dxfId="394" priority="153">
      <formula>#REF!="CLOSED"</formula>
    </cfRule>
  </conditionalFormatting>
  <conditionalFormatting sqref="A3:A14 A16">
    <cfRule type="expression" dxfId="393" priority="154">
      <formula>#REF!="OPEN"</formula>
    </cfRule>
  </conditionalFormatting>
  <conditionalFormatting sqref="A3:A14 A16">
    <cfRule type="expression" dxfId="392" priority="155">
      <formula>#REF!="CLOSED"</formula>
    </cfRule>
  </conditionalFormatting>
  <conditionalFormatting sqref="A3:A14 A16">
    <cfRule type="expression" dxfId="391" priority="156">
      <formula>#REF!="OPEN"</formula>
    </cfRule>
  </conditionalFormatting>
  <conditionalFormatting sqref="A3:A14 A16">
    <cfRule type="expression" dxfId="390" priority="157">
      <formula>#REF!="OPEN"</formula>
    </cfRule>
  </conditionalFormatting>
  <conditionalFormatting sqref="A3:A14 A16">
    <cfRule type="expression" dxfId="389" priority="158">
      <formula>#REF!="CLOSED"</formula>
    </cfRule>
  </conditionalFormatting>
  <conditionalFormatting sqref="A3:A14 A16">
    <cfRule type="expression" dxfId="388" priority="159">
      <formula>#REF!="OPEN"</formula>
    </cfRule>
  </conditionalFormatting>
  <conditionalFormatting sqref="A3:A14 A16">
    <cfRule type="expression" dxfId="387" priority="160">
      <formula>#REF!="CLOSED"</formula>
    </cfRule>
  </conditionalFormatting>
  <conditionalFormatting sqref="A3:A14 A16">
    <cfRule type="expression" dxfId="386" priority="161">
      <formula>#REF!="OPEN"</formula>
    </cfRule>
  </conditionalFormatting>
  <conditionalFormatting sqref="A3:A14 A16">
    <cfRule type="expression" dxfId="385" priority="162">
      <formula>#REF!="CLOSED"</formula>
    </cfRule>
  </conditionalFormatting>
  <conditionalFormatting sqref="A3:A14 A16">
    <cfRule type="expression" dxfId="384" priority="163">
      <formula>#REF!="OPEN"</formula>
    </cfRule>
  </conditionalFormatting>
  <conditionalFormatting sqref="A3:A14 A16">
    <cfRule type="expression" dxfId="383" priority="164">
      <formula>#REF!="CLOSED"</formula>
    </cfRule>
  </conditionalFormatting>
  <conditionalFormatting sqref="A3:A14 A16">
    <cfRule type="expression" dxfId="382" priority="165">
      <formula>#REF!="OPEN"</formula>
    </cfRule>
  </conditionalFormatting>
  <conditionalFormatting sqref="A3:A14 A16">
    <cfRule type="expression" dxfId="381" priority="166">
      <formula>#REF!="CLOSED"</formula>
    </cfRule>
  </conditionalFormatting>
  <conditionalFormatting sqref="A3:A14 A16">
    <cfRule type="expression" dxfId="380" priority="167">
      <formula>#REF!="OPEN"</formula>
    </cfRule>
  </conditionalFormatting>
  <conditionalFormatting sqref="A3:A14 A16">
    <cfRule type="expression" dxfId="379" priority="168">
      <formula>#REF!="CLOSED"</formula>
    </cfRule>
  </conditionalFormatting>
  <conditionalFormatting sqref="A3:A14 A16">
    <cfRule type="expression" dxfId="378" priority="169">
      <formula>#REF!="OPEN"</formula>
    </cfRule>
  </conditionalFormatting>
  <conditionalFormatting sqref="A3:A14 A16">
    <cfRule type="expression" dxfId="377" priority="170">
      <formula>#REF!="CLOSED"</formula>
    </cfRule>
  </conditionalFormatting>
  <conditionalFormatting sqref="A3:A14 A16">
    <cfRule type="expression" dxfId="376" priority="171">
      <formula>#REF!="OPEN"</formula>
    </cfRule>
  </conditionalFormatting>
  <conditionalFormatting sqref="A3:A14 A16">
    <cfRule type="expression" dxfId="375" priority="172">
      <formula>#REF!="CLOSED"</formula>
    </cfRule>
  </conditionalFormatting>
  <conditionalFormatting sqref="A3:A14 A16">
    <cfRule type="expression" dxfId="374" priority="173">
      <formula>#REF!="OPEN"</formula>
    </cfRule>
  </conditionalFormatting>
  <conditionalFormatting sqref="A3:A14 A16">
    <cfRule type="expression" dxfId="373" priority="174">
      <formula>#REF!="CLOSED"</formula>
    </cfRule>
  </conditionalFormatting>
  <conditionalFormatting sqref="A3:A14 A16">
    <cfRule type="expression" dxfId="372" priority="175">
      <formula>#REF!="OPEN"</formula>
    </cfRule>
  </conditionalFormatting>
  <conditionalFormatting sqref="A3:A14 A16">
    <cfRule type="expression" dxfId="371" priority="176">
      <formula>#REF!="CLOSED"</formula>
    </cfRule>
  </conditionalFormatting>
  <conditionalFormatting sqref="A3:A14 A16">
    <cfRule type="expression" dxfId="370" priority="177">
      <formula>#REF!="OPEN"</formula>
    </cfRule>
  </conditionalFormatting>
  <conditionalFormatting sqref="A3:A14 A16">
    <cfRule type="expression" dxfId="369" priority="178">
      <formula>#REF!="CLOSED"</formula>
    </cfRule>
  </conditionalFormatting>
  <conditionalFormatting sqref="A3:A14 A16">
    <cfRule type="expression" dxfId="368" priority="179">
      <formula>#REF!="OPEN"</formula>
    </cfRule>
  </conditionalFormatting>
  <conditionalFormatting sqref="A3:A14 A16">
    <cfRule type="expression" dxfId="367" priority="180">
      <formula>#REF!="CLOSED"</formula>
    </cfRule>
  </conditionalFormatting>
  <conditionalFormatting sqref="A3:A14 A16">
    <cfRule type="expression" dxfId="366" priority="181">
      <formula>#REF!="CLOSED"</formula>
    </cfRule>
  </conditionalFormatting>
  <conditionalFormatting sqref="A3:A14 A16">
    <cfRule type="expression" dxfId="365" priority="182">
      <formula>#REF!="OPEN"</formula>
    </cfRule>
  </conditionalFormatting>
  <conditionalFormatting sqref="A3:A14 A16">
    <cfRule type="expression" dxfId="364" priority="183">
      <formula>#REF!="CLOSED"</formula>
    </cfRule>
  </conditionalFormatting>
  <conditionalFormatting sqref="A3:A14 A16">
    <cfRule type="expression" dxfId="363" priority="184">
      <formula>#REF!="OPEN"</formula>
    </cfRule>
  </conditionalFormatting>
  <conditionalFormatting sqref="A3:A14 A16">
    <cfRule type="expression" dxfId="362" priority="185">
      <formula>#REF!="CLOSED"</formula>
    </cfRule>
  </conditionalFormatting>
  <conditionalFormatting sqref="A3:A14 A16">
    <cfRule type="expression" dxfId="361" priority="186">
      <formula>#REF!="OPEN"</formula>
    </cfRule>
  </conditionalFormatting>
  <conditionalFormatting sqref="A3:A14 A16">
    <cfRule type="expression" dxfId="360" priority="187">
      <formula>#REF!="OPEN"</formula>
    </cfRule>
  </conditionalFormatting>
  <conditionalFormatting sqref="A3:A14 A16">
    <cfRule type="expression" dxfId="359" priority="188">
      <formula>#REF!="CLOSED"</formula>
    </cfRule>
  </conditionalFormatting>
  <conditionalFormatting sqref="A3:A14 A16">
    <cfRule type="expression" dxfId="358" priority="189">
      <formula>#REF!="CLOSED"</formula>
    </cfRule>
  </conditionalFormatting>
  <conditionalFormatting sqref="A3:A14 A16">
    <cfRule type="expression" dxfId="357" priority="190">
      <formula>#REF!="OPEN"</formula>
    </cfRule>
  </conditionalFormatting>
  <conditionalFormatting sqref="A3:A14 A16">
    <cfRule type="expression" dxfId="356" priority="191">
      <formula>#REF!="OPEN"</formula>
    </cfRule>
  </conditionalFormatting>
  <conditionalFormatting sqref="A3:A14 A16">
    <cfRule type="expression" dxfId="355" priority="192">
      <formula>#REF!="CLOSED"</formula>
    </cfRule>
  </conditionalFormatting>
  <conditionalFormatting sqref="A3:A14 A16">
    <cfRule type="expression" dxfId="354" priority="193">
      <formula>#REF!="OPEN"</formula>
    </cfRule>
  </conditionalFormatting>
  <conditionalFormatting sqref="A3:A14 A16">
    <cfRule type="expression" dxfId="353" priority="194">
      <formula>#REF!="CLOSED"</formula>
    </cfRule>
  </conditionalFormatting>
  <conditionalFormatting sqref="A3:A14 A16">
    <cfRule type="expression" dxfId="352" priority="195">
      <formula>#REF!="CLOSED"</formula>
    </cfRule>
  </conditionalFormatting>
  <conditionalFormatting sqref="A3:A14 A16">
    <cfRule type="expression" dxfId="351" priority="196">
      <formula>#REF!="OPEN"</formula>
    </cfRule>
  </conditionalFormatting>
  <conditionalFormatting sqref="A3:K701">
    <cfRule type="expression" dxfId="350" priority="197">
      <formula>$J3="OPEN"</formula>
    </cfRule>
  </conditionalFormatting>
  <conditionalFormatting sqref="A3:K701">
    <cfRule type="expression" dxfId="349" priority="198">
      <formula>$J3="CLOSED"</formula>
    </cfRule>
  </conditionalFormatting>
  <dataValidations count="1">
    <dataValidation type="list" allowBlank="1" sqref="J3:J701">
      <formula1>"CLOSED,OPEN"</formula1>
    </dataValidation>
  </dataValidations>
  <pageMargins left="0.7" right="0.7" top="0.75" bottom="0.75" header="0.3" footer="0.3"/>
  <tableParts count="4">
    <tablePart r:id="rId1"/>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155CC"/>
    <outlinePr summaryBelow="0" summaryRight="0"/>
  </sheetPr>
  <dimension ref="A1:V301"/>
  <sheetViews>
    <sheetView topLeftCell="E1" zoomScale="70" zoomScaleNormal="70" workbookViewId="0">
      <pane ySplit="2" topLeftCell="A3" activePane="bottomLeft" state="frozen"/>
      <selection pane="bottomLeft" activeCell="E10" sqref="E10"/>
    </sheetView>
  </sheetViews>
  <sheetFormatPr defaultColWidth="12.5703125" defaultRowHeight="15" customHeight="1"/>
  <cols>
    <col min="1" max="1" width="15.85546875" customWidth="1"/>
    <col min="2" max="2" width="10.7109375" customWidth="1"/>
    <col min="3" max="3" width="8" customWidth="1"/>
    <col min="4" max="4" width="10.7109375" customWidth="1"/>
    <col min="5" max="5" width="64.42578125" customWidth="1"/>
    <col min="6" max="6" width="12.42578125" customWidth="1"/>
    <col min="7" max="8" width="10.7109375" customWidth="1"/>
    <col min="9" max="9" width="22.7109375" customWidth="1"/>
    <col min="10" max="10" width="24.140625" customWidth="1"/>
    <col min="11" max="11" width="16.5703125" customWidth="1"/>
    <col min="12" max="12" width="7.42578125" customWidth="1"/>
    <col min="13" max="13" width="9.5703125" customWidth="1"/>
    <col min="14" max="14" width="14.42578125" customWidth="1"/>
    <col min="15" max="15" width="9.42578125" customWidth="1"/>
    <col min="16" max="16" width="26.42578125" customWidth="1"/>
    <col min="17" max="17" width="10.85546875" customWidth="1"/>
    <col min="18" max="18" width="11.7109375" customWidth="1"/>
    <col min="19" max="19" width="8.42578125" customWidth="1"/>
    <col min="20" max="20" width="27.28515625" customWidth="1"/>
    <col min="21" max="22" width="9" customWidth="1"/>
  </cols>
  <sheetData>
    <row r="1" spans="1:22" ht="24.75" customHeight="1">
      <c r="A1" s="381">
        <v>46308</v>
      </c>
      <c r="B1" s="379"/>
      <c r="C1" s="3"/>
      <c r="D1" s="6"/>
      <c r="E1" s="6"/>
      <c r="F1" s="6"/>
      <c r="G1" s="7"/>
      <c r="H1" s="7"/>
      <c r="I1" s="6"/>
      <c r="J1" s="6"/>
      <c r="K1" s="6"/>
      <c r="L1" s="6"/>
      <c r="M1" s="6"/>
      <c r="N1" s="7"/>
      <c r="O1" s="7"/>
      <c r="P1" s="12"/>
      <c r="Q1" s="6"/>
      <c r="R1" s="7"/>
      <c r="S1" s="6"/>
      <c r="T1" s="6"/>
      <c r="U1" s="6"/>
      <c r="V1" s="17"/>
    </row>
    <row r="2" spans="1:22" ht="24">
      <c r="A2" s="20" t="s">
        <v>27</v>
      </c>
      <c r="B2" s="24" t="s">
        <v>2</v>
      </c>
      <c r="C2" s="24" t="s">
        <v>35</v>
      </c>
      <c r="D2" s="24" t="s">
        <v>38</v>
      </c>
      <c r="E2" s="24" t="s">
        <v>40</v>
      </c>
      <c r="F2" s="24" t="s">
        <v>41</v>
      </c>
      <c r="G2" s="20" t="s">
        <v>43</v>
      </c>
      <c r="H2" s="20" t="s">
        <v>44</v>
      </c>
      <c r="I2" s="24" t="s">
        <v>46</v>
      </c>
      <c r="J2" s="24" t="s">
        <v>48</v>
      </c>
      <c r="K2" s="24" t="s">
        <v>50</v>
      </c>
      <c r="L2" s="24" t="s">
        <v>15</v>
      </c>
      <c r="M2" s="24" t="s">
        <v>16</v>
      </c>
      <c r="N2" s="20" t="s">
        <v>17</v>
      </c>
      <c r="O2" s="20" t="s">
        <v>18</v>
      </c>
      <c r="P2" s="34" t="s">
        <v>19</v>
      </c>
      <c r="Q2" s="24" t="s">
        <v>51</v>
      </c>
      <c r="R2" s="20" t="s">
        <v>21</v>
      </c>
      <c r="S2" s="37" t="s">
        <v>22</v>
      </c>
      <c r="T2" s="37" t="s">
        <v>23</v>
      </c>
      <c r="U2" s="37" t="s">
        <v>25</v>
      </c>
      <c r="V2" s="39"/>
    </row>
    <row r="3" spans="1:22" ht="12.75">
      <c r="A3" s="42">
        <v>46287</v>
      </c>
      <c r="B3" s="48" t="s">
        <v>70</v>
      </c>
      <c r="C3" s="49" t="s">
        <v>75</v>
      </c>
      <c r="D3" s="48" t="s">
        <v>80</v>
      </c>
      <c r="E3" s="52" t="s">
        <v>84</v>
      </c>
      <c r="F3" s="52" t="s">
        <v>88</v>
      </c>
      <c r="G3" s="42">
        <v>46229</v>
      </c>
      <c r="H3" s="42">
        <v>46349</v>
      </c>
      <c r="I3" s="52" t="s">
        <v>92</v>
      </c>
      <c r="J3" s="52" t="s">
        <v>93</v>
      </c>
      <c r="K3" s="48" t="s">
        <v>95</v>
      </c>
      <c r="L3" s="48" t="s">
        <v>86</v>
      </c>
      <c r="M3" s="48" t="s">
        <v>90</v>
      </c>
      <c r="N3" s="42" t="s">
        <v>97</v>
      </c>
      <c r="O3" s="42">
        <v>46308</v>
      </c>
      <c r="P3" s="61" t="s">
        <v>103</v>
      </c>
      <c r="Q3" s="48" t="s">
        <v>76</v>
      </c>
      <c r="R3" s="64"/>
      <c r="S3" s="66" t="s">
        <v>111</v>
      </c>
      <c r="T3" s="52" t="s">
        <v>114</v>
      </c>
      <c r="U3" s="48" t="s">
        <v>116</v>
      </c>
      <c r="V3" s="69"/>
    </row>
    <row r="4" spans="1:22" ht="12.75">
      <c r="A4" s="71">
        <v>46304</v>
      </c>
      <c r="B4" s="73" t="s">
        <v>119</v>
      </c>
      <c r="C4" s="73" t="s">
        <v>120</v>
      </c>
      <c r="D4" s="73" t="s">
        <v>121</v>
      </c>
      <c r="E4" s="75" t="s">
        <v>122</v>
      </c>
      <c r="F4" s="75" t="s">
        <v>88</v>
      </c>
      <c r="G4" s="71">
        <v>46278</v>
      </c>
      <c r="H4" s="77"/>
      <c r="I4" s="78" t="s">
        <v>127</v>
      </c>
      <c r="J4" s="75" t="s">
        <v>129</v>
      </c>
      <c r="K4" s="73" t="s">
        <v>95</v>
      </c>
      <c r="L4" s="73" t="s">
        <v>85</v>
      </c>
      <c r="M4" s="73" t="s">
        <v>87</v>
      </c>
      <c r="N4" s="71" t="s">
        <v>132</v>
      </c>
      <c r="O4" s="71">
        <v>46308</v>
      </c>
      <c r="P4" s="79" t="s">
        <v>133</v>
      </c>
      <c r="Q4" s="73" t="s">
        <v>34</v>
      </c>
      <c r="R4" s="71">
        <v>46308</v>
      </c>
      <c r="S4" s="82" t="s">
        <v>132</v>
      </c>
      <c r="T4" s="83"/>
      <c r="U4" s="83"/>
      <c r="V4" s="84"/>
    </row>
    <row r="5" spans="1:22" ht="12.75">
      <c r="A5" s="71">
        <v>46261</v>
      </c>
      <c r="B5" s="73" t="s">
        <v>28</v>
      </c>
      <c r="C5" s="73" t="s">
        <v>144</v>
      </c>
      <c r="D5" s="73" t="s">
        <v>145</v>
      </c>
      <c r="E5" s="75" t="s">
        <v>147</v>
      </c>
      <c r="F5" s="75" t="s">
        <v>88</v>
      </c>
      <c r="G5" s="71">
        <v>46210</v>
      </c>
      <c r="H5" s="71">
        <v>46330</v>
      </c>
      <c r="I5" s="83"/>
      <c r="J5" s="83"/>
      <c r="K5" s="73" t="s">
        <v>150</v>
      </c>
      <c r="L5" s="73" t="s">
        <v>52</v>
      </c>
      <c r="M5" s="73" t="s">
        <v>53</v>
      </c>
      <c r="N5" s="71" t="s">
        <v>55</v>
      </c>
      <c r="O5" s="71">
        <v>46308</v>
      </c>
      <c r="P5" s="79" t="s">
        <v>152</v>
      </c>
      <c r="Q5" s="73" t="s">
        <v>34</v>
      </c>
      <c r="R5" s="71">
        <v>46308</v>
      </c>
      <c r="S5" s="82" t="s">
        <v>55</v>
      </c>
      <c r="T5" s="83"/>
      <c r="U5" s="86"/>
      <c r="V5" s="87"/>
    </row>
    <row r="6" spans="1:22" ht="12.75">
      <c r="A6" s="71">
        <v>46261</v>
      </c>
      <c r="B6" s="73" t="s">
        <v>28</v>
      </c>
      <c r="C6" s="73" t="s">
        <v>168</v>
      </c>
      <c r="D6" s="89" t="s">
        <v>170</v>
      </c>
      <c r="E6" s="75" t="s">
        <v>174</v>
      </c>
      <c r="F6" s="75" t="s">
        <v>88</v>
      </c>
      <c r="G6" s="77"/>
      <c r="H6" s="77"/>
      <c r="I6" s="90"/>
      <c r="J6" s="83"/>
      <c r="K6" s="73" t="s">
        <v>150</v>
      </c>
      <c r="L6" s="73" t="s">
        <v>52</v>
      </c>
      <c r="M6" s="73" t="s">
        <v>53</v>
      </c>
      <c r="N6" s="71" t="s">
        <v>55</v>
      </c>
      <c r="O6" s="71">
        <v>46308</v>
      </c>
      <c r="P6" s="79" t="s">
        <v>180</v>
      </c>
      <c r="Q6" s="73" t="s">
        <v>34</v>
      </c>
      <c r="R6" s="71">
        <v>46308</v>
      </c>
      <c r="S6" s="82" t="s">
        <v>55</v>
      </c>
      <c r="T6" s="83"/>
      <c r="U6" s="83"/>
      <c r="V6" s="87"/>
    </row>
    <row r="7" spans="1:22" ht="12.75">
      <c r="A7" s="71">
        <v>46261</v>
      </c>
      <c r="B7" s="73" t="s">
        <v>59</v>
      </c>
      <c r="C7" s="73" t="s">
        <v>187</v>
      </c>
      <c r="D7" s="73" t="s">
        <v>188</v>
      </c>
      <c r="E7" s="75" t="s">
        <v>189</v>
      </c>
      <c r="F7" s="75" t="s">
        <v>88</v>
      </c>
      <c r="G7" s="77"/>
      <c r="H7" s="77"/>
      <c r="I7" s="83"/>
      <c r="J7" s="83"/>
      <c r="K7" s="73" t="s">
        <v>150</v>
      </c>
      <c r="L7" s="73" t="s">
        <v>52</v>
      </c>
      <c r="M7" s="73" t="s">
        <v>53</v>
      </c>
      <c r="N7" s="71" t="s">
        <v>55</v>
      </c>
      <c r="O7" s="71">
        <v>46308</v>
      </c>
      <c r="P7" s="79" t="s">
        <v>180</v>
      </c>
      <c r="Q7" s="73" t="s">
        <v>34</v>
      </c>
      <c r="R7" s="71">
        <v>46308</v>
      </c>
      <c r="S7" s="82" t="s">
        <v>55</v>
      </c>
      <c r="T7" s="83"/>
      <c r="U7" s="83"/>
      <c r="V7" s="87"/>
    </row>
    <row r="8" spans="1:22" ht="12.75">
      <c r="A8" s="71">
        <v>46261</v>
      </c>
      <c r="B8" s="73" t="s">
        <v>59</v>
      </c>
      <c r="C8" s="73" t="s">
        <v>198</v>
      </c>
      <c r="D8" s="73" t="s">
        <v>199</v>
      </c>
      <c r="E8" s="75" t="s">
        <v>200</v>
      </c>
      <c r="F8" s="75" t="s">
        <v>88</v>
      </c>
      <c r="G8" s="77"/>
      <c r="H8" s="77"/>
      <c r="I8" s="90"/>
      <c r="J8" s="83"/>
      <c r="K8" s="73" t="s">
        <v>150</v>
      </c>
      <c r="L8" s="73" t="s">
        <v>52</v>
      </c>
      <c r="M8" s="73" t="s">
        <v>53</v>
      </c>
      <c r="N8" s="71" t="s">
        <v>55</v>
      </c>
      <c r="O8" s="71">
        <v>46308</v>
      </c>
      <c r="P8" s="79" t="s">
        <v>180</v>
      </c>
      <c r="Q8" s="73" t="s">
        <v>34</v>
      </c>
      <c r="R8" s="71">
        <v>46308</v>
      </c>
      <c r="S8" s="82" t="s">
        <v>55</v>
      </c>
      <c r="T8" s="83"/>
      <c r="U8" s="83"/>
      <c r="V8" s="87"/>
    </row>
    <row r="9" spans="1:22" ht="12.75">
      <c r="A9" s="71">
        <v>46261</v>
      </c>
      <c r="B9" s="73" t="s">
        <v>59</v>
      </c>
      <c r="C9" s="73" t="s">
        <v>198</v>
      </c>
      <c r="D9" s="73" t="s">
        <v>204</v>
      </c>
      <c r="E9" s="75" t="s">
        <v>205</v>
      </c>
      <c r="F9" s="75" t="s">
        <v>88</v>
      </c>
      <c r="G9" s="77"/>
      <c r="H9" s="77"/>
      <c r="I9" s="90"/>
      <c r="J9" s="83"/>
      <c r="K9" s="73" t="s">
        <v>150</v>
      </c>
      <c r="L9" s="73" t="s">
        <v>52</v>
      </c>
      <c r="M9" s="73" t="s">
        <v>53</v>
      </c>
      <c r="N9" s="71" t="s">
        <v>55</v>
      </c>
      <c r="O9" s="71">
        <v>46308</v>
      </c>
      <c r="P9" s="79" t="s">
        <v>180</v>
      </c>
      <c r="Q9" s="73" t="s">
        <v>34</v>
      </c>
      <c r="R9" s="71">
        <v>46308</v>
      </c>
      <c r="S9" s="82" t="s">
        <v>55</v>
      </c>
      <c r="T9" s="83"/>
      <c r="U9" s="83"/>
      <c r="V9" s="87"/>
    </row>
    <row r="10" spans="1:22" ht="12.75">
      <c r="A10" s="71">
        <v>46261</v>
      </c>
      <c r="B10" s="73" t="s">
        <v>59</v>
      </c>
      <c r="C10" s="73" t="s">
        <v>155</v>
      </c>
      <c r="D10" s="73" t="s">
        <v>211</v>
      </c>
      <c r="E10" s="75" t="s">
        <v>212</v>
      </c>
      <c r="F10" s="75" t="s">
        <v>88</v>
      </c>
      <c r="G10" s="71">
        <v>46211</v>
      </c>
      <c r="H10" s="71">
        <v>46331</v>
      </c>
      <c r="I10" s="90"/>
      <c r="J10" s="83"/>
      <c r="K10" s="73" t="s">
        <v>150</v>
      </c>
      <c r="L10" s="73" t="s">
        <v>52</v>
      </c>
      <c r="M10" s="73" t="s">
        <v>53</v>
      </c>
      <c r="N10" s="71" t="s">
        <v>55</v>
      </c>
      <c r="O10" s="71">
        <v>46308</v>
      </c>
      <c r="P10" s="79" t="s">
        <v>216</v>
      </c>
      <c r="Q10" s="73" t="s">
        <v>34</v>
      </c>
      <c r="R10" s="71">
        <v>46308</v>
      </c>
      <c r="S10" s="82" t="s">
        <v>55</v>
      </c>
      <c r="T10" s="83"/>
      <c r="U10" s="83"/>
      <c r="V10" s="87"/>
    </row>
    <row r="11" spans="1:22" ht="12.75">
      <c r="A11" s="71">
        <v>46276</v>
      </c>
      <c r="B11" s="73" t="s">
        <v>59</v>
      </c>
      <c r="C11" s="73" t="s">
        <v>155</v>
      </c>
      <c r="D11" s="73" t="s">
        <v>220</v>
      </c>
      <c r="E11" s="75" t="s">
        <v>221</v>
      </c>
      <c r="F11" s="75" t="s">
        <v>88</v>
      </c>
      <c r="G11" s="71">
        <v>46296</v>
      </c>
      <c r="H11" s="71">
        <v>46296</v>
      </c>
      <c r="I11" s="83"/>
      <c r="J11" s="83"/>
      <c r="K11" s="73" t="s">
        <v>150</v>
      </c>
      <c r="L11" s="73" t="s">
        <v>52</v>
      </c>
      <c r="M11" s="73" t="s">
        <v>53</v>
      </c>
      <c r="N11" s="71" t="s">
        <v>55</v>
      </c>
      <c r="O11" s="71">
        <v>46308</v>
      </c>
      <c r="P11" s="79" t="s">
        <v>222</v>
      </c>
      <c r="Q11" s="73" t="s">
        <v>34</v>
      </c>
      <c r="R11" s="71">
        <v>46308</v>
      </c>
      <c r="S11" s="82" t="s">
        <v>55</v>
      </c>
      <c r="T11" s="83"/>
      <c r="U11" s="83"/>
      <c r="V11" s="87"/>
    </row>
    <row r="12" spans="1:22" ht="12.75">
      <c r="A12" s="71">
        <v>46276</v>
      </c>
      <c r="B12" s="73" t="s">
        <v>59</v>
      </c>
      <c r="C12" s="73" t="s">
        <v>155</v>
      </c>
      <c r="D12" s="73" t="s">
        <v>224</v>
      </c>
      <c r="E12" s="75" t="s">
        <v>225</v>
      </c>
      <c r="F12" s="75" t="s">
        <v>88</v>
      </c>
      <c r="G12" s="71">
        <v>46296</v>
      </c>
      <c r="H12" s="71">
        <v>46296</v>
      </c>
      <c r="I12" s="83"/>
      <c r="J12" s="83"/>
      <c r="K12" s="73" t="s">
        <v>150</v>
      </c>
      <c r="L12" s="73" t="s">
        <v>52</v>
      </c>
      <c r="M12" s="73" t="s">
        <v>53</v>
      </c>
      <c r="N12" s="71" t="s">
        <v>55</v>
      </c>
      <c r="O12" s="71">
        <v>46308</v>
      </c>
      <c r="P12" s="79" t="s">
        <v>222</v>
      </c>
      <c r="Q12" s="73" t="s">
        <v>34</v>
      </c>
      <c r="R12" s="71">
        <v>46308</v>
      </c>
      <c r="S12" s="82" t="s">
        <v>55</v>
      </c>
      <c r="T12" s="83"/>
      <c r="U12" s="83"/>
      <c r="V12" s="87"/>
    </row>
    <row r="13" spans="1:22" ht="12.75">
      <c r="A13" s="71">
        <v>46276</v>
      </c>
      <c r="B13" s="73" t="s">
        <v>59</v>
      </c>
      <c r="C13" s="73" t="s">
        <v>155</v>
      </c>
      <c r="D13" s="73" t="s">
        <v>228</v>
      </c>
      <c r="E13" s="75" t="s">
        <v>229</v>
      </c>
      <c r="F13" s="75" t="s">
        <v>88</v>
      </c>
      <c r="G13" s="71">
        <v>46296</v>
      </c>
      <c r="H13" s="71">
        <v>46296</v>
      </c>
      <c r="I13" s="83"/>
      <c r="J13" s="83"/>
      <c r="K13" s="73" t="s">
        <v>150</v>
      </c>
      <c r="L13" s="73" t="s">
        <v>52</v>
      </c>
      <c r="M13" s="73" t="s">
        <v>53</v>
      </c>
      <c r="N13" s="71" t="s">
        <v>55</v>
      </c>
      <c r="O13" s="71">
        <v>46308</v>
      </c>
      <c r="P13" s="79" t="s">
        <v>222</v>
      </c>
      <c r="Q13" s="73" t="s">
        <v>34</v>
      </c>
      <c r="R13" s="71">
        <v>46308</v>
      </c>
      <c r="S13" s="82" t="s">
        <v>55</v>
      </c>
      <c r="T13" s="83"/>
      <c r="U13" s="83"/>
      <c r="V13" s="87"/>
    </row>
    <row r="14" spans="1:22" ht="12.75">
      <c r="A14" s="71">
        <v>46261</v>
      </c>
      <c r="B14" s="73" t="s">
        <v>28</v>
      </c>
      <c r="C14" s="73" t="s">
        <v>230</v>
      </c>
      <c r="D14" s="73" t="s">
        <v>231</v>
      </c>
      <c r="E14" s="75" t="s">
        <v>233</v>
      </c>
      <c r="F14" s="75" t="s">
        <v>88</v>
      </c>
      <c r="G14" s="71">
        <v>46211</v>
      </c>
      <c r="H14" s="71">
        <v>46331</v>
      </c>
      <c r="I14" s="83"/>
      <c r="J14" s="83"/>
      <c r="K14" s="73" t="s">
        <v>150</v>
      </c>
      <c r="L14" s="73" t="s">
        <v>52</v>
      </c>
      <c r="M14" s="73" t="s">
        <v>53</v>
      </c>
      <c r="N14" s="71" t="s">
        <v>55</v>
      </c>
      <c r="O14" s="71">
        <v>46308</v>
      </c>
      <c r="P14" s="79" t="s">
        <v>152</v>
      </c>
      <c r="Q14" s="73" t="s">
        <v>34</v>
      </c>
      <c r="R14" s="71">
        <v>46308</v>
      </c>
      <c r="S14" s="82" t="s">
        <v>55</v>
      </c>
      <c r="T14" s="83"/>
      <c r="U14" s="83"/>
      <c r="V14" s="87"/>
    </row>
    <row r="15" spans="1:22" ht="12.75">
      <c r="A15" s="71">
        <v>46261</v>
      </c>
      <c r="B15" s="73" t="s">
        <v>28</v>
      </c>
      <c r="C15" s="73" t="s">
        <v>230</v>
      </c>
      <c r="D15" s="73" t="s">
        <v>237</v>
      </c>
      <c r="E15" s="75" t="s">
        <v>238</v>
      </c>
      <c r="F15" s="75" t="s">
        <v>88</v>
      </c>
      <c r="G15" s="71">
        <v>46216</v>
      </c>
      <c r="H15" s="71">
        <v>46336</v>
      </c>
      <c r="I15" s="119"/>
      <c r="J15" s="83"/>
      <c r="K15" s="73" t="s">
        <v>150</v>
      </c>
      <c r="L15" s="73" t="s">
        <v>52</v>
      </c>
      <c r="M15" s="73" t="s">
        <v>53</v>
      </c>
      <c r="N15" s="71" t="s">
        <v>55</v>
      </c>
      <c r="O15" s="71">
        <v>46308</v>
      </c>
      <c r="P15" s="79" t="s">
        <v>152</v>
      </c>
      <c r="Q15" s="73" t="s">
        <v>34</v>
      </c>
      <c r="R15" s="71">
        <v>46308</v>
      </c>
      <c r="S15" s="82" t="s">
        <v>55</v>
      </c>
      <c r="T15" s="83"/>
      <c r="U15" s="83"/>
      <c r="V15" s="87"/>
    </row>
    <row r="16" spans="1:22" ht="12.75">
      <c r="A16" s="71">
        <v>46261</v>
      </c>
      <c r="B16" s="73" t="s">
        <v>59</v>
      </c>
      <c r="C16" s="73" t="s">
        <v>60</v>
      </c>
      <c r="D16" s="73" t="s">
        <v>241</v>
      </c>
      <c r="E16" s="75" t="s">
        <v>242</v>
      </c>
      <c r="F16" s="75" t="s">
        <v>88</v>
      </c>
      <c r="G16" s="71">
        <v>46209</v>
      </c>
      <c r="H16" s="71">
        <v>46329</v>
      </c>
      <c r="I16" s="78" t="s">
        <v>243</v>
      </c>
      <c r="J16" s="75" t="s">
        <v>244</v>
      </c>
      <c r="K16" s="73" t="s">
        <v>150</v>
      </c>
      <c r="L16" s="73" t="s">
        <v>52</v>
      </c>
      <c r="M16" s="73" t="s">
        <v>53</v>
      </c>
      <c r="N16" s="71" t="s">
        <v>55</v>
      </c>
      <c r="O16" s="71">
        <v>46308</v>
      </c>
      <c r="P16" s="79" t="s">
        <v>152</v>
      </c>
      <c r="Q16" s="73" t="s">
        <v>34</v>
      </c>
      <c r="R16" s="71">
        <v>46308</v>
      </c>
      <c r="S16" s="82" t="s">
        <v>66</v>
      </c>
      <c r="T16" s="83"/>
      <c r="U16" s="83"/>
      <c r="V16" s="87"/>
    </row>
    <row r="17" spans="1:22" ht="36">
      <c r="A17" s="71">
        <v>46261</v>
      </c>
      <c r="B17" s="73" t="s">
        <v>28</v>
      </c>
      <c r="C17" s="73" t="s">
        <v>246</v>
      </c>
      <c r="D17" s="73" t="s">
        <v>247</v>
      </c>
      <c r="E17" s="75" t="s">
        <v>248</v>
      </c>
      <c r="F17" s="75" t="s">
        <v>88</v>
      </c>
      <c r="G17" s="77"/>
      <c r="H17" s="77"/>
      <c r="I17" s="90"/>
      <c r="J17" s="83"/>
      <c r="K17" s="73" t="s">
        <v>150</v>
      </c>
      <c r="L17" s="73" t="s">
        <v>52</v>
      </c>
      <c r="M17" s="73" t="s">
        <v>53</v>
      </c>
      <c r="N17" s="71" t="s">
        <v>55</v>
      </c>
      <c r="O17" s="71">
        <v>46308</v>
      </c>
      <c r="P17" s="79" t="s">
        <v>180</v>
      </c>
      <c r="Q17" s="73" t="s">
        <v>34</v>
      </c>
      <c r="R17" s="71">
        <v>46308</v>
      </c>
      <c r="S17" s="82" t="s">
        <v>55</v>
      </c>
      <c r="T17" s="83"/>
      <c r="U17" s="83"/>
      <c r="V17" s="87"/>
    </row>
    <row r="18" spans="1:22" ht="12.75">
      <c r="A18" s="71">
        <v>46304</v>
      </c>
      <c r="B18" s="73" t="s">
        <v>59</v>
      </c>
      <c r="C18" s="73" t="s">
        <v>250</v>
      </c>
      <c r="D18" s="73" t="s">
        <v>251</v>
      </c>
      <c r="E18" s="75" t="s">
        <v>252</v>
      </c>
      <c r="F18" s="75" t="s">
        <v>88</v>
      </c>
      <c r="G18" s="77"/>
      <c r="H18" s="71">
        <v>46420</v>
      </c>
      <c r="I18" s="90"/>
      <c r="J18" s="83"/>
      <c r="K18" s="73" t="s">
        <v>150</v>
      </c>
      <c r="L18" s="73" t="s">
        <v>52</v>
      </c>
      <c r="M18" s="73" t="s">
        <v>53</v>
      </c>
      <c r="N18" s="71" t="s">
        <v>55</v>
      </c>
      <c r="O18" s="71">
        <v>46308</v>
      </c>
      <c r="P18" s="79" t="s">
        <v>254</v>
      </c>
      <c r="Q18" s="73" t="s">
        <v>34</v>
      </c>
      <c r="R18" s="71">
        <v>46308</v>
      </c>
      <c r="S18" s="82" t="s">
        <v>55</v>
      </c>
      <c r="T18" s="83"/>
      <c r="U18" s="83"/>
      <c r="V18" s="87"/>
    </row>
    <row r="19" spans="1:22" ht="12.75">
      <c r="A19" s="71">
        <v>46261</v>
      </c>
      <c r="B19" s="73" t="s">
        <v>59</v>
      </c>
      <c r="C19" s="73" t="s">
        <v>250</v>
      </c>
      <c r="D19" s="73" t="s">
        <v>251</v>
      </c>
      <c r="E19" s="75" t="s">
        <v>252</v>
      </c>
      <c r="F19" s="75" t="s">
        <v>88</v>
      </c>
      <c r="G19" s="77"/>
      <c r="H19" s="77"/>
      <c r="I19" s="90"/>
      <c r="J19" s="83"/>
      <c r="K19" s="73" t="s">
        <v>150</v>
      </c>
      <c r="L19" s="73" t="s">
        <v>52</v>
      </c>
      <c r="M19" s="73" t="s">
        <v>53</v>
      </c>
      <c r="N19" s="71" t="s">
        <v>55</v>
      </c>
      <c r="O19" s="71">
        <v>46308</v>
      </c>
      <c r="P19" s="79" t="s">
        <v>180</v>
      </c>
      <c r="Q19" s="73" t="s">
        <v>34</v>
      </c>
      <c r="R19" s="71">
        <v>46308</v>
      </c>
      <c r="S19" s="82" t="s">
        <v>55</v>
      </c>
      <c r="T19" s="83"/>
      <c r="U19" s="83"/>
      <c r="V19" s="87"/>
    </row>
    <row r="20" spans="1:22" ht="12.75">
      <c r="A20" s="71">
        <v>46261</v>
      </c>
      <c r="B20" s="73" t="s">
        <v>59</v>
      </c>
      <c r="C20" s="73" t="s">
        <v>250</v>
      </c>
      <c r="D20" s="73" t="s">
        <v>257</v>
      </c>
      <c r="E20" s="75" t="s">
        <v>258</v>
      </c>
      <c r="F20" s="75" t="s">
        <v>88</v>
      </c>
      <c r="G20" s="77"/>
      <c r="H20" s="77"/>
      <c r="I20" s="83"/>
      <c r="J20" s="83"/>
      <c r="K20" s="73" t="s">
        <v>150</v>
      </c>
      <c r="L20" s="73" t="s">
        <v>52</v>
      </c>
      <c r="M20" s="73" t="s">
        <v>53</v>
      </c>
      <c r="N20" s="71" t="s">
        <v>55</v>
      </c>
      <c r="O20" s="71">
        <v>46308</v>
      </c>
      <c r="P20" s="79" t="s">
        <v>180</v>
      </c>
      <c r="Q20" s="73" t="s">
        <v>34</v>
      </c>
      <c r="R20" s="71">
        <v>46308</v>
      </c>
      <c r="S20" s="82" t="s">
        <v>55</v>
      </c>
      <c r="T20" s="83"/>
      <c r="U20" s="83"/>
      <c r="V20" s="87"/>
    </row>
    <row r="21" spans="1:22" ht="12.75">
      <c r="A21" s="71">
        <v>46261</v>
      </c>
      <c r="B21" s="73" t="s">
        <v>260</v>
      </c>
      <c r="C21" s="73" t="s">
        <v>261</v>
      </c>
      <c r="D21" s="73" t="s">
        <v>262</v>
      </c>
      <c r="E21" s="75" t="s">
        <v>263</v>
      </c>
      <c r="F21" s="75" t="s">
        <v>88</v>
      </c>
      <c r="G21" s="77"/>
      <c r="H21" s="77"/>
      <c r="I21" s="90"/>
      <c r="J21" s="83"/>
      <c r="K21" s="73" t="s">
        <v>150</v>
      </c>
      <c r="L21" s="73" t="s">
        <v>52</v>
      </c>
      <c r="M21" s="73" t="s">
        <v>90</v>
      </c>
      <c r="N21" s="71" t="s">
        <v>55</v>
      </c>
      <c r="O21" s="71">
        <v>46308</v>
      </c>
      <c r="P21" s="79" t="s">
        <v>180</v>
      </c>
      <c r="Q21" s="73" t="s">
        <v>34</v>
      </c>
      <c r="R21" s="71">
        <v>46308</v>
      </c>
      <c r="S21" s="82" t="s">
        <v>55</v>
      </c>
      <c r="T21" s="83"/>
      <c r="U21" s="83"/>
      <c r="V21" s="87"/>
    </row>
    <row r="22" spans="1:22" ht="12.75">
      <c r="A22" s="71">
        <v>46261</v>
      </c>
      <c r="B22" s="73" t="s">
        <v>260</v>
      </c>
      <c r="C22" s="73" t="s">
        <v>261</v>
      </c>
      <c r="D22" s="73" t="s">
        <v>265</v>
      </c>
      <c r="E22" s="75" t="s">
        <v>266</v>
      </c>
      <c r="F22" s="75" t="s">
        <v>88</v>
      </c>
      <c r="G22" s="77"/>
      <c r="H22" s="77"/>
      <c r="I22" s="90"/>
      <c r="J22" s="83"/>
      <c r="K22" s="73" t="s">
        <v>150</v>
      </c>
      <c r="L22" s="73" t="s">
        <v>52</v>
      </c>
      <c r="M22" s="73" t="s">
        <v>90</v>
      </c>
      <c r="N22" s="71" t="s">
        <v>55</v>
      </c>
      <c r="O22" s="71">
        <v>46308</v>
      </c>
      <c r="P22" s="79" t="s">
        <v>180</v>
      </c>
      <c r="Q22" s="73" t="s">
        <v>34</v>
      </c>
      <c r="R22" s="71">
        <v>46308</v>
      </c>
      <c r="S22" s="82" t="s">
        <v>55</v>
      </c>
      <c r="T22" s="83"/>
      <c r="U22" s="83"/>
      <c r="V22" s="87"/>
    </row>
    <row r="23" spans="1:22" ht="12.75">
      <c r="A23" s="71">
        <v>46261</v>
      </c>
      <c r="B23" s="73" t="s">
        <v>260</v>
      </c>
      <c r="C23" s="73" t="s">
        <v>261</v>
      </c>
      <c r="D23" s="73" t="s">
        <v>269</v>
      </c>
      <c r="E23" s="75" t="s">
        <v>270</v>
      </c>
      <c r="F23" s="75" t="s">
        <v>88</v>
      </c>
      <c r="G23" s="77"/>
      <c r="H23" s="77"/>
      <c r="I23" s="90"/>
      <c r="J23" s="83"/>
      <c r="K23" s="73" t="s">
        <v>150</v>
      </c>
      <c r="L23" s="73" t="s">
        <v>52</v>
      </c>
      <c r="M23" s="73" t="s">
        <v>90</v>
      </c>
      <c r="N23" s="71" t="s">
        <v>55</v>
      </c>
      <c r="O23" s="71">
        <v>46308</v>
      </c>
      <c r="P23" s="79" t="s">
        <v>180</v>
      </c>
      <c r="Q23" s="73" t="s">
        <v>34</v>
      </c>
      <c r="R23" s="71">
        <v>46308</v>
      </c>
      <c r="S23" s="82" t="s">
        <v>55</v>
      </c>
      <c r="T23" s="83"/>
      <c r="U23" s="83"/>
      <c r="V23" s="87"/>
    </row>
    <row r="24" spans="1:22" ht="12.75">
      <c r="A24" s="71">
        <v>46261</v>
      </c>
      <c r="B24" s="73" t="s">
        <v>260</v>
      </c>
      <c r="C24" s="73" t="s">
        <v>261</v>
      </c>
      <c r="D24" s="89" t="s">
        <v>273</v>
      </c>
      <c r="E24" s="75" t="s">
        <v>274</v>
      </c>
      <c r="F24" s="75" t="s">
        <v>88</v>
      </c>
      <c r="G24" s="77"/>
      <c r="H24" s="77"/>
      <c r="I24" s="90"/>
      <c r="J24" s="83"/>
      <c r="K24" s="73" t="s">
        <v>150</v>
      </c>
      <c r="L24" s="73" t="s">
        <v>52</v>
      </c>
      <c r="M24" s="73" t="s">
        <v>90</v>
      </c>
      <c r="N24" s="71" t="s">
        <v>55</v>
      </c>
      <c r="O24" s="71">
        <v>46308</v>
      </c>
      <c r="P24" s="79" t="s">
        <v>180</v>
      </c>
      <c r="Q24" s="73" t="s">
        <v>34</v>
      </c>
      <c r="R24" s="71">
        <v>46308</v>
      </c>
      <c r="S24" s="82" t="s">
        <v>55</v>
      </c>
      <c r="T24" s="86"/>
      <c r="U24" s="83"/>
      <c r="V24" s="87"/>
    </row>
    <row r="25" spans="1:22" ht="36">
      <c r="A25" s="71">
        <v>46261</v>
      </c>
      <c r="B25" s="73" t="s">
        <v>260</v>
      </c>
      <c r="C25" s="73" t="s">
        <v>261</v>
      </c>
      <c r="D25" s="73" t="s">
        <v>276</v>
      </c>
      <c r="E25" s="75" t="s">
        <v>277</v>
      </c>
      <c r="F25" s="75" t="s">
        <v>88</v>
      </c>
      <c r="G25" s="71">
        <v>46207</v>
      </c>
      <c r="H25" s="71">
        <v>46327</v>
      </c>
      <c r="I25" s="90"/>
      <c r="J25" s="83"/>
      <c r="K25" s="73" t="s">
        <v>150</v>
      </c>
      <c r="L25" s="73" t="s">
        <v>52</v>
      </c>
      <c r="M25" s="73" t="s">
        <v>90</v>
      </c>
      <c r="N25" s="71" t="s">
        <v>55</v>
      </c>
      <c r="O25" s="71">
        <v>46308</v>
      </c>
      <c r="P25" s="79" t="s">
        <v>152</v>
      </c>
      <c r="Q25" s="73" t="s">
        <v>34</v>
      </c>
      <c r="R25" s="71">
        <v>46308</v>
      </c>
      <c r="S25" s="82" t="s">
        <v>55</v>
      </c>
      <c r="T25" s="83"/>
      <c r="U25" s="83"/>
      <c r="V25" s="87"/>
    </row>
    <row r="26" spans="1:22" ht="12.75">
      <c r="A26" s="71">
        <v>46261</v>
      </c>
      <c r="B26" s="73" t="s">
        <v>260</v>
      </c>
      <c r="C26" s="73" t="s">
        <v>279</v>
      </c>
      <c r="D26" s="73" t="s">
        <v>280</v>
      </c>
      <c r="E26" s="75" t="s">
        <v>281</v>
      </c>
      <c r="F26" s="75" t="s">
        <v>88</v>
      </c>
      <c r="G26" s="77"/>
      <c r="H26" s="77"/>
      <c r="I26" s="90"/>
      <c r="J26" s="83"/>
      <c r="K26" s="73" t="s">
        <v>150</v>
      </c>
      <c r="L26" s="73" t="s">
        <v>52</v>
      </c>
      <c r="M26" s="73" t="s">
        <v>90</v>
      </c>
      <c r="N26" s="71" t="s">
        <v>55</v>
      </c>
      <c r="O26" s="71">
        <v>46308</v>
      </c>
      <c r="P26" s="79" t="s">
        <v>180</v>
      </c>
      <c r="Q26" s="73" t="s">
        <v>34</v>
      </c>
      <c r="R26" s="71">
        <v>46308</v>
      </c>
      <c r="S26" s="82" t="s">
        <v>55</v>
      </c>
      <c r="T26" s="83"/>
      <c r="U26" s="83"/>
      <c r="V26" s="87"/>
    </row>
    <row r="27" spans="1:22" ht="12.75">
      <c r="A27" s="71">
        <v>46303</v>
      </c>
      <c r="B27" s="73" t="s">
        <v>70</v>
      </c>
      <c r="C27" s="73" t="s">
        <v>253</v>
      </c>
      <c r="D27" s="73" t="s">
        <v>282</v>
      </c>
      <c r="E27" s="75" t="s">
        <v>283</v>
      </c>
      <c r="F27" s="75" t="s">
        <v>88</v>
      </c>
      <c r="G27" s="71">
        <v>46303</v>
      </c>
      <c r="H27" s="71">
        <v>46423</v>
      </c>
      <c r="I27" s="90"/>
      <c r="J27" s="83"/>
      <c r="K27" s="73" t="s">
        <v>150</v>
      </c>
      <c r="L27" s="73" t="s">
        <v>86</v>
      </c>
      <c r="M27" s="73" t="s">
        <v>90</v>
      </c>
      <c r="N27" s="71" t="s">
        <v>111</v>
      </c>
      <c r="O27" s="71">
        <v>46308</v>
      </c>
      <c r="P27" s="79" t="s">
        <v>254</v>
      </c>
      <c r="Q27" s="73" t="s">
        <v>34</v>
      </c>
      <c r="R27" s="71">
        <v>46308</v>
      </c>
      <c r="S27" s="82" t="s">
        <v>111</v>
      </c>
      <c r="T27" s="75" t="s">
        <v>284</v>
      </c>
      <c r="U27" s="83"/>
      <c r="V27" s="87"/>
    </row>
    <row r="28" spans="1:22" ht="24">
      <c r="A28" s="42">
        <v>46304</v>
      </c>
      <c r="B28" s="48" t="s">
        <v>28</v>
      </c>
      <c r="C28" s="48" t="s">
        <v>285</v>
      </c>
      <c r="D28" s="137" t="s">
        <v>286</v>
      </c>
      <c r="E28" s="52" t="s">
        <v>287</v>
      </c>
      <c r="F28" s="52" t="s">
        <v>88</v>
      </c>
      <c r="G28" s="42">
        <v>46269</v>
      </c>
      <c r="H28" s="42">
        <v>46389</v>
      </c>
      <c r="I28" s="138" t="s">
        <v>288</v>
      </c>
      <c r="J28" s="52" t="s">
        <v>289</v>
      </c>
      <c r="K28" s="48" t="s">
        <v>95</v>
      </c>
      <c r="L28" s="48" t="s">
        <v>52</v>
      </c>
      <c r="M28" s="48" t="s">
        <v>53</v>
      </c>
      <c r="N28" s="42" t="s">
        <v>55</v>
      </c>
      <c r="O28" s="42">
        <v>46308</v>
      </c>
      <c r="P28" s="139"/>
      <c r="Q28" s="48" t="s">
        <v>76</v>
      </c>
      <c r="R28" s="64"/>
      <c r="S28" s="66" t="s">
        <v>290</v>
      </c>
      <c r="T28" s="52" t="s">
        <v>291</v>
      </c>
      <c r="U28" s="48" t="s">
        <v>116</v>
      </c>
      <c r="V28" s="87"/>
    </row>
    <row r="29" spans="1:22" ht="12.75">
      <c r="A29" s="71">
        <v>46304</v>
      </c>
      <c r="B29" s="73" t="s">
        <v>59</v>
      </c>
      <c r="C29" s="73" t="s">
        <v>292</v>
      </c>
      <c r="D29" s="73" t="s">
        <v>293</v>
      </c>
      <c r="E29" s="75" t="s">
        <v>294</v>
      </c>
      <c r="F29" s="75" t="s">
        <v>295</v>
      </c>
      <c r="G29" s="77"/>
      <c r="H29" s="71">
        <v>46390</v>
      </c>
      <c r="I29" s="90"/>
      <c r="J29" s="83"/>
      <c r="K29" s="73" t="s">
        <v>95</v>
      </c>
      <c r="L29" s="73" t="s">
        <v>52</v>
      </c>
      <c r="M29" s="73" t="s">
        <v>53</v>
      </c>
      <c r="N29" s="71" t="s">
        <v>55</v>
      </c>
      <c r="O29" s="71">
        <v>46308</v>
      </c>
      <c r="P29" s="140"/>
      <c r="Q29" s="73" t="s">
        <v>34</v>
      </c>
      <c r="R29" s="77"/>
      <c r="S29" s="82" t="s">
        <v>55</v>
      </c>
      <c r="T29" s="83"/>
      <c r="U29" s="83"/>
      <c r="V29" s="87"/>
    </row>
    <row r="30" spans="1:22" ht="24">
      <c r="A30" s="71">
        <v>46261</v>
      </c>
      <c r="B30" s="73" t="s">
        <v>100</v>
      </c>
      <c r="C30" s="73" t="s">
        <v>296</v>
      </c>
      <c r="D30" s="73" t="s">
        <v>297</v>
      </c>
      <c r="E30" s="75" t="s">
        <v>298</v>
      </c>
      <c r="F30" s="75" t="s">
        <v>88</v>
      </c>
      <c r="G30" s="71">
        <v>46304</v>
      </c>
      <c r="H30" s="71">
        <v>46424</v>
      </c>
      <c r="I30" s="78" t="s">
        <v>299</v>
      </c>
      <c r="J30" s="75" t="s">
        <v>300</v>
      </c>
      <c r="K30" s="73" t="s">
        <v>95</v>
      </c>
      <c r="L30" s="73" t="s">
        <v>108</v>
      </c>
      <c r="M30" s="73" t="s">
        <v>53</v>
      </c>
      <c r="N30" s="71" t="s">
        <v>55</v>
      </c>
      <c r="O30" s="71">
        <v>46308</v>
      </c>
      <c r="P30" s="79" t="s">
        <v>301</v>
      </c>
      <c r="Q30" s="73" t="s">
        <v>34</v>
      </c>
      <c r="R30" s="71">
        <v>46308</v>
      </c>
      <c r="S30" s="82" t="s">
        <v>55</v>
      </c>
      <c r="T30" s="83"/>
      <c r="U30" s="83"/>
      <c r="V30" s="87"/>
    </row>
    <row r="31" spans="1:22" ht="12.75">
      <c r="A31" s="42">
        <v>46261</v>
      </c>
      <c r="B31" s="48" t="s">
        <v>100</v>
      </c>
      <c r="C31" s="48" t="s">
        <v>302</v>
      </c>
      <c r="D31" s="48" t="s">
        <v>303</v>
      </c>
      <c r="E31" s="52" t="s">
        <v>304</v>
      </c>
      <c r="F31" s="52" t="s">
        <v>295</v>
      </c>
      <c r="G31" s="42">
        <v>46303</v>
      </c>
      <c r="H31" s="42">
        <v>46423</v>
      </c>
      <c r="I31" s="141"/>
      <c r="J31" s="142"/>
      <c r="K31" s="48" t="s">
        <v>95</v>
      </c>
      <c r="L31" s="48" t="s">
        <v>108</v>
      </c>
      <c r="M31" s="48" t="s">
        <v>53</v>
      </c>
      <c r="N31" s="42" t="s">
        <v>55</v>
      </c>
      <c r="O31" s="42">
        <v>46308</v>
      </c>
      <c r="P31" s="139"/>
      <c r="Q31" s="48" t="s">
        <v>76</v>
      </c>
      <c r="R31" s="64"/>
      <c r="S31" s="66" t="s">
        <v>214</v>
      </c>
      <c r="T31" s="52" t="s">
        <v>305</v>
      </c>
      <c r="U31" s="48" t="s">
        <v>116</v>
      </c>
      <c r="V31" s="87"/>
    </row>
    <row r="32" spans="1:22" ht="12.75">
      <c r="A32" s="71">
        <v>46261</v>
      </c>
      <c r="B32" s="73" t="s">
        <v>112</v>
      </c>
      <c r="C32" s="73" t="s">
        <v>306</v>
      </c>
      <c r="D32" s="73" t="s">
        <v>307</v>
      </c>
      <c r="E32" s="75" t="s">
        <v>308</v>
      </c>
      <c r="F32" s="75" t="s">
        <v>88</v>
      </c>
      <c r="G32" s="77"/>
      <c r="H32" s="77"/>
      <c r="I32" s="78" t="s">
        <v>309</v>
      </c>
      <c r="J32" s="75" t="s">
        <v>310</v>
      </c>
      <c r="K32" s="73" t="s">
        <v>95</v>
      </c>
      <c r="L32" s="73" t="s">
        <v>108</v>
      </c>
      <c r="M32" s="73" t="s">
        <v>53</v>
      </c>
      <c r="N32" s="71" t="s">
        <v>94</v>
      </c>
      <c r="O32" s="71">
        <v>46308</v>
      </c>
      <c r="P32" s="79" t="s">
        <v>311</v>
      </c>
      <c r="Q32" s="73" t="s">
        <v>34</v>
      </c>
      <c r="R32" s="71">
        <v>46308</v>
      </c>
      <c r="S32" s="82" t="s">
        <v>94</v>
      </c>
      <c r="T32" s="83"/>
      <c r="U32" s="83"/>
      <c r="V32" s="87"/>
    </row>
    <row r="33" spans="1:22" ht="24">
      <c r="A33" s="71">
        <v>46304</v>
      </c>
      <c r="B33" s="73" t="s">
        <v>173</v>
      </c>
      <c r="C33" s="73" t="s">
        <v>312</v>
      </c>
      <c r="D33" s="73" t="s">
        <v>313</v>
      </c>
      <c r="E33" s="75" t="s">
        <v>314</v>
      </c>
      <c r="F33" s="75" t="s">
        <v>88</v>
      </c>
      <c r="G33" s="77"/>
      <c r="H33" s="71">
        <v>46418</v>
      </c>
      <c r="I33" s="78" t="s">
        <v>315</v>
      </c>
      <c r="J33" s="75" t="s">
        <v>316</v>
      </c>
      <c r="K33" s="73" t="s">
        <v>95</v>
      </c>
      <c r="L33" s="73" t="s">
        <v>86</v>
      </c>
      <c r="M33" s="73" t="s">
        <v>90</v>
      </c>
      <c r="N33" s="71" t="s">
        <v>317</v>
      </c>
      <c r="O33" s="71">
        <v>46308</v>
      </c>
      <c r="P33" s="79" t="s">
        <v>318</v>
      </c>
      <c r="Q33" s="73" t="s">
        <v>34</v>
      </c>
      <c r="R33" s="71">
        <v>46308</v>
      </c>
      <c r="S33" s="82" t="s">
        <v>317</v>
      </c>
      <c r="T33" s="86"/>
      <c r="U33" s="86"/>
      <c r="V33" s="87"/>
    </row>
    <row r="34" spans="1:22" ht="24">
      <c r="A34" s="71">
        <v>46287</v>
      </c>
      <c r="B34" s="73" t="s">
        <v>173</v>
      </c>
      <c r="C34" s="73" t="s">
        <v>312</v>
      </c>
      <c r="D34" s="73" t="s">
        <v>313</v>
      </c>
      <c r="E34" s="75" t="s">
        <v>314</v>
      </c>
      <c r="F34" s="75" t="s">
        <v>88</v>
      </c>
      <c r="G34" s="71">
        <v>46298</v>
      </c>
      <c r="H34" s="71">
        <v>46418</v>
      </c>
      <c r="I34" s="78" t="s">
        <v>315</v>
      </c>
      <c r="J34" s="75" t="s">
        <v>316</v>
      </c>
      <c r="K34" s="73" t="s">
        <v>95</v>
      </c>
      <c r="L34" s="73" t="s">
        <v>86</v>
      </c>
      <c r="M34" s="73" t="s">
        <v>90</v>
      </c>
      <c r="N34" s="71" t="s">
        <v>317</v>
      </c>
      <c r="O34" s="71">
        <v>46308</v>
      </c>
      <c r="P34" s="79" t="s">
        <v>318</v>
      </c>
      <c r="Q34" s="73" t="s">
        <v>34</v>
      </c>
      <c r="R34" s="71">
        <v>46308</v>
      </c>
      <c r="S34" s="82" t="s">
        <v>317</v>
      </c>
      <c r="T34" s="90"/>
      <c r="U34" s="83"/>
      <c r="V34" s="87"/>
    </row>
    <row r="35" spans="1:22" ht="12.75">
      <c r="A35" s="71">
        <v>46261</v>
      </c>
      <c r="B35" s="73" t="s">
        <v>28</v>
      </c>
      <c r="C35" s="73" t="s">
        <v>319</v>
      </c>
      <c r="D35" s="73" t="s">
        <v>320</v>
      </c>
      <c r="E35" s="75" t="s">
        <v>321</v>
      </c>
      <c r="F35" s="75" t="s">
        <v>88</v>
      </c>
      <c r="G35" s="77"/>
      <c r="H35" s="77"/>
      <c r="I35" s="90"/>
      <c r="J35" s="83"/>
      <c r="K35" s="73" t="s">
        <v>150</v>
      </c>
      <c r="L35" s="73" t="s">
        <v>52</v>
      </c>
      <c r="M35" s="73" t="s">
        <v>53</v>
      </c>
      <c r="N35" s="71" t="s">
        <v>322</v>
      </c>
      <c r="O35" s="71">
        <v>46308</v>
      </c>
      <c r="P35" s="79" t="s">
        <v>180</v>
      </c>
      <c r="Q35" s="73" t="s">
        <v>34</v>
      </c>
      <c r="R35" s="71">
        <v>46308</v>
      </c>
      <c r="S35" s="82" t="s">
        <v>322</v>
      </c>
      <c r="T35" s="83"/>
      <c r="U35" s="83"/>
      <c r="V35" s="87"/>
    </row>
    <row r="36" spans="1:22" ht="24">
      <c r="A36" s="42">
        <v>46287</v>
      </c>
      <c r="B36" s="48" t="s">
        <v>173</v>
      </c>
      <c r="C36" s="48" t="s">
        <v>264</v>
      </c>
      <c r="D36" s="48" t="s">
        <v>323</v>
      </c>
      <c r="E36" s="52" t="s">
        <v>324</v>
      </c>
      <c r="F36" s="52" t="s">
        <v>88</v>
      </c>
      <c r="G36" s="42">
        <v>46298</v>
      </c>
      <c r="H36" s="42">
        <v>46418</v>
      </c>
      <c r="I36" s="138" t="s">
        <v>325</v>
      </c>
      <c r="J36" s="52" t="s">
        <v>326</v>
      </c>
      <c r="K36" s="48" t="s">
        <v>95</v>
      </c>
      <c r="L36" s="48" t="s">
        <v>86</v>
      </c>
      <c r="M36" s="48" t="s">
        <v>90</v>
      </c>
      <c r="N36" s="42" t="s">
        <v>94</v>
      </c>
      <c r="O36" s="42">
        <v>46308</v>
      </c>
      <c r="P36" s="61" t="s">
        <v>327</v>
      </c>
      <c r="Q36" s="48" t="s">
        <v>76</v>
      </c>
      <c r="R36" s="64"/>
      <c r="S36" s="66" t="s">
        <v>328</v>
      </c>
      <c r="T36" s="52" t="s">
        <v>329</v>
      </c>
      <c r="U36" s="48" t="s">
        <v>116</v>
      </c>
      <c r="V36" s="87"/>
    </row>
    <row r="37" spans="1:22" ht="24">
      <c r="A37" s="71">
        <v>46287</v>
      </c>
      <c r="B37" s="73" t="s">
        <v>70</v>
      </c>
      <c r="C37" s="73" t="s">
        <v>330</v>
      </c>
      <c r="D37" s="89" t="s">
        <v>331</v>
      </c>
      <c r="E37" s="75" t="s">
        <v>332</v>
      </c>
      <c r="F37" s="75" t="s">
        <v>88</v>
      </c>
      <c r="G37" s="71">
        <v>46289</v>
      </c>
      <c r="H37" s="71">
        <v>46409</v>
      </c>
      <c r="I37" s="78" t="s">
        <v>333</v>
      </c>
      <c r="J37" s="75" t="s">
        <v>334</v>
      </c>
      <c r="K37" s="73" t="s">
        <v>95</v>
      </c>
      <c r="L37" s="73" t="s">
        <v>86</v>
      </c>
      <c r="M37" s="73" t="s">
        <v>90</v>
      </c>
      <c r="N37" s="71" t="s">
        <v>55</v>
      </c>
      <c r="O37" s="71">
        <v>46308</v>
      </c>
      <c r="P37" s="79" t="s">
        <v>335</v>
      </c>
      <c r="Q37" s="73" t="s">
        <v>34</v>
      </c>
      <c r="R37" s="71">
        <v>46308</v>
      </c>
      <c r="S37" s="82" t="s">
        <v>55</v>
      </c>
      <c r="T37" s="83"/>
      <c r="U37" s="83"/>
      <c r="V37" s="87"/>
    </row>
    <row r="38" spans="1:22" ht="24">
      <c r="A38" s="71">
        <v>46287</v>
      </c>
      <c r="B38" s="73" t="s">
        <v>70</v>
      </c>
      <c r="C38" s="73" t="s">
        <v>330</v>
      </c>
      <c r="D38" s="73" t="s">
        <v>331</v>
      </c>
      <c r="E38" s="75" t="s">
        <v>332</v>
      </c>
      <c r="F38" s="75" t="s">
        <v>88</v>
      </c>
      <c r="G38" s="71">
        <v>46289</v>
      </c>
      <c r="H38" s="71">
        <v>46409</v>
      </c>
      <c r="I38" s="78" t="s">
        <v>336</v>
      </c>
      <c r="J38" s="75" t="s">
        <v>337</v>
      </c>
      <c r="K38" s="73" t="s">
        <v>95</v>
      </c>
      <c r="L38" s="73" t="s">
        <v>86</v>
      </c>
      <c r="M38" s="73" t="s">
        <v>90</v>
      </c>
      <c r="N38" s="71" t="s">
        <v>55</v>
      </c>
      <c r="O38" s="71">
        <v>46308</v>
      </c>
      <c r="P38" s="79" t="s">
        <v>338</v>
      </c>
      <c r="Q38" s="73" t="s">
        <v>34</v>
      </c>
      <c r="R38" s="71">
        <v>46308</v>
      </c>
      <c r="S38" s="82" t="s">
        <v>55</v>
      </c>
      <c r="T38" s="83"/>
      <c r="U38" s="83"/>
      <c r="V38" s="87"/>
    </row>
    <row r="39" spans="1:22" ht="24">
      <c r="A39" s="71">
        <v>46287</v>
      </c>
      <c r="B39" s="73" t="s">
        <v>70</v>
      </c>
      <c r="C39" s="73" t="s">
        <v>330</v>
      </c>
      <c r="D39" s="73" t="s">
        <v>331</v>
      </c>
      <c r="E39" s="75" t="s">
        <v>332</v>
      </c>
      <c r="F39" s="75" t="s">
        <v>88</v>
      </c>
      <c r="G39" s="71">
        <v>46289</v>
      </c>
      <c r="H39" s="71">
        <v>46409</v>
      </c>
      <c r="I39" s="78" t="s">
        <v>339</v>
      </c>
      <c r="J39" s="75" t="s">
        <v>340</v>
      </c>
      <c r="K39" s="73" t="s">
        <v>95</v>
      </c>
      <c r="L39" s="73" t="s">
        <v>86</v>
      </c>
      <c r="M39" s="73" t="s">
        <v>90</v>
      </c>
      <c r="N39" s="71" t="s">
        <v>55</v>
      </c>
      <c r="O39" s="71">
        <v>46308</v>
      </c>
      <c r="P39" s="79" t="s">
        <v>335</v>
      </c>
      <c r="Q39" s="73" t="s">
        <v>34</v>
      </c>
      <c r="R39" s="71">
        <v>46308</v>
      </c>
      <c r="S39" s="82" t="s">
        <v>55</v>
      </c>
      <c r="T39" s="83"/>
      <c r="U39" s="83"/>
      <c r="V39" s="87"/>
    </row>
    <row r="40" spans="1:22" ht="36">
      <c r="A40" s="42">
        <v>46287</v>
      </c>
      <c r="B40" s="48" t="s">
        <v>70</v>
      </c>
      <c r="C40" s="48" t="s">
        <v>330</v>
      </c>
      <c r="D40" s="48" t="s">
        <v>341</v>
      </c>
      <c r="E40" s="52" t="s">
        <v>342</v>
      </c>
      <c r="F40" s="52" t="s">
        <v>88</v>
      </c>
      <c r="G40" s="42">
        <v>46301</v>
      </c>
      <c r="H40" s="42">
        <v>46421</v>
      </c>
      <c r="I40" s="138" t="s">
        <v>343</v>
      </c>
      <c r="J40" s="52" t="s">
        <v>344</v>
      </c>
      <c r="K40" s="48" t="s">
        <v>95</v>
      </c>
      <c r="L40" s="48" t="s">
        <v>86</v>
      </c>
      <c r="M40" s="48" t="s">
        <v>90</v>
      </c>
      <c r="N40" s="42" t="s">
        <v>55</v>
      </c>
      <c r="O40" s="42">
        <v>46308</v>
      </c>
      <c r="P40" s="61" t="s">
        <v>335</v>
      </c>
      <c r="Q40" s="48" t="s">
        <v>76</v>
      </c>
      <c r="R40" s="64"/>
      <c r="S40" s="66" t="s">
        <v>55</v>
      </c>
      <c r="T40" s="52" t="s">
        <v>345</v>
      </c>
      <c r="U40" s="48" t="s">
        <v>346</v>
      </c>
      <c r="V40" s="87"/>
    </row>
    <row r="41" spans="1:22" ht="12.75">
      <c r="A41" s="71">
        <v>46287</v>
      </c>
      <c r="B41" s="73" t="s">
        <v>70</v>
      </c>
      <c r="C41" s="73" t="s">
        <v>330</v>
      </c>
      <c r="D41" s="73" t="s">
        <v>347</v>
      </c>
      <c r="E41" s="75" t="s">
        <v>348</v>
      </c>
      <c r="F41" s="75" t="s">
        <v>88</v>
      </c>
      <c r="G41" s="71">
        <v>46236</v>
      </c>
      <c r="H41" s="71">
        <v>46356</v>
      </c>
      <c r="I41" s="78" t="s">
        <v>333</v>
      </c>
      <c r="J41" s="75" t="s">
        <v>334</v>
      </c>
      <c r="K41" s="73" t="s">
        <v>95</v>
      </c>
      <c r="L41" s="73" t="s">
        <v>86</v>
      </c>
      <c r="M41" s="73" t="s">
        <v>90</v>
      </c>
      <c r="N41" s="71" t="s">
        <v>55</v>
      </c>
      <c r="O41" s="71">
        <v>46308</v>
      </c>
      <c r="P41" s="79" t="s">
        <v>335</v>
      </c>
      <c r="Q41" s="73" t="s">
        <v>34</v>
      </c>
      <c r="R41" s="71">
        <v>46308</v>
      </c>
      <c r="S41" s="82" t="s">
        <v>55</v>
      </c>
      <c r="T41" s="83"/>
      <c r="U41" s="83"/>
      <c r="V41" s="87"/>
    </row>
    <row r="42" spans="1:22" ht="24">
      <c r="A42" s="71">
        <v>46276</v>
      </c>
      <c r="B42" s="73" t="s">
        <v>59</v>
      </c>
      <c r="C42" s="73" t="s">
        <v>349</v>
      </c>
      <c r="D42" s="89" t="s">
        <v>350</v>
      </c>
      <c r="E42" s="75" t="s">
        <v>351</v>
      </c>
      <c r="F42" s="75" t="s">
        <v>88</v>
      </c>
      <c r="G42" s="71">
        <v>46247</v>
      </c>
      <c r="H42" s="71">
        <v>46327</v>
      </c>
      <c r="I42" s="90"/>
      <c r="J42" s="83"/>
      <c r="K42" s="73" t="s">
        <v>150</v>
      </c>
      <c r="L42" s="73" t="s">
        <v>52</v>
      </c>
      <c r="M42" s="73" t="s">
        <v>53</v>
      </c>
      <c r="N42" s="71" t="s">
        <v>89</v>
      </c>
      <c r="O42" s="71">
        <v>46308</v>
      </c>
      <c r="P42" s="79" t="s">
        <v>352</v>
      </c>
      <c r="Q42" s="73" t="s">
        <v>34</v>
      </c>
      <c r="R42" s="77"/>
      <c r="S42" s="82" t="s">
        <v>89</v>
      </c>
      <c r="T42" s="83"/>
      <c r="U42" s="83"/>
      <c r="V42" s="87"/>
    </row>
    <row r="43" spans="1:22" ht="24">
      <c r="A43" s="71">
        <v>46261</v>
      </c>
      <c r="B43" s="73" t="s">
        <v>100</v>
      </c>
      <c r="C43" s="73" t="s">
        <v>353</v>
      </c>
      <c r="D43" s="73" t="s">
        <v>354</v>
      </c>
      <c r="E43" s="75" t="s">
        <v>355</v>
      </c>
      <c r="F43" s="75" t="s">
        <v>88</v>
      </c>
      <c r="G43" s="77"/>
      <c r="H43" s="77"/>
      <c r="I43" s="78" t="s">
        <v>356</v>
      </c>
      <c r="J43" s="75" t="s">
        <v>357</v>
      </c>
      <c r="K43" s="73" t="s">
        <v>95</v>
      </c>
      <c r="L43" s="73" t="s">
        <v>108</v>
      </c>
      <c r="M43" s="73" t="s">
        <v>53</v>
      </c>
      <c r="N43" s="71" t="s">
        <v>328</v>
      </c>
      <c r="O43" s="71">
        <v>46308</v>
      </c>
      <c r="P43" s="79" t="s">
        <v>358</v>
      </c>
      <c r="Q43" s="73" t="s">
        <v>34</v>
      </c>
      <c r="R43" s="71">
        <v>46308</v>
      </c>
      <c r="S43" s="82" t="s">
        <v>328</v>
      </c>
      <c r="T43" s="83"/>
      <c r="U43" s="83"/>
      <c r="V43" s="87"/>
    </row>
    <row r="44" spans="1:22" ht="12.75">
      <c r="A44" s="42">
        <v>46303</v>
      </c>
      <c r="B44" s="48" t="s">
        <v>173</v>
      </c>
      <c r="C44" s="48" t="s">
        <v>359</v>
      </c>
      <c r="D44" s="137" t="s">
        <v>360</v>
      </c>
      <c r="E44" s="52" t="s">
        <v>361</v>
      </c>
      <c r="F44" s="52" t="s">
        <v>88</v>
      </c>
      <c r="G44" s="42">
        <v>46229</v>
      </c>
      <c r="H44" s="42">
        <v>46349</v>
      </c>
      <c r="I44" s="138" t="s">
        <v>92</v>
      </c>
      <c r="J44" s="52" t="s">
        <v>93</v>
      </c>
      <c r="K44" s="48" t="s">
        <v>95</v>
      </c>
      <c r="L44" s="48" t="s">
        <v>86</v>
      </c>
      <c r="M44" s="48" t="s">
        <v>90</v>
      </c>
      <c r="N44" s="42" t="s">
        <v>328</v>
      </c>
      <c r="O44" s="42">
        <v>46308</v>
      </c>
      <c r="P44" s="61" t="s">
        <v>362</v>
      </c>
      <c r="Q44" s="48" t="s">
        <v>76</v>
      </c>
      <c r="R44" s="64"/>
      <c r="S44" s="66" t="s">
        <v>162</v>
      </c>
      <c r="T44" s="52" t="s">
        <v>363</v>
      </c>
      <c r="U44" s="48" t="s">
        <v>116</v>
      </c>
      <c r="V44" s="87"/>
    </row>
    <row r="45" spans="1:22" ht="12.75">
      <c r="A45" s="71">
        <v>46261</v>
      </c>
      <c r="B45" s="73" t="s">
        <v>112</v>
      </c>
      <c r="C45" s="73" t="s">
        <v>364</v>
      </c>
      <c r="D45" s="73" t="s">
        <v>365</v>
      </c>
      <c r="E45" s="75" t="s">
        <v>366</v>
      </c>
      <c r="F45" s="75" t="s">
        <v>88</v>
      </c>
      <c r="G45" s="71">
        <v>46303</v>
      </c>
      <c r="H45" s="71">
        <v>46423</v>
      </c>
      <c r="I45" s="78" t="s">
        <v>367</v>
      </c>
      <c r="J45" s="75" t="s">
        <v>368</v>
      </c>
      <c r="K45" s="73" t="s">
        <v>95</v>
      </c>
      <c r="L45" s="73" t="s">
        <v>108</v>
      </c>
      <c r="M45" s="73" t="s">
        <v>53</v>
      </c>
      <c r="N45" s="71" t="s">
        <v>214</v>
      </c>
      <c r="O45" s="71">
        <v>46308</v>
      </c>
      <c r="P45" s="79" t="s">
        <v>369</v>
      </c>
      <c r="Q45" s="73" t="s">
        <v>34</v>
      </c>
      <c r="R45" s="71">
        <v>46308</v>
      </c>
      <c r="S45" s="77"/>
      <c r="T45" s="83"/>
      <c r="U45" s="83"/>
      <c r="V45" s="87"/>
    </row>
    <row r="46" spans="1:22" ht="24">
      <c r="A46" s="42">
        <v>46261</v>
      </c>
      <c r="B46" s="48" t="s">
        <v>100</v>
      </c>
      <c r="C46" s="48" t="s">
        <v>370</v>
      </c>
      <c r="D46" s="137" t="s">
        <v>371</v>
      </c>
      <c r="E46" s="52" t="s">
        <v>372</v>
      </c>
      <c r="F46" s="52" t="s">
        <v>88</v>
      </c>
      <c r="G46" s="42">
        <v>46306</v>
      </c>
      <c r="H46" s="42">
        <v>46486</v>
      </c>
      <c r="I46" s="138" t="s">
        <v>373</v>
      </c>
      <c r="J46" s="52" t="s">
        <v>374</v>
      </c>
      <c r="K46" s="48" t="s">
        <v>95</v>
      </c>
      <c r="L46" s="48" t="s">
        <v>108</v>
      </c>
      <c r="M46" s="48" t="s">
        <v>53</v>
      </c>
      <c r="N46" s="42" t="s">
        <v>375</v>
      </c>
      <c r="O46" s="42">
        <v>46308</v>
      </c>
      <c r="P46" s="61" t="s">
        <v>376</v>
      </c>
      <c r="Q46" s="48" t="s">
        <v>76</v>
      </c>
      <c r="R46" s="64"/>
      <c r="S46" s="66" t="s">
        <v>55</v>
      </c>
      <c r="T46" s="52" t="s">
        <v>329</v>
      </c>
      <c r="U46" s="48" t="s">
        <v>116</v>
      </c>
      <c r="V46" s="87"/>
    </row>
    <row r="47" spans="1:22" ht="12.75">
      <c r="A47" s="71">
        <v>46304</v>
      </c>
      <c r="B47" s="73" t="s">
        <v>112</v>
      </c>
      <c r="C47" s="73" t="s">
        <v>377</v>
      </c>
      <c r="D47" s="73" t="s">
        <v>378</v>
      </c>
      <c r="E47" s="75" t="s">
        <v>379</v>
      </c>
      <c r="F47" s="75" t="s">
        <v>88</v>
      </c>
      <c r="G47" s="77"/>
      <c r="H47" s="71">
        <v>46422</v>
      </c>
      <c r="I47" s="78" t="s">
        <v>380</v>
      </c>
      <c r="J47" s="75" t="s">
        <v>381</v>
      </c>
      <c r="K47" s="73" t="s">
        <v>95</v>
      </c>
      <c r="L47" s="73" t="s">
        <v>108</v>
      </c>
      <c r="M47" s="73" t="s">
        <v>53</v>
      </c>
      <c r="N47" s="71" t="s">
        <v>55</v>
      </c>
      <c r="O47" s="71">
        <v>46308</v>
      </c>
      <c r="P47" s="140"/>
      <c r="Q47" s="73" t="s">
        <v>34</v>
      </c>
      <c r="R47" s="71">
        <v>46308</v>
      </c>
      <c r="S47" s="82" t="s">
        <v>55</v>
      </c>
      <c r="T47" s="83"/>
      <c r="U47" s="83"/>
      <c r="V47" s="87"/>
    </row>
    <row r="48" spans="1:22" ht="12.75">
      <c r="A48" s="42">
        <v>46304</v>
      </c>
      <c r="B48" s="48" t="s">
        <v>112</v>
      </c>
      <c r="C48" s="48" t="s">
        <v>382</v>
      </c>
      <c r="D48" s="137" t="s">
        <v>383</v>
      </c>
      <c r="E48" s="52" t="s">
        <v>384</v>
      </c>
      <c r="F48" s="52" t="s">
        <v>88</v>
      </c>
      <c r="G48" s="42">
        <v>46294</v>
      </c>
      <c r="H48" s="42">
        <v>46414</v>
      </c>
      <c r="I48" s="138" t="s">
        <v>385</v>
      </c>
      <c r="J48" s="52" t="s">
        <v>386</v>
      </c>
      <c r="K48" s="48" t="s">
        <v>95</v>
      </c>
      <c r="L48" s="48" t="s">
        <v>108</v>
      </c>
      <c r="M48" s="48" t="s">
        <v>53</v>
      </c>
      <c r="N48" s="42" t="s">
        <v>55</v>
      </c>
      <c r="O48" s="42">
        <v>46308</v>
      </c>
      <c r="P48" s="61" t="s">
        <v>387</v>
      </c>
      <c r="Q48" s="48" t="s">
        <v>76</v>
      </c>
      <c r="R48" s="64"/>
      <c r="S48" s="66" t="s">
        <v>388</v>
      </c>
      <c r="T48" s="52" t="s">
        <v>389</v>
      </c>
      <c r="U48" s="48" t="s">
        <v>116</v>
      </c>
      <c r="V48" s="87"/>
    </row>
    <row r="49" spans="1:22" ht="12.75">
      <c r="A49" s="71">
        <v>46261</v>
      </c>
      <c r="B49" s="73" t="s">
        <v>59</v>
      </c>
      <c r="C49" s="73" t="s">
        <v>390</v>
      </c>
      <c r="D49" s="73" t="s">
        <v>391</v>
      </c>
      <c r="E49" s="75" t="s">
        <v>392</v>
      </c>
      <c r="F49" s="75" t="s">
        <v>88</v>
      </c>
      <c r="G49" s="71">
        <v>46219</v>
      </c>
      <c r="H49" s="71">
        <v>46339</v>
      </c>
      <c r="I49" s="90"/>
      <c r="J49" s="83"/>
      <c r="K49" s="73" t="s">
        <v>150</v>
      </c>
      <c r="L49" s="73" t="s">
        <v>52</v>
      </c>
      <c r="M49" s="73" t="s">
        <v>53</v>
      </c>
      <c r="N49" s="71" t="s">
        <v>322</v>
      </c>
      <c r="O49" s="71">
        <v>46308</v>
      </c>
      <c r="P49" s="79" t="s">
        <v>216</v>
      </c>
      <c r="Q49" s="73" t="s">
        <v>34</v>
      </c>
      <c r="R49" s="71">
        <v>46308</v>
      </c>
      <c r="S49" s="82" t="s">
        <v>322</v>
      </c>
      <c r="T49" s="75" t="s">
        <v>393</v>
      </c>
      <c r="U49" s="83"/>
      <c r="V49" s="87"/>
    </row>
    <row r="50" spans="1:22" ht="12.75">
      <c r="A50" s="71">
        <v>46261</v>
      </c>
      <c r="B50" s="73" t="s">
        <v>59</v>
      </c>
      <c r="C50" s="73" t="s">
        <v>390</v>
      </c>
      <c r="D50" s="73" t="s">
        <v>391</v>
      </c>
      <c r="E50" s="75" t="s">
        <v>392</v>
      </c>
      <c r="F50" s="75" t="s">
        <v>88</v>
      </c>
      <c r="G50" s="71">
        <v>46219</v>
      </c>
      <c r="H50" s="71">
        <v>46339</v>
      </c>
      <c r="I50" s="90"/>
      <c r="J50" s="83"/>
      <c r="K50" s="73" t="s">
        <v>150</v>
      </c>
      <c r="L50" s="73" t="s">
        <v>52</v>
      </c>
      <c r="M50" s="73" t="s">
        <v>53</v>
      </c>
      <c r="N50" s="71" t="s">
        <v>322</v>
      </c>
      <c r="O50" s="71">
        <v>46308</v>
      </c>
      <c r="P50" s="79" t="s">
        <v>152</v>
      </c>
      <c r="Q50" s="73" t="s">
        <v>34</v>
      </c>
      <c r="R50" s="71">
        <v>46308</v>
      </c>
      <c r="S50" s="82" t="s">
        <v>322</v>
      </c>
      <c r="T50" s="75" t="s">
        <v>393</v>
      </c>
      <c r="U50" s="83"/>
      <c r="V50" s="87"/>
    </row>
    <row r="51" spans="1:22" ht="12.75">
      <c r="A51" s="71">
        <v>46261</v>
      </c>
      <c r="B51" s="73" t="s">
        <v>260</v>
      </c>
      <c r="C51" s="73" t="s">
        <v>394</v>
      </c>
      <c r="D51" s="73" t="s">
        <v>395</v>
      </c>
      <c r="E51" s="75" t="s">
        <v>396</v>
      </c>
      <c r="F51" s="75" t="s">
        <v>88</v>
      </c>
      <c r="G51" s="77"/>
      <c r="H51" s="77"/>
      <c r="I51" s="90"/>
      <c r="J51" s="83"/>
      <c r="K51" s="73" t="s">
        <v>150</v>
      </c>
      <c r="L51" s="73" t="s">
        <v>52</v>
      </c>
      <c r="M51" s="73" t="s">
        <v>90</v>
      </c>
      <c r="N51" s="71" t="s">
        <v>94</v>
      </c>
      <c r="O51" s="71">
        <v>46308</v>
      </c>
      <c r="P51" s="79" t="s">
        <v>180</v>
      </c>
      <c r="Q51" s="73" t="s">
        <v>34</v>
      </c>
      <c r="R51" s="71">
        <v>46308</v>
      </c>
      <c r="S51" s="82" t="s">
        <v>94</v>
      </c>
      <c r="T51" s="75" t="s">
        <v>397</v>
      </c>
      <c r="U51" s="83"/>
      <c r="V51" s="87"/>
    </row>
    <row r="52" spans="1:22" ht="12.75">
      <c r="A52" s="42">
        <v>46301</v>
      </c>
      <c r="B52" s="48" t="s">
        <v>398</v>
      </c>
      <c r="C52" s="48" t="s">
        <v>399</v>
      </c>
      <c r="D52" s="48" t="s">
        <v>400</v>
      </c>
      <c r="E52" s="52" t="s">
        <v>401</v>
      </c>
      <c r="F52" s="52" t="s">
        <v>88</v>
      </c>
      <c r="G52" s="42">
        <v>46302</v>
      </c>
      <c r="H52" s="42">
        <v>46422</v>
      </c>
      <c r="I52" s="138" t="s">
        <v>402</v>
      </c>
      <c r="J52" s="52" t="s">
        <v>403</v>
      </c>
      <c r="K52" s="48" t="s">
        <v>95</v>
      </c>
      <c r="L52" s="48" t="s">
        <v>86</v>
      </c>
      <c r="M52" s="48" t="s">
        <v>404</v>
      </c>
      <c r="N52" s="42" t="s">
        <v>94</v>
      </c>
      <c r="O52" s="42">
        <v>46308</v>
      </c>
      <c r="P52" s="61" t="s">
        <v>405</v>
      </c>
      <c r="Q52" s="48" t="s">
        <v>76</v>
      </c>
      <c r="R52" s="64"/>
      <c r="S52" s="160"/>
      <c r="T52" s="138" t="s">
        <v>271</v>
      </c>
      <c r="U52" s="48" t="s">
        <v>116</v>
      </c>
      <c r="V52" s="87"/>
    </row>
    <row r="53" spans="1:22" ht="12.75">
      <c r="A53" s="71">
        <v>46261</v>
      </c>
      <c r="B53" s="73" t="s">
        <v>59</v>
      </c>
      <c r="C53" s="73" t="s">
        <v>406</v>
      </c>
      <c r="D53" s="73" t="s">
        <v>407</v>
      </c>
      <c r="E53" s="75" t="s">
        <v>408</v>
      </c>
      <c r="F53" s="75" t="s">
        <v>88</v>
      </c>
      <c r="G53" s="77"/>
      <c r="H53" s="77"/>
      <c r="I53" s="90"/>
      <c r="J53" s="83"/>
      <c r="K53" s="73" t="s">
        <v>150</v>
      </c>
      <c r="L53" s="73" t="s">
        <v>52</v>
      </c>
      <c r="M53" s="73" t="s">
        <v>53</v>
      </c>
      <c r="N53" s="71" t="s">
        <v>409</v>
      </c>
      <c r="O53" s="71">
        <v>46308</v>
      </c>
      <c r="P53" s="79" t="s">
        <v>180</v>
      </c>
      <c r="Q53" s="73" t="s">
        <v>34</v>
      </c>
      <c r="R53" s="71">
        <v>46308</v>
      </c>
      <c r="S53" s="82" t="s">
        <v>409</v>
      </c>
      <c r="T53" s="83"/>
      <c r="U53" s="83"/>
      <c r="V53" s="87"/>
    </row>
    <row r="54" spans="1:22" ht="36">
      <c r="A54" s="71">
        <v>46261</v>
      </c>
      <c r="B54" s="73" t="s">
        <v>112</v>
      </c>
      <c r="C54" s="73" t="s">
        <v>410</v>
      </c>
      <c r="D54" s="89" t="s">
        <v>411</v>
      </c>
      <c r="E54" s="75" t="s">
        <v>412</v>
      </c>
      <c r="F54" s="75" t="s">
        <v>88</v>
      </c>
      <c r="G54" s="77"/>
      <c r="H54" s="77"/>
      <c r="I54" s="78" t="s">
        <v>413</v>
      </c>
      <c r="J54" s="75" t="s">
        <v>414</v>
      </c>
      <c r="K54" s="73" t="s">
        <v>95</v>
      </c>
      <c r="L54" s="73" t="s">
        <v>108</v>
      </c>
      <c r="M54" s="73" t="s">
        <v>53</v>
      </c>
      <c r="N54" s="71" t="s">
        <v>94</v>
      </c>
      <c r="O54" s="71">
        <v>46308</v>
      </c>
      <c r="P54" s="79" t="s">
        <v>415</v>
      </c>
      <c r="Q54" s="73" t="s">
        <v>34</v>
      </c>
      <c r="R54" s="71">
        <v>46308</v>
      </c>
      <c r="S54" s="82" t="s">
        <v>94</v>
      </c>
      <c r="T54" s="83"/>
      <c r="U54" s="83"/>
      <c r="V54" s="87"/>
    </row>
    <row r="55" spans="1:22" ht="36">
      <c r="A55" s="71">
        <v>46261</v>
      </c>
      <c r="B55" s="73" t="s">
        <v>112</v>
      </c>
      <c r="C55" s="73" t="s">
        <v>410</v>
      </c>
      <c r="D55" s="73" t="s">
        <v>416</v>
      </c>
      <c r="E55" s="75" t="s">
        <v>417</v>
      </c>
      <c r="F55" s="75" t="s">
        <v>88</v>
      </c>
      <c r="G55" s="77"/>
      <c r="H55" s="77"/>
      <c r="I55" s="78" t="s">
        <v>413</v>
      </c>
      <c r="J55" s="75" t="s">
        <v>414</v>
      </c>
      <c r="K55" s="73" t="s">
        <v>95</v>
      </c>
      <c r="L55" s="73" t="s">
        <v>108</v>
      </c>
      <c r="M55" s="73" t="s">
        <v>53</v>
      </c>
      <c r="N55" s="71" t="s">
        <v>94</v>
      </c>
      <c r="O55" s="71">
        <v>46308</v>
      </c>
      <c r="P55" s="79" t="s">
        <v>415</v>
      </c>
      <c r="Q55" s="73" t="s">
        <v>34</v>
      </c>
      <c r="R55" s="71">
        <v>46308</v>
      </c>
      <c r="S55" s="82" t="s">
        <v>94</v>
      </c>
      <c r="T55" s="83"/>
      <c r="U55" s="83"/>
      <c r="V55" s="87"/>
    </row>
    <row r="56" spans="1:22" ht="24">
      <c r="A56" s="42">
        <v>46287</v>
      </c>
      <c r="B56" s="48" t="s">
        <v>70</v>
      </c>
      <c r="C56" s="48" t="s">
        <v>418</v>
      </c>
      <c r="D56" s="48" t="s">
        <v>419</v>
      </c>
      <c r="E56" s="52" t="s">
        <v>420</v>
      </c>
      <c r="F56" s="52" t="s">
        <v>88</v>
      </c>
      <c r="G56" s="42">
        <v>46177</v>
      </c>
      <c r="H56" s="42">
        <v>46267</v>
      </c>
      <c r="I56" s="138" t="s">
        <v>92</v>
      </c>
      <c r="J56" s="52" t="s">
        <v>93</v>
      </c>
      <c r="K56" s="48" t="s">
        <v>95</v>
      </c>
      <c r="L56" s="48" t="s">
        <v>86</v>
      </c>
      <c r="M56" s="48" t="s">
        <v>90</v>
      </c>
      <c r="N56" s="42" t="s">
        <v>94</v>
      </c>
      <c r="O56" s="42">
        <v>46308</v>
      </c>
      <c r="P56" s="61" t="s">
        <v>421</v>
      </c>
      <c r="Q56" s="48" t="s">
        <v>76</v>
      </c>
      <c r="R56" s="64"/>
      <c r="S56" s="66" t="s">
        <v>111</v>
      </c>
      <c r="T56" s="52" t="s">
        <v>271</v>
      </c>
      <c r="U56" s="48" t="s">
        <v>116</v>
      </c>
      <c r="V56" s="87"/>
    </row>
    <row r="57" spans="1:22" ht="12.75">
      <c r="A57" s="71">
        <v>46261</v>
      </c>
      <c r="B57" s="73" t="s">
        <v>59</v>
      </c>
      <c r="C57" s="73" t="s">
        <v>422</v>
      </c>
      <c r="D57" s="73" t="s">
        <v>423</v>
      </c>
      <c r="E57" s="75" t="s">
        <v>424</v>
      </c>
      <c r="F57" s="75" t="s">
        <v>88</v>
      </c>
      <c r="G57" s="77"/>
      <c r="H57" s="77"/>
      <c r="I57" s="90"/>
      <c r="J57" s="83"/>
      <c r="K57" s="73" t="s">
        <v>150</v>
      </c>
      <c r="L57" s="73" t="s">
        <v>52</v>
      </c>
      <c r="M57" s="73" t="s">
        <v>53</v>
      </c>
      <c r="N57" s="71" t="s">
        <v>111</v>
      </c>
      <c r="O57" s="71">
        <v>46308</v>
      </c>
      <c r="P57" s="79" t="s">
        <v>180</v>
      </c>
      <c r="Q57" s="73" t="s">
        <v>34</v>
      </c>
      <c r="R57" s="77"/>
      <c r="S57" s="82" t="s">
        <v>111</v>
      </c>
      <c r="T57" s="75" t="s">
        <v>425</v>
      </c>
      <c r="U57" s="83"/>
      <c r="V57" s="87"/>
    </row>
    <row r="58" spans="1:22" ht="12.75">
      <c r="A58" s="71">
        <v>46303</v>
      </c>
      <c r="B58" s="73" t="s">
        <v>173</v>
      </c>
      <c r="C58" s="73" t="s">
        <v>232</v>
      </c>
      <c r="D58" s="73" t="s">
        <v>426</v>
      </c>
      <c r="E58" s="75" t="s">
        <v>427</v>
      </c>
      <c r="F58" s="75" t="s">
        <v>88</v>
      </c>
      <c r="G58" s="71">
        <v>46300</v>
      </c>
      <c r="H58" s="71">
        <v>46420</v>
      </c>
      <c r="I58" s="78" t="s">
        <v>428</v>
      </c>
      <c r="J58" s="75" t="s">
        <v>429</v>
      </c>
      <c r="K58" s="73" t="s">
        <v>95</v>
      </c>
      <c r="L58" s="73" t="s">
        <v>86</v>
      </c>
      <c r="M58" s="73" t="s">
        <v>90</v>
      </c>
      <c r="N58" s="71" t="s">
        <v>94</v>
      </c>
      <c r="O58" s="71">
        <v>46308</v>
      </c>
      <c r="P58" s="79" t="s">
        <v>430</v>
      </c>
      <c r="Q58" s="73" t="s">
        <v>34</v>
      </c>
      <c r="R58" s="71">
        <v>46308</v>
      </c>
      <c r="S58" s="82" t="s">
        <v>94</v>
      </c>
      <c r="T58" s="83"/>
      <c r="U58" s="83"/>
      <c r="V58" s="87"/>
    </row>
    <row r="59" spans="1:22" ht="12.75">
      <c r="A59" s="161">
        <v>46304</v>
      </c>
      <c r="B59" s="162" t="s">
        <v>431</v>
      </c>
      <c r="C59" s="162" t="s">
        <v>432</v>
      </c>
      <c r="D59" s="162" t="s">
        <v>433</v>
      </c>
      <c r="E59" s="147" t="s">
        <v>434</v>
      </c>
      <c r="F59" s="147" t="s">
        <v>88</v>
      </c>
      <c r="G59" s="161">
        <v>46269</v>
      </c>
      <c r="H59" s="161">
        <v>46389</v>
      </c>
      <c r="I59" s="163"/>
      <c r="J59" s="164"/>
      <c r="K59" s="162" t="s">
        <v>150</v>
      </c>
      <c r="L59" s="162" t="s">
        <v>85</v>
      </c>
      <c r="M59" s="162" t="s">
        <v>87</v>
      </c>
      <c r="N59" s="162" t="s">
        <v>435</v>
      </c>
      <c r="O59" s="161">
        <v>46308</v>
      </c>
      <c r="P59" s="165" t="s">
        <v>436</v>
      </c>
      <c r="Q59" s="162" t="s">
        <v>76</v>
      </c>
      <c r="R59" s="166"/>
      <c r="S59" s="162" t="s">
        <v>437</v>
      </c>
      <c r="T59" s="148"/>
      <c r="U59" s="167"/>
      <c r="V59" s="87"/>
    </row>
    <row r="60" spans="1:22" ht="12.75">
      <c r="A60" s="161">
        <v>46304</v>
      </c>
      <c r="B60" s="162" t="s">
        <v>68</v>
      </c>
      <c r="C60" s="162" t="s">
        <v>438</v>
      </c>
      <c r="D60" s="162" t="s">
        <v>439</v>
      </c>
      <c r="E60" s="147" t="s">
        <v>440</v>
      </c>
      <c r="F60" s="147" t="s">
        <v>88</v>
      </c>
      <c r="G60" s="168"/>
      <c r="H60" s="168"/>
      <c r="I60" s="169" t="s">
        <v>441</v>
      </c>
      <c r="J60" s="147" t="s">
        <v>442</v>
      </c>
      <c r="K60" s="162" t="s">
        <v>95</v>
      </c>
      <c r="L60" s="162" t="s">
        <v>85</v>
      </c>
      <c r="M60" s="162" t="s">
        <v>87</v>
      </c>
      <c r="N60" s="162" t="s">
        <v>437</v>
      </c>
      <c r="O60" s="161">
        <v>46308</v>
      </c>
      <c r="P60" s="165" t="s">
        <v>443</v>
      </c>
      <c r="Q60" s="162" t="s">
        <v>76</v>
      </c>
      <c r="R60" s="168"/>
      <c r="S60" s="162" t="s">
        <v>437</v>
      </c>
      <c r="T60" s="164"/>
      <c r="U60" s="164"/>
      <c r="V60" s="87"/>
    </row>
    <row r="61" spans="1:22" ht="72">
      <c r="A61" s="161">
        <v>46304</v>
      </c>
      <c r="B61" s="162" t="s">
        <v>431</v>
      </c>
      <c r="C61" s="162" t="s">
        <v>444</v>
      </c>
      <c r="D61" s="162" t="s">
        <v>445</v>
      </c>
      <c r="E61" s="147" t="s">
        <v>446</v>
      </c>
      <c r="F61" s="147" t="s">
        <v>88</v>
      </c>
      <c r="G61" s="161">
        <v>46290</v>
      </c>
      <c r="H61" s="161">
        <v>46410</v>
      </c>
      <c r="I61" s="169" t="s">
        <v>447</v>
      </c>
      <c r="J61" s="147" t="s">
        <v>448</v>
      </c>
      <c r="K61" s="162" t="s">
        <v>95</v>
      </c>
      <c r="L61" s="162" t="s">
        <v>85</v>
      </c>
      <c r="M61" s="162" t="s">
        <v>87</v>
      </c>
      <c r="N61" s="162" t="s">
        <v>449</v>
      </c>
      <c r="O61" s="161">
        <v>46308</v>
      </c>
      <c r="P61" s="165" t="s">
        <v>450</v>
      </c>
      <c r="Q61" s="162" t="s">
        <v>76</v>
      </c>
      <c r="R61" s="168"/>
      <c r="S61" s="162" t="s">
        <v>449</v>
      </c>
      <c r="T61" s="164"/>
      <c r="U61" s="164"/>
      <c r="V61" s="87"/>
    </row>
    <row r="62" spans="1:22" ht="12.75">
      <c r="A62" s="161">
        <v>46304</v>
      </c>
      <c r="B62" s="162" t="s">
        <v>119</v>
      </c>
      <c r="C62" s="162" t="s">
        <v>451</v>
      </c>
      <c r="D62" s="162" t="s">
        <v>452</v>
      </c>
      <c r="E62" s="147" t="s">
        <v>453</v>
      </c>
      <c r="F62" s="147" t="s">
        <v>88</v>
      </c>
      <c r="G62" s="161">
        <v>46288</v>
      </c>
      <c r="H62" s="161">
        <v>46408</v>
      </c>
      <c r="I62" s="163"/>
      <c r="J62" s="164"/>
      <c r="K62" s="162" t="s">
        <v>150</v>
      </c>
      <c r="L62" s="162" t="s">
        <v>85</v>
      </c>
      <c r="M62" s="162" t="s">
        <v>87</v>
      </c>
      <c r="N62" s="162" t="s">
        <v>454</v>
      </c>
      <c r="O62" s="161">
        <v>46308</v>
      </c>
      <c r="P62" s="165" t="s">
        <v>436</v>
      </c>
      <c r="Q62" s="162" t="s">
        <v>76</v>
      </c>
      <c r="R62" s="168"/>
      <c r="S62" s="162" t="s">
        <v>454</v>
      </c>
      <c r="T62" s="164"/>
      <c r="U62" s="164"/>
      <c r="V62" s="87"/>
    </row>
    <row r="63" spans="1:22" ht="12.75">
      <c r="A63" s="168"/>
      <c r="B63" s="167"/>
      <c r="C63" s="167"/>
      <c r="D63" s="167"/>
      <c r="E63" s="148"/>
      <c r="F63" s="148"/>
      <c r="G63" s="168"/>
      <c r="H63" s="166"/>
      <c r="I63" s="163"/>
      <c r="J63" s="164"/>
      <c r="K63" s="167"/>
      <c r="L63" s="167"/>
      <c r="M63" s="167"/>
      <c r="N63" s="168"/>
      <c r="O63" s="168"/>
      <c r="P63" s="170"/>
      <c r="Q63" s="167"/>
      <c r="R63" s="168"/>
      <c r="S63" s="171"/>
      <c r="T63" s="148"/>
      <c r="U63" s="164"/>
      <c r="V63" s="87"/>
    </row>
    <row r="64" spans="1:22" ht="12.75">
      <c r="A64" s="168"/>
      <c r="B64" s="167"/>
      <c r="C64" s="167"/>
      <c r="D64" s="167"/>
      <c r="E64" s="148"/>
      <c r="F64" s="148"/>
      <c r="G64" s="168"/>
      <c r="H64" s="168"/>
      <c r="I64" s="163"/>
      <c r="J64" s="164"/>
      <c r="K64" s="167"/>
      <c r="L64" s="167"/>
      <c r="M64" s="167"/>
      <c r="N64" s="168"/>
      <c r="O64" s="168"/>
      <c r="P64" s="170"/>
      <c r="Q64" s="167"/>
      <c r="R64" s="168"/>
      <c r="S64" s="171"/>
      <c r="T64" s="148"/>
      <c r="U64" s="164"/>
      <c r="V64" s="87"/>
    </row>
    <row r="65" spans="1:22" ht="12.75">
      <c r="A65" s="172"/>
      <c r="B65" s="173"/>
      <c r="C65" s="173"/>
      <c r="D65" s="173"/>
      <c r="E65" s="174"/>
      <c r="F65" s="174"/>
      <c r="G65" s="172"/>
      <c r="H65" s="172"/>
      <c r="I65" s="175"/>
      <c r="J65" s="174"/>
      <c r="K65" s="173"/>
      <c r="L65" s="173"/>
      <c r="M65" s="173"/>
      <c r="N65" s="172"/>
      <c r="O65" s="172"/>
      <c r="P65" s="176"/>
      <c r="Q65" s="173"/>
      <c r="R65" s="172"/>
      <c r="S65" s="177"/>
      <c r="T65" s="178"/>
      <c r="U65" s="178"/>
      <c r="V65" s="87"/>
    </row>
    <row r="66" spans="1:22" ht="12.75">
      <c r="A66" s="172"/>
      <c r="B66" s="173"/>
      <c r="C66" s="173"/>
      <c r="D66" s="173"/>
      <c r="E66" s="174"/>
      <c r="F66" s="174"/>
      <c r="G66" s="172"/>
      <c r="H66" s="172"/>
      <c r="I66" s="179"/>
      <c r="J66" s="178"/>
      <c r="K66" s="173"/>
      <c r="L66" s="173"/>
      <c r="M66" s="173"/>
      <c r="N66" s="172"/>
      <c r="O66" s="172"/>
      <c r="P66" s="180"/>
      <c r="Q66" s="173"/>
      <c r="R66" s="172"/>
      <c r="S66" s="172"/>
      <c r="T66" s="178"/>
      <c r="U66" s="178"/>
      <c r="V66" s="87"/>
    </row>
    <row r="67" spans="1:22" ht="12.75">
      <c r="A67" s="172"/>
      <c r="B67" s="173"/>
      <c r="C67" s="173"/>
      <c r="D67" s="173"/>
      <c r="E67" s="174"/>
      <c r="F67" s="174"/>
      <c r="G67" s="172"/>
      <c r="H67" s="172"/>
      <c r="I67" s="175"/>
      <c r="J67" s="174"/>
      <c r="K67" s="173"/>
      <c r="L67" s="173"/>
      <c r="M67" s="173"/>
      <c r="N67" s="172"/>
      <c r="O67" s="172"/>
      <c r="P67" s="176"/>
      <c r="Q67" s="173"/>
      <c r="R67" s="181"/>
      <c r="S67" s="172"/>
      <c r="T67" s="178"/>
      <c r="U67" s="178"/>
      <c r="V67" s="87"/>
    </row>
    <row r="68" spans="1:22" ht="12.75">
      <c r="A68" s="172"/>
      <c r="B68" s="173"/>
      <c r="C68" s="173"/>
      <c r="D68" s="173"/>
      <c r="E68" s="174"/>
      <c r="F68" s="174"/>
      <c r="G68" s="172"/>
      <c r="H68" s="172"/>
      <c r="I68" s="175"/>
      <c r="J68" s="174"/>
      <c r="K68" s="173"/>
      <c r="L68" s="173"/>
      <c r="M68" s="173"/>
      <c r="N68" s="172"/>
      <c r="O68" s="172"/>
      <c r="P68" s="176"/>
      <c r="Q68" s="173"/>
      <c r="R68" s="181"/>
      <c r="S68" s="172"/>
      <c r="T68" s="174"/>
      <c r="U68" s="173"/>
      <c r="V68" s="87"/>
    </row>
    <row r="69" spans="1:22" ht="12.75">
      <c r="A69" s="172"/>
      <c r="B69" s="173"/>
      <c r="C69" s="173"/>
      <c r="D69" s="182"/>
      <c r="E69" s="174"/>
      <c r="F69" s="174"/>
      <c r="G69" s="172"/>
      <c r="H69" s="172"/>
      <c r="I69" s="179"/>
      <c r="J69" s="178"/>
      <c r="K69" s="173"/>
      <c r="L69" s="173"/>
      <c r="M69" s="173"/>
      <c r="N69" s="172"/>
      <c r="O69" s="172"/>
      <c r="P69" s="176"/>
      <c r="Q69" s="173"/>
      <c r="R69" s="181"/>
      <c r="S69" s="172"/>
      <c r="T69" s="174"/>
      <c r="U69" s="173"/>
      <c r="V69" s="87"/>
    </row>
    <row r="70" spans="1:22" ht="12.75">
      <c r="A70" s="172"/>
      <c r="B70" s="173"/>
      <c r="C70" s="173"/>
      <c r="D70" s="173"/>
      <c r="E70" s="174"/>
      <c r="F70" s="174"/>
      <c r="G70" s="172"/>
      <c r="H70" s="181"/>
      <c r="I70" s="175"/>
      <c r="J70" s="174"/>
      <c r="K70" s="173"/>
      <c r="L70" s="173"/>
      <c r="M70" s="173"/>
      <c r="N70" s="172"/>
      <c r="O70" s="172"/>
      <c r="P70" s="176"/>
      <c r="Q70" s="173"/>
      <c r="R70" s="181"/>
      <c r="S70" s="172"/>
      <c r="T70" s="174"/>
      <c r="U70" s="173"/>
      <c r="V70" s="87"/>
    </row>
    <row r="71" spans="1:22" ht="12.75">
      <c r="A71" s="172"/>
      <c r="B71" s="173"/>
      <c r="C71" s="173"/>
      <c r="D71" s="173"/>
      <c r="E71" s="174"/>
      <c r="F71" s="174"/>
      <c r="G71" s="172"/>
      <c r="H71" s="172"/>
      <c r="I71" s="175"/>
      <c r="J71" s="174"/>
      <c r="K71" s="173"/>
      <c r="L71" s="173"/>
      <c r="M71" s="173"/>
      <c r="N71" s="172"/>
      <c r="O71" s="172"/>
      <c r="P71" s="176"/>
      <c r="Q71" s="173"/>
      <c r="R71" s="172"/>
      <c r="S71" s="172"/>
      <c r="T71" s="178"/>
      <c r="U71" s="178"/>
      <c r="V71" s="87"/>
    </row>
    <row r="72" spans="1:22" ht="12.75">
      <c r="A72" s="172"/>
      <c r="B72" s="173"/>
      <c r="C72" s="173"/>
      <c r="D72" s="173"/>
      <c r="E72" s="174"/>
      <c r="F72" s="174"/>
      <c r="G72" s="172"/>
      <c r="H72" s="172"/>
      <c r="I72" s="175"/>
      <c r="J72" s="174"/>
      <c r="K72" s="173"/>
      <c r="L72" s="173"/>
      <c r="M72" s="173"/>
      <c r="N72" s="172"/>
      <c r="O72" s="172"/>
      <c r="P72" s="176"/>
      <c r="Q72" s="173"/>
      <c r="R72" s="181"/>
      <c r="S72" s="173"/>
      <c r="T72" s="178"/>
      <c r="U72" s="178"/>
      <c r="V72" s="87"/>
    </row>
    <row r="73" spans="1:22" ht="12.75">
      <c r="A73" s="172"/>
      <c r="B73" s="173"/>
      <c r="C73" s="173"/>
      <c r="D73" s="173"/>
      <c r="E73" s="174"/>
      <c r="F73" s="174"/>
      <c r="G73" s="172"/>
      <c r="H73" s="181"/>
      <c r="I73" s="179"/>
      <c r="J73" s="178"/>
      <c r="K73" s="173"/>
      <c r="L73" s="173"/>
      <c r="M73" s="173"/>
      <c r="N73" s="172"/>
      <c r="O73" s="172"/>
      <c r="P73" s="176"/>
      <c r="Q73" s="173"/>
      <c r="R73" s="181"/>
      <c r="S73" s="173"/>
      <c r="T73" s="174"/>
      <c r="U73" s="173"/>
      <c r="V73" s="87"/>
    </row>
    <row r="74" spans="1:22" ht="12.75">
      <c r="A74" s="172"/>
      <c r="B74" s="173"/>
      <c r="C74" s="173"/>
      <c r="D74" s="182"/>
      <c r="E74" s="174"/>
      <c r="F74" s="174"/>
      <c r="G74" s="172"/>
      <c r="H74" s="172"/>
      <c r="I74" s="179"/>
      <c r="J74" s="178"/>
      <c r="K74" s="173"/>
      <c r="L74" s="173"/>
      <c r="M74" s="173"/>
      <c r="N74" s="172"/>
      <c r="O74" s="172"/>
      <c r="P74" s="176"/>
      <c r="Q74" s="173"/>
      <c r="R74" s="181"/>
      <c r="S74" s="172"/>
      <c r="T74" s="174"/>
      <c r="U74" s="173"/>
      <c r="V74" s="87"/>
    </row>
    <row r="75" spans="1:22" ht="12.75">
      <c r="A75" s="172"/>
      <c r="B75" s="173"/>
      <c r="C75" s="173"/>
      <c r="D75" s="173"/>
      <c r="E75" s="174"/>
      <c r="F75" s="174"/>
      <c r="G75" s="172"/>
      <c r="H75" s="172"/>
      <c r="I75" s="175"/>
      <c r="J75" s="174"/>
      <c r="K75" s="173"/>
      <c r="L75" s="173"/>
      <c r="M75" s="173"/>
      <c r="N75" s="172"/>
      <c r="O75" s="172"/>
      <c r="P75" s="176"/>
      <c r="Q75" s="173"/>
      <c r="R75" s="172"/>
      <c r="S75" s="172"/>
      <c r="T75" s="178"/>
      <c r="U75" s="178"/>
      <c r="V75" s="87"/>
    </row>
    <row r="76" spans="1:22" ht="12.75">
      <c r="A76" s="172"/>
      <c r="B76" s="173"/>
      <c r="C76" s="173"/>
      <c r="D76" s="173"/>
      <c r="E76" s="174"/>
      <c r="F76" s="174"/>
      <c r="G76" s="172"/>
      <c r="H76" s="172"/>
      <c r="I76" s="175"/>
      <c r="J76" s="174"/>
      <c r="K76" s="173"/>
      <c r="L76" s="173"/>
      <c r="M76" s="173"/>
      <c r="N76" s="172"/>
      <c r="O76" s="172"/>
      <c r="P76" s="176"/>
      <c r="Q76" s="173"/>
      <c r="R76" s="172"/>
      <c r="S76" s="172"/>
      <c r="T76" s="178"/>
      <c r="U76" s="178"/>
      <c r="V76" s="87"/>
    </row>
    <row r="77" spans="1:22" ht="12.75">
      <c r="A77" s="172"/>
      <c r="B77" s="173"/>
      <c r="C77" s="173"/>
      <c r="D77" s="173"/>
      <c r="E77" s="174"/>
      <c r="F77" s="174"/>
      <c r="G77" s="172"/>
      <c r="H77" s="172"/>
      <c r="I77" s="175"/>
      <c r="J77" s="174"/>
      <c r="K77" s="173"/>
      <c r="L77" s="173"/>
      <c r="M77" s="173"/>
      <c r="N77" s="172"/>
      <c r="O77" s="172"/>
      <c r="P77" s="176"/>
      <c r="Q77" s="173"/>
      <c r="R77" s="181"/>
      <c r="S77" s="178"/>
      <c r="T77" s="174"/>
      <c r="U77" s="173"/>
      <c r="V77" s="87"/>
    </row>
    <row r="78" spans="1:22" ht="12.75">
      <c r="A78" s="172"/>
      <c r="B78" s="173"/>
      <c r="C78" s="173"/>
      <c r="D78" s="182"/>
      <c r="E78" s="174"/>
      <c r="F78" s="174"/>
      <c r="G78" s="172"/>
      <c r="H78" s="172"/>
      <c r="I78" s="175"/>
      <c r="J78" s="174"/>
      <c r="K78" s="173"/>
      <c r="L78" s="173"/>
      <c r="M78" s="173"/>
      <c r="N78" s="172"/>
      <c r="O78" s="172"/>
      <c r="P78" s="176"/>
      <c r="Q78" s="173"/>
      <c r="R78" s="172"/>
      <c r="S78" s="173"/>
      <c r="T78" s="178"/>
      <c r="U78" s="178"/>
      <c r="V78" s="87"/>
    </row>
    <row r="79" spans="1:22" ht="12.75">
      <c r="A79" s="172"/>
      <c r="B79" s="173"/>
      <c r="C79" s="173"/>
      <c r="D79" s="173"/>
      <c r="E79" s="174"/>
      <c r="F79" s="174"/>
      <c r="G79" s="172"/>
      <c r="H79" s="172"/>
      <c r="I79" s="175"/>
      <c r="J79" s="174"/>
      <c r="K79" s="173"/>
      <c r="L79" s="173"/>
      <c r="M79" s="173"/>
      <c r="N79" s="172"/>
      <c r="O79" s="172"/>
      <c r="P79" s="176"/>
      <c r="Q79" s="173"/>
      <c r="R79" s="181"/>
      <c r="S79" s="173"/>
      <c r="T79" s="174"/>
      <c r="U79" s="173"/>
      <c r="V79" s="87"/>
    </row>
    <row r="80" spans="1:22" ht="12.75">
      <c r="A80" s="172"/>
      <c r="B80" s="173"/>
      <c r="C80" s="173"/>
      <c r="D80" s="173"/>
      <c r="E80" s="174"/>
      <c r="F80" s="174"/>
      <c r="G80" s="172"/>
      <c r="H80" s="172"/>
      <c r="I80" s="175"/>
      <c r="J80" s="174"/>
      <c r="K80" s="173"/>
      <c r="L80" s="173"/>
      <c r="M80" s="173"/>
      <c r="N80" s="172"/>
      <c r="O80" s="172"/>
      <c r="P80" s="176"/>
      <c r="Q80" s="173"/>
      <c r="R80" s="172"/>
      <c r="S80" s="173"/>
      <c r="T80" s="178"/>
      <c r="U80" s="178"/>
      <c r="V80" s="87"/>
    </row>
    <row r="81" spans="1:22" ht="12.75">
      <c r="A81" s="172"/>
      <c r="B81" s="173"/>
      <c r="C81" s="173"/>
      <c r="D81" s="173"/>
      <c r="E81" s="174"/>
      <c r="F81" s="174"/>
      <c r="G81" s="172"/>
      <c r="H81" s="172"/>
      <c r="I81" s="179"/>
      <c r="J81" s="178"/>
      <c r="K81" s="173"/>
      <c r="L81" s="173"/>
      <c r="M81" s="173"/>
      <c r="N81" s="172"/>
      <c r="O81" s="172"/>
      <c r="P81" s="176"/>
      <c r="Q81" s="173"/>
      <c r="R81" s="172"/>
      <c r="S81" s="172"/>
      <c r="T81" s="178"/>
      <c r="U81" s="178"/>
      <c r="V81" s="87"/>
    </row>
    <row r="82" spans="1:22" ht="12.75">
      <c r="A82" s="172"/>
      <c r="B82" s="173"/>
      <c r="C82" s="173"/>
      <c r="D82" s="173"/>
      <c r="E82" s="174"/>
      <c r="F82" s="174"/>
      <c r="G82" s="172"/>
      <c r="H82" s="172"/>
      <c r="I82" s="178"/>
      <c r="J82" s="178"/>
      <c r="K82" s="173"/>
      <c r="L82" s="173"/>
      <c r="M82" s="173"/>
      <c r="N82" s="172"/>
      <c r="O82" s="172"/>
      <c r="P82" s="176"/>
      <c r="Q82" s="173"/>
      <c r="R82" s="172"/>
      <c r="S82" s="172"/>
      <c r="T82" s="178"/>
      <c r="U82" s="178"/>
      <c r="V82" s="87"/>
    </row>
    <row r="83" spans="1:22" ht="12.75">
      <c r="A83" s="172"/>
      <c r="B83" s="173"/>
      <c r="C83" s="173"/>
      <c r="D83" s="173"/>
      <c r="E83" s="174"/>
      <c r="F83" s="174"/>
      <c r="G83" s="172"/>
      <c r="H83" s="172"/>
      <c r="I83" s="179"/>
      <c r="J83" s="178"/>
      <c r="K83" s="173"/>
      <c r="L83" s="173"/>
      <c r="M83" s="173"/>
      <c r="N83" s="172"/>
      <c r="O83" s="172"/>
      <c r="P83" s="176"/>
      <c r="Q83" s="173"/>
      <c r="R83" s="172"/>
      <c r="S83" s="173"/>
      <c r="T83" s="178"/>
      <c r="U83" s="178"/>
      <c r="V83" s="87"/>
    </row>
    <row r="84" spans="1:22" ht="12.75">
      <c r="A84" s="172"/>
      <c r="B84" s="173"/>
      <c r="C84" s="173"/>
      <c r="D84" s="173"/>
      <c r="E84" s="174"/>
      <c r="F84" s="174"/>
      <c r="G84" s="172"/>
      <c r="H84" s="172"/>
      <c r="I84" s="175"/>
      <c r="J84" s="174"/>
      <c r="K84" s="173"/>
      <c r="L84" s="173"/>
      <c r="M84" s="173"/>
      <c r="N84" s="172"/>
      <c r="O84" s="172"/>
      <c r="P84" s="176"/>
      <c r="Q84" s="173"/>
      <c r="R84" s="172"/>
      <c r="S84" s="172"/>
      <c r="T84" s="178"/>
      <c r="U84" s="178"/>
      <c r="V84" s="87"/>
    </row>
    <row r="85" spans="1:22" ht="12.75">
      <c r="A85" s="172"/>
      <c r="B85" s="173"/>
      <c r="C85" s="173"/>
      <c r="D85" s="173"/>
      <c r="E85" s="174"/>
      <c r="F85" s="174"/>
      <c r="G85" s="172"/>
      <c r="H85" s="172"/>
      <c r="I85" s="178"/>
      <c r="J85" s="178"/>
      <c r="K85" s="173"/>
      <c r="L85" s="173"/>
      <c r="M85" s="173"/>
      <c r="N85" s="172"/>
      <c r="O85" s="172"/>
      <c r="P85" s="176"/>
      <c r="Q85" s="173"/>
      <c r="R85" s="172"/>
      <c r="S85" s="172"/>
      <c r="T85" s="178"/>
      <c r="U85" s="178"/>
      <c r="V85" s="87"/>
    </row>
    <row r="86" spans="1:22" ht="12.75">
      <c r="A86" s="172"/>
      <c r="B86" s="173"/>
      <c r="C86" s="173"/>
      <c r="D86" s="173"/>
      <c r="E86" s="174"/>
      <c r="F86" s="174"/>
      <c r="G86" s="172"/>
      <c r="H86" s="172"/>
      <c r="I86" s="178"/>
      <c r="J86" s="178"/>
      <c r="K86" s="173"/>
      <c r="L86" s="173"/>
      <c r="M86" s="173"/>
      <c r="N86" s="172"/>
      <c r="O86" s="172"/>
      <c r="P86" s="176"/>
      <c r="Q86" s="173"/>
      <c r="R86" s="172"/>
      <c r="S86" s="172"/>
      <c r="T86" s="178"/>
      <c r="U86" s="178"/>
      <c r="V86" s="87"/>
    </row>
    <row r="87" spans="1:22" ht="12.75">
      <c r="A87" s="172"/>
      <c r="B87" s="173"/>
      <c r="C87" s="173"/>
      <c r="D87" s="173"/>
      <c r="E87" s="174"/>
      <c r="F87" s="174"/>
      <c r="G87" s="172"/>
      <c r="H87" s="172"/>
      <c r="I87" s="175"/>
      <c r="J87" s="174"/>
      <c r="K87" s="173"/>
      <c r="L87" s="173"/>
      <c r="M87" s="173"/>
      <c r="N87" s="172"/>
      <c r="O87" s="172"/>
      <c r="P87" s="176"/>
      <c r="Q87" s="173"/>
      <c r="R87" s="172"/>
      <c r="S87" s="172"/>
      <c r="T87" s="178"/>
      <c r="U87" s="178"/>
      <c r="V87" s="87"/>
    </row>
    <row r="88" spans="1:22" ht="12.75">
      <c r="A88" s="172"/>
      <c r="B88" s="173"/>
      <c r="C88" s="173"/>
      <c r="D88" s="173"/>
      <c r="E88" s="174"/>
      <c r="F88" s="174"/>
      <c r="G88" s="172"/>
      <c r="H88" s="172"/>
      <c r="I88" s="179"/>
      <c r="J88" s="178"/>
      <c r="K88" s="173"/>
      <c r="L88" s="173"/>
      <c r="M88" s="173"/>
      <c r="N88" s="172"/>
      <c r="O88" s="172"/>
      <c r="P88" s="176"/>
      <c r="Q88" s="173"/>
      <c r="R88" s="172"/>
      <c r="S88" s="172"/>
      <c r="T88" s="178"/>
      <c r="U88" s="178"/>
      <c r="V88" s="87"/>
    </row>
    <row r="89" spans="1:22" ht="12.75">
      <c r="A89" s="172"/>
      <c r="B89" s="173"/>
      <c r="C89" s="173"/>
      <c r="D89" s="173"/>
      <c r="E89" s="174"/>
      <c r="F89" s="174"/>
      <c r="G89" s="172"/>
      <c r="H89" s="172"/>
      <c r="I89" s="179"/>
      <c r="J89" s="178"/>
      <c r="K89" s="173"/>
      <c r="L89" s="173"/>
      <c r="M89" s="173"/>
      <c r="N89" s="172"/>
      <c r="O89" s="172"/>
      <c r="P89" s="176"/>
      <c r="Q89" s="173"/>
      <c r="R89" s="181"/>
      <c r="S89" s="181"/>
      <c r="T89" s="174"/>
      <c r="U89" s="173"/>
      <c r="V89" s="87"/>
    </row>
    <row r="90" spans="1:22" ht="12.75">
      <c r="A90" s="172"/>
      <c r="B90" s="173"/>
      <c r="C90" s="173"/>
      <c r="D90" s="173"/>
      <c r="E90" s="174"/>
      <c r="F90" s="174"/>
      <c r="G90" s="172"/>
      <c r="H90" s="172"/>
      <c r="I90" s="175"/>
      <c r="J90" s="174"/>
      <c r="K90" s="173"/>
      <c r="L90" s="173"/>
      <c r="M90" s="173"/>
      <c r="N90" s="172"/>
      <c r="O90" s="172"/>
      <c r="P90" s="176"/>
      <c r="Q90" s="173"/>
      <c r="R90" s="181"/>
      <c r="S90" s="172"/>
      <c r="T90" s="174"/>
      <c r="U90" s="178"/>
      <c r="V90" s="87"/>
    </row>
    <row r="91" spans="1:22" ht="12.75">
      <c r="A91" s="172"/>
      <c r="B91" s="173"/>
      <c r="C91" s="173"/>
      <c r="D91" s="173"/>
      <c r="E91" s="174"/>
      <c r="F91" s="174"/>
      <c r="G91" s="172"/>
      <c r="H91" s="172"/>
      <c r="I91" s="175"/>
      <c r="J91" s="174"/>
      <c r="K91" s="173"/>
      <c r="L91" s="173"/>
      <c r="M91" s="173"/>
      <c r="N91" s="172"/>
      <c r="O91" s="172"/>
      <c r="P91" s="176"/>
      <c r="Q91" s="173"/>
      <c r="R91" s="181"/>
      <c r="S91" s="172"/>
      <c r="T91" s="178"/>
      <c r="U91" s="178"/>
      <c r="V91" s="87"/>
    </row>
    <row r="92" spans="1:22" ht="12.75">
      <c r="A92" s="172"/>
      <c r="B92" s="173"/>
      <c r="C92" s="173"/>
      <c r="D92" s="173"/>
      <c r="E92" s="174"/>
      <c r="F92" s="174"/>
      <c r="G92" s="172"/>
      <c r="H92" s="172"/>
      <c r="I92" s="179"/>
      <c r="J92" s="178"/>
      <c r="K92" s="173"/>
      <c r="L92" s="173"/>
      <c r="M92" s="173"/>
      <c r="N92" s="172"/>
      <c r="O92" s="172"/>
      <c r="P92" s="176"/>
      <c r="Q92" s="173"/>
      <c r="R92" s="181"/>
      <c r="S92" s="173"/>
      <c r="T92" s="178"/>
      <c r="U92" s="178"/>
      <c r="V92" s="87"/>
    </row>
    <row r="93" spans="1:22" ht="12.75">
      <c r="A93" s="172"/>
      <c r="B93" s="173"/>
      <c r="C93" s="173"/>
      <c r="D93" s="173"/>
      <c r="E93" s="174"/>
      <c r="F93" s="174"/>
      <c r="G93" s="172"/>
      <c r="H93" s="172"/>
      <c r="I93" s="179"/>
      <c r="J93" s="178"/>
      <c r="K93" s="173"/>
      <c r="L93" s="173"/>
      <c r="M93" s="173"/>
      <c r="N93" s="172"/>
      <c r="O93" s="172"/>
      <c r="P93" s="176"/>
      <c r="Q93" s="173"/>
      <c r="R93" s="181"/>
      <c r="S93" s="173"/>
      <c r="T93" s="178"/>
      <c r="U93" s="178"/>
      <c r="V93" s="87"/>
    </row>
    <row r="94" spans="1:22" ht="12.75">
      <c r="A94" s="172"/>
      <c r="B94" s="173"/>
      <c r="C94" s="173"/>
      <c r="D94" s="173"/>
      <c r="E94" s="174"/>
      <c r="F94" s="174"/>
      <c r="G94" s="172"/>
      <c r="H94" s="172"/>
      <c r="I94" s="179"/>
      <c r="J94" s="178"/>
      <c r="K94" s="173"/>
      <c r="L94" s="173"/>
      <c r="M94" s="173"/>
      <c r="N94" s="172"/>
      <c r="O94" s="172"/>
      <c r="P94" s="176"/>
      <c r="Q94" s="173"/>
      <c r="R94" s="181"/>
      <c r="S94" s="173"/>
      <c r="T94" s="178"/>
      <c r="U94" s="178"/>
      <c r="V94" s="87"/>
    </row>
    <row r="95" spans="1:22" ht="12.75">
      <c r="A95" s="172"/>
      <c r="B95" s="173"/>
      <c r="C95" s="173"/>
      <c r="D95" s="173"/>
      <c r="E95" s="174"/>
      <c r="F95" s="174"/>
      <c r="G95" s="172"/>
      <c r="H95" s="172"/>
      <c r="I95" s="179"/>
      <c r="J95" s="178"/>
      <c r="K95" s="173"/>
      <c r="L95" s="173"/>
      <c r="M95" s="173"/>
      <c r="N95" s="172"/>
      <c r="O95" s="172"/>
      <c r="P95" s="176"/>
      <c r="Q95" s="173"/>
      <c r="R95" s="181"/>
      <c r="S95" s="173"/>
      <c r="T95" s="178"/>
      <c r="U95" s="178"/>
      <c r="V95" s="87"/>
    </row>
    <row r="96" spans="1:22" ht="12.75">
      <c r="A96" s="172"/>
      <c r="B96" s="173"/>
      <c r="C96" s="173"/>
      <c r="D96" s="173"/>
      <c r="E96" s="174"/>
      <c r="F96" s="174"/>
      <c r="G96" s="172"/>
      <c r="H96" s="172"/>
      <c r="I96" s="179"/>
      <c r="J96" s="178"/>
      <c r="K96" s="173"/>
      <c r="L96" s="173"/>
      <c r="M96" s="173"/>
      <c r="N96" s="172"/>
      <c r="O96" s="172"/>
      <c r="P96" s="176"/>
      <c r="Q96" s="173"/>
      <c r="R96" s="181"/>
      <c r="S96" s="173"/>
      <c r="T96" s="178"/>
      <c r="U96" s="178"/>
      <c r="V96" s="87"/>
    </row>
    <row r="97" spans="1:22" ht="12.75">
      <c r="A97" s="172"/>
      <c r="B97" s="173"/>
      <c r="C97" s="173"/>
      <c r="D97" s="173"/>
      <c r="E97" s="174"/>
      <c r="F97" s="174"/>
      <c r="G97" s="172"/>
      <c r="H97" s="172"/>
      <c r="I97" s="178"/>
      <c r="J97" s="178"/>
      <c r="K97" s="173"/>
      <c r="L97" s="173"/>
      <c r="M97" s="173"/>
      <c r="N97" s="172"/>
      <c r="O97" s="172"/>
      <c r="P97" s="176"/>
      <c r="Q97" s="173"/>
      <c r="R97" s="181"/>
      <c r="S97" s="172"/>
      <c r="T97" s="178"/>
      <c r="U97" s="178"/>
      <c r="V97" s="87"/>
    </row>
    <row r="98" spans="1:22" ht="12.75">
      <c r="A98" s="172"/>
      <c r="B98" s="173"/>
      <c r="C98" s="173"/>
      <c r="D98" s="173"/>
      <c r="E98" s="174"/>
      <c r="F98" s="174"/>
      <c r="G98" s="172"/>
      <c r="H98" s="172"/>
      <c r="I98" s="179"/>
      <c r="J98" s="178"/>
      <c r="K98" s="173"/>
      <c r="L98" s="173"/>
      <c r="M98" s="173"/>
      <c r="N98" s="172"/>
      <c r="O98" s="172"/>
      <c r="P98" s="176"/>
      <c r="Q98" s="173"/>
      <c r="R98" s="181"/>
      <c r="S98" s="172"/>
      <c r="T98" s="178"/>
      <c r="U98" s="178"/>
      <c r="V98" s="87"/>
    </row>
    <row r="99" spans="1:22" ht="12.75">
      <c r="A99" s="172"/>
      <c r="B99" s="173"/>
      <c r="C99" s="173"/>
      <c r="D99" s="173"/>
      <c r="E99" s="174"/>
      <c r="F99" s="174"/>
      <c r="G99" s="172"/>
      <c r="H99" s="172"/>
      <c r="I99" s="178"/>
      <c r="J99" s="178"/>
      <c r="K99" s="173"/>
      <c r="L99" s="173"/>
      <c r="M99" s="173"/>
      <c r="N99" s="172"/>
      <c r="O99" s="172"/>
      <c r="P99" s="176"/>
      <c r="Q99" s="173"/>
      <c r="R99" s="181"/>
      <c r="S99" s="173"/>
      <c r="T99" s="178"/>
      <c r="U99" s="178"/>
      <c r="V99" s="87"/>
    </row>
    <row r="100" spans="1:22" ht="12.75">
      <c r="A100" s="172"/>
      <c r="B100" s="173"/>
      <c r="C100" s="173"/>
      <c r="D100" s="173"/>
      <c r="E100" s="174"/>
      <c r="F100" s="174"/>
      <c r="G100" s="172"/>
      <c r="H100" s="172"/>
      <c r="I100" s="178"/>
      <c r="J100" s="178"/>
      <c r="K100" s="173"/>
      <c r="L100" s="173"/>
      <c r="M100" s="173"/>
      <c r="N100" s="172"/>
      <c r="O100" s="172"/>
      <c r="P100" s="176"/>
      <c r="Q100" s="173"/>
      <c r="R100" s="181"/>
      <c r="S100" s="173"/>
      <c r="T100" s="178"/>
      <c r="U100" s="178"/>
      <c r="V100" s="87"/>
    </row>
    <row r="101" spans="1:22" ht="12.75">
      <c r="A101" s="172"/>
      <c r="B101" s="173"/>
      <c r="C101" s="173"/>
      <c r="D101" s="173"/>
      <c r="E101" s="174"/>
      <c r="F101" s="174"/>
      <c r="G101" s="172"/>
      <c r="H101" s="172"/>
      <c r="I101" s="178"/>
      <c r="J101" s="178"/>
      <c r="K101" s="173"/>
      <c r="L101" s="173"/>
      <c r="M101" s="173"/>
      <c r="N101" s="172"/>
      <c r="O101" s="172"/>
      <c r="P101" s="176"/>
      <c r="Q101" s="173"/>
      <c r="R101" s="181"/>
      <c r="S101" s="173"/>
      <c r="T101" s="178"/>
      <c r="U101" s="178"/>
      <c r="V101" s="87"/>
    </row>
    <row r="102" spans="1:22" ht="12.75">
      <c r="A102" s="183"/>
      <c r="B102" s="184"/>
      <c r="C102" s="184"/>
      <c r="D102" s="184"/>
      <c r="E102" s="184"/>
      <c r="F102" s="184"/>
      <c r="G102" s="183"/>
      <c r="H102" s="183"/>
      <c r="I102" s="184"/>
      <c r="J102" s="184"/>
      <c r="K102" s="184"/>
      <c r="L102" s="184"/>
      <c r="M102" s="184"/>
      <c r="N102" s="183"/>
      <c r="O102" s="183"/>
      <c r="P102" s="185"/>
      <c r="Q102" s="184"/>
      <c r="R102" s="186"/>
      <c r="S102" s="184"/>
      <c r="T102" s="184"/>
      <c r="U102" s="184"/>
      <c r="V102" s="187"/>
    </row>
    <row r="103" spans="1:22" ht="12.75">
      <c r="A103" s="183"/>
      <c r="B103" s="184"/>
      <c r="C103" s="184"/>
      <c r="D103" s="184"/>
      <c r="E103" s="184"/>
      <c r="F103" s="184"/>
      <c r="G103" s="183"/>
      <c r="H103" s="183"/>
      <c r="I103" s="184"/>
      <c r="J103" s="184"/>
      <c r="K103" s="184"/>
      <c r="L103" s="184"/>
      <c r="M103" s="184"/>
      <c r="N103" s="183"/>
      <c r="O103" s="183"/>
      <c r="P103" s="185"/>
      <c r="Q103" s="184"/>
      <c r="R103" s="186"/>
      <c r="S103" s="184"/>
      <c r="T103" s="184"/>
      <c r="U103" s="184"/>
      <c r="V103" s="187"/>
    </row>
    <row r="104" spans="1:22" ht="12.75">
      <c r="A104" s="188"/>
      <c r="B104" s="148"/>
      <c r="C104" s="148"/>
      <c r="D104" s="148"/>
      <c r="E104" s="148"/>
      <c r="F104" s="148"/>
      <c r="G104" s="189"/>
      <c r="H104" s="188"/>
      <c r="I104" s="190"/>
      <c r="J104" s="148"/>
      <c r="K104" s="148"/>
      <c r="L104" s="148"/>
      <c r="M104" s="148"/>
      <c r="N104" s="188"/>
      <c r="O104" s="188"/>
      <c r="P104" s="170"/>
      <c r="Q104" s="148"/>
      <c r="R104" s="188"/>
      <c r="S104" s="188"/>
      <c r="T104" s="191"/>
      <c r="U104" s="191"/>
      <c r="V104" s="187"/>
    </row>
    <row r="105" spans="1:22" ht="12.75">
      <c r="A105" s="188"/>
      <c r="B105" s="148"/>
      <c r="C105" s="148"/>
      <c r="D105" s="148"/>
      <c r="E105" s="148"/>
      <c r="F105" s="148"/>
      <c r="G105" s="189"/>
      <c r="H105" s="188"/>
      <c r="I105" s="191"/>
      <c r="J105" s="191"/>
      <c r="K105" s="148"/>
      <c r="L105" s="148"/>
      <c r="M105" s="148"/>
      <c r="N105" s="188"/>
      <c r="O105" s="188"/>
      <c r="P105" s="192"/>
      <c r="Q105" s="148"/>
      <c r="R105" s="189"/>
      <c r="S105" s="188"/>
      <c r="T105" s="191"/>
      <c r="U105" s="191"/>
      <c r="V105" s="187"/>
    </row>
    <row r="106" spans="1:22" ht="12.75">
      <c r="A106" s="188"/>
      <c r="B106" s="148"/>
      <c r="C106" s="148"/>
      <c r="D106" s="148"/>
      <c r="E106" s="148"/>
      <c r="F106" s="148"/>
      <c r="G106" s="188"/>
      <c r="H106" s="188"/>
      <c r="I106" s="191"/>
      <c r="J106" s="191"/>
      <c r="K106" s="148"/>
      <c r="L106" s="148"/>
      <c r="M106" s="148"/>
      <c r="N106" s="188"/>
      <c r="O106" s="188"/>
      <c r="P106" s="170"/>
      <c r="Q106" s="148"/>
      <c r="R106" s="189"/>
      <c r="S106" s="188"/>
      <c r="T106" s="191"/>
      <c r="U106" s="191"/>
      <c r="V106" s="187"/>
    </row>
    <row r="107" spans="1:22" ht="12.75">
      <c r="A107" s="188"/>
      <c r="B107" s="148"/>
      <c r="C107" s="148"/>
      <c r="D107" s="148"/>
      <c r="E107" s="148"/>
      <c r="F107" s="148"/>
      <c r="G107" s="188"/>
      <c r="H107" s="188"/>
      <c r="I107" s="191"/>
      <c r="J107" s="191"/>
      <c r="K107" s="148"/>
      <c r="L107" s="148"/>
      <c r="M107" s="148"/>
      <c r="N107" s="188"/>
      <c r="O107" s="188"/>
      <c r="P107" s="192"/>
      <c r="Q107" s="148"/>
      <c r="R107" s="189"/>
      <c r="S107" s="188"/>
      <c r="T107" s="191"/>
      <c r="U107" s="191"/>
      <c r="V107" s="187"/>
    </row>
    <row r="108" spans="1:22" ht="12.75">
      <c r="A108" s="188"/>
      <c r="B108" s="148"/>
      <c r="C108" s="148"/>
      <c r="D108" s="148"/>
      <c r="E108" s="148"/>
      <c r="F108" s="148"/>
      <c r="G108" s="188"/>
      <c r="H108" s="188"/>
      <c r="I108" s="191"/>
      <c r="J108" s="191"/>
      <c r="K108" s="148"/>
      <c r="L108" s="148"/>
      <c r="M108" s="148"/>
      <c r="N108" s="188"/>
      <c r="O108" s="188"/>
      <c r="P108" s="192"/>
      <c r="Q108" s="148"/>
      <c r="R108" s="189"/>
      <c r="S108" s="188"/>
      <c r="T108" s="191"/>
      <c r="U108" s="191"/>
      <c r="V108" s="187"/>
    </row>
    <row r="109" spans="1:22" ht="12.75">
      <c r="A109" s="188"/>
      <c r="B109" s="148"/>
      <c r="C109" s="148"/>
      <c r="D109" s="148"/>
      <c r="E109" s="148"/>
      <c r="F109" s="148"/>
      <c r="G109" s="188"/>
      <c r="H109" s="188"/>
      <c r="I109" s="191"/>
      <c r="J109" s="191"/>
      <c r="K109" s="148"/>
      <c r="L109" s="148"/>
      <c r="M109" s="148"/>
      <c r="N109" s="188"/>
      <c r="O109" s="188"/>
      <c r="P109" s="192"/>
      <c r="Q109" s="148"/>
      <c r="R109" s="189"/>
      <c r="S109" s="188"/>
      <c r="T109" s="191"/>
      <c r="U109" s="191"/>
      <c r="V109" s="187"/>
    </row>
    <row r="110" spans="1:22" ht="12.75">
      <c r="A110" s="188"/>
      <c r="B110" s="148"/>
      <c r="C110" s="148"/>
      <c r="D110" s="148"/>
      <c r="E110" s="148"/>
      <c r="F110" s="148"/>
      <c r="G110" s="188"/>
      <c r="H110" s="188"/>
      <c r="I110" s="190"/>
      <c r="J110" s="148"/>
      <c r="K110" s="148"/>
      <c r="L110" s="148"/>
      <c r="M110" s="148"/>
      <c r="N110" s="188"/>
      <c r="O110" s="188"/>
      <c r="P110" s="170"/>
      <c r="Q110" s="148"/>
      <c r="R110" s="189"/>
      <c r="S110" s="148"/>
      <c r="T110" s="148"/>
      <c r="U110" s="148"/>
      <c r="V110" s="187"/>
    </row>
    <row r="111" spans="1:22" ht="12.75">
      <c r="A111" s="188"/>
      <c r="B111" s="148"/>
      <c r="C111" s="148"/>
      <c r="D111" s="148"/>
      <c r="E111" s="148"/>
      <c r="F111" s="148"/>
      <c r="G111" s="188"/>
      <c r="H111" s="188"/>
      <c r="I111" s="190"/>
      <c r="J111" s="148"/>
      <c r="K111" s="148"/>
      <c r="L111" s="148"/>
      <c r="M111" s="148"/>
      <c r="N111" s="188"/>
      <c r="O111" s="188"/>
      <c r="P111" s="170"/>
      <c r="Q111" s="148"/>
      <c r="R111" s="188"/>
      <c r="S111" s="148"/>
      <c r="T111" s="191"/>
      <c r="U111" s="191"/>
      <c r="V111" s="187"/>
    </row>
    <row r="112" spans="1:22" ht="12.75">
      <c r="A112" s="188"/>
      <c r="B112" s="148"/>
      <c r="C112" s="148"/>
      <c r="D112" s="148"/>
      <c r="E112" s="148"/>
      <c r="F112" s="148"/>
      <c r="G112" s="188"/>
      <c r="H112" s="188"/>
      <c r="I112" s="191"/>
      <c r="J112" s="191"/>
      <c r="K112" s="148"/>
      <c r="L112" s="148"/>
      <c r="M112" s="148"/>
      <c r="N112" s="188"/>
      <c r="O112" s="188"/>
      <c r="P112" s="170"/>
      <c r="Q112" s="148"/>
      <c r="R112" s="188"/>
      <c r="S112" s="188"/>
      <c r="T112" s="148"/>
      <c r="U112" s="191"/>
      <c r="V112" s="187"/>
    </row>
    <row r="113" spans="1:22" ht="12.75">
      <c r="A113" s="188"/>
      <c r="B113" s="148"/>
      <c r="C113" s="148"/>
      <c r="D113" s="148"/>
      <c r="E113" s="148"/>
      <c r="F113" s="148"/>
      <c r="G113" s="188"/>
      <c r="H113" s="188"/>
      <c r="I113" s="191"/>
      <c r="J113" s="191"/>
      <c r="K113" s="148"/>
      <c r="L113" s="148"/>
      <c r="M113" s="148"/>
      <c r="N113" s="188"/>
      <c r="O113" s="188"/>
      <c r="P113" s="170"/>
      <c r="Q113" s="148"/>
      <c r="R113" s="188"/>
      <c r="S113" s="188"/>
      <c r="T113" s="148"/>
      <c r="U113" s="191"/>
      <c r="V113" s="187"/>
    </row>
    <row r="114" spans="1:22" ht="12.75">
      <c r="A114" s="188"/>
      <c r="B114" s="148"/>
      <c r="C114" s="148"/>
      <c r="D114" s="148"/>
      <c r="E114" s="148"/>
      <c r="F114" s="148"/>
      <c r="G114" s="188"/>
      <c r="H114" s="188"/>
      <c r="I114" s="191"/>
      <c r="J114" s="191"/>
      <c r="K114" s="148"/>
      <c r="L114" s="148"/>
      <c r="M114" s="148"/>
      <c r="N114" s="188"/>
      <c r="O114" s="188"/>
      <c r="P114" s="170"/>
      <c r="Q114" s="148"/>
      <c r="R114" s="188"/>
      <c r="S114" s="188"/>
      <c r="T114" s="148"/>
      <c r="U114" s="191"/>
      <c r="V114" s="187"/>
    </row>
    <row r="115" spans="1:22" ht="12.75">
      <c r="A115" s="188"/>
      <c r="B115" s="148"/>
      <c r="C115" s="148"/>
      <c r="D115" s="148"/>
      <c r="E115" s="148"/>
      <c r="F115" s="148"/>
      <c r="G115" s="188"/>
      <c r="H115" s="188"/>
      <c r="I115" s="191"/>
      <c r="J115" s="191"/>
      <c r="K115" s="148"/>
      <c r="L115" s="148"/>
      <c r="M115" s="148"/>
      <c r="N115" s="188"/>
      <c r="O115" s="188"/>
      <c r="P115" s="170"/>
      <c r="Q115" s="148"/>
      <c r="R115" s="188"/>
      <c r="S115" s="188"/>
      <c r="T115" s="148"/>
      <c r="U115" s="191"/>
      <c r="V115" s="187"/>
    </row>
    <row r="116" spans="1:22" ht="12.75">
      <c r="A116" s="188"/>
      <c r="B116" s="148"/>
      <c r="C116" s="148"/>
      <c r="D116" s="148"/>
      <c r="E116" s="148"/>
      <c r="F116" s="148"/>
      <c r="G116" s="188"/>
      <c r="H116" s="188"/>
      <c r="I116" s="191"/>
      <c r="J116" s="191"/>
      <c r="K116" s="148"/>
      <c r="L116" s="148"/>
      <c r="M116" s="148"/>
      <c r="N116" s="188"/>
      <c r="O116" s="188"/>
      <c r="P116" s="170"/>
      <c r="Q116" s="148"/>
      <c r="R116" s="188"/>
      <c r="S116" s="188"/>
      <c r="T116" s="148"/>
      <c r="U116" s="191"/>
      <c r="V116" s="187"/>
    </row>
    <row r="117" spans="1:22" ht="12.75">
      <c r="A117" s="188"/>
      <c r="B117" s="148"/>
      <c r="C117" s="148"/>
      <c r="D117" s="148"/>
      <c r="E117" s="148"/>
      <c r="F117" s="148"/>
      <c r="G117" s="188"/>
      <c r="H117" s="188"/>
      <c r="I117" s="191"/>
      <c r="J117" s="191"/>
      <c r="K117" s="148"/>
      <c r="L117" s="148"/>
      <c r="M117" s="148"/>
      <c r="N117" s="188"/>
      <c r="O117" s="188"/>
      <c r="P117" s="170"/>
      <c r="Q117" s="148"/>
      <c r="R117" s="188"/>
      <c r="S117" s="188"/>
      <c r="T117" s="148"/>
      <c r="U117" s="191"/>
      <c r="V117" s="187"/>
    </row>
    <row r="118" spans="1:22" ht="12.75">
      <c r="A118" s="188"/>
      <c r="B118" s="148"/>
      <c r="C118" s="148"/>
      <c r="D118" s="148"/>
      <c r="E118" s="148"/>
      <c r="F118" s="148"/>
      <c r="G118" s="188"/>
      <c r="H118" s="188"/>
      <c r="I118" s="191"/>
      <c r="J118" s="191"/>
      <c r="K118" s="148"/>
      <c r="L118" s="148"/>
      <c r="M118" s="148"/>
      <c r="N118" s="188"/>
      <c r="O118" s="188"/>
      <c r="P118" s="170"/>
      <c r="Q118" s="148"/>
      <c r="R118" s="188"/>
      <c r="S118" s="188"/>
      <c r="T118" s="148"/>
      <c r="U118" s="191"/>
      <c r="V118" s="187"/>
    </row>
    <row r="119" spans="1:22" ht="12.75">
      <c r="A119" s="188"/>
      <c r="B119" s="148"/>
      <c r="C119" s="148"/>
      <c r="D119" s="148"/>
      <c r="E119" s="148"/>
      <c r="F119" s="148"/>
      <c r="G119" s="188"/>
      <c r="H119" s="188"/>
      <c r="I119" s="191"/>
      <c r="J119" s="191"/>
      <c r="K119" s="148"/>
      <c r="L119" s="148"/>
      <c r="M119" s="148"/>
      <c r="N119" s="188"/>
      <c r="O119" s="188"/>
      <c r="P119" s="170"/>
      <c r="Q119" s="148"/>
      <c r="R119" s="189"/>
      <c r="S119" s="188"/>
      <c r="T119" s="191"/>
      <c r="U119" s="191"/>
      <c r="V119" s="187"/>
    </row>
    <row r="120" spans="1:22" ht="12.75">
      <c r="A120" s="188"/>
      <c r="B120" s="148"/>
      <c r="C120" s="148"/>
      <c r="D120" s="148"/>
      <c r="E120" s="148"/>
      <c r="F120" s="148"/>
      <c r="G120" s="189"/>
      <c r="H120" s="188"/>
      <c r="I120" s="191"/>
      <c r="J120" s="191"/>
      <c r="K120" s="148"/>
      <c r="L120" s="148"/>
      <c r="M120" s="148"/>
      <c r="N120" s="188"/>
      <c r="O120" s="188"/>
      <c r="P120" s="170"/>
      <c r="Q120" s="148"/>
      <c r="R120" s="189"/>
      <c r="S120" s="188"/>
      <c r="T120" s="191"/>
      <c r="U120" s="191"/>
      <c r="V120" s="187"/>
    </row>
    <row r="121" spans="1:22" ht="12.75">
      <c r="A121" s="188"/>
      <c r="B121" s="148"/>
      <c r="C121" s="148"/>
      <c r="D121" s="148"/>
      <c r="E121" s="148"/>
      <c r="F121" s="148"/>
      <c r="G121" s="188"/>
      <c r="H121" s="188"/>
      <c r="I121" s="191"/>
      <c r="J121" s="191"/>
      <c r="K121" s="148"/>
      <c r="L121" s="148"/>
      <c r="M121" s="148"/>
      <c r="N121" s="188"/>
      <c r="O121" s="188"/>
      <c r="P121" s="170"/>
      <c r="Q121" s="148"/>
      <c r="R121" s="189"/>
      <c r="S121" s="188"/>
      <c r="T121" s="191"/>
      <c r="U121" s="191"/>
      <c r="V121" s="187"/>
    </row>
    <row r="122" spans="1:22" ht="12.75">
      <c r="A122" s="188"/>
      <c r="B122" s="148"/>
      <c r="C122" s="148"/>
      <c r="D122" s="148"/>
      <c r="E122" s="148"/>
      <c r="F122" s="148"/>
      <c r="G122" s="188"/>
      <c r="H122" s="188"/>
      <c r="I122" s="191"/>
      <c r="J122" s="191"/>
      <c r="K122" s="148"/>
      <c r="L122" s="148"/>
      <c r="M122" s="148"/>
      <c r="N122" s="188"/>
      <c r="O122" s="188"/>
      <c r="P122" s="192"/>
      <c r="Q122" s="148"/>
      <c r="R122" s="189"/>
      <c r="S122" s="148"/>
      <c r="T122" s="148"/>
      <c r="U122" s="148"/>
      <c r="V122" s="187"/>
    </row>
    <row r="123" spans="1:22" ht="12.75">
      <c r="A123" s="188"/>
      <c r="B123" s="148"/>
      <c r="C123" s="148"/>
      <c r="D123" s="148"/>
      <c r="E123" s="148"/>
      <c r="F123" s="148"/>
      <c r="G123" s="188"/>
      <c r="H123" s="188"/>
      <c r="I123" s="148"/>
      <c r="J123" s="148"/>
      <c r="K123" s="148"/>
      <c r="L123" s="148"/>
      <c r="M123" s="148"/>
      <c r="N123" s="188"/>
      <c r="O123" s="188"/>
      <c r="P123" s="170"/>
      <c r="Q123" s="148"/>
      <c r="R123" s="189"/>
      <c r="S123" s="188"/>
      <c r="T123" s="191"/>
      <c r="U123" s="191"/>
      <c r="V123" s="187"/>
    </row>
    <row r="124" spans="1:22" ht="12.75">
      <c r="A124" s="188"/>
      <c r="B124" s="148"/>
      <c r="C124" s="148"/>
      <c r="D124" s="148"/>
      <c r="E124" s="148"/>
      <c r="F124" s="148"/>
      <c r="G124" s="188"/>
      <c r="H124" s="188"/>
      <c r="I124" s="148"/>
      <c r="J124" s="148"/>
      <c r="K124" s="148"/>
      <c r="L124" s="148"/>
      <c r="M124" s="148"/>
      <c r="N124" s="188"/>
      <c r="O124" s="188"/>
      <c r="P124" s="170"/>
      <c r="Q124" s="148"/>
      <c r="R124" s="189"/>
      <c r="S124" s="188"/>
      <c r="T124" s="191"/>
      <c r="U124" s="191"/>
      <c r="V124" s="187"/>
    </row>
    <row r="125" spans="1:22" ht="12.75">
      <c r="A125" s="87"/>
      <c r="B125" s="87"/>
      <c r="C125" s="87"/>
      <c r="D125" s="87"/>
      <c r="E125" s="87"/>
      <c r="F125" s="87"/>
      <c r="G125" s="87"/>
      <c r="H125" s="87"/>
      <c r="I125" s="87"/>
      <c r="J125" s="87"/>
      <c r="K125" s="87"/>
      <c r="L125" s="87"/>
      <c r="M125" s="87"/>
      <c r="N125" s="87"/>
      <c r="O125" s="87"/>
      <c r="P125" s="193"/>
      <c r="Q125" s="87"/>
      <c r="R125" s="87"/>
      <c r="S125" s="87"/>
      <c r="T125" s="87"/>
      <c r="U125" s="87"/>
      <c r="V125" s="187"/>
    </row>
    <row r="126" spans="1:22" ht="12.75">
      <c r="A126" s="87"/>
      <c r="B126" s="87"/>
      <c r="C126" s="87"/>
      <c r="D126" s="87"/>
      <c r="E126" s="87"/>
      <c r="F126" s="87"/>
      <c r="G126" s="87"/>
      <c r="H126" s="87"/>
      <c r="I126" s="87"/>
      <c r="J126" s="87"/>
      <c r="K126" s="87"/>
      <c r="L126" s="87"/>
      <c r="M126" s="87"/>
      <c r="N126" s="87"/>
      <c r="O126" s="87"/>
      <c r="P126" s="193"/>
      <c r="Q126" s="87"/>
      <c r="R126" s="87"/>
      <c r="S126" s="87"/>
      <c r="T126" s="87"/>
      <c r="U126" s="87"/>
      <c r="V126" s="187"/>
    </row>
    <row r="127" spans="1:22" ht="12.75">
      <c r="A127" s="87"/>
      <c r="B127" s="87"/>
      <c r="C127" s="87"/>
      <c r="D127" s="87"/>
      <c r="E127" s="87"/>
      <c r="F127" s="87"/>
      <c r="G127" s="87"/>
      <c r="H127" s="87"/>
      <c r="I127" s="87"/>
      <c r="J127" s="87"/>
      <c r="K127" s="87"/>
      <c r="L127" s="87"/>
      <c r="M127" s="87"/>
      <c r="N127" s="87"/>
      <c r="O127" s="87"/>
      <c r="P127" s="193"/>
      <c r="Q127" s="87"/>
      <c r="R127" s="87"/>
      <c r="S127" s="87"/>
      <c r="T127" s="87"/>
      <c r="U127" s="87"/>
      <c r="V127" s="187"/>
    </row>
    <row r="128" spans="1:22" ht="12.75">
      <c r="A128" s="87"/>
      <c r="B128" s="87"/>
      <c r="C128" s="87"/>
      <c r="D128" s="87"/>
      <c r="E128" s="87"/>
      <c r="F128" s="87"/>
      <c r="G128" s="87"/>
      <c r="H128" s="87"/>
      <c r="I128" s="87"/>
      <c r="J128" s="87"/>
      <c r="K128" s="87"/>
      <c r="L128" s="87"/>
      <c r="M128" s="87"/>
      <c r="N128" s="87"/>
      <c r="O128" s="87"/>
      <c r="P128" s="193"/>
      <c r="Q128" s="87"/>
      <c r="R128" s="87"/>
      <c r="S128" s="87"/>
      <c r="T128" s="87"/>
      <c r="U128" s="87"/>
      <c r="V128" s="187"/>
    </row>
    <row r="129" spans="1:22" ht="12.75">
      <c r="A129" s="87"/>
      <c r="B129" s="87"/>
      <c r="C129" s="87"/>
      <c r="D129" s="87"/>
      <c r="E129" s="87"/>
      <c r="F129" s="87"/>
      <c r="G129" s="87"/>
      <c r="H129" s="87"/>
      <c r="I129" s="87"/>
      <c r="J129" s="87"/>
      <c r="K129" s="87"/>
      <c r="L129" s="87"/>
      <c r="M129" s="87"/>
      <c r="N129" s="87"/>
      <c r="O129" s="87"/>
      <c r="P129" s="193"/>
      <c r="Q129" s="87"/>
      <c r="R129" s="87"/>
      <c r="S129" s="87"/>
      <c r="T129" s="87"/>
      <c r="U129" s="87"/>
      <c r="V129" s="187"/>
    </row>
    <row r="130" spans="1:22" ht="12.75">
      <c r="A130" s="87"/>
      <c r="B130" s="87"/>
      <c r="C130" s="87"/>
      <c r="D130" s="87"/>
      <c r="E130" s="87"/>
      <c r="F130" s="87"/>
      <c r="G130" s="87"/>
      <c r="H130" s="87"/>
      <c r="I130" s="87"/>
      <c r="J130" s="87"/>
      <c r="K130" s="87"/>
      <c r="L130" s="87"/>
      <c r="M130" s="87"/>
      <c r="N130" s="87"/>
      <c r="O130" s="87"/>
      <c r="P130" s="193"/>
      <c r="Q130" s="87"/>
      <c r="R130" s="87"/>
      <c r="S130" s="87"/>
      <c r="T130" s="87"/>
      <c r="U130" s="87"/>
      <c r="V130" s="187"/>
    </row>
    <row r="131" spans="1:22" ht="12.75">
      <c r="A131" s="87"/>
      <c r="B131" s="87"/>
      <c r="C131" s="87"/>
      <c r="D131" s="87"/>
      <c r="E131" s="87"/>
      <c r="F131" s="87"/>
      <c r="G131" s="87"/>
      <c r="H131" s="87"/>
      <c r="I131" s="87"/>
      <c r="J131" s="87"/>
      <c r="K131" s="87"/>
      <c r="L131" s="87"/>
      <c r="M131" s="87"/>
      <c r="N131" s="87"/>
      <c r="O131" s="87"/>
      <c r="P131" s="193"/>
      <c r="Q131" s="87"/>
      <c r="R131" s="87"/>
      <c r="S131" s="87"/>
      <c r="T131" s="87"/>
      <c r="U131" s="87"/>
      <c r="V131" s="187"/>
    </row>
    <row r="132" spans="1:22" ht="12.75">
      <c r="A132" s="87"/>
      <c r="B132" s="87"/>
      <c r="C132" s="87"/>
      <c r="D132" s="87"/>
      <c r="E132" s="87"/>
      <c r="F132" s="87"/>
      <c r="G132" s="87"/>
      <c r="H132" s="87"/>
      <c r="I132" s="87"/>
      <c r="J132" s="87"/>
      <c r="K132" s="87"/>
      <c r="L132" s="87"/>
      <c r="M132" s="87"/>
      <c r="N132" s="87"/>
      <c r="O132" s="87"/>
      <c r="P132" s="193"/>
      <c r="Q132" s="87"/>
      <c r="R132" s="87"/>
      <c r="S132" s="87"/>
      <c r="T132" s="87"/>
      <c r="U132" s="87"/>
      <c r="V132" s="187"/>
    </row>
    <row r="133" spans="1:22" ht="12.75">
      <c r="A133" s="87"/>
      <c r="B133" s="87"/>
      <c r="C133" s="87"/>
      <c r="D133" s="87"/>
      <c r="E133" s="87"/>
      <c r="F133" s="87"/>
      <c r="G133" s="87"/>
      <c r="H133" s="87"/>
      <c r="I133" s="87"/>
      <c r="J133" s="87"/>
      <c r="K133" s="87"/>
      <c r="L133" s="87"/>
      <c r="M133" s="87"/>
      <c r="N133" s="87"/>
      <c r="O133" s="87"/>
      <c r="P133" s="193"/>
      <c r="Q133" s="87"/>
      <c r="R133" s="87"/>
      <c r="S133" s="87"/>
      <c r="T133" s="87"/>
      <c r="U133" s="87"/>
      <c r="V133" s="187"/>
    </row>
    <row r="134" spans="1:22" ht="12.75">
      <c r="A134" s="87"/>
      <c r="B134" s="87"/>
      <c r="C134" s="87"/>
      <c r="D134" s="87"/>
      <c r="E134" s="87"/>
      <c r="F134" s="87"/>
      <c r="G134" s="87"/>
      <c r="H134" s="87"/>
      <c r="I134" s="87"/>
      <c r="J134" s="87"/>
      <c r="K134" s="87"/>
      <c r="L134" s="87"/>
      <c r="M134" s="87"/>
      <c r="N134" s="87"/>
      <c r="O134" s="87"/>
      <c r="P134" s="193"/>
      <c r="Q134" s="87"/>
      <c r="R134" s="87"/>
      <c r="S134" s="87"/>
      <c r="T134" s="87"/>
      <c r="U134" s="87"/>
      <c r="V134" s="187"/>
    </row>
    <row r="135" spans="1:22" ht="12.75">
      <c r="A135" s="87"/>
      <c r="B135" s="87"/>
      <c r="C135" s="87"/>
      <c r="D135" s="87"/>
      <c r="E135" s="87"/>
      <c r="F135" s="87"/>
      <c r="G135" s="87"/>
      <c r="H135" s="87"/>
      <c r="I135" s="87"/>
      <c r="J135" s="87"/>
      <c r="K135" s="87"/>
      <c r="L135" s="87"/>
      <c r="M135" s="87"/>
      <c r="N135" s="87"/>
      <c r="O135" s="87"/>
      <c r="P135" s="193"/>
      <c r="Q135" s="87"/>
      <c r="R135" s="87"/>
      <c r="S135" s="87"/>
      <c r="T135" s="87"/>
      <c r="U135" s="87"/>
      <c r="V135" s="187"/>
    </row>
    <row r="136" spans="1:22" ht="12.75">
      <c r="A136" s="87"/>
      <c r="B136" s="87"/>
      <c r="C136" s="87"/>
      <c r="D136" s="87"/>
      <c r="E136" s="87"/>
      <c r="F136" s="87"/>
      <c r="G136" s="87"/>
      <c r="H136" s="87"/>
      <c r="I136" s="87"/>
      <c r="J136" s="87"/>
      <c r="K136" s="87"/>
      <c r="L136" s="87"/>
      <c r="M136" s="87"/>
      <c r="N136" s="87"/>
      <c r="O136" s="87"/>
      <c r="P136" s="193"/>
      <c r="Q136" s="87"/>
      <c r="R136" s="87"/>
      <c r="S136" s="87"/>
      <c r="T136" s="87"/>
      <c r="U136" s="87"/>
      <c r="V136" s="187"/>
    </row>
    <row r="137" spans="1:22" ht="12.75">
      <c r="A137" s="87"/>
      <c r="B137" s="87"/>
      <c r="C137" s="87"/>
      <c r="D137" s="87"/>
      <c r="E137" s="87"/>
      <c r="F137" s="87"/>
      <c r="G137" s="87"/>
      <c r="H137" s="87"/>
      <c r="I137" s="87"/>
      <c r="J137" s="87"/>
      <c r="K137" s="87"/>
      <c r="L137" s="87"/>
      <c r="M137" s="87"/>
      <c r="N137" s="87"/>
      <c r="O137" s="87"/>
      <c r="P137" s="193"/>
      <c r="Q137" s="87"/>
      <c r="R137" s="87"/>
      <c r="S137" s="87"/>
      <c r="T137" s="87"/>
      <c r="U137" s="87"/>
      <c r="V137" s="187"/>
    </row>
    <row r="138" spans="1:22" ht="12.75">
      <c r="A138" s="87"/>
      <c r="B138" s="87"/>
      <c r="C138" s="87"/>
      <c r="D138" s="87"/>
      <c r="E138" s="87"/>
      <c r="F138" s="87"/>
      <c r="G138" s="87"/>
      <c r="H138" s="87"/>
      <c r="I138" s="87"/>
      <c r="J138" s="87"/>
      <c r="K138" s="87"/>
      <c r="L138" s="87"/>
      <c r="M138" s="87"/>
      <c r="N138" s="87"/>
      <c r="O138" s="87"/>
      <c r="P138" s="193"/>
      <c r="Q138" s="87"/>
      <c r="R138" s="87"/>
      <c r="S138" s="87"/>
      <c r="T138" s="87"/>
      <c r="U138" s="87"/>
      <c r="V138" s="187"/>
    </row>
    <row r="139" spans="1:22" ht="12.75">
      <c r="A139" s="87"/>
      <c r="B139" s="87"/>
      <c r="C139" s="87"/>
      <c r="D139" s="87"/>
      <c r="E139" s="87"/>
      <c r="F139" s="87"/>
      <c r="G139" s="87"/>
      <c r="H139" s="87"/>
      <c r="I139" s="87"/>
      <c r="J139" s="87"/>
      <c r="K139" s="87"/>
      <c r="L139" s="87"/>
      <c r="M139" s="87"/>
      <c r="N139" s="87"/>
      <c r="O139" s="87"/>
      <c r="P139" s="193"/>
      <c r="Q139" s="87"/>
      <c r="R139" s="87"/>
      <c r="S139" s="87"/>
      <c r="T139" s="87"/>
      <c r="U139" s="87"/>
      <c r="V139" s="187"/>
    </row>
    <row r="140" spans="1:22" ht="12.75">
      <c r="A140" s="87"/>
      <c r="B140" s="87"/>
      <c r="C140" s="87"/>
      <c r="D140" s="87"/>
      <c r="E140" s="87"/>
      <c r="F140" s="87"/>
      <c r="G140" s="87"/>
      <c r="H140" s="87"/>
      <c r="I140" s="87"/>
      <c r="J140" s="87"/>
      <c r="K140" s="87"/>
      <c r="L140" s="87"/>
      <c r="M140" s="87"/>
      <c r="N140" s="87"/>
      <c r="O140" s="87"/>
      <c r="P140" s="193"/>
      <c r="Q140" s="87"/>
      <c r="R140" s="87"/>
      <c r="S140" s="87"/>
      <c r="T140" s="87"/>
      <c r="U140" s="87"/>
      <c r="V140" s="187"/>
    </row>
    <row r="141" spans="1:22" ht="12.75">
      <c r="A141" s="87"/>
      <c r="B141" s="87"/>
      <c r="C141" s="87"/>
      <c r="D141" s="87"/>
      <c r="E141" s="87"/>
      <c r="F141" s="87"/>
      <c r="G141" s="87"/>
      <c r="H141" s="87"/>
      <c r="I141" s="87"/>
      <c r="J141" s="87"/>
      <c r="K141" s="87"/>
      <c r="L141" s="87"/>
      <c r="M141" s="87"/>
      <c r="N141" s="87"/>
      <c r="O141" s="87"/>
      <c r="P141" s="193"/>
      <c r="Q141" s="87"/>
      <c r="R141" s="87"/>
      <c r="S141" s="87"/>
      <c r="T141" s="87"/>
      <c r="U141" s="87"/>
      <c r="V141" s="187"/>
    </row>
    <row r="142" spans="1:22" ht="12.75">
      <c r="A142" s="87"/>
      <c r="B142" s="87"/>
      <c r="C142" s="87"/>
      <c r="D142" s="87"/>
      <c r="E142" s="87"/>
      <c r="F142" s="87"/>
      <c r="G142" s="87"/>
      <c r="H142" s="87"/>
      <c r="I142" s="87"/>
      <c r="J142" s="87"/>
      <c r="K142" s="87"/>
      <c r="L142" s="87"/>
      <c r="M142" s="87"/>
      <c r="N142" s="87"/>
      <c r="O142" s="87"/>
      <c r="P142" s="193"/>
      <c r="Q142" s="87"/>
      <c r="R142" s="87"/>
      <c r="S142" s="87"/>
      <c r="T142" s="87"/>
      <c r="U142" s="87"/>
      <c r="V142" s="187"/>
    </row>
    <row r="143" spans="1:22" ht="12.75">
      <c r="A143" s="87"/>
      <c r="B143" s="87"/>
      <c r="C143" s="87"/>
      <c r="D143" s="87"/>
      <c r="E143" s="87"/>
      <c r="F143" s="87"/>
      <c r="G143" s="87"/>
      <c r="H143" s="87"/>
      <c r="I143" s="87"/>
      <c r="J143" s="87"/>
      <c r="K143" s="87"/>
      <c r="L143" s="87"/>
      <c r="M143" s="87"/>
      <c r="N143" s="87"/>
      <c r="O143" s="87"/>
      <c r="P143" s="193"/>
      <c r="Q143" s="87"/>
      <c r="R143" s="87"/>
      <c r="S143" s="87"/>
      <c r="T143" s="87"/>
      <c r="U143" s="87"/>
      <c r="V143" s="187"/>
    </row>
    <row r="144" spans="1:22" ht="12.75">
      <c r="A144" s="87"/>
      <c r="B144" s="87"/>
      <c r="C144" s="87"/>
      <c r="D144" s="87"/>
      <c r="E144" s="87"/>
      <c r="F144" s="87"/>
      <c r="G144" s="87"/>
      <c r="H144" s="87"/>
      <c r="I144" s="87"/>
      <c r="J144" s="87"/>
      <c r="K144" s="87"/>
      <c r="L144" s="87"/>
      <c r="M144" s="87"/>
      <c r="N144" s="87"/>
      <c r="O144" s="87"/>
      <c r="P144" s="193"/>
      <c r="Q144" s="87"/>
      <c r="R144" s="87"/>
      <c r="S144" s="87"/>
      <c r="T144" s="87"/>
      <c r="U144" s="87"/>
      <c r="V144" s="187"/>
    </row>
    <row r="145" spans="1:22" ht="12.75">
      <c r="A145" s="87"/>
      <c r="B145" s="87"/>
      <c r="C145" s="87"/>
      <c r="D145" s="87"/>
      <c r="E145" s="87"/>
      <c r="F145" s="87"/>
      <c r="G145" s="87"/>
      <c r="H145" s="87"/>
      <c r="I145" s="87"/>
      <c r="J145" s="87"/>
      <c r="K145" s="87"/>
      <c r="L145" s="87"/>
      <c r="M145" s="87"/>
      <c r="N145" s="87"/>
      <c r="O145" s="87"/>
      <c r="P145" s="193"/>
      <c r="Q145" s="87"/>
      <c r="R145" s="87"/>
      <c r="S145" s="87"/>
      <c r="T145" s="87"/>
      <c r="U145" s="87"/>
      <c r="V145" s="187"/>
    </row>
    <row r="146" spans="1:22" ht="12.75">
      <c r="A146" s="87"/>
      <c r="B146" s="87"/>
      <c r="C146" s="87"/>
      <c r="D146" s="87"/>
      <c r="E146" s="87"/>
      <c r="F146" s="87"/>
      <c r="G146" s="87"/>
      <c r="H146" s="87"/>
      <c r="I146" s="87"/>
      <c r="J146" s="87"/>
      <c r="K146" s="87"/>
      <c r="L146" s="87"/>
      <c r="M146" s="87"/>
      <c r="N146" s="87"/>
      <c r="O146" s="87"/>
      <c r="P146" s="193"/>
      <c r="Q146" s="87"/>
      <c r="R146" s="87"/>
      <c r="S146" s="87"/>
      <c r="T146" s="87"/>
      <c r="U146" s="87"/>
      <c r="V146" s="187"/>
    </row>
    <row r="147" spans="1:22" ht="12.75">
      <c r="A147" s="87"/>
      <c r="B147" s="87"/>
      <c r="C147" s="87"/>
      <c r="D147" s="87"/>
      <c r="E147" s="87"/>
      <c r="F147" s="87"/>
      <c r="G147" s="87"/>
      <c r="H147" s="87"/>
      <c r="I147" s="87"/>
      <c r="J147" s="87"/>
      <c r="K147" s="87"/>
      <c r="L147" s="87"/>
      <c r="M147" s="87"/>
      <c r="N147" s="87"/>
      <c r="O147" s="87"/>
      <c r="P147" s="193"/>
      <c r="Q147" s="87"/>
      <c r="R147" s="87"/>
      <c r="S147" s="87"/>
      <c r="T147" s="87"/>
      <c r="U147" s="87"/>
      <c r="V147" s="187"/>
    </row>
    <row r="148" spans="1:22" ht="12.75">
      <c r="A148" s="87"/>
      <c r="B148" s="87"/>
      <c r="C148" s="87"/>
      <c r="D148" s="87"/>
      <c r="E148" s="87"/>
      <c r="F148" s="87"/>
      <c r="G148" s="87"/>
      <c r="H148" s="87"/>
      <c r="I148" s="87"/>
      <c r="J148" s="87"/>
      <c r="K148" s="87"/>
      <c r="L148" s="87"/>
      <c r="M148" s="87"/>
      <c r="N148" s="87"/>
      <c r="O148" s="87"/>
      <c r="P148" s="193"/>
      <c r="Q148" s="87"/>
      <c r="R148" s="87"/>
      <c r="S148" s="87"/>
      <c r="T148" s="87"/>
      <c r="U148" s="87"/>
      <c r="V148" s="187"/>
    </row>
    <row r="149" spans="1:22" ht="12.75">
      <c r="A149" s="87"/>
      <c r="B149" s="87"/>
      <c r="C149" s="87"/>
      <c r="D149" s="87"/>
      <c r="E149" s="87"/>
      <c r="F149" s="87"/>
      <c r="G149" s="87"/>
      <c r="H149" s="87"/>
      <c r="I149" s="87"/>
      <c r="J149" s="87"/>
      <c r="K149" s="87"/>
      <c r="L149" s="87"/>
      <c r="M149" s="87"/>
      <c r="N149" s="87"/>
      <c r="O149" s="87"/>
      <c r="P149" s="193"/>
      <c r="Q149" s="87"/>
      <c r="R149" s="87"/>
      <c r="S149" s="87"/>
      <c r="T149" s="87"/>
      <c r="U149" s="87"/>
      <c r="V149" s="187"/>
    </row>
    <row r="150" spans="1:22" ht="12.75">
      <c r="A150" s="87"/>
      <c r="B150" s="87"/>
      <c r="C150" s="87"/>
      <c r="D150" s="87"/>
      <c r="E150" s="87"/>
      <c r="F150" s="87"/>
      <c r="G150" s="87"/>
      <c r="H150" s="87"/>
      <c r="I150" s="87"/>
      <c r="J150" s="87"/>
      <c r="K150" s="87"/>
      <c r="L150" s="87"/>
      <c r="M150" s="87"/>
      <c r="N150" s="87"/>
      <c r="O150" s="87"/>
      <c r="P150" s="193"/>
      <c r="Q150" s="87"/>
      <c r="R150" s="87"/>
      <c r="S150" s="87"/>
      <c r="T150" s="87"/>
      <c r="U150" s="87"/>
      <c r="V150" s="187"/>
    </row>
    <row r="151" spans="1:22" ht="12.75">
      <c r="A151" s="87"/>
      <c r="B151" s="87"/>
      <c r="C151" s="87"/>
      <c r="D151" s="87"/>
      <c r="E151" s="87"/>
      <c r="F151" s="87"/>
      <c r="G151" s="87"/>
      <c r="H151" s="87"/>
      <c r="I151" s="87"/>
      <c r="J151" s="87"/>
      <c r="K151" s="87"/>
      <c r="L151" s="87"/>
      <c r="M151" s="87"/>
      <c r="N151" s="87"/>
      <c r="O151" s="87"/>
      <c r="P151" s="193"/>
      <c r="Q151" s="87"/>
      <c r="R151" s="87"/>
      <c r="S151" s="87"/>
      <c r="T151" s="87"/>
      <c r="U151" s="87"/>
      <c r="V151" s="187"/>
    </row>
    <row r="152" spans="1:22" ht="12.75">
      <c r="A152" s="87"/>
      <c r="B152" s="87"/>
      <c r="C152" s="87"/>
      <c r="D152" s="87"/>
      <c r="E152" s="87"/>
      <c r="F152" s="87"/>
      <c r="G152" s="87"/>
      <c r="H152" s="87"/>
      <c r="I152" s="87"/>
      <c r="J152" s="87"/>
      <c r="K152" s="87"/>
      <c r="L152" s="87"/>
      <c r="M152" s="87"/>
      <c r="N152" s="87"/>
      <c r="O152" s="87"/>
      <c r="P152" s="193"/>
      <c r="Q152" s="87"/>
      <c r="R152" s="87"/>
      <c r="S152" s="87"/>
      <c r="T152" s="87"/>
      <c r="U152" s="87"/>
      <c r="V152" s="187"/>
    </row>
    <row r="153" spans="1:22" ht="12.75">
      <c r="A153" s="87"/>
      <c r="B153" s="87"/>
      <c r="C153" s="87"/>
      <c r="D153" s="87"/>
      <c r="E153" s="87"/>
      <c r="F153" s="87"/>
      <c r="G153" s="87"/>
      <c r="H153" s="87"/>
      <c r="I153" s="87"/>
      <c r="J153" s="87"/>
      <c r="K153" s="87"/>
      <c r="L153" s="87"/>
      <c r="M153" s="87"/>
      <c r="N153" s="87"/>
      <c r="O153" s="87"/>
      <c r="P153" s="193"/>
      <c r="Q153" s="87"/>
      <c r="R153" s="87"/>
      <c r="S153" s="87"/>
      <c r="T153" s="87"/>
      <c r="U153" s="87"/>
      <c r="V153" s="187"/>
    </row>
    <row r="154" spans="1:22" ht="12.75">
      <c r="A154" s="87"/>
      <c r="B154" s="87"/>
      <c r="C154" s="87"/>
      <c r="D154" s="87"/>
      <c r="E154" s="87"/>
      <c r="F154" s="87"/>
      <c r="G154" s="87"/>
      <c r="H154" s="87"/>
      <c r="I154" s="87"/>
      <c r="J154" s="87"/>
      <c r="K154" s="87"/>
      <c r="L154" s="87"/>
      <c r="M154" s="87"/>
      <c r="N154" s="87"/>
      <c r="O154" s="87"/>
      <c r="P154" s="193"/>
      <c r="Q154" s="87"/>
      <c r="R154" s="87"/>
      <c r="S154" s="87"/>
      <c r="T154" s="87"/>
      <c r="U154" s="87"/>
      <c r="V154" s="187"/>
    </row>
    <row r="155" spans="1:22" ht="12.75">
      <c r="A155" s="87"/>
      <c r="B155" s="87"/>
      <c r="C155" s="87"/>
      <c r="D155" s="87"/>
      <c r="E155" s="87"/>
      <c r="F155" s="87"/>
      <c r="G155" s="87"/>
      <c r="H155" s="87"/>
      <c r="I155" s="87"/>
      <c r="J155" s="87"/>
      <c r="K155" s="87"/>
      <c r="L155" s="87"/>
      <c r="M155" s="87"/>
      <c r="N155" s="87"/>
      <c r="O155" s="87"/>
      <c r="P155" s="193"/>
      <c r="Q155" s="87"/>
      <c r="R155" s="87"/>
      <c r="S155" s="87"/>
      <c r="T155" s="87"/>
      <c r="U155" s="87"/>
      <c r="V155" s="187"/>
    </row>
    <row r="156" spans="1:22" ht="12.75">
      <c r="A156" s="87"/>
      <c r="B156" s="87"/>
      <c r="C156" s="87"/>
      <c r="D156" s="87"/>
      <c r="E156" s="87"/>
      <c r="F156" s="87"/>
      <c r="G156" s="87"/>
      <c r="H156" s="87"/>
      <c r="I156" s="87"/>
      <c r="J156" s="87"/>
      <c r="K156" s="87"/>
      <c r="L156" s="87"/>
      <c r="M156" s="87"/>
      <c r="N156" s="87"/>
      <c r="O156" s="87"/>
      <c r="P156" s="193"/>
      <c r="Q156" s="87"/>
      <c r="R156" s="87"/>
      <c r="S156" s="87"/>
      <c r="T156" s="87"/>
      <c r="U156" s="87"/>
      <c r="V156" s="187"/>
    </row>
    <row r="157" spans="1:22" ht="12.75">
      <c r="A157" s="87"/>
      <c r="B157" s="87"/>
      <c r="C157" s="87"/>
      <c r="D157" s="87"/>
      <c r="E157" s="87"/>
      <c r="F157" s="87"/>
      <c r="G157" s="87"/>
      <c r="H157" s="87"/>
      <c r="I157" s="87"/>
      <c r="J157" s="87"/>
      <c r="K157" s="87"/>
      <c r="L157" s="87"/>
      <c r="M157" s="87"/>
      <c r="N157" s="87"/>
      <c r="O157" s="87"/>
      <c r="P157" s="193"/>
      <c r="Q157" s="87"/>
      <c r="R157" s="87"/>
      <c r="S157" s="87"/>
      <c r="T157" s="87"/>
      <c r="U157" s="87"/>
      <c r="V157" s="187"/>
    </row>
    <row r="158" spans="1:22" ht="12.75">
      <c r="A158" s="87"/>
      <c r="B158" s="87"/>
      <c r="C158" s="87"/>
      <c r="D158" s="87"/>
      <c r="E158" s="87"/>
      <c r="F158" s="87"/>
      <c r="G158" s="87"/>
      <c r="H158" s="87"/>
      <c r="I158" s="87"/>
      <c r="J158" s="87"/>
      <c r="K158" s="87"/>
      <c r="L158" s="87"/>
      <c r="M158" s="87"/>
      <c r="N158" s="87"/>
      <c r="O158" s="87"/>
      <c r="P158" s="193"/>
      <c r="Q158" s="87"/>
      <c r="R158" s="87"/>
      <c r="S158" s="87"/>
      <c r="T158" s="87"/>
      <c r="U158" s="87"/>
      <c r="V158" s="187"/>
    </row>
    <row r="159" spans="1:22" ht="12.75">
      <c r="A159" s="87"/>
      <c r="B159" s="87"/>
      <c r="C159" s="87"/>
      <c r="D159" s="87"/>
      <c r="E159" s="87"/>
      <c r="F159" s="87"/>
      <c r="G159" s="87"/>
      <c r="H159" s="87"/>
      <c r="I159" s="87"/>
      <c r="J159" s="87"/>
      <c r="K159" s="87"/>
      <c r="L159" s="87"/>
      <c r="M159" s="87"/>
      <c r="N159" s="87"/>
      <c r="O159" s="87"/>
      <c r="P159" s="193"/>
      <c r="Q159" s="87"/>
      <c r="R159" s="87"/>
      <c r="S159" s="87"/>
      <c r="T159" s="87"/>
      <c r="U159" s="87"/>
      <c r="V159" s="187"/>
    </row>
    <row r="160" spans="1:22" ht="12.75">
      <c r="A160" s="87"/>
      <c r="B160" s="87"/>
      <c r="C160" s="87"/>
      <c r="D160" s="87"/>
      <c r="E160" s="87"/>
      <c r="F160" s="87"/>
      <c r="G160" s="87"/>
      <c r="H160" s="87"/>
      <c r="I160" s="87"/>
      <c r="J160" s="87"/>
      <c r="K160" s="87"/>
      <c r="L160" s="87"/>
      <c r="M160" s="87"/>
      <c r="N160" s="87"/>
      <c r="O160" s="87"/>
      <c r="P160" s="193"/>
      <c r="Q160" s="87"/>
      <c r="R160" s="87"/>
      <c r="S160" s="87"/>
      <c r="T160" s="87"/>
      <c r="U160" s="87"/>
      <c r="V160" s="187"/>
    </row>
    <row r="161" spans="1:22" ht="12.75">
      <c r="A161" s="87"/>
      <c r="B161" s="87"/>
      <c r="C161" s="87"/>
      <c r="D161" s="87"/>
      <c r="E161" s="87"/>
      <c r="F161" s="87"/>
      <c r="G161" s="87"/>
      <c r="H161" s="87"/>
      <c r="I161" s="87"/>
      <c r="J161" s="87"/>
      <c r="K161" s="87"/>
      <c r="L161" s="87"/>
      <c r="M161" s="87"/>
      <c r="N161" s="87"/>
      <c r="O161" s="87"/>
      <c r="P161" s="193"/>
      <c r="Q161" s="87"/>
      <c r="R161" s="87"/>
      <c r="S161" s="87"/>
      <c r="T161" s="87"/>
      <c r="U161" s="87"/>
      <c r="V161" s="187"/>
    </row>
    <row r="162" spans="1:22" ht="12.75">
      <c r="A162" s="87"/>
      <c r="B162" s="87"/>
      <c r="C162" s="87"/>
      <c r="D162" s="87"/>
      <c r="E162" s="87"/>
      <c r="F162" s="87"/>
      <c r="G162" s="87"/>
      <c r="H162" s="87"/>
      <c r="I162" s="87"/>
      <c r="J162" s="87"/>
      <c r="K162" s="87"/>
      <c r="L162" s="87"/>
      <c r="M162" s="87"/>
      <c r="N162" s="87"/>
      <c r="O162" s="87"/>
      <c r="P162" s="193"/>
      <c r="Q162" s="87"/>
      <c r="R162" s="87"/>
      <c r="S162" s="87"/>
      <c r="T162" s="87"/>
      <c r="U162" s="87"/>
      <c r="V162" s="187"/>
    </row>
    <row r="163" spans="1:22" ht="12.75">
      <c r="A163" s="87"/>
      <c r="B163" s="87"/>
      <c r="C163" s="87"/>
      <c r="D163" s="87"/>
      <c r="E163" s="87"/>
      <c r="F163" s="87"/>
      <c r="G163" s="87"/>
      <c r="H163" s="87"/>
      <c r="I163" s="87"/>
      <c r="J163" s="87"/>
      <c r="K163" s="87"/>
      <c r="L163" s="87"/>
      <c r="M163" s="87"/>
      <c r="N163" s="87"/>
      <c r="O163" s="87"/>
      <c r="P163" s="193"/>
      <c r="Q163" s="87"/>
      <c r="R163" s="87"/>
      <c r="S163" s="87"/>
      <c r="T163" s="87"/>
      <c r="U163" s="87"/>
      <c r="V163" s="187"/>
    </row>
    <row r="164" spans="1:22" ht="12.75">
      <c r="A164" s="87"/>
      <c r="B164" s="87"/>
      <c r="C164" s="87"/>
      <c r="D164" s="87"/>
      <c r="E164" s="87"/>
      <c r="F164" s="87"/>
      <c r="G164" s="87"/>
      <c r="H164" s="87"/>
      <c r="I164" s="87"/>
      <c r="J164" s="87"/>
      <c r="K164" s="87"/>
      <c r="L164" s="87"/>
      <c r="M164" s="87"/>
      <c r="N164" s="87"/>
      <c r="O164" s="87"/>
      <c r="P164" s="193"/>
      <c r="Q164" s="87"/>
      <c r="R164" s="87"/>
      <c r="S164" s="87"/>
      <c r="T164" s="87"/>
      <c r="U164" s="87"/>
      <c r="V164" s="187"/>
    </row>
    <row r="165" spans="1:22" ht="12.75">
      <c r="A165" s="87"/>
      <c r="B165" s="87"/>
      <c r="C165" s="87"/>
      <c r="D165" s="87"/>
      <c r="E165" s="87"/>
      <c r="F165" s="87"/>
      <c r="G165" s="87"/>
      <c r="H165" s="87"/>
      <c r="I165" s="87"/>
      <c r="J165" s="87"/>
      <c r="K165" s="87"/>
      <c r="L165" s="87"/>
      <c r="M165" s="87"/>
      <c r="N165" s="87"/>
      <c r="O165" s="87"/>
      <c r="P165" s="193"/>
      <c r="Q165" s="87"/>
      <c r="R165" s="87"/>
      <c r="S165" s="87"/>
      <c r="T165" s="87"/>
      <c r="U165" s="87"/>
      <c r="V165" s="187"/>
    </row>
    <row r="166" spans="1:22" ht="12.75">
      <c r="A166" s="87"/>
      <c r="B166" s="87"/>
      <c r="C166" s="87"/>
      <c r="D166" s="87"/>
      <c r="E166" s="87"/>
      <c r="F166" s="87"/>
      <c r="G166" s="87"/>
      <c r="H166" s="87"/>
      <c r="I166" s="87"/>
      <c r="J166" s="87"/>
      <c r="K166" s="87"/>
      <c r="L166" s="87"/>
      <c r="M166" s="87"/>
      <c r="N166" s="87"/>
      <c r="O166" s="87"/>
      <c r="P166" s="193"/>
      <c r="Q166" s="87"/>
      <c r="R166" s="87"/>
      <c r="S166" s="87"/>
      <c r="T166" s="87"/>
      <c r="U166" s="87"/>
      <c r="V166" s="187"/>
    </row>
    <row r="167" spans="1:22" ht="12.75">
      <c r="A167" s="87"/>
      <c r="B167" s="87"/>
      <c r="C167" s="87"/>
      <c r="D167" s="87"/>
      <c r="E167" s="87"/>
      <c r="F167" s="87"/>
      <c r="G167" s="87"/>
      <c r="H167" s="87"/>
      <c r="I167" s="87"/>
      <c r="J167" s="87"/>
      <c r="K167" s="87"/>
      <c r="L167" s="87"/>
      <c r="M167" s="87"/>
      <c r="N167" s="87"/>
      <c r="O167" s="87"/>
      <c r="P167" s="193"/>
      <c r="Q167" s="87"/>
      <c r="R167" s="87"/>
      <c r="S167" s="87"/>
      <c r="T167" s="87"/>
      <c r="U167" s="87"/>
      <c r="V167" s="187"/>
    </row>
    <row r="168" spans="1:22" ht="12.75">
      <c r="A168" s="87"/>
      <c r="B168" s="87"/>
      <c r="C168" s="87"/>
      <c r="D168" s="87"/>
      <c r="E168" s="87"/>
      <c r="F168" s="87"/>
      <c r="G168" s="87"/>
      <c r="H168" s="87"/>
      <c r="I168" s="87"/>
      <c r="J168" s="87"/>
      <c r="K168" s="87"/>
      <c r="L168" s="87"/>
      <c r="M168" s="87"/>
      <c r="N168" s="87"/>
      <c r="O168" s="87"/>
      <c r="P168" s="193"/>
      <c r="Q168" s="87"/>
      <c r="R168" s="87"/>
      <c r="S168" s="87"/>
      <c r="T168" s="87"/>
      <c r="U168" s="87"/>
      <c r="V168" s="187"/>
    </row>
    <row r="169" spans="1:22" ht="12.75">
      <c r="A169" s="87"/>
      <c r="B169" s="87"/>
      <c r="C169" s="87"/>
      <c r="D169" s="87"/>
      <c r="E169" s="87"/>
      <c r="F169" s="87"/>
      <c r="G169" s="87"/>
      <c r="H169" s="87"/>
      <c r="I169" s="87"/>
      <c r="J169" s="87"/>
      <c r="K169" s="87"/>
      <c r="L169" s="87"/>
      <c r="M169" s="87"/>
      <c r="N169" s="87"/>
      <c r="O169" s="87"/>
      <c r="P169" s="193"/>
      <c r="Q169" s="87"/>
      <c r="R169" s="87"/>
      <c r="S169" s="87"/>
      <c r="T169" s="87"/>
      <c r="U169" s="87"/>
      <c r="V169" s="187"/>
    </row>
    <row r="170" spans="1:22" ht="12.75">
      <c r="A170" s="87"/>
      <c r="B170" s="87"/>
      <c r="C170" s="87"/>
      <c r="D170" s="87"/>
      <c r="E170" s="87"/>
      <c r="F170" s="87"/>
      <c r="G170" s="87"/>
      <c r="H170" s="87"/>
      <c r="I170" s="87"/>
      <c r="J170" s="87"/>
      <c r="K170" s="87"/>
      <c r="L170" s="87"/>
      <c r="M170" s="87"/>
      <c r="N170" s="87"/>
      <c r="O170" s="87"/>
      <c r="P170" s="193"/>
      <c r="Q170" s="87"/>
      <c r="R170" s="87"/>
      <c r="S170" s="87"/>
      <c r="T170" s="87"/>
      <c r="U170" s="87"/>
      <c r="V170" s="187"/>
    </row>
    <row r="171" spans="1:22" ht="12.75">
      <c r="A171" s="87"/>
      <c r="B171" s="87"/>
      <c r="C171" s="87"/>
      <c r="D171" s="87"/>
      <c r="E171" s="87"/>
      <c r="F171" s="87"/>
      <c r="G171" s="87"/>
      <c r="H171" s="87"/>
      <c r="I171" s="87"/>
      <c r="J171" s="87"/>
      <c r="K171" s="87"/>
      <c r="L171" s="87"/>
      <c r="M171" s="87"/>
      <c r="N171" s="87"/>
      <c r="O171" s="87"/>
      <c r="P171" s="193"/>
      <c r="Q171" s="87"/>
      <c r="R171" s="87"/>
      <c r="S171" s="87"/>
      <c r="T171" s="87"/>
      <c r="U171" s="87"/>
      <c r="V171" s="187"/>
    </row>
    <row r="172" spans="1:22" ht="12.75">
      <c r="A172" s="87"/>
      <c r="B172" s="87"/>
      <c r="C172" s="87"/>
      <c r="D172" s="87"/>
      <c r="E172" s="87"/>
      <c r="F172" s="87"/>
      <c r="G172" s="87"/>
      <c r="H172" s="87"/>
      <c r="I172" s="87"/>
      <c r="J172" s="87"/>
      <c r="K172" s="87"/>
      <c r="L172" s="87"/>
      <c r="M172" s="87"/>
      <c r="N172" s="87"/>
      <c r="O172" s="87"/>
      <c r="P172" s="193"/>
      <c r="Q172" s="87"/>
      <c r="R172" s="87"/>
      <c r="S172" s="87"/>
      <c r="T172" s="87"/>
      <c r="U172" s="87"/>
      <c r="V172" s="187"/>
    </row>
    <row r="173" spans="1:22" ht="12.75">
      <c r="A173" s="87"/>
      <c r="B173" s="87"/>
      <c r="C173" s="87"/>
      <c r="D173" s="87"/>
      <c r="E173" s="87"/>
      <c r="F173" s="87"/>
      <c r="G173" s="87"/>
      <c r="H173" s="87"/>
      <c r="I173" s="87"/>
      <c r="J173" s="87"/>
      <c r="K173" s="87"/>
      <c r="L173" s="87"/>
      <c r="M173" s="87"/>
      <c r="N173" s="87"/>
      <c r="O173" s="87"/>
      <c r="P173" s="193"/>
      <c r="Q173" s="87"/>
      <c r="R173" s="87"/>
      <c r="S173" s="87"/>
      <c r="T173" s="87"/>
      <c r="U173" s="87"/>
      <c r="V173" s="187"/>
    </row>
    <row r="174" spans="1:22" ht="12.75">
      <c r="A174" s="87"/>
      <c r="B174" s="87"/>
      <c r="C174" s="87"/>
      <c r="D174" s="87"/>
      <c r="E174" s="87"/>
      <c r="F174" s="87"/>
      <c r="G174" s="87"/>
      <c r="H174" s="87"/>
      <c r="I174" s="87"/>
      <c r="J174" s="87"/>
      <c r="K174" s="87"/>
      <c r="L174" s="87"/>
      <c r="M174" s="87"/>
      <c r="N174" s="87"/>
      <c r="O174" s="87"/>
      <c r="P174" s="193"/>
      <c r="Q174" s="87"/>
      <c r="R174" s="87"/>
      <c r="S174" s="87"/>
      <c r="T174" s="87"/>
      <c r="U174" s="87"/>
      <c r="V174" s="187"/>
    </row>
    <row r="175" spans="1:22" ht="12.75">
      <c r="A175" s="87"/>
      <c r="B175" s="87"/>
      <c r="C175" s="87"/>
      <c r="D175" s="87"/>
      <c r="E175" s="87"/>
      <c r="F175" s="87"/>
      <c r="G175" s="87"/>
      <c r="H175" s="87"/>
      <c r="I175" s="87"/>
      <c r="J175" s="87"/>
      <c r="K175" s="87"/>
      <c r="L175" s="87"/>
      <c r="M175" s="87"/>
      <c r="N175" s="87"/>
      <c r="O175" s="87"/>
      <c r="P175" s="193"/>
      <c r="Q175" s="87"/>
      <c r="R175" s="87"/>
      <c r="S175" s="87"/>
      <c r="T175" s="87"/>
      <c r="U175" s="87"/>
      <c r="V175" s="187"/>
    </row>
    <row r="176" spans="1:22" ht="12.75">
      <c r="A176" s="87"/>
      <c r="B176" s="87"/>
      <c r="C176" s="87"/>
      <c r="D176" s="87"/>
      <c r="E176" s="87"/>
      <c r="F176" s="87"/>
      <c r="G176" s="87"/>
      <c r="H176" s="87"/>
      <c r="I176" s="87"/>
      <c r="J176" s="87"/>
      <c r="K176" s="87"/>
      <c r="L176" s="87"/>
      <c r="M176" s="87"/>
      <c r="N176" s="87"/>
      <c r="O176" s="87"/>
      <c r="P176" s="193"/>
      <c r="Q176" s="87"/>
      <c r="R176" s="87"/>
      <c r="S176" s="87"/>
      <c r="T176" s="87"/>
      <c r="U176" s="87"/>
      <c r="V176" s="187"/>
    </row>
    <row r="177" spans="1:22" ht="12.75">
      <c r="A177" s="87"/>
      <c r="B177" s="87"/>
      <c r="C177" s="87"/>
      <c r="D177" s="87"/>
      <c r="E177" s="87"/>
      <c r="F177" s="87"/>
      <c r="G177" s="87"/>
      <c r="H177" s="87"/>
      <c r="I177" s="87"/>
      <c r="J177" s="87"/>
      <c r="K177" s="87"/>
      <c r="L177" s="87"/>
      <c r="M177" s="87"/>
      <c r="N177" s="87"/>
      <c r="O177" s="87"/>
      <c r="P177" s="193"/>
      <c r="Q177" s="87"/>
      <c r="R177" s="87"/>
      <c r="S177" s="87"/>
      <c r="T177" s="87"/>
      <c r="U177" s="87"/>
      <c r="V177" s="187"/>
    </row>
    <row r="178" spans="1:22" ht="12.75">
      <c r="A178" s="87"/>
      <c r="B178" s="87"/>
      <c r="C178" s="87"/>
      <c r="D178" s="87"/>
      <c r="E178" s="87"/>
      <c r="F178" s="87"/>
      <c r="G178" s="87"/>
      <c r="H178" s="87"/>
      <c r="I178" s="87"/>
      <c r="J178" s="87"/>
      <c r="K178" s="87"/>
      <c r="L178" s="87"/>
      <c r="M178" s="87"/>
      <c r="N178" s="87"/>
      <c r="O178" s="87"/>
      <c r="P178" s="193"/>
      <c r="Q178" s="87"/>
      <c r="R178" s="87"/>
      <c r="S178" s="87"/>
      <c r="T178" s="87"/>
      <c r="U178" s="87"/>
      <c r="V178" s="187"/>
    </row>
    <row r="179" spans="1:22" ht="12.75">
      <c r="A179" s="87"/>
      <c r="B179" s="87"/>
      <c r="C179" s="87"/>
      <c r="D179" s="87"/>
      <c r="E179" s="87"/>
      <c r="F179" s="87"/>
      <c r="G179" s="87"/>
      <c r="H179" s="87"/>
      <c r="I179" s="87"/>
      <c r="J179" s="87"/>
      <c r="K179" s="87"/>
      <c r="L179" s="87"/>
      <c r="M179" s="87"/>
      <c r="N179" s="87"/>
      <c r="O179" s="87"/>
      <c r="P179" s="193"/>
      <c r="Q179" s="87"/>
      <c r="R179" s="87"/>
      <c r="S179" s="87"/>
      <c r="T179" s="87"/>
      <c r="U179" s="87"/>
      <c r="V179" s="187"/>
    </row>
    <row r="180" spans="1:22" ht="12.75">
      <c r="A180" s="87"/>
      <c r="B180" s="87"/>
      <c r="C180" s="87"/>
      <c r="D180" s="87"/>
      <c r="E180" s="87"/>
      <c r="F180" s="87"/>
      <c r="G180" s="87"/>
      <c r="H180" s="87"/>
      <c r="I180" s="87"/>
      <c r="J180" s="87"/>
      <c r="K180" s="87"/>
      <c r="L180" s="87"/>
      <c r="M180" s="87"/>
      <c r="N180" s="87"/>
      <c r="O180" s="87"/>
      <c r="P180" s="193"/>
      <c r="Q180" s="87"/>
      <c r="R180" s="87"/>
      <c r="S180" s="87"/>
      <c r="T180" s="87"/>
      <c r="U180" s="87"/>
      <c r="V180" s="187"/>
    </row>
    <row r="181" spans="1:22" ht="12.75">
      <c r="A181" s="87"/>
      <c r="B181" s="87"/>
      <c r="C181" s="87"/>
      <c r="D181" s="87"/>
      <c r="E181" s="87"/>
      <c r="F181" s="87"/>
      <c r="G181" s="87"/>
      <c r="H181" s="87"/>
      <c r="I181" s="87"/>
      <c r="J181" s="87"/>
      <c r="K181" s="87"/>
      <c r="L181" s="87"/>
      <c r="M181" s="87"/>
      <c r="N181" s="87"/>
      <c r="O181" s="87"/>
      <c r="P181" s="193"/>
      <c r="Q181" s="87"/>
      <c r="R181" s="87"/>
      <c r="S181" s="87"/>
      <c r="T181" s="87"/>
      <c r="U181" s="87"/>
      <c r="V181" s="187"/>
    </row>
    <row r="182" spans="1:22" ht="12.75">
      <c r="A182" s="87"/>
      <c r="B182" s="87"/>
      <c r="C182" s="87"/>
      <c r="D182" s="87"/>
      <c r="E182" s="87"/>
      <c r="F182" s="87"/>
      <c r="G182" s="87"/>
      <c r="H182" s="87"/>
      <c r="I182" s="87"/>
      <c r="J182" s="87"/>
      <c r="K182" s="87"/>
      <c r="L182" s="87"/>
      <c r="M182" s="87"/>
      <c r="N182" s="87"/>
      <c r="O182" s="87"/>
      <c r="P182" s="193"/>
      <c r="Q182" s="87"/>
      <c r="R182" s="87"/>
      <c r="S182" s="87"/>
      <c r="T182" s="87"/>
      <c r="U182" s="87"/>
      <c r="V182" s="187"/>
    </row>
    <row r="183" spans="1:22" ht="12.75">
      <c r="A183" s="87"/>
      <c r="B183" s="87"/>
      <c r="C183" s="87"/>
      <c r="D183" s="87"/>
      <c r="E183" s="87"/>
      <c r="F183" s="87"/>
      <c r="G183" s="87"/>
      <c r="H183" s="87"/>
      <c r="I183" s="87"/>
      <c r="J183" s="87"/>
      <c r="K183" s="87"/>
      <c r="L183" s="87"/>
      <c r="M183" s="87"/>
      <c r="N183" s="87"/>
      <c r="O183" s="87"/>
      <c r="P183" s="193"/>
      <c r="Q183" s="87"/>
      <c r="R183" s="87"/>
      <c r="S183" s="87"/>
      <c r="T183" s="87"/>
      <c r="U183" s="87"/>
      <c r="V183" s="187"/>
    </row>
    <row r="184" spans="1:22" ht="12.75">
      <c r="A184" s="87"/>
      <c r="B184" s="87"/>
      <c r="C184" s="87"/>
      <c r="D184" s="87"/>
      <c r="E184" s="87"/>
      <c r="F184" s="87"/>
      <c r="G184" s="87"/>
      <c r="H184" s="87"/>
      <c r="I184" s="87"/>
      <c r="J184" s="87"/>
      <c r="K184" s="87"/>
      <c r="L184" s="87"/>
      <c r="M184" s="87"/>
      <c r="N184" s="87"/>
      <c r="O184" s="87"/>
      <c r="P184" s="193"/>
      <c r="Q184" s="87"/>
      <c r="R184" s="87"/>
      <c r="S184" s="87"/>
      <c r="T184" s="87"/>
      <c r="U184" s="87"/>
      <c r="V184" s="187"/>
    </row>
    <row r="185" spans="1:22" ht="12.75">
      <c r="A185" s="87"/>
      <c r="B185" s="87"/>
      <c r="C185" s="87"/>
      <c r="D185" s="87"/>
      <c r="E185" s="87"/>
      <c r="F185" s="87"/>
      <c r="G185" s="87"/>
      <c r="H185" s="87"/>
      <c r="I185" s="87"/>
      <c r="J185" s="87"/>
      <c r="K185" s="87"/>
      <c r="L185" s="87"/>
      <c r="M185" s="87"/>
      <c r="N185" s="87"/>
      <c r="O185" s="87"/>
      <c r="P185" s="193"/>
      <c r="Q185" s="87"/>
      <c r="R185" s="87"/>
      <c r="S185" s="87"/>
      <c r="T185" s="87"/>
      <c r="U185" s="87"/>
      <c r="V185" s="187"/>
    </row>
    <row r="186" spans="1:22" ht="12.75">
      <c r="A186" s="87"/>
      <c r="B186" s="87"/>
      <c r="C186" s="87"/>
      <c r="D186" s="87"/>
      <c r="E186" s="87"/>
      <c r="F186" s="87"/>
      <c r="G186" s="87"/>
      <c r="H186" s="87"/>
      <c r="I186" s="87"/>
      <c r="J186" s="87"/>
      <c r="K186" s="87"/>
      <c r="L186" s="87"/>
      <c r="M186" s="87"/>
      <c r="N186" s="87"/>
      <c r="O186" s="87"/>
      <c r="P186" s="193"/>
      <c r="Q186" s="87"/>
      <c r="R186" s="87"/>
      <c r="S186" s="87"/>
      <c r="T186" s="87"/>
      <c r="U186" s="87"/>
      <c r="V186" s="187"/>
    </row>
    <row r="187" spans="1:22" ht="12.75">
      <c r="A187" s="87"/>
      <c r="B187" s="87"/>
      <c r="C187" s="87"/>
      <c r="D187" s="87"/>
      <c r="E187" s="87"/>
      <c r="F187" s="87"/>
      <c r="G187" s="87"/>
      <c r="H187" s="87"/>
      <c r="I187" s="87"/>
      <c r="J187" s="87"/>
      <c r="K187" s="87"/>
      <c r="L187" s="87"/>
      <c r="M187" s="87"/>
      <c r="N187" s="87"/>
      <c r="O187" s="87"/>
      <c r="P187" s="193"/>
      <c r="Q187" s="87"/>
      <c r="R187" s="87"/>
      <c r="S187" s="87"/>
      <c r="T187" s="87"/>
      <c r="U187" s="87"/>
      <c r="V187" s="187"/>
    </row>
    <row r="188" spans="1:22" ht="12.75">
      <c r="A188" s="87"/>
      <c r="B188" s="87"/>
      <c r="C188" s="87"/>
      <c r="D188" s="87"/>
      <c r="E188" s="87"/>
      <c r="F188" s="87"/>
      <c r="G188" s="87"/>
      <c r="H188" s="87"/>
      <c r="I188" s="87"/>
      <c r="J188" s="87"/>
      <c r="K188" s="87"/>
      <c r="L188" s="87"/>
      <c r="M188" s="87"/>
      <c r="N188" s="87"/>
      <c r="O188" s="87"/>
      <c r="P188" s="193"/>
      <c r="Q188" s="87"/>
      <c r="R188" s="87"/>
      <c r="S188" s="87"/>
      <c r="T188" s="87"/>
      <c r="U188" s="87"/>
      <c r="V188" s="187"/>
    </row>
    <row r="189" spans="1:22" ht="12.75">
      <c r="A189" s="87"/>
      <c r="B189" s="87"/>
      <c r="C189" s="87"/>
      <c r="D189" s="87"/>
      <c r="E189" s="87"/>
      <c r="F189" s="87"/>
      <c r="G189" s="87"/>
      <c r="H189" s="87"/>
      <c r="I189" s="87"/>
      <c r="J189" s="87"/>
      <c r="K189" s="87"/>
      <c r="L189" s="87"/>
      <c r="M189" s="87"/>
      <c r="N189" s="87"/>
      <c r="O189" s="87"/>
      <c r="P189" s="193"/>
      <c r="Q189" s="87"/>
      <c r="R189" s="87"/>
      <c r="S189" s="87"/>
      <c r="T189" s="87"/>
      <c r="U189" s="87"/>
      <c r="V189" s="187"/>
    </row>
    <row r="190" spans="1:22" ht="12.75">
      <c r="A190" s="87"/>
      <c r="B190" s="87"/>
      <c r="C190" s="87"/>
      <c r="D190" s="87"/>
      <c r="E190" s="87"/>
      <c r="F190" s="87"/>
      <c r="G190" s="87"/>
      <c r="H190" s="87"/>
      <c r="I190" s="87"/>
      <c r="J190" s="87"/>
      <c r="K190" s="87"/>
      <c r="L190" s="87"/>
      <c r="M190" s="87"/>
      <c r="N190" s="87"/>
      <c r="O190" s="87"/>
      <c r="P190" s="193"/>
      <c r="Q190" s="87"/>
      <c r="R190" s="87"/>
      <c r="S190" s="87"/>
      <c r="T190" s="87"/>
      <c r="U190" s="87"/>
      <c r="V190" s="187"/>
    </row>
    <row r="191" spans="1:22" ht="12.75">
      <c r="A191" s="87"/>
      <c r="B191" s="87"/>
      <c r="C191" s="87"/>
      <c r="D191" s="87"/>
      <c r="E191" s="87"/>
      <c r="F191" s="87"/>
      <c r="G191" s="87"/>
      <c r="H191" s="87"/>
      <c r="I191" s="87"/>
      <c r="J191" s="87"/>
      <c r="K191" s="87"/>
      <c r="L191" s="87"/>
      <c r="M191" s="87"/>
      <c r="N191" s="87"/>
      <c r="O191" s="87"/>
      <c r="P191" s="193"/>
      <c r="Q191" s="87"/>
      <c r="R191" s="87"/>
      <c r="S191" s="87"/>
      <c r="T191" s="87"/>
      <c r="U191" s="87"/>
      <c r="V191" s="187"/>
    </row>
    <row r="192" spans="1:22" ht="12.75">
      <c r="A192" s="87"/>
      <c r="B192" s="87"/>
      <c r="C192" s="87"/>
      <c r="D192" s="87"/>
      <c r="E192" s="87"/>
      <c r="F192" s="87"/>
      <c r="G192" s="87"/>
      <c r="H192" s="87"/>
      <c r="I192" s="87"/>
      <c r="J192" s="87"/>
      <c r="K192" s="87"/>
      <c r="L192" s="87"/>
      <c r="M192" s="87"/>
      <c r="N192" s="87"/>
      <c r="O192" s="87"/>
      <c r="P192" s="193"/>
      <c r="Q192" s="87"/>
      <c r="R192" s="87"/>
      <c r="S192" s="87"/>
      <c r="T192" s="87"/>
      <c r="U192" s="87"/>
      <c r="V192" s="187"/>
    </row>
    <row r="193" spans="1:22" ht="12.75">
      <c r="A193" s="87"/>
      <c r="B193" s="87"/>
      <c r="C193" s="87"/>
      <c r="D193" s="87"/>
      <c r="E193" s="87"/>
      <c r="F193" s="87"/>
      <c r="G193" s="87"/>
      <c r="H193" s="87"/>
      <c r="I193" s="87"/>
      <c r="J193" s="87"/>
      <c r="K193" s="87"/>
      <c r="L193" s="87"/>
      <c r="M193" s="87"/>
      <c r="N193" s="87"/>
      <c r="O193" s="87"/>
      <c r="P193" s="193"/>
      <c r="Q193" s="87"/>
      <c r="R193" s="87"/>
      <c r="S193" s="87"/>
      <c r="T193" s="87"/>
      <c r="U193" s="87"/>
      <c r="V193" s="187"/>
    </row>
    <row r="194" spans="1:22" ht="12.75">
      <c r="A194" s="87"/>
      <c r="B194" s="87"/>
      <c r="C194" s="87"/>
      <c r="D194" s="87"/>
      <c r="E194" s="87"/>
      <c r="F194" s="87"/>
      <c r="G194" s="87"/>
      <c r="H194" s="87"/>
      <c r="I194" s="87"/>
      <c r="J194" s="87"/>
      <c r="K194" s="87"/>
      <c r="L194" s="87"/>
      <c r="M194" s="87"/>
      <c r="N194" s="87"/>
      <c r="O194" s="87"/>
      <c r="P194" s="193"/>
      <c r="Q194" s="87"/>
      <c r="R194" s="87"/>
      <c r="S194" s="87"/>
      <c r="T194" s="87"/>
      <c r="U194" s="87"/>
      <c r="V194" s="187"/>
    </row>
    <row r="195" spans="1:22" ht="12.75">
      <c r="A195" s="87"/>
      <c r="B195" s="87"/>
      <c r="C195" s="87"/>
      <c r="D195" s="87"/>
      <c r="E195" s="87"/>
      <c r="F195" s="87"/>
      <c r="G195" s="87"/>
      <c r="H195" s="87"/>
      <c r="I195" s="87"/>
      <c r="J195" s="87"/>
      <c r="K195" s="87"/>
      <c r="L195" s="87"/>
      <c r="M195" s="87"/>
      <c r="N195" s="87"/>
      <c r="O195" s="87"/>
      <c r="P195" s="193"/>
      <c r="Q195" s="87"/>
      <c r="R195" s="87"/>
      <c r="S195" s="87"/>
      <c r="T195" s="87"/>
      <c r="U195" s="87"/>
      <c r="V195" s="187"/>
    </row>
    <row r="196" spans="1:22" ht="12.75">
      <c r="A196" s="87"/>
      <c r="B196" s="87"/>
      <c r="C196" s="87"/>
      <c r="D196" s="87"/>
      <c r="E196" s="87"/>
      <c r="F196" s="87"/>
      <c r="G196" s="87"/>
      <c r="H196" s="87"/>
      <c r="I196" s="87"/>
      <c r="J196" s="87"/>
      <c r="K196" s="87"/>
      <c r="L196" s="87"/>
      <c r="M196" s="87"/>
      <c r="N196" s="87"/>
      <c r="O196" s="87"/>
      <c r="P196" s="193"/>
      <c r="Q196" s="87"/>
      <c r="R196" s="87"/>
      <c r="S196" s="87"/>
      <c r="T196" s="87"/>
      <c r="U196" s="87"/>
      <c r="V196" s="187"/>
    </row>
    <row r="197" spans="1:22" ht="12.75">
      <c r="A197" s="87"/>
      <c r="B197" s="87"/>
      <c r="C197" s="87"/>
      <c r="D197" s="87"/>
      <c r="E197" s="87"/>
      <c r="F197" s="87"/>
      <c r="G197" s="87"/>
      <c r="H197" s="87"/>
      <c r="I197" s="87"/>
      <c r="J197" s="87"/>
      <c r="K197" s="87"/>
      <c r="L197" s="87"/>
      <c r="M197" s="87"/>
      <c r="N197" s="87"/>
      <c r="O197" s="87"/>
      <c r="P197" s="193"/>
      <c r="Q197" s="87"/>
      <c r="R197" s="87"/>
      <c r="S197" s="87"/>
      <c r="T197" s="87"/>
      <c r="U197" s="87"/>
      <c r="V197" s="187"/>
    </row>
    <row r="198" spans="1:22" ht="12.75">
      <c r="A198" s="87"/>
      <c r="B198" s="87"/>
      <c r="C198" s="87"/>
      <c r="D198" s="87"/>
      <c r="E198" s="87"/>
      <c r="F198" s="87"/>
      <c r="G198" s="87"/>
      <c r="H198" s="87"/>
      <c r="I198" s="87"/>
      <c r="J198" s="87"/>
      <c r="K198" s="87"/>
      <c r="L198" s="87"/>
      <c r="M198" s="87"/>
      <c r="N198" s="87"/>
      <c r="O198" s="87"/>
      <c r="P198" s="193"/>
      <c r="Q198" s="87"/>
      <c r="R198" s="87"/>
      <c r="S198" s="87"/>
      <c r="T198" s="87"/>
      <c r="U198" s="87"/>
      <c r="V198" s="187"/>
    </row>
    <row r="199" spans="1:22" ht="12.75">
      <c r="A199" s="87"/>
      <c r="B199" s="87"/>
      <c r="C199" s="87"/>
      <c r="D199" s="87"/>
      <c r="E199" s="87"/>
      <c r="F199" s="87"/>
      <c r="G199" s="87"/>
      <c r="H199" s="87"/>
      <c r="I199" s="87"/>
      <c r="J199" s="87"/>
      <c r="K199" s="87"/>
      <c r="L199" s="87"/>
      <c r="M199" s="87"/>
      <c r="N199" s="87"/>
      <c r="O199" s="87"/>
      <c r="P199" s="193"/>
      <c r="Q199" s="87"/>
      <c r="R199" s="87"/>
      <c r="S199" s="87"/>
      <c r="T199" s="87"/>
      <c r="U199" s="87"/>
      <c r="V199" s="187"/>
    </row>
    <row r="200" spans="1:22" ht="12.75">
      <c r="A200" s="87"/>
      <c r="B200" s="87"/>
      <c r="C200" s="87"/>
      <c r="D200" s="87"/>
      <c r="E200" s="87"/>
      <c r="F200" s="87"/>
      <c r="G200" s="87"/>
      <c r="H200" s="87"/>
      <c r="I200" s="87"/>
      <c r="J200" s="87"/>
      <c r="K200" s="87"/>
      <c r="L200" s="87"/>
      <c r="M200" s="87"/>
      <c r="N200" s="87"/>
      <c r="O200" s="87"/>
      <c r="P200" s="193"/>
      <c r="Q200" s="87"/>
      <c r="R200" s="87"/>
      <c r="S200" s="87"/>
      <c r="T200" s="87"/>
      <c r="U200" s="87"/>
      <c r="V200" s="187"/>
    </row>
    <row r="201" spans="1:22" ht="12.75">
      <c r="A201" s="87"/>
      <c r="B201" s="87"/>
      <c r="C201" s="87"/>
      <c r="D201" s="87"/>
      <c r="E201" s="87"/>
      <c r="F201" s="87"/>
      <c r="G201" s="87"/>
      <c r="H201" s="87"/>
      <c r="I201" s="87"/>
      <c r="J201" s="87"/>
      <c r="K201" s="87"/>
      <c r="L201" s="87"/>
      <c r="M201" s="87"/>
      <c r="N201" s="87"/>
      <c r="O201" s="87"/>
      <c r="P201" s="193"/>
      <c r="Q201" s="87"/>
      <c r="R201" s="87"/>
      <c r="S201" s="87"/>
      <c r="T201" s="87"/>
      <c r="U201" s="87"/>
      <c r="V201" s="187"/>
    </row>
    <row r="202" spans="1:22" ht="12.75">
      <c r="A202" s="87"/>
      <c r="B202" s="87"/>
      <c r="C202" s="87"/>
      <c r="D202" s="87"/>
      <c r="E202" s="87"/>
      <c r="F202" s="87"/>
      <c r="G202" s="87"/>
      <c r="H202" s="87"/>
      <c r="I202" s="87"/>
      <c r="J202" s="87"/>
      <c r="K202" s="87"/>
      <c r="L202" s="87"/>
      <c r="M202" s="87"/>
      <c r="N202" s="87"/>
      <c r="O202" s="87"/>
      <c r="P202" s="193"/>
      <c r="Q202" s="87"/>
      <c r="R202" s="87"/>
      <c r="S202" s="87"/>
      <c r="T202" s="87"/>
      <c r="U202" s="87"/>
      <c r="V202" s="187"/>
    </row>
    <row r="203" spans="1:22" ht="12.75">
      <c r="A203" s="87"/>
      <c r="B203" s="87"/>
      <c r="C203" s="87"/>
      <c r="D203" s="87"/>
      <c r="E203" s="87"/>
      <c r="F203" s="87"/>
      <c r="G203" s="87"/>
      <c r="H203" s="87"/>
      <c r="I203" s="87"/>
      <c r="J203" s="87"/>
      <c r="K203" s="87"/>
      <c r="L203" s="87"/>
      <c r="M203" s="87"/>
      <c r="N203" s="87"/>
      <c r="O203" s="87"/>
      <c r="P203" s="193"/>
      <c r="Q203" s="87"/>
      <c r="R203" s="87"/>
      <c r="S203" s="87"/>
      <c r="T203" s="87"/>
      <c r="U203" s="87"/>
      <c r="V203" s="187"/>
    </row>
    <row r="204" spans="1:22" ht="12.75">
      <c r="A204" s="87"/>
      <c r="B204" s="87"/>
      <c r="C204" s="87"/>
      <c r="D204" s="87"/>
      <c r="E204" s="87"/>
      <c r="F204" s="87"/>
      <c r="G204" s="87"/>
      <c r="H204" s="87"/>
      <c r="I204" s="87"/>
      <c r="J204" s="87"/>
      <c r="K204" s="87"/>
      <c r="L204" s="87"/>
      <c r="M204" s="87"/>
      <c r="N204" s="87"/>
      <c r="O204" s="87"/>
      <c r="P204" s="193"/>
      <c r="Q204" s="87"/>
      <c r="R204" s="87"/>
      <c r="S204" s="87"/>
      <c r="T204" s="87"/>
      <c r="U204" s="87"/>
      <c r="V204" s="187"/>
    </row>
    <row r="205" spans="1:22" ht="12.75">
      <c r="A205" s="87"/>
      <c r="B205" s="87"/>
      <c r="C205" s="87"/>
      <c r="D205" s="87"/>
      <c r="E205" s="87"/>
      <c r="F205" s="87"/>
      <c r="G205" s="87"/>
      <c r="H205" s="87"/>
      <c r="I205" s="87"/>
      <c r="J205" s="87"/>
      <c r="K205" s="87"/>
      <c r="L205" s="87"/>
      <c r="M205" s="87"/>
      <c r="N205" s="87"/>
      <c r="O205" s="87"/>
      <c r="P205" s="193"/>
      <c r="Q205" s="87"/>
      <c r="R205" s="87"/>
      <c r="S205" s="87"/>
      <c r="T205" s="87"/>
      <c r="U205" s="87"/>
      <c r="V205" s="187"/>
    </row>
    <row r="206" spans="1:22" ht="12.75">
      <c r="A206" s="87"/>
      <c r="B206" s="87"/>
      <c r="C206" s="87"/>
      <c r="D206" s="87"/>
      <c r="E206" s="87"/>
      <c r="F206" s="87"/>
      <c r="G206" s="87"/>
      <c r="H206" s="87"/>
      <c r="I206" s="87"/>
      <c r="J206" s="87"/>
      <c r="K206" s="87"/>
      <c r="L206" s="87"/>
      <c r="M206" s="87"/>
      <c r="N206" s="87"/>
      <c r="O206" s="87"/>
      <c r="P206" s="193"/>
      <c r="Q206" s="87"/>
      <c r="R206" s="87"/>
      <c r="S206" s="87"/>
      <c r="T206" s="87"/>
      <c r="U206" s="87"/>
      <c r="V206" s="187"/>
    </row>
    <row r="207" spans="1:22" ht="12.75">
      <c r="A207" s="87"/>
      <c r="B207" s="87"/>
      <c r="C207" s="87"/>
      <c r="D207" s="87"/>
      <c r="E207" s="87"/>
      <c r="F207" s="87"/>
      <c r="G207" s="87"/>
      <c r="H207" s="87"/>
      <c r="I207" s="87"/>
      <c r="J207" s="87"/>
      <c r="K207" s="87"/>
      <c r="L207" s="87"/>
      <c r="M207" s="87"/>
      <c r="N207" s="87"/>
      <c r="O207" s="87"/>
      <c r="P207" s="193"/>
      <c r="Q207" s="87"/>
      <c r="R207" s="87"/>
      <c r="S207" s="87"/>
      <c r="T207" s="87"/>
      <c r="U207" s="87"/>
      <c r="V207" s="187"/>
    </row>
    <row r="208" spans="1:22" ht="12.75">
      <c r="A208" s="87"/>
      <c r="B208" s="87"/>
      <c r="C208" s="87"/>
      <c r="D208" s="87"/>
      <c r="E208" s="87"/>
      <c r="F208" s="87"/>
      <c r="G208" s="87"/>
      <c r="H208" s="87"/>
      <c r="I208" s="87"/>
      <c r="J208" s="87"/>
      <c r="K208" s="87"/>
      <c r="L208" s="87"/>
      <c r="M208" s="87"/>
      <c r="N208" s="87"/>
      <c r="O208" s="87"/>
      <c r="P208" s="193"/>
      <c r="Q208" s="87"/>
      <c r="R208" s="87"/>
      <c r="S208" s="87"/>
      <c r="T208" s="87"/>
      <c r="U208" s="87"/>
      <c r="V208" s="187"/>
    </row>
    <row r="209" spans="1:22" ht="12.75">
      <c r="A209" s="87"/>
      <c r="B209" s="87"/>
      <c r="C209" s="87"/>
      <c r="D209" s="87"/>
      <c r="E209" s="87"/>
      <c r="F209" s="87"/>
      <c r="G209" s="87"/>
      <c r="H209" s="87"/>
      <c r="I209" s="87"/>
      <c r="J209" s="87"/>
      <c r="K209" s="87"/>
      <c r="L209" s="87"/>
      <c r="M209" s="87"/>
      <c r="N209" s="87"/>
      <c r="O209" s="87"/>
      <c r="P209" s="193"/>
      <c r="Q209" s="87"/>
      <c r="R209" s="87"/>
      <c r="S209" s="87"/>
      <c r="T209" s="87"/>
      <c r="U209" s="87"/>
      <c r="V209" s="187"/>
    </row>
    <row r="210" spans="1:22" ht="12.75">
      <c r="A210" s="87"/>
      <c r="B210" s="87"/>
      <c r="C210" s="87"/>
      <c r="D210" s="87"/>
      <c r="E210" s="87"/>
      <c r="F210" s="87"/>
      <c r="G210" s="87"/>
      <c r="H210" s="87"/>
      <c r="I210" s="87"/>
      <c r="J210" s="87"/>
      <c r="K210" s="87"/>
      <c r="L210" s="87"/>
      <c r="M210" s="87"/>
      <c r="N210" s="87"/>
      <c r="O210" s="87"/>
      <c r="P210" s="193"/>
      <c r="Q210" s="87"/>
      <c r="R210" s="87"/>
      <c r="S210" s="87"/>
      <c r="T210" s="87"/>
      <c r="U210" s="87"/>
      <c r="V210" s="187"/>
    </row>
    <row r="211" spans="1:22" ht="12.75">
      <c r="A211" s="87"/>
      <c r="B211" s="87"/>
      <c r="C211" s="87"/>
      <c r="D211" s="87"/>
      <c r="E211" s="87"/>
      <c r="F211" s="87"/>
      <c r="G211" s="87"/>
      <c r="H211" s="87"/>
      <c r="I211" s="87"/>
      <c r="J211" s="87"/>
      <c r="K211" s="87"/>
      <c r="L211" s="87"/>
      <c r="M211" s="87"/>
      <c r="N211" s="87"/>
      <c r="O211" s="87"/>
      <c r="P211" s="193"/>
      <c r="Q211" s="87"/>
      <c r="R211" s="87"/>
      <c r="S211" s="87"/>
      <c r="T211" s="87"/>
      <c r="U211" s="87"/>
      <c r="V211" s="187"/>
    </row>
    <row r="212" spans="1:22" ht="12.75">
      <c r="A212" s="87"/>
      <c r="B212" s="87"/>
      <c r="C212" s="87"/>
      <c r="D212" s="87"/>
      <c r="E212" s="87"/>
      <c r="F212" s="87"/>
      <c r="G212" s="87"/>
      <c r="H212" s="87"/>
      <c r="I212" s="87"/>
      <c r="J212" s="87"/>
      <c r="K212" s="87"/>
      <c r="L212" s="87"/>
      <c r="M212" s="87"/>
      <c r="N212" s="87"/>
      <c r="O212" s="87"/>
      <c r="P212" s="193"/>
      <c r="Q212" s="87"/>
      <c r="R212" s="87"/>
      <c r="S212" s="87"/>
      <c r="T212" s="87"/>
      <c r="U212" s="87"/>
      <c r="V212" s="187"/>
    </row>
    <row r="213" spans="1:22" ht="12.75">
      <c r="A213" s="87"/>
      <c r="B213" s="87"/>
      <c r="C213" s="87"/>
      <c r="D213" s="87"/>
      <c r="E213" s="87"/>
      <c r="F213" s="87"/>
      <c r="G213" s="87"/>
      <c r="H213" s="87"/>
      <c r="I213" s="87"/>
      <c r="J213" s="87"/>
      <c r="K213" s="87"/>
      <c r="L213" s="87"/>
      <c r="M213" s="87"/>
      <c r="N213" s="87"/>
      <c r="O213" s="87"/>
      <c r="P213" s="193"/>
      <c r="Q213" s="87"/>
      <c r="R213" s="87"/>
      <c r="S213" s="87"/>
      <c r="T213" s="87"/>
      <c r="U213" s="87"/>
      <c r="V213" s="187"/>
    </row>
    <row r="214" spans="1:22" ht="12.75">
      <c r="A214" s="87"/>
      <c r="B214" s="87"/>
      <c r="C214" s="87"/>
      <c r="D214" s="87"/>
      <c r="E214" s="87"/>
      <c r="F214" s="87"/>
      <c r="G214" s="87"/>
      <c r="H214" s="87"/>
      <c r="I214" s="87"/>
      <c r="J214" s="87"/>
      <c r="K214" s="87"/>
      <c r="L214" s="87"/>
      <c r="M214" s="87"/>
      <c r="N214" s="87"/>
      <c r="O214" s="87"/>
      <c r="P214" s="193"/>
      <c r="Q214" s="87"/>
      <c r="R214" s="87"/>
      <c r="S214" s="87"/>
      <c r="T214" s="87"/>
      <c r="U214" s="87"/>
      <c r="V214" s="187"/>
    </row>
    <row r="215" spans="1:22" ht="12.75">
      <c r="A215" s="87"/>
      <c r="B215" s="87"/>
      <c r="C215" s="87"/>
      <c r="D215" s="87"/>
      <c r="E215" s="87"/>
      <c r="F215" s="87"/>
      <c r="G215" s="87"/>
      <c r="H215" s="87"/>
      <c r="I215" s="87"/>
      <c r="J215" s="87"/>
      <c r="K215" s="87"/>
      <c r="L215" s="87"/>
      <c r="M215" s="87"/>
      <c r="N215" s="87"/>
      <c r="O215" s="87"/>
      <c r="P215" s="193"/>
      <c r="Q215" s="87"/>
      <c r="R215" s="87"/>
      <c r="S215" s="87"/>
      <c r="T215" s="87"/>
      <c r="U215" s="87"/>
      <c r="V215" s="187"/>
    </row>
    <row r="216" spans="1:22" ht="12.75">
      <c r="A216" s="87"/>
      <c r="B216" s="87"/>
      <c r="C216" s="87"/>
      <c r="D216" s="87"/>
      <c r="E216" s="87"/>
      <c r="F216" s="87"/>
      <c r="G216" s="87"/>
      <c r="H216" s="87"/>
      <c r="I216" s="87"/>
      <c r="J216" s="87"/>
      <c r="K216" s="87"/>
      <c r="L216" s="87"/>
      <c r="M216" s="87"/>
      <c r="N216" s="87"/>
      <c r="O216" s="87"/>
      <c r="P216" s="193"/>
      <c r="Q216" s="87"/>
      <c r="R216" s="87"/>
      <c r="S216" s="87"/>
      <c r="T216" s="87"/>
      <c r="U216" s="87"/>
      <c r="V216" s="187"/>
    </row>
    <row r="217" spans="1:22" ht="12.75">
      <c r="A217" s="87"/>
      <c r="B217" s="87"/>
      <c r="C217" s="87"/>
      <c r="D217" s="87"/>
      <c r="E217" s="87"/>
      <c r="F217" s="87"/>
      <c r="G217" s="87"/>
      <c r="H217" s="87"/>
      <c r="I217" s="87"/>
      <c r="J217" s="87"/>
      <c r="K217" s="87"/>
      <c r="L217" s="87"/>
      <c r="M217" s="87"/>
      <c r="N217" s="87"/>
      <c r="O217" s="87"/>
      <c r="P217" s="193"/>
      <c r="Q217" s="87"/>
      <c r="R217" s="87"/>
      <c r="S217" s="87"/>
      <c r="T217" s="87"/>
      <c r="U217" s="87"/>
      <c r="V217" s="187"/>
    </row>
    <row r="218" spans="1:22" ht="12.75">
      <c r="A218" s="87"/>
      <c r="B218" s="87"/>
      <c r="C218" s="87"/>
      <c r="D218" s="87"/>
      <c r="E218" s="87"/>
      <c r="F218" s="87"/>
      <c r="G218" s="87"/>
      <c r="H218" s="87"/>
      <c r="I218" s="87"/>
      <c r="J218" s="87"/>
      <c r="K218" s="87"/>
      <c r="L218" s="87"/>
      <c r="M218" s="87"/>
      <c r="N218" s="87"/>
      <c r="O218" s="87"/>
      <c r="P218" s="193"/>
      <c r="Q218" s="87"/>
      <c r="R218" s="87"/>
      <c r="S218" s="87"/>
      <c r="T218" s="87"/>
      <c r="U218" s="87"/>
      <c r="V218" s="187"/>
    </row>
    <row r="219" spans="1:22" ht="12.75">
      <c r="A219" s="87"/>
      <c r="B219" s="87"/>
      <c r="C219" s="87"/>
      <c r="D219" s="87"/>
      <c r="E219" s="87"/>
      <c r="F219" s="87"/>
      <c r="G219" s="87"/>
      <c r="H219" s="87"/>
      <c r="I219" s="87"/>
      <c r="J219" s="87"/>
      <c r="K219" s="87"/>
      <c r="L219" s="87"/>
      <c r="M219" s="87"/>
      <c r="N219" s="87"/>
      <c r="O219" s="87"/>
      <c r="P219" s="193"/>
      <c r="Q219" s="87"/>
      <c r="R219" s="87"/>
      <c r="S219" s="87"/>
      <c r="T219" s="87"/>
      <c r="U219" s="87"/>
      <c r="V219" s="187"/>
    </row>
    <row r="220" spans="1:22" ht="12.75">
      <c r="A220" s="87"/>
      <c r="B220" s="87"/>
      <c r="C220" s="87"/>
      <c r="D220" s="87"/>
      <c r="E220" s="87"/>
      <c r="F220" s="87"/>
      <c r="G220" s="87"/>
      <c r="H220" s="87"/>
      <c r="I220" s="87"/>
      <c r="J220" s="87"/>
      <c r="K220" s="87"/>
      <c r="L220" s="87"/>
      <c r="M220" s="87"/>
      <c r="N220" s="87"/>
      <c r="O220" s="87"/>
      <c r="P220" s="193"/>
      <c r="Q220" s="87"/>
      <c r="R220" s="87"/>
      <c r="S220" s="87"/>
      <c r="T220" s="87"/>
      <c r="U220" s="87"/>
      <c r="V220" s="187"/>
    </row>
    <row r="221" spans="1:22" ht="12.75">
      <c r="A221" s="87"/>
      <c r="B221" s="87"/>
      <c r="C221" s="87"/>
      <c r="D221" s="87"/>
      <c r="E221" s="87"/>
      <c r="F221" s="87"/>
      <c r="G221" s="87"/>
      <c r="H221" s="87"/>
      <c r="I221" s="87"/>
      <c r="J221" s="87"/>
      <c r="K221" s="87"/>
      <c r="L221" s="87"/>
      <c r="M221" s="87"/>
      <c r="N221" s="87"/>
      <c r="O221" s="87"/>
      <c r="P221" s="193"/>
      <c r="Q221" s="87"/>
      <c r="R221" s="87"/>
      <c r="S221" s="87"/>
      <c r="T221" s="87"/>
      <c r="U221" s="87"/>
      <c r="V221" s="187"/>
    </row>
    <row r="222" spans="1:22" ht="12.75">
      <c r="A222" s="87"/>
      <c r="B222" s="87"/>
      <c r="C222" s="87"/>
      <c r="D222" s="87"/>
      <c r="E222" s="87"/>
      <c r="F222" s="87"/>
      <c r="G222" s="87"/>
      <c r="H222" s="87"/>
      <c r="I222" s="87"/>
      <c r="J222" s="87"/>
      <c r="K222" s="87"/>
      <c r="L222" s="87"/>
      <c r="M222" s="87"/>
      <c r="N222" s="87"/>
      <c r="O222" s="87"/>
      <c r="P222" s="193"/>
      <c r="Q222" s="87"/>
      <c r="R222" s="87"/>
      <c r="S222" s="87"/>
      <c r="T222" s="87"/>
      <c r="U222" s="87"/>
      <c r="V222" s="187"/>
    </row>
    <row r="223" spans="1:22" ht="12.75">
      <c r="A223" s="87"/>
      <c r="B223" s="87"/>
      <c r="C223" s="87"/>
      <c r="D223" s="87"/>
      <c r="E223" s="87"/>
      <c r="F223" s="87"/>
      <c r="G223" s="87"/>
      <c r="H223" s="87"/>
      <c r="I223" s="87"/>
      <c r="J223" s="87"/>
      <c r="K223" s="87"/>
      <c r="L223" s="87"/>
      <c r="M223" s="87"/>
      <c r="N223" s="87"/>
      <c r="O223" s="87"/>
      <c r="P223" s="193"/>
      <c r="Q223" s="87"/>
      <c r="R223" s="87"/>
      <c r="S223" s="87"/>
      <c r="T223" s="87"/>
      <c r="U223" s="87"/>
      <c r="V223" s="187"/>
    </row>
    <row r="224" spans="1:22" ht="12.75">
      <c r="A224" s="87"/>
      <c r="B224" s="87"/>
      <c r="C224" s="87"/>
      <c r="D224" s="87"/>
      <c r="E224" s="87"/>
      <c r="F224" s="87"/>
      <c r="G224" s="87"/>
      <c r="H224" s="87"/>
      <c r="I224" s="87"/>
      <c r="J224" s="87"/>
      <c r="K224" s="87"/>
      <c r="L224" s="87"/>
      <c r="M224" s="87"/>
      <c r="N224" s="87"/>
      <c r="O224" s="87"/>
      <c r="P224" s="193"/>
      <c r="Q224" s="87"/>
      <c r="R224" s="87"/>
      <c r="S224" s="87"/>
      <c r="T224" s="87"/>
      <c r="U224" s="87"/>
      <c r="V224" s="187"/>
    </row>
    <row r="225" spans="1:22" ht="12.75">
      <c r="A225" s="87"/>
      <c r="B225" s="87"/>
      <c r="C225" s="87"/>
      <c r="D225" s="87"/>
      <c r="E225" s="87"/>
      <c r="F225" s="87"/>
      <c r="G225" s="87"/>
      <c r="H225" s="87"/>
      <c r="I225" s="87"/>
      <c r="J225" s="87"/>
      <c r="K225" s="87"/>
      <c r="L225" s="87"/>
      <c r="M225" s="87"/>
      <c r="N225" s="87"/>
      <c r="O225" s="87"/>
      <c r="P225" s="193"/>
      <c r="Q225" s="87"/>
      <c r="R225" s="87"/>
      <c r="S225" s="87"/>
      <c r="T225" s="87"/>
      <c r="U225" s="87"/>
      <c r="V225" s="187"/>
    </row>
    <row r="226" spans="1:22" ht="12.75">
      <c r="A226" s="87"/>
      <c r="B226" s="87"/>
      <c r="C226" s="87"/>
      <c r="D226" s="87"/>
      <c r="E226" s="87"/>
      <c r="F226" s="87"/>
      <c r="G226" s="87"/>
      <c r="H226" s="87"/>
      <c r="I226" s="87"/>
      <c r="J226" s="87"/>
      <c r="K226" s="87"/>
      <c r="L226" s="87"/>
      <c r="M226" s="87"/>
      <c r="N226" s="87"/>
      <c r="O226" s="87"/>
      <c r="P226" s="193"/>
      <c r="Q226" s="87"/>
      <c r="R226" s="87"/>
      <c r="S226" s="87"/>
      <c r="T226" s="87"/>
      <c r="U226" s="87"/>
      <c r="V226" s="187"/>
    </row>
    <row r="227" spans="1:22" ht="12.75">
      <c r="A227" s="87"/>
      <c r="B227" s="87"/>
      <c r="C227" s="87"/>
      <c r="D227" s="87"/>
      <c r="E227" s="87"/>
      <c r="F227" s="87"/>
      <c r="G227" s="87"/>
      <c r="H227" s="87"/>
      <c r="I227" s="87"/>
      <c r="J227" s="87"/>
      <c r="K227" s="87"/>
      <c r="L227" s="87"/>
      <c r="M227" s="87"/>
      <c r="N227" s="87"/>
      <c r="O227" s="87"/>
      <c r="P227" s="193"/>
      <c r="Q227" s="87"/>
      <c r="R227" s="87"/>
      <c r="S227" s="87"/>
      <c r="T227" s="87"/>
      <c r="U227" s="87"/>
      <c r="V227" s="187"/>
    </row>
    <row r="228" spans="1:22" ht="12.75">
      <c r="A228" s="87"/>
      <c r="B228" s="87"/>
      <c r="C228" s="87"/>
      <c r="D228" s="87"/>
      <c r="E228" s="87"/>
      <c r="F228" s="87"/>
      <c r="G228" s="87"/>
      <c r="H228" s="87"/>
      <c r="I228" s="87"/>
      <c r="J228" s="87"/>
      <c r="K228" s="87"/>
      <c r="L228" s="87"/>
      <c r="M228" s="87"/>
      <c r="N228" s="87"/>
      <c r="O228" s="87"/>
      <c r="P228" s="193"/>
      <c r="Q228" s="87"/>
      <c r="R228" s="87"/>
      <c r="S228" s="87"/>
      <c r="T228" s="87"/>
      <c r="U228" s="87"/>
      <c r="V228" s="187"/>
    </row>
    <row r="229" spans="1:22" ht="12.75">
      <c r="A229" s="87"/>
      <c r="B229" s="87"/>
      <c r="C229" s="87"/>
      <c r="D229" s="87"/>
      <c r="E229" s="87"/>
      <c r="F229" s="87"/>
      <c r="G229" s="87"/>
      <c r="H229" s="87"/>
      <c r="I229" s="87"/>
      <c r="J229" s="87"/>
      <c r="K229" s="87"/>
      <c r="L229" s="87"/>
      <c r="M229" s="87"/>
      <c r="N229" s="87"/>
      <c r="O229" s="87"/>
      <c r="P229" s="193"/>
      <c r="Q229" s="87"/>
      <c r="R229" s="87"/>
      <c r="S229" s="87"/>
      <c r="T229" s="87"/>
      <c r="U229" s="87"/>
      <c r="V229" s="187"/>
    </row>
    <row r="230" spans="1:22" ht="12.75">
      <c r="A230" s="87"/>
      <c r="B230" s="87"/>
      <c r="C230" s="87"/>
      <c r="D230" s="87"/>
      <c r="E230" s="87"/>
      <c r="F230" s="87"/>
      <c r="G230" s="87"/>
      <c r="H230" s="87"/>
      <c r="I230" s="87"/>
      <c r="J230" s="87"/>
      <c r="K230" s="87"/>
      <c r="L230" s="87"/>
      <c r="M230" s="87"/>
      <c r="N230" s="87"/>
      <c r="O230" s="87"/>
      <c r="P230" s="193"/>
      <c r="Q230" s="87"/>
      <c r="R230" s="87"/>
      <c r="S230" s="87"/>
      <c r="T230" s="87"/>
      <c r="U230" s="87"/>
      <c r="V230" s="187"/>
    </row>
    <row r="231" spans="1:22" ht="12.75">
      <c r="A231" s="87"/>
      <c r="B231" s="87"/>
      <c r="C231" s="87"/>
      <c r="D231" s="87"/>
      <c r="E231" s="87"/>
      <c r="F231" s="87"/>
      <c r="G231" s="87"/>
      <c r="H231" s="87"/>
      <c r="I231" s="87"/>
      <c r="J231" s="87"/>
      <c r="K231" s="87"/>
      <c r="L231" s="87"/>
      <c r="M231" s="87"/>
      <c r="N231" s="87"/>
      <c r="O231" s="87"/>
      <c r="P231" s="193"/>
      <c r="Q231" s="87"/>
      <c r="R231" s="87"/>
      <c r="S231" s="87"/>
      <c r="T231" s="87"/>
      <c r="U231" s="87"/>
      <c r="V231" s="187"/>
    </row>
    <row r="232" spans="1:22" ht="12.75">
      <c r="A232" s="87"/>
      <c r="B232" s="87"/>
      <c r="C232" s="87"/>
      <c r="D232" s="87"/>
      <c r="E232" s="87"/>
      <c r="F232" s="87"/>
      <c r="G232" s="87"/>
      <c r="H232" s="87"/>
      <c r="I232" s="87"/>
      <c r="J232" s="87"/>
      <c r="K232" s="87"/>
      <c r="L232" s="87"/>
      <c r="M232" s="87"/>
      <c r="N232" s="87"/>
      <c r="O232" s="87"/>
      <c r="P232" s="193"/>
      <c r="Q232" s="87"/>
      <c r="R232" s="87"/>
      <c r="S232" s="87"/>
      <c r="T232" s="87"/>
      <c r="U232" s="87"/>
      <c r="V232" s="187"/>
    </row>
    <row r="233" spans="1:22" ht="12.75">
      <c r="A233" s="87"/>
      <c r="B233" s="87"/>
      <c r="C233" s="87"/>
      <c r="D233" s="87"/>
      <c r="E233" s="87"/>
      <c r="F233" s="87"/>
      <c r="G233" s="87"/>
      <c r="H233" s="87"/>
      <c r="I233" s="87"/>
      <c r="J233" s="87"/>
      <c r="K233" s="87"/>
      <c r="L233" s="87"/>
      <c r="M233" s="87"/>
      <c r="N233" s="87"/>
      <c r="O233" s="87"/>
      <c r="P233" s="193"/>
      <c r="Q233" s="87"/>
      <c r="R233" s="87"/>
      <c r="S233" s="87"/>
      <c r="T233" s="87"/>
      <c r="U233" s="87"/>
      <c r="V233" s="187"/>
    </row>
    <row r="234" spans="1:22" ht="12.75">
      <c r="A234" s="87"/>
      <c r="B234" s="87"/>
      <c r="C234" s="87"/>
      <c r="D234" s="87"/>
      <c r="E234" s="87"/>
      <c r="F234" s="87"/>
      <c r="G234" s="87"/>
      <c r="H234" s="87"/>
      <c r="I234" s="87"/>
      <c r="J234" s="87"/>
      <c r="K234" s="87"/>
      <c r="L234" s="87"/>
      <c r="M234" s="87"/>
      <c r="N234" s="87"/>
      <c r="O234" s="87"/>
      <c r="P234" s="193"/>
      <c r="Q234" s="87"/>
      <c r="R234" s="87"/>
      <c r="S234" s="87"/>
      <c r="T234" s="87"/>
      <c r="U234" s="87"/>
      <c r="V234" s="187"/>
    </row>
    <row r="235" spans="1:22" ht="12.75">
      <c r="A235" s="87"/>
      <c r="B235" s="87"/>
      <c r="C235" s="87"/>
      <c r="D235" s="87"/>
      <c r="E235" s="87"/>
      <c r="F235" s="87"/>
      <c r="G235" s="87"/>
      <c r="H235" s="87"/>
      <c r="I235" s="87"/>
      <c r="J235" s="87"/>
      <c r="K235" s="87"/>
      <c r="L235" s="87"/>
      <c r="M235" s="87"/>
      <c r="N235" s="87"/>
      <c r="O235" s="87"/>
      <c r="P235" s="193"/>
      <c r="Q235" s="87"/>
      <c r="R235" s="87"/>
      <c r="S235" s="87"/>
      <c r="T235" s="87"/>
      <c r="U235" s="87"/>
      <c r="V235" s="187"/>
    </row>
    <row r="236" spans="1:22" ht="12.75">
      <c r="A236" s="87"/>
      <c r="B236" s="87"/>
      <c r="C236" s="87"/>
      <c r="D236" s="87"/>
      <c r="E236" s="87"/>
      <c r="F236" s="87"/>
      <c r="G236" s="87"/>
      <c r="H236" s="87"/>
      <c r="I236" s="87"/>
      <c r="J236" s="87"/>
      <c r="K236" s="87"/>
      <c r="L236" s="87"/>
      <c r="M236" s="87"/>
      <c r="N236" s="87"/>
      <c r="O236" s="87"/>
      <c r="P236" s="193"/>
      <c r="Q236" s="87"/>
      <c r="R236" s="87"/>
      <c r="S236" s="87"/>
      <c r="T236" s="87"/>
      <c r="U236" s="87"/>
      <c r="V236" s="187"/>
    </row>
    <row r="237" spans="1:22" ht="12.75">
      <c r="A237" s="87"/>
      <c r="B237" s="87"/>
      <c r="C237" s="87"/>
      <c r="D237" s="87"/>
      <c r="E237" s="87"/>
      <c r="F237" s="87"/>
      <c r="G237" s="87"/>
      <c r="H237" s="87"/>
      <c r="I237" s="87"/>
      <c r="J237" s="87"/>
      <c r="K237" s="87"/>
      <c r="L237" s="87"/>
      <c r="M237" s="87"/>
      <c r="N237" s="87"/>
      <c r="O237" s="87"/>
      <c r="P237" s="193"/>
      <c r="Q237" s="87"/>
      <c r="R237" s="87"/>
      <c r="S237" s="87"/>
      <c r="T237" s="87"/>
      <c r="U237" s="87"/>
      <c r="V237" s="187"/>
    </row>
    <row r="238" spans="1:22" ht="12.75">
      <c r="A238" s="87"/>
      <c r="B238" s="87"/>
      <c r="C238" s="87"/>
      <c r="D238" s="87"/>
      <c r="E238" s="87"/>
      <c r="F238" s="87"/>
      <c r="G238" s="87"/>
      <c r="H238" s="87"/>
      <c r="I238" s="87"/>
      <c r="J238" s="87"/>
      <c r="K238" s="87"/>
      <c r="L238" s="87"/>
      <c r="M238" s="87"/>
      <c r="N238" s="87"/>
      <c r="O238" s="87"/>
      <c r="P238" s="193"/>
      <c r="Q238" s="87"/>
      <c r="R238" s="87"/>
      <c r="S238" s="87"/>
      <c r="T238" s="87"/>
      <c r="U238" s="87"/>
      <c r="V238" s="187"/>
    </row>
    <row r="239" spans="1:22" ht="12.75">
      <c r="A239" s="87"/>
      <c r="B239" s="87"/>
      <c r="C239" s="87"/>
      <c r="D239" s="87"/>
      <c r="E239" s="87"/>
      <c r="F239" s="87"/>
      <c r="G239" s="87"/>
      <c r="H239" s="87"/>
      <c r="I239" s="87"/>
      <c r="J239" s="87"/>
      <c r="K239" s="87"/>
      <c r="L239" s="87"/>
      <c r="M239" s="87"/>
      <c r="N239" s="87"/>
      <c r="O239" s="87"/>
      <c r="P239" s="193"/>
      <c r="Q239" s="87"/>
      <c r="R239" s="87"/>
      <c r="S239" s="87"/>
      <c r="T239" s="87"/>
      <c r="U239" s="87"/>
      <c r="V239" s="187"/>
    </row>
    <row r="240" spans="1:22" ht="12.75">
      <c r="A240" s="87"/>
      <c r="B240" s="87"/>
      <c r="C240" s="87"/>
      <c r="D240" s="87"/>
      <c r="E240" s="87"/>
      <c r="F240" s="87"/>
      <c r="G240" s="87"/>
      <c r="H240" s="87"/>
      <c r="I240" s="87"/>
      <c r="J240" s="87"/>
      <c r="K240" s="87"/>
      <c r="L240" s="87"/>
      <c r="M240" s="87"/>
      <c r="N240" s="87"/>
      <c r="O240" s="87"/>
      <c r="P240" s="193"/>
      <c r="Q240" s="87"/>
      <c r="R240" s="87"/>
      <c r="S240" s="87"/>
      <c r="T240" s="87"/>
      <c r="U240" s="87"/>
      <c r="V240" s="187"/>
    </row>
    <row r="241" spans="1:22" ht="12.75">
      <c r="A241" s="87"/>
      <c r="B241" s="87"/>
      <c r="C241" s="87"/>
      <c r="D241" s="87"/>
      <c r="E241" s="87"/>
      <c r="F241" s="87"/>
      <c r="G241" s="87"/>
      <c r="H241" s="87"/>
      <c r="I241" s="87"/>
      <c r="J241" s="87"/>
      <c r="K241" s="87"/>
      <c r="L241" s="87"/>
      <c r="M241" s="87"/>
      <c r="N241" s="87"/>
      <c r="O241" s="87"/>
      <c r="P241" s="193"/>
      <c r="Q241" s="87"/>
      <c r="R241" s="87"/>
      <c r="S241" s="87"/>
      <c r="T241" s="87"/>
      <c r="U241" s="87"/>
      <c r="V241" s="187"/>
    </row>
    <row r="242" spans="1:22" ht="12.75">
      <c r="A242" s="87"/>
      <c r="B242" s="87"/>
      <c r="C242" s="87"/>
      <c r="D242" s="87"/>
      <c r="E242" s="87"/>
      <c r="F242" s="87"/>
      <c r="G242" s="87"/>
      <c r="H242" s="87"/>
      <c r="I242" s="87"/>
      <c r="J242" s="87"/>
      <c r="K242" s="87"/>
      <c r="L242" s="87"/>
      <c r="M242" s="87"/>
      <c r="N242" s="87"/>
      <c r="O242" s="87"/>
      <c r="P242" s="193"/>
      <c r="Q242" s="87"/>
      <c r="R242" s="87"/>
      <c r="S242" s="87"/>
      <c r="T242" s="87"/>
      <c r="U242" s="87"/>
      <c r="V242" s="187"/>
    </row>
    <row r="243" spans="1:22" ht="12.75">
      <c r="A243" s="87"/>
      <c r="B243" s="87"/>
      <c r="C243" s="87"/>
      <c r="D243" s="87"/>
      <c r="E243" s="87"/>
      <c r="F243" s="87"/>
      <c r="G243" s="87"/>
      <c r="H243" s="87"/>
      <c r="I243" s="87"/>
      <c r="J243" s="87"/>
      <c r="K243" s="87"/>
      <c r="L243" s="87"/>
      <c r="M243" s="87"/>
      <c r="N243" s="87"/>
      <c r="O243" s="87"/>
      <c r="P243" s="193"/>
      <c r="Q243" s="87"/>
      <c r="R243" s="87"/>
      <c r="S243" s="87"/>
      <c r="T243" s="87"/>
      <c r="U243" s="87"/>
      <c r="V243" s="187"/>
    </row>
    <row r="244" spans="1:22" ht="12.75">
      <c r="A244" s="87"/>
      <c r="B244" s="87"/>
      <c r="C244" s="87"/>
      <c r="D244" s="87"/>
      <c r="E244" s="87"/>
      <c r="F244" s="87"/>
      <c r="G244" s="87"/>
      <c r="H244" s="87"/>
      <c r="I244" s="87"/>
      <c r="J244" s="87"/>
      <c r="K244" s="87"/>
      <c r="L244" s="87"/>
      <c r="M244" s="87"/>
      <c r="N244" s="87"/>
      <c r="O244" s="87"/>
      <c r="P244" s="193"/>
      <c r="Q244" s="87"/>
      <c r="R244" s="87"/>
      <c r="S244" s="87"/>
      <c r="T244" s="87"/>
      <c r="U244" s="87"/>
      <c r="V244" s="187"/>
    </row>
    <row r="245" spans="1:22" ht="12.75">
      <c r="A245" s="87"/>
      <c r="B245" s="87"/>
      <c r="C245" s="87"/>
      <c r="D245" s="87"/>
      <c r="E245" s="87"/>
      <c r="F245" s="87"/>
      <c r="G245" s="87"/>
      <c r="H245" s="87"/>
      <c r="I245" s="87"/>
      <c r="J245" s="87"/>
      <c r="K245" s="87"/>
      <c r="L245" s="87"/>
      <c r="M245" s="87"/>
      <c r="N245" s="87"/>
      <c r="O245" s="87"/>
      <c r="P245" s="193"/>
      <c r="Q245" s="87"/>
      <c r="R245" s="87"/>
      <c r="S245" s="87"/>
      <c r="T245" s="87"/>
      <c r="U245" s="87"/>
      <c r="V245" s="187"/>
    </row>
    <row r="246" spans="1:22" ht="12.75">
      <c r="A246" s="87"/>
      <c r="B246" s="87"/>
      <c r="C246" s="87"/>
      <c r="D246" s="87"/>
      <c r="E246" s="87"/>
      <c r="F246" s="87"/>
      <c r="G246" s="87"/>
      <c r="H246" s="87"/>
      <c r="I246" s="87"/>
      <c r="J246" s="87"/>
      <c r="K246" s="87"/>
      <c r="L246" s="87"/>
      <c r="M246" s="87"/>
      <c r="N246" s="87"/>
      <c r="O246" s="87"/>
      <c r="P246" s="193"/>
      <c r="Q246" s="87"/>
      <c r="R246" s="87"/>
      <c r="S246" s="87"/>
      <c r="T246" s="87"/>
      <c r="U246" s="87"/>
      <c r="V246" s="187"/>
    </row>
    <row r="247" spans="1:22" ht="12.75">
      <c r="A247" s="87"/>
      <c r="B247" s="87"/>
      <c r="C247" s="87"/>
      <c r="D247" s="87"/>
      <c r="E247" s="87"/>
      <c r="F247" s="87"/>
      <c r="G247" s="87"/>
      <c r="H247" s="87"/>
      <c r="I247" s="87"/>
      <c r="J247" s="87"/>
      <c r="K247" s="87"/>
      <c r="L247" s="87"/>
      <c r="M247" s="87"/>
      <c r="N247" s="87"/>
      <c r="O247" s="87"/>
      <c r="P247" s="193"/>
      <c r="Q247" s="87"/>
      <c r="R247" s="87"/>
      <c r="S247" s="87"/>
      <c r="T247" s="87"/>
      <c r="U247" s="87"/>
      <c r="V247" s="187"/>
    </row>
    <row r="248" spans="1:22" ht="12.75">
      <c r="A248" s="87"/>
      <c r="B248" s="87"/>
      <c r="C248" s="87"/>
      <c r="D248" s="87"/>
      <c r="E248" s="87"/>
      <c r="F248" s="87"/>
      <c r="G248" s="87"/>
      <c r="H248" s="87"/>
      <c r="I248" s="87"/>
      <c r="J248" s="87"/>
      <c r="K248" s="87"/>
      <c r="L248" s="87"/>
      <c r="M248" s="87"/>
      <c r="N248" s="87"/>
      <c r="O248" s="87"/>
      <c r="P248" s="193"/>
      <c r="Q248" s="87"/>
      <c r="R248" s="87"/>
      <c r="S248" s="87"/>
      <c r="T248" s="87"/>
      <c r="U248" s="87"/>
      <c r="V248" s="187"/>
    </row>
    <row r="249" spans="1:22" ht="12.75">
      <c r="A249" s="87"/>
      <c r="B249" s="87"/>
      <c r="C249" s="87"/>
      <c r="D249" s="87"/>
      <c r="E249" s="87"/>
      <c r="F249" s="87"/>
      <c r="G249" s="87"/>
      <c r="H249" s="87"/>
      <c r="I249" s="87"/>
      <c r="J249" s="87"/>
      <c r="K249" s="87"/>
      <c r="L249" s="87"/>
      <c r="M249" s="87"/>
      <c r="N249" s="87"/>
      <c r="O249" s="87"/>
      <c r="P249" s="193"/>
      <c r="Q249" s="87"/>
      <c r="R249" s="87"/>
      <c r="S249" s="87"/>
      <c r="T249" s="87"/>
      <c r="U249" s="87"/>
      <c r="V249" s="187"/>
    </row>
    <row r="250" spans="1:22" ht="12.75">
      <c r="A250" s="87"/>
      <c r="B250" s="87"/>
      <c r="C250" s="87"/>
      <c r="D250" s="87"/>
      <c r="E250" s="87"/>
      <c r="F250" s="87"/>
      <c r="G250" s="87"/>
      <c r="H250" s="87"/>
      <c r="I250" s="87"/>
      <c r="J250" s="87"/>
      <c r="K250" s="87"/>
      <c r="L250" s="87"/>
      <c r="M250" s="87"/>
      <c r="N250" s="87"/>
      <c r="O250" s="87"/>
      <c r="P250" s="193"/>
      <c r="Q250" s="87"/>
      <c r="R250" s="87"/>
      <c r="S250" s="87"/>
      <c r="T250" s="87"/>
      <c r="U250" s="87"/>
      <c r="V250" s="187"/>
    </row>
    <row r="251" spans="1:22" ht="12.75">
      <c r="A251" s="87"/>
      <c r="B251" s="87"/>
      <c r="C251" s="87"/>
      <c r="D251" s="87"/>
      <c r="E251" s="87"/>
      <c r="F251" s="87"/>
      <c r="G251" s="87"/>
      <c r="H251" s="87"/>
      <c r="I251" s="87"/>
      <c r="J251" s="87"/>
      <c r="K251" s="87"/>
      <c r="L251" s="87"/>
      <c r="M251" s="87"/>
      <c r="N251" s="87"/>
      <c r="O251" s="87"/>
      <c r="P251" s="193"/>
      <c r="Q251" s="87"/>
      <c r="R251" s="87"/>
      <c r="S251" s="87"/>
      <c r="T251" s="87"/>
      <c r="U251" s="87"/>
      <c r="V251" s="187"/>
    </row>
    <row r="252" spans="1:22" ht="12.75">
      <c r="A252" s="87"/>
      <c r="B252" s="87"/>
      <c r="C252" s="87"/>
      <c r="D252" s="87"/>
      <c r="E252" s="87"/>
      <c r="F252" s="87"/>
      <c r="G252" s="87"/>
      <c r="H252" s="87"/>
      <c r="I252" s="87"/>
      <c r="J252" s="87"/>
      <c r="K252" s="87"/>
      <c r="L252" s="87"/>
      <c r="M252" s="87"/>
      <c r="N252" s="87"/>
      <c r="O252" s="87"/>
      <c r="P252" s="193"/>
      <c r="Q252" s="87"/>
      <c r="R252" s="87"/>
      <c r="S252" s="87"/>
      <c r="T252" s="87"/>
      <c r="U252" s="87"/>
      <c r="V252" s="187"/>
    </row>
    <row r="253" spans="1:22" ht="12.75">
      <c r="A253" s="87"/>
      <c r="B253" s="87"/>
      <c r="C253" s="87"/>
      <c r="D253" s="87"/>
      <c r="E253" s="87"/>
      <c r="F253" s="87"/>
      <c r="G253" s="87"/>
      <c r="H253" s="87"/>
      <c r="I253" s="87"/>
      <c r="J253" s="87"/>
      <c r="K253" s="87"/>
      <c r="L253" s="87"/>
      <c r="M253" s="87"/>
      <c r="N253" s="87"/>
      <c r="O253" s="87"/>
      <c r="P253" s="193"/>
      <c r="Q253" s="87"/>
      <c r="R253" s="87"/>
      <c r="S253" s="87"/>
      <c r="T253" s="87"/>
      <c r="U253" s="87"/>
      <c r="V253" s="187"/>
    </row>
    <row r="254" spans="1:22" ht="12.75">
      <c r="A254" s="87"/>
      <c r="B254" s="87"/>
      <c r="C254" s="87"/>
      <c r="D254" s="87"/>
      <c r="E254" s="87"/>
      <c r="F254" s="87"/>
      <c r="G254" s="87"/>
      <c r="H254" s="87"/>
      <c r="I254" s="87"/>
      <c r="J254" s="87"/>
      <c r="K254" s="87"/>
      <c r="L254" s="87"/>
      <c r="M254" s="87"/>
      <c r="N254" s="87"/>
      <c r="O254" s="87"/>
      <c r="P254" s="193"/>
      <c r="Q254" s="87"/>
      <c r="R254" s="87"/>
      <c r="S254" s="87"/>
      <c r="T254" s="87"/>
      <c r="U254" s="87"/>
      <c r="V254" s="187"/>
    </row>
    <row r="255" spans="1:22" ht="12.75">
      <c r="A255" s="87"/>
      <c r="B255" s="87"/>
      <c r="C255" s="87"/>
      <c r="D255" s="87"/>
      <c r="E255" s="87"/>
      <c r="F255" s="87"/>
      <c r="G255" s="87"/>
      <c r="H255" s="87"/>
      <c r="I255" s="87"/>
      <c r="J255" s="87"/>
      <c r="K255" s="87"/>
      <c r="L255" s="87"/>
      <c r="M255" s="87"/>
      <c r="N255" s="87"/>
      <c r="O255" s="87"/>
      <c r="P255" s="193"/>
      <c r="Q255" s="87"/>
      <c r="R255" s="87"/>
      <c r="S255" s="87"/>
      <c r="T255" s="87"/>
      <c r="U255" s="87"/>
      <c r="V255" s="187"/>
    </row>
    <row r="256" spans="1:22" ht="12.75">
      <c r="A256" s="87"/>
      <c r="B256" s="87"/>
      <c r="C256" s="87"/>
      <c r="D256" s="87"/>
      <c r="E256" s="87"/>
      <c r="F256" s="87"/>
      <c r="G256" s="87"/>
      <c r="H256" s="87"/>
      <c r="I256" s="87"/>
      <c r="J256" s="87"/>
      <c r="K256" s="87"/>
      <c r="L256" s="87"/>
      <c r="M256" s="87"/>
      <c r="N256" s="87"/>
      <c r="O256" s="87"/>
      <c r="P256" s="193"/>
      <c r="Q256" s="87"/>
      <c r="R256" s="87"/>
      <c r="S256" s="87"/>
      <c r="T256" s="87"/>
      <c r="U256" s="87"/>
      <c r="V256" s="187"/>
    </row>
    <row r="257" spans="1:22" ht="12.75">
      <c r="A257" s="87"/>
      <c r="B257" s="87"/>
      <c r="C257" s="87"/>
      <c r="D257" s="87"/>
      <c r="E257" s="87"/>
      <c r="F257" s="87"/>
      <c r="G257" s="87"/>
      <c r="H257" s="87"/>
      <c r="I257" s="87"/>
      <c r="J257" s="87"/>
      <c r="K257" s="87"/>
      <c r="L257" s="87"/>
      <c r="M257" s="87"/>
      <c r="N257" s="87"/>
      <c r="O257" s="87"/>
      <c r="P257" s="193"/>
      <c r="Q257" s="87"/>
      <c r="R257" s="87"/>
      <c r="S257" s="87"/>
      <c r="T257" s="87"/>
      <c r="U257" s="87"/>
      <c r="V257" s="187"/>
    </row>
    <row r="258" spans="1:22" ht="12.75">
      <c r="A258" s="87"/>
      <c r="B258" s="87"/>
      <c r="C258" s="87"/>
      <c r="D258" s="87"/>
      <c r="E258" s="87"/>
      <c r="F258" s="87"/>
      <c r="G258" s="87"/>
      <c r="H258" s="87"/>
      <c r="I258" s="87"/>
      <c r="J258" s="87"/>
      <c r="K258" s="87"/>
      <c r="L258" s="87"/>
      <c r="M258" s="87"/>
      <c r="N258" s="87"/>
      <c r="O258" s="87"/>
      <c r="P258" s="193"/>
      <c r="Q258" s="87"/>
      <c r="R258" s="87"/>
      <c r="S258" s="87"/>
      <c r="T258" s="87"/>
      <c r="U258" s="87"/>
      <c r="V258" s="187"/>
    </row>
    <row r="259" spans="1:22" ht="12.75">
      <c r="A259" s="87"/>
      <c r="B259" s="87"/>
      <c r="C259" s="87"/>
      <c r="D259" s="87"/>
      <c r="E259" s="87"/>
      <c r="F259" s="87"/>
      <c r="G259" s="87"/>
      <c r="H259" s="87"/>
      <c r="I259" s="87"/>
      <c r="J259" s="87"/>
      <c r="K259" s="87"/>
      <c r="L259" s="87"/>
      <c r="M259" s="87"/>
      <c r="N259" s="87"/>
      <c r="O259" s="87"/>
      <c r="P259" s="193"/>
      <c r="Q259" s="87"/>
      <c r="R259" s="87"/>
      <c r="S259" s="87"/>
      <c r="T259" s="87"/>
      <c r="U259" s="87"/>
      <c r="V259" s="187"/>
    </row>
    <row r="260" spans="1:22" ht="12.75">
      <c r="A260" s="87"/>
      <c r="B260" s="87"/>
      <c r="C260" s="87"/>
      <c r="D260" s="87"/>
      <c r="E260" s="87"/>
      <c r="F260" s="87"/>
      <c r="G260" s="87"/>
      <c r="H260" s="87"/>
      <c r="I260" s="87"/>
      <c r="J260" s="87"/>
      <c r="K260" s="87"/>
      <c r="L260" s="87"/>
      <c r="M260" s="87"/>
      <c r="N260" s="87"/>
      <c r="O260" s="87"/>
      <c r="P260" s="193"/>
      <c r="Q260" s="87"/>
      <c r="R260" s="87"/>
      <c r="S260" s="87"/>
      <c r="T260" s="87"/>
      <c r="U260" s="87"/>
      <c r="V260" s="187"/>
    </row>
    <row r="261" spans="1:22" ht="12.75">
      <c r="A261" s="87"/>
      <c r="B261" s="87"/>
      <c r="C261" s="87"/>
      <c r="D261" s="87"/>
      <c r="E261" s="87"/>
      <c r="F261" s="87"/>
      <c r="G261" s="87"/>
      <c r="H261" s="87"/>
      <c r="I261" s="87"/>
      <c r="J261" s="87"/>
      <c r="K261" s="87"/>
      <c r="L261" s="87"/>
      <c r="M261" s="87"/>
      <c r="N261" s="87"/>
      <c r="O261" s="87"/>
      <c r="P261" s="193"/>
      <c r="Q261" s="87"/>
      <c r="R261" s="87"/>
      <c r="S261" s="87"/>
      <c r="T261" s="87"/>
      <c r="U261" s="87"/>
      <c r="V261" s="187"/>
    </row>
    <row r="262" spans="1:22" ht="12.75">
      <c r="A262" s="87"/>
      <c r="B262" s="87"/>
      <c r="C262" s="87"/>
      <c r="D262" s="87"/>
      <c r="E262" s="87"/>
      <c r="F262" s="87"/>
      <c r="G262" s="87"/>
      <c r="H262" s="87"/>
      <c r="I262" s="87"/>
      <c r="J262" s="87"/>
      <c r="K262" s="87"/>
      <c r="L262" s="87"/>
      <c r="M262" s="87"/>
      <c r="N262" s="87"/>
      <c r="O262" s="87"/>
      <c r="P262" s="193"/>
      <c r="Q262" s="87"/>
      <c r="R262" s="87"/>
      <c r="S262" s="87"/>
      <c r="T262" s="87"/>
      <c r="U262" s="87"/>
      <c r="V262" s="187"/>
    </row>
    <row r="263" spans="1:22" ht="12.75">
      <c r="A263" s="87"/>
      <c r="B263" s="87"/>
      <c r="C263" s="87"/>
      <c r="D263" s="87"/>
      <c r="E263" s="87"/>
      <c r="F263" s="87"/>
      <c r="G263" s="87"/>
      <c r="H263" s="87"/>
      <c r="I263" s="87"/>
      <c r="J263" s="87"/>
      <c r="K263" s="87"/>
      <c r="L263" s="87"/>
      <c r="M263" s="87"/>
      <c r="N263" s="87"/>
      <c r="O263" s="87"/>
      <c r="P263" s="193"/>
      <c r="Q263" s="87"/>
      <c r="R263" s="87"/>
      <c r="S263" s="87"/>
      <c r="T263" s="87"/>
      <c r="U263" s="87"/>
      <c r="V263" s="187"/>
    </row>
    <row r="264" spans="1:22" ht="12.75">
      <c r="A264" s="87"/>
      <c r="B264" s="87"/>
      <c r="C264" s="87"/>
      <c r="D264" s="87"/>
      <c r="E264" s="87"/>
      <c r="F264" s="87"/>
      <c r="G264" s="87"/>
      <c r="H264" s="87"/>
      <c r="I264" s="87"/>
      <c r="J264" s="87"/>
      <c r="K264" s="87"/>
      <c r="L264" s="87"/>
      <c r="M264" s="87"/>
      <c r="N264" s="87"/>
      <c r="O264" s="87"/>
      <c r="P264" s="193"/>
      <c r="Q264" s="87"/>
      <c r="R264" s="87"/>
      <c r="S264" s="87"/>
      <c r="T264" s="87"/>
      <c r="U264" s="87"/>
      <c r="V264" s="187"/>
    </row>
    <row r="265" spans="1:22" ht="12.75">
      <c r="A265" s="87"/>
      <c r="B265" s="87"/>
      <c r="C265" s="87"/>
      <c r="D265" s="87"/>
      <c r="E265" s="87"/>
      <c r="F265" s="87"/>
      <c r="G265" s="87"/>
      <c r="H265" s="87"/>
      <c r="I265" s="87"/>
      <c r="J265" s="87"/>
      <c r="K265" s="87"/>
      <c r="L265" s="87"/>
      <c r="M265" s="87"/>
      <c r="N265" s="87"/>
      <c r="O265" s="87"/>
      <c r="P265" s="193"/>
      <c r="Q265" s="87"/>
      <c r="R265" s="87"/>
      <c r="S265" s="87"/>
      <c r="T265" s="87"/>
      <c r="U265" s="87"/>
      <c r="V265" s="187"/>
    </row>
    <row r="266" spans="1:22" ht="12.75">
      <c r="A266" s="87"/>
      <c r="B266" s="87"/>
      <c r="C266" s="87"/>
      <c r="D266" s="87"/>
      <c r="E266" s="87"/>
      <c r="F266" s="87"/>
      <c r="G266" s="87"/>
      <c r="H266" s="87"/>
      <c r="I266" s="87"/>
      <c r="J266" s="87"/>
      <c r="K266" s="87"/>
      <c r="L266" s="87"/>
      <c r="M266" s="87"/>
      <c r="N266" s="87"/>
      <c r="O266" s="87"/>
      <c r="P266" s="193"/>
      <c r="Q266" s="87"/>
      <c r="R266" s="87"/>
      <c r="S266" s="87"/>
      <c r="T266" s="87"/>
      <c r="U266" s="87"/>
      <c r="V266" s="187"/>
    </row>
    <row r="267" spans="1:22" ht="12.75">
      <c r="A267" s="87"/>
      <c r="B267" s="87"/>
      <c r="C267" s="87"/>
      <c r="D267" s="87"/>
      <c r="E267" s="87"/>
      <c r="F267" s="87"/>
      <c r="G267" s="87"/>
      <c r="H267" s="87"/>
      <c r="I267" s="87"/>
      <c r="J267" s="87"/>
      <c r="K267" s="87"/>
      <c r="L267" s="87"/>
      <c r="M267" s="87"/>
      <c r="N267" s="87"/>
      <c r="O267" s="87"/>
      <c r="P267" s="193"/>
      <c r="Q267" s="87"/>
      <c r="R267" s="87"/>
      <c r="S267" s="87"/>
      <c r="T267" s="87"/>
      <c r="U267" s="87"/>
      <c r="V267" s="187"/>
    </row>
    <row r="268" spans="1:22" ht="12.75">
      <c r="A268" s="87"/>
      <c r="B268" s="87"/>
      <c r="C268" s="87"/>
      <c r="D268" s="87"/>
      <c r="E268" s="87"/>
      <c r="F268" s="87"/>
      <c r="G268" s="87"/>
      <c r="H268" s="87"/>
      <c r="I268" s="87"/>
      <c r="J268" s="87"/>
      <c r="K268" s="87"/>
      <c r="L268" s="87"/>
      <c r="M268" s="87"/>
      <c r="N268" s="87"/>
      <c r="O268" s="87"/>
      <c r="P268" s="193"/>
      <c r="Q268" s="87"/>
      <c r="R268" s="87"/>
      <c r="S268" s="87"/>
      <c r="T268" s="87"/>
      <c r="U268" s="87"/>
      <c r="V268" s="187"/>
    </row>
    <row r="269" spans="1:22" ht="12.75">
      <c r="A269" s="87"/>
      <c r="B269" s="87"/>
      <c r="C269" s="87"/>
      <c r="D269" s="87"/>
      <c r="E269" s="87"/>
      <c r="F269" s="87"/>
      <c r="G269" s="87"/>
      <c r="H269" s="87"/>
      <c r="I269" s="87"/>
      <c r="J269" s="87"/>
      <c r="K269" s="87"/>
      <c r="L269" s="87"/>
      <c r="M269" s="87"/>
      <c r="N269" s="87"/>
      <c r="O269" s="87"/>
      <c r="P269" s="193"/>
      <c r="Q269" s="87"/>
      <c r="R269" s="87"/>
      <c r="S269" s="87"/>
      <c r="T269" s="87"/>
      <c r="U269" s="87"/>
      <c r="V269" s="187"/>
    </row>
    <row r="270" spans="1:22" ht="12.75">
      <c r="A270" s="87"/>
      <c r="B270" s="87"/>
      <c r="C270" s="87"/>
      <c r="D270" s="87"/>
      <c r="E270" s="87"/>
      <c r="F270" s="87"/>
      <c r="G270" s="87"/>
      <c r="H270" s="87"/>
      <c r="I270" s="87"/>
      <c r="J270" s="87"/>
      <c r="K270" s="87"/>
      <c r="L270" s="87"/>
      <c r="M270" s="87"/>
      <c r="N270" s="87"/>
      <c r="O270" s="87"/>
      <c r="P270" s="193"/>
      <c r="Q270" s="87"/>
      <c r="R270" s="87"/>
      <c r="S270" s="87"/>
      <c r="T270" s="87"/>
      <c r="U270" s="87"/>
      <c r="V270" s="187"/>
    </row>
    <row r="271" spans="1:22" ht="12.75">
      <c r="A271" s="87"/>
      <c r="B271" s="87"/>
      <c r="C271" s="87"/>
      <c r="D271" s="87"/>
      <c r="E271" s="87"/>
      <c r="F271" s="87"/>
      <c r="G271" s="87"/>
      <c r="H271" s="87"/>
      <c r="I271" s="87"/>
      <c r="J271" s="87"/>
      <c r="K271" s="87"/>
      <c r="L271" s="87"/>
      <c r="M271" s="87"/>
      <c r="N271" s="87"/>
      <c r="O271" s="87"/>
      <c r="P271" s="193"/>
      <c r="Q271" s="87"/>
      <c r="R271" s="87"/>
      <c r="S271" s="87"/>
      <c r="T271" s="87"/>
      <c r="U271" s="87"/>
      <c r="V271" s="187"/>
    </row>
    <row r="272" spans="1:22" ht="12.75">
      <c r="A272" s="87"/>
      <c r="B272" s="87"/>
      <c r="C272" s="87"/>
      <c r="D272" s="87"/>
      <c r="E272" s="87"/>
      <c r="F272" s="87"/>
      <c r="G272" s="87"/>
      <c r="H272" s="87"/>
      <c r="I272" s="87"/>
      <c r="J272" s="87"/>
      <c r="K272" s="87"/>
      <c r="L272" s="87"/>
      <c r="M272" s="87"/>
      <c r="N272" s="87"/>
      <c r="O272" s="87"/>
      <c r="P272" s="193"/>
      <c r="Q272" s="87"/>
      <c r="R272" s="87"/>
      <c r="S272" s="87"/>
      <c r="T272" s="87"/>
      <c r="U272" s="87"/>
      <c r="V272" s="187"/>
    </row>
    <row r="273" spans="1:22" ht="12.75">
      <c r="A273" s="87"/>
      <c r="B273" s="87"/>
      <c r="C273" s="87"/>
      <c r="D273" s="87"/>
      <c r="E273" s="87"/>
      <c r="F273" s="87"/>
      <c r="G273" s="87"/>
      <c r="H273" s="87"/>
      <c r="I273" s="87"/>
      <c r="J273" s="87"/>
      <c r="K273" s="87"/>
      <c r="L273" s="87"/>
      <c r="M273" s="87"/>
      <c r="N273" s="87"/>
      <c r="O273" s="87"/>
      <c r="P273" s="193"/>
      <c r="Q273" s="87"/>
      <c r="R273" s="87"/>
      <c r="S273" s="87"/>
      <c r="T273" s="87"/>
      <c r="U273" s="87"/>
      <c r="V273" s="187"/>
    </row>
    <row r="274" spans="1:22" ht="12.75">
      <c r="A274" s="87"/>
      <c r="B274" s="87"/>
      <c r="C274" s="87"/>
      <c r="D274" s="87"/>
      <c r="E274" s="87"/>
      <c r="F274" s="87"/>
      <c r="G274" s="87"/>
      <c r="H274" s="87"/>
      <c r="I274" s="87"/>
      <c r="J274" s="87"/>
      <c r="K274" s="87"/>
      <c r="L274" s="87"/>
      <c r="M274" s="87"/>
      <c r="N274" s="87"/>
      <c r="O274" s="87"/>
      <c r="P274" s="193"/>
      <c r="Q274" s="87"/>
      <c r="R274" s="87"/>
      <c r="S274" s="87"/>
      <c r="T274" s="87"/>
      <c r="U274" s="87"/>
      <c r="V274" s="187"/>
    </row>
    <row r="275" spans="1:22" ht="12.75">
      <c r="A275" s="87"/>
      <c r="B275" s="87"/>
      <c r="C275" s="87"/>
      <c r="D275" s="87"/>
      <c r="E275" s="87"/>
      <c r="F275" s="87"/>
      <c r="G275" s="87"/>
      <c r="H275" s="87"/>
      <c r="I275" s="87"/>
      <c r="J275" s="87"/>
      <c r="K275" s="87"/>
      <c r="L275" s="87"/>
      <c r="M275" s="87"/>
      <c r="N275" s="87"/>
      <c r="O275" s="87"/>
      <c r="P275" s="193"/>
      <c r="Q275" s="87"/>
      <c r="R275" s="87"/>
      <c r="S275" s="87"/>
      <c r="T275" s="87"/>
      <c r="U275" s="87"/>
      <c r="V275" s="187"/>
    </row>
    <row r="276" spans="1:22" ht="12.75">
      <c r="A276" s="87"/>
      <c r="B276" s="87"/>
      <c r="C276" s="87"/>
      <c r="D276" s="87"/>
      <c r="E276" s="87"/>
      <c r="F276" s="87"/>
      <c r="G276" s="87"/>
      <c r="H276" s="87"/>
      <c r="I276" s="87"/>
      <c r="J276" s="87"/>
      <c r="K276" s="87"/>
      <c r="L276" s="87"/>
      <c r="M276" s="87"/>
      <c r="N276" s="87"/>
      <c r="O276" s="87"/>
      <c r="P276" s="193"/>
      <c r="Q276" s="87"/>
      <c r="R276" s="87"/>
      <c r="S276" s="87"/>
      <c r="T276" s="87"/>
      <c r="U276" s="87"/>
      <c r="V276" s="187"/>
    </row>
    <row r="277" spans="1:22" ht="12.75">
      <c r="A277" s="87"/>
      <c r="B277" s="87"/>
      <c r="C277" s="87"/>
      <c r="D277" s="87"/>
      <c r="E277" s="87"/>
      <c r="F277" s="87"/>
      <c r="G277" s="87"/>
      <c r="H277" s="87"/>
      <c r="I277" s="87"/>
      <c r="J277" s="87"/>
      <c r="K277" s="87"/>
      <c r="L277" s="87"/>
      <c r="M277" s="87"/>
      <c r="N277" s="87"/>
      <c r="O277" s="87"/>
      <c r="P277" s="193"/>
      <c r="Q277" s="87"/>
      <c r="R277" s="87"/>
      <c r="S277" s="87"/>
      <c r="T277" s="87"/>
      <c r="U277" s="87"/>
      <c r="V277" s="187"/>
    </row>
    <row r="278" spans="1:22" ht="12.75">
      <c r="A278" s="87"/>
      <c r="B278" s="87"/>
      <c r="C278" s="87"/>
      <c r="D278" s="87"/>
      <c r="E278" s="87"/>
      <c r="F278" s="87"/>
      <c r="G278" s="87"/>
      <c r="H278" s="87"/>
      <c r="I278" s="87"/>
      <c r="J278" s="87"/>
      <c r="K278" s="87"/>
      <c r="L278" s="87"/>
      <c r="M278" s="87"/>
      <c r="N278" s="87"/>
      <c r="O278" s="87"/>
      <c r="P278" s="193"/>
      <c r="Q278" s="87"/>
      <c r="R278" s="87"/>
      <c r="S278" s="87"/>
      <c r="T278" s="87"/>
      <c r="U278" s="87"/>
      <c r="V278" s="187"/>
    </row>
    <row r="279" spans="1:22" ht="12.75">
      <c r="A279" s="87"/>
      <c r="B279" s="87"/>
      <c r="C279" s="87"/>
      <c r="D279" s="87"/>
      <c r="E279" s="87"/>
      <c r="F279" s="87"/>
      <c r="G279" s="87"/>
      <c r="H279" s="87"/>
      <c r="I279" s="87"/>
      <c r="J279" s="87"/>
      <c r="K279" s="87"/>
      <c r="L279" s="87"/>
      <c r="M279" s="87"/>
      <c r="N279" s="87"/>
      <c r="O279" s="87"/>
      <c r="P279" s="193"/>
      <c r="Q279" s="87"/>
      <c r="R279" s="87"/>
      <c r="S279" s="87"/>
      <c r="T279" s="87"/>
      <c r="U279" s="87"/>
      <c r="V279" s="187"/>
    </row>
    <row r="280" spans="1:22" ht="12.75">
      <c r="A280" s="87"/>
      <c r="B280" s="87"/>
      <c r="C280" s="87"/>
      <c r="D280" s="87"/>
      <c r="E280" s="87"/>
      <c r="F280" s="87"/>
      <c r="G280" s="87"/>
      <c r="H280" s="87"/>
      <c r="I280" s="87"/>
      <c r="J280" s="87"/>
      <c r="K280" s="87"/>
      <c r="L280" s="87"/>
      <c r="M280" s="87"/>
      <c r="N280" s="87"/>
      <c r="O280" s="87"/>
      <c r="P280" s="193"/>
      <c r="Q280" s="87"/>
      <c r="R280" s="87"/>
      <c r="S280" s="87"/>
      <c r="T280" s="87"/>
      <c r="U280" s="87"/>
      <c r="V280" s="187"/>
    </row>
    <row r="281" spans="1:22" ht="12.75">
      <c r="A281" s="87"/>
      <c r="B281" s="87"/>
      <c r="C281" s="87"/>
      <c r="D281" s="87"/>
      <c r="E281" s="87"/>
      <c r="F281" s="87"/>
      <c r="G281" s="87"/>
      <c r="H281" s="87"/>
      <c r="I281" s="87"/>
      <c r="J281" s="87"/>
      <c r="K281" s="87"/>
      <c r="L281" s="87"/>
      <c r="M281" s="87"/>
      <c r="N281" s="87"/>
      <c r="O281" s="87"/>
      <c r="P281" s="193"/>
      <c r="Q281" s="87"/>
      <c r="R281" s="87"/>
      <c r="S281" s="87"/>
      <c r="T281" s="87"/>
      <c r="U281" s="87"/>
      <c r="V281" s="187"/>
    </row>
    <row r="282" spans="1:22" ht="12.75">
      <c r="A282" s="87"/>
      <c r="B282" s="87"/>
      <c r="C282" s="87"/>
      <c r="D282" s="87"/>
      <c r="E282" s="87"/>
      <c r="F282" s="87"/>
      <c r="G282" s="87"/>
      <c r="H282" s="87"/>
      <c r="I282" s="87"/>
      <c r="J282" s="87"/>
      <c r="K282" s="87"/>
      <c r="L282" s="87"/>
      <c r="M282" s="87"/>
      <c r="N282" s="87"/>
      <c r="O282" s="87"/>
      <c r="P282" s="193"/>
      <c r="Q282" s="87"/>
      <c r="R282" s="87"/>
      <c r="S282" s="87"/>
      <c r="T282" s="87"/>
      <c r="U282" s="87"/>
      <c r="V282" s="187"/>
    </row>
    <row r="283" spans="1:22" ht="12.75">
      <c r="A283" s="87"/>
      <c r="B283" s="87"/>
      <c r="C283" s="87"/>
      <c r="D283" s="87"/>
      <c r="E283" s="87"/>
      <c r="F283" s="87"/>
      <c r="G283" s="87"/>
      <c r="H283" s="87"/>
      <c r="I283" s="87"/>
      <c r="J283" s="87"/>
      <c r="K283" s="87"/>
      <c r="L283" s="87"/>
      <c r="M283" s="87"/>
      <c r="N283" s="87"/>
      <c r="O283" s="87"/>
      <c r="P283" s="193"/>
      <c r="Q283" s="87"/>
      <c r="R283" s="87"/>
      <c r="S283" s="87"/>
      <c r="T283" s="87"/>
      <c r="U283" s="87"/>
      <c r="V283" s="187"/>
    </row>
    <row r="284" spans="1:22" ht="12.75">
      <c r="A284" s="87"/>
      <c r="B284" s="87"/>
      <c r="C284" s="87"/>
      <c r="D284" s="87"/>
      <c r="E284" s="87"/>
      <c r="F284" s="87"/>
      <c r="G284" s="87"/>
      <c r="H284" s="87"/>
      <c r="I284" s="87"/>
      <c r="J284" s="87"/>
      <c r="K284" s="87"/>
      <c r="L284" s="87"/>
      <c r="M284" s="87"/>
      <c r="N284" s="87"/>
      <c r="O284" s="87"/>
      <c r="P284" s="193"/>
      <c r="Q284" s="87"/>
      <c r="R284" s="87"/>
      <c r="S284" s="87"/>
      <c r="T284" s="87"/>
      <c r="U284" s="87"/>
      <c r="V284" s="187"/>
    </row>
    <row r="285" spans="1:22" ht="12.75">
      <c r="A285" s="87"/>
      <c r="B285" s="87"/>
      <c r="C285" s="87"/>
      <c r="D285" s="87"/>
      <c r="E285" s="87"/>
      <c r="F285" s="87"/>
      <c r="G285" s="87"/>
      <c r="H285" s="87"/>
      <c r="I285" s="87"/>
      <c r="J285" s="87"/>
      <c r="K285" s="87"/>
      <c r="L285" s="87"/>
      <c r="M285" s="87"/>
      <c r="N285" s="87"/>
      <c r="O285" s="87"/>
      <c r="P285" s="193"/>
      <c r="Q285" s="87"/>
      <c r="R285" s="87"/>
      <c r="S285" s="87"/>
      <c r="T285" s="87"/>
      <c r="U285" s="87"/>
      <c r="V285" s="187"/>
    </row>
    <row r="286" spans="1:22" ht="12.75">
      <c r="A286" s="87"/>
      <c r="B286" s="87"/>
      <c r="C286" s="87"/>
      <c r="D286" s="87"/>
      <c r="E286" s="87"/>
      <c r="F286" s="87"/>
      <c r="G286" s="87"/>
      <c r="H286" s="87"/>
      <c r="I286" s="87"/>
      <c r="J286" s="87"/>
      <c r="K286" s="87"/>
      <c r="L286" s="87"/>
      <c r="M286" s="87"/>
      <c r="N286" s="87"/>
      <c r="O286" s="87"/>
      <c r="P286" s="193"/>
      <c r="Q286" s="87"/>
      <c r="R286" s="87"/>
      <c r="S286" s="87"/>
      <c r="T286" s="87"/>
      <c r="U286" s="87"/>
      <c r="V286" s="187"/>
    </row>
    <row r="287" spans="1:22" ht="12.75">
      <c r="A287" s="87"/>
      <c r="B287" s="87"/>
      <c r="C287" s="87"/>
      <c r="D287" s="87"/>
      <c r="E287" s="87"/>
      <c r="F287" s="87"/>
      <c r="G287" s="87"/>
      <c r="H287" s="87"/>
      <c r="I287" s="87"/>
      <c r="J287" s="87"/>
      <c r="K287" s="87"/>
      <c r="L287" s="87"/>
      <c r="M287" s="87"/>
      <c r="N287" s="87"/>
      <c r="O287" s="87"/>
      <c r="P287" s="193"/>
      <c r="Q287" s="87"/>
      <c r="R287" s="87"/>
      <c r="S287" s="87"/>
      <c r="T287" s="87"/>
      <c r="U287" s="87"/>
      <c r="V287" s="187"/>
    </row>
    <row r="288" spans="1:22" ht="12.75">
      <c r="A288" s="87"/>
      <c r="B288" s="87"/>
      <c r="C288" s="87"/>
      <c r="D288" s="87"/>
      <c r="E288" s="87"/>
      <c r="F288" s="87"/>
      <c r="G288" s="87"/>
      <c r="H288" s="87"/>
      <c r="I288" s="87"/>
      <c r="J288" s="87"/>
      <c r="K288" s="87"/>
      <c r="L288" s="87"/>
      <c r="M288" s="87"/>
      <c r="N288" s="87"/>
      <c r="O288" s="87"/>
      <c r="P288" s="193"/>
      <c r="Q288" s="87"/>
      <c r="R288" s="87"/>
      <c r="S288" s="87"/>
      <c r="T288" s="87"/>
      <c r="U288" s="87"/>
      <c r="V288" s="187"/>
    </row>
    <row r="289" spans="1:22" ht="12.75">
      <c r="A289" s="87"/>
      <c r="B289" s="87"/>
      <c r="C289" s="87"/>
      <c r="D289" s="87"/>
      <c r="E289" s="87"/>
      <c r="F289" s="87"/>
      <c r="G289" s="87"/>
      <c r="H289" s="87"/>
      <c r="I289" s="87"/>
      <c r="J289" s="87"/>
      <c r="K289" s="87"/>
      <c r="L289" s="87"/>
      <c r="M289" s="87"/>
      <c r="N289" s="87"/>
      <c r="O289" s="87"/>
      <c r="P289" s="193"/>
      <c r="Q289" s="87"/>
      <c r="R289" s="87"/>
      <c r="S289" s="87"/>
      <c r="T289" s="87"/>
      <c r="U289" s="87"/>
      <c r="V289" s="187"/>
    </row>
    <row r="290" spans="1:22" ht="12.75">
      <c r="A290" s="87"/>
      <c r="B290" s="87"/>
      <c r="C290" s="87"/>
      <c r="D290" s="87"/>
      <c r="E290" s="87"/>
      <c r="F290" s="87"/>
      <c r="G290" s="87"/>
      <c r="H290" s="87"/>
      <c r="I290" s="87"/>
      <c r="J290" s="87"/>
      <c r="K290" s="87"/>
      <c r="L290" s="87"/>
      <c r="M290" s="87"/>
      <c r="N290" s="87"/>
      <c r="O290" s="87"/>
      <c r="P290" s="193"/>
      <c r="Q290" s="87"/>
      <c r="R290" s="87"/>
      <c r="S290" s="87"/>
      <c r="T290" s="87"/>
      <c r="U290" s="87"/>
      <c r="V290" s="187"/>
    </row>
    <row r="291" spans="1:22" ht="12.75">
      <c r="A291" s="87"/>
      <c r="B291" s="87"/>
      <c r="C291" s="87"/>
      <c r="D291" s="87"/>
      <c r="E291" s="87"/>
      <c r="F291" s="87"/>
      <c r="G291" s="87"/>
      <c r="H291" s="87"/>
      <c r="I291" s="87"/>
      <c r="J291" s="87"/>
      <c r="K291" s="87"/>
      <c r="L291" s="87"/>
      <c r="M291" s="87"/>
      <c r="N291" s="87"/>
      <c r="O291" s="87"/>
      <c r="P291" s="193"/>
      <c r="Q291" s="87"/>
      <c r="R291" s="87"/>
      <c r="S291" s="87"/>
      <c r="T291" s="87"/>
      <c r="U291" s="87"/>
      <c r="V291" s="187"/>
    </row>
    <row r="292" spans="1:22" ht="12.75">
      <c r="A292" s="87"/>
      <c r="B292" s="87"/>
      <c r="C292" s="87"/>
      <c r="D292" s="87"/>
      <c r="E292" s="87"/>
      <c r="F292" s="87"/>
      <c r="G292" s="87"/>
      <c r="H292" s="87"/>
      <c r="I292" s="87"/>
      <c r="J292" s="87"/>
      <c r="K292" s="87"/>
      <c r="L292" s="87"/>
      <c r="M292" s="87"/>
      <c r="N292" s="87"/>
      <c r="O292" s="87"/>
      <c r="P292" s="193"/>
      <c r="Q292" s="87"/>
      <c r="R292" s="87"/>
      <c r="S292" s="87"/>
      <c r="T292" s="87"/>
      <c r="U292" s="87"/>
      <c r="V292" s="187"/>
    </row>
    <row r="293" spans="1:22" ht="12.75">
      <c r="A293" s="87"/>
      <c r="B293" s="87"/>
      <c r="C293" s="87"/>
      <c r="D293" s="87"/>
      <c r="E293" s="87"/>
      <c r="F293" s="87"/>
      <c r="G293" s="87"/>
      <c r="H293" s="87"/>
      <c r="I293" s="87"/>
      <c r="J293" s="87"/>
      <c r="K293" s="87"/>
      <c r="L293" s="87"/>
      <c r="M293" s="87"/>
      <c r="N293" s="87"/>
      <c r="O293" s="87"/>
      <c r="P293" s="193"/>
      <c r="Q293" s="87"/>
      <c r="R293" s="87"/>
      <c r="S293" s="87"/>
      <c r="T293" s="87"/>
      <c r="U293" s="87"/>
      <c r="V293" s="187"/>
    </row>
    <row r="294" spans="1:22" ht="12.75">
      <c r="A294" s="87"/>
      <c r="B294" s="87"/>
      <c r="C294" s="87"/>
      <c r="D294" s="87"/>
      <c r="E294" s="87"/>
      <c r="F294" s="87"/>
      <c r="G294" s="87"/>
      <c r="H294" s="87"/>
      <c r="I294" s="87"/>
      <c r="J294" s="87"/>
      <c r="K294" s="87"/>
      <c r="L294" s="87"/>
      <c r="M294" s="87"/>
      <c r="N294" s="87"/>
      <c r="O294" s="87"/>
      <c r="P294" s="193"/>
      <c r="Q294" s="87"/>
      <c r="R294" s="87"/>
      <c r="S294" s="87"/>
      <c r="T294" s="87"/>
      <c r="U294" s="87"/>
      <c r="V294" s="187"/>
    </row>
    <row r="295" spans="1:22" ht="12.75">
      <c r="A295" s="87"/>
      <c r="B295" s="87"/>
      <c r="C295" s="87"/>
      <c r="D295" s="87"/>
      <c r="E295" s="87"/>
      <c r="F295" s="87"/>
      <c r="G295" s="87"/>
      <c r="H295" s="87"/>
      <c r="I295" s="87"/>
      <c r="J295" s="87"/>
      <c r="K295" s="87"/>
      <c r="L295" s="87"/>
      <c r="M295" s="87"/>
      <c r="N295" s="87"/>
      <c r="O295" s="87"/>
      <c r="P295" s="193"/>
      <c r="Q295" s="87"/>
      <c r="R295" s="87"/>
      <c r="S295" s="87"/>
      <c r="T295" s="87"/>
      <c r="U295" s="87"/>
      <c r="V295" s="187"/>
    </row>
    <row r="296" spans="1:22" ht="12.75">
      <c r="A296" s="87"/>
      <c r="B296" s="87"/>
      <c r="C296" s="87"/>
      <c r="D296" s="87"/>
      <c r="E296" s="87"/>
      <c r="F296" s="87"/>
      <c r="G296" s="87"/>
      <c r="H296" s="87"/>
      <c r="I296" s="87"/>
      <c r="J296" s="87"/>
      <c r="K296" s="87"/>
      <c r="L296" s="87"/>
      <c r="M296" s="87"/>
      <c r="N296" s="87"/>
      <c r="O296" s="87"/>
      <c r="P296" s="193"/>
      <c r="Q296" s="87"/>
      <c r="R296" s="87"/>
      <c r="S296" s="87"/>
      <c r="T296" s="87"/>
      <c r="U296" s="87"/>
      <c r="V296" s="187"/>
    </row>
    <row r="297" spans="1:22" ht="12.75">
      <c r="A297" s="87"/>
      <c r="B297" s="87"/>
      <c r="C297" s="87"/>
      <c r="D297" s="87"/>
      <c r="E297" s="87"/>
      <c r="F297" s="87"/>
      <c r="G297" s="87"/>
      <c r="H297" s="87"/>
      <c r="I297" s="87"/>
      <c r="J297" s="87"/>
      <c r="K297" s="87"/>
      <c r="L297" s="87"/>
      <c r="M297" s="87"/>
      <c r="N297" s="87"/>
      <c r="O297" s="87"/>
      <c r="P297" s="193"/>
      <c r="Q297" s="87"/>
      <c r="R297" s="87"/>
      <c r="S297" s="87"/>
      <c r="T297" s="87"/>
      <c r="U297" s="87"/>
      <c r="V297" s="187"/>
    </row>
    <row r="298" spans="1:22" ht="12.75">
      <c r="A298" s="87"/>
      <c r="B298" s="87"/>
      <c r="C298" s="87"/>
      <c r="D298" s="87"/>
      <c r="E298" s="87"/>
      <c r="F298" s="87"/>
      <c r="G298" s="87"/>
      <c r="H298" s="87"/>
      <c r="I298" s="87"/>
      <c r="J298" s="87"/>
      <c r="K298" s="87"/>
      <c r="L298" s="87"/>
      <c r="M298" s="87"/>
      <c r="N298" s="87"/>
      <c r="O298" s="87"/>
      <c r="P298" s="193"/>
      <c r="Q298" s="87"/>
      <c r="R298" s="87"/>
      <c r="S298" s="87"/>
      <c r="T298" s="87"/>
      <c r="U298" s="87"/>
      <c r="V298" s="187"/>
    </row>
    <row r="299" spans="1:22" ht="12.75">
      <c r="A299" s="87"/>
      <c r="B299" s="87"/>
      <c r="C299" s="87"/>
      <c r="D299" s="87"/>
      <c r="E299" s="87"/>
      <c r="F299" s="87"/>
      <c r="G299" s="87"/>
      <c r="H299" s="87"/>
      <c r="I299" s="87"/>
      <c r="J299" s="87"/>
      <c r="K299" s="87"/>
      <c r="L299" s="87"/>
      <c r="M299" s="87"/>
      <c r="N299" s="87"/>
      <c r="O299" s="87"/>
      <c r="P299" s="193"/>
      <c r="Q299" s="87"/>
      <c r="R299" s="87"/>
      <c r="S299" s="87"/>
      <c r="T299" s="87"/>
      <c r="U299" s="87"/>
      <c r="V299" s="187"/>
    </row>
    <row r="300" spans="1:22" ht="12.75">
      <c r="A300" s="87"/>
      <c r="B300" s="87"/>
      <c r="C300" s="87"/>
      <c r="D300" s="87"/>
      <c r="E300" s="87"/>
      <c r="F300" s="87"/>
      <c r="G300" s="87"/>
      <c r="H300" s="87"/>
      <c r="I300" s="87"/>
      <c r="J300" s="87"/>
      <c r="K300" s="87"/>
      <c r="L300" s="87"/>
      <c r="M300" s="87"/>
      <c r="N300" s="87"/>
      <c r="O300" s="87"/>
      <c r="P300" s="193"/>
      <c r="Q300" s="87"/>
      <c r="R300" s="87"/>
      <c r="S300" s="87"/>
      <c r="T300" s="87"/>
      <c r="U300" s="87"/>
      <c r="V300" s="187"/>
    </row>
    <row r="301" spans="1:22" ht="12.75">
      <c r="A301" s="87"/>
      <c r="B301" s="87"/>
      <c r="C301" s="87"/>
      <c r="D301" s="87"/>
      <c r="E301" s="87"/>
      <c r="F301" s="87"/>
      <c r="G301" s="87"/>
      <c r="H301" s="87"/>
      <c r="I301" s="87"/>
      <c r="J301" s="87"/>
      <c r="K301" s="87"/>
      <c r="L301" s="87"/>
      <c r="M301" s="87"/>
      <c r="N301" s="87"/>
      <c r="O301" s="87"/>
      <c r="P301" s="193"/>
      <c r="Q301" s="87"/>
      <c r="R301" s="87"/>
      <c r="S301" s="87"/>
      <c r="T301" s="87"/>
      <c r="U301" s="87"/>
      <c r="V301" s="187"/>
    </row>
  </sheetData>
  <autoFilter ref="A2:U62"/>
  <mergeCells count="1">
    <mergeCell ref="A1:B1"/>
  </mergeCells>
  <conditionalFormatting sqref="A1:B1">
    <cfRule type="expression" dxfId="348" priority="1">
      <formula>#REF!="OPEN"</formula>
    </cfRule>
  </conditionalFormatting>
  <conditionalFormatting sqref="A1:B1">
    <cfRule type="expression" dxfId="347" priority="2">
      <formula>$S1="OPEN"</formula>
    </cfRule>
  </conditionalFormatting>
  <conditionalFormatting sqref="A1:B1">
    <cfRule type="expression" dxfId="346" priority="3">
      <formula>$S1="CLOSED"</formula>
    </cfRule>
  </conditionalFormatting>
  <conditionalFormatting sqref="A1:B1">
    <cfRule type="expression" dxfId="345" priority="4">
      <formula>$R1="CLOSED"</formula>
    </cfRule>
  </conditionalFormatting>
  <conditionalFormatting sqref="A1:B1">
    <cfRule type="expression" dxfId="344" priority="5">
      <formula>$R1="OPEN"</formula>
    </cfRule>
  </conditionalFormatting>
  <conditionalFormatting sqref="A1:B1">
    <cfRule type="expression" dxfId="343" priority="6">
      <formula>$S1="OPEN"</formula>
    </cfRule>
  </conditionalFormatting>
  <conditionalFormatting sqref="A1:B1">
    <cfRule type="expression" dxfId="342" priority="7">
      <formula>$S1="CLOSED"</formula>
    </cfRule>
  </conditionalFormatting>
  <conditionalFormatting sqref="A1:B1">
    <cfRule type="expression" dxfId="341" priority="8">
      <formula>$L1="CLOSED"</formula>
    </cfRule>
  </conditionalFormatting>
  <conditionalFormatting sqref="A1:B1">
    <cfRule type="expression" dxfId="340" priority="9">
      <formula>$L1="OPEN"</formula>
    </cfRule>
  </conditionalFormatting>
  <conditionalFormatting sqref="A1:B1">
    <cfRule type="expression" dxfId="339" priority="10">
      <formula>$R1="OPEN"</formula>
    </cfRule>
  </conditionalFormatting>
  <conditionalFormatting sqref="A1:B1">
    <cfRule type="expression" dxfId="338" priority="11">
      <formula>$R1="CLOSED"</formula>
    </cfRule>
  </conditionalFormatting>
  <conditionalFormatting sqref="A1:B1">
    <cfRule type="expression" dxfId="337" priority="12">
      <formula>$Q1="CLOSED"</formula>
    </cfRule>
  </conditionalFormatting>
  <conditionalFormatting sqref="A1:B1">
    <cfRule type="expression" dxfId="336" priority="13">
      <formula>$Q1="OPEN"</formula>
    </cfRule>
  </conditionalFormatting>
  <conditionalFormatting sqref="A1:B1">
    <cfRule type="expression" dxfId="335" priority="14">
      <formula>$R1="OPEN"</formula>
    </cfRule>
  </conditionalFormatting>
  <conditionalFormatting sqref="A1:B1">
    <cfRule type="expression" dxfId="334" priority="15">
      <formula>$R1="CLOSED"</formula>
    </cfRule>
  </conditionalFormatting>
  <conditionalFormatting sqref="A1:B1">
    <cfRule type="expression" dxfId="333" priority="16">
      <formula>$K1="CLOSED"</formula>
    </cfRule>
  </conditionalFormatting>
  <conditionalFormatting sqref="A1:B1">
    <cfRule type="expression" dxfId="332" priority="17">
      <formula>$K1="OPEN"</formula>
    </cfRule>
  </conditionalFormatting>
  <conditionalFormatting sqref="A1:B1">
    <cfRule type="expression" dxfId="331" priority="18">
      <formula>$I1="OPEN"</formula>
    </cfRule>
  </conditionalFormatting>
  <conditionalFormatting sqref="A1:B1">
    <cfRule type="expression" dxfId="330" priority="19">
      <formula>$Q1="OPEN"</formula>
    </cfRule>
  </conditionalFormatting>
  <conditionalFormatting sqref="A1:B1">
    <cfRule type="expression" dxfId="329" priority="20">
      <formula>$Q1="CLOSED"</formula>
    </cfRule>
  </conditionalFormatting>
  <conditionalFormatting sqref="A1:B1">
    <cfRule type="expression" dxfId="328" priority="21">
      <formula>$P1="CLOSED"</formula>
    </cfRule>
  </conditionalFormatting>
  <conditionalFormatting sqref="A1:B1">
    <cfRule type="expression" dxfId="327" priority="22">
      <formula>$P1="OPEN"</formula>
    </cfRule>
  </conditionalFormatting>
  <conditionalFormatting sqref="A1:B1">
    <cfRule type="expression" dxfId="326" priority="23">
      <formula>$Q1="OPEN"</formula>
    </cfRule>
  </conditionalFormatting>
  <conditionalFormatting sqref="A1:B1">
    <cfRule type="expression" dxfId="325" priority="24">
      <formula>$Q1="CLOSED"</formula>
    </cfRule>
  </conditionalFormatting>
  <conditionalFormatting sqref="A1:B1">
    <cfRule type="expression" dxfId="324" priority="25">
      <formula>$J1="CLOSED"</formula>
    </cfRule>
  </conditionalFormatting>
  <conditionalFormatting sqref="A1:B1">
    <cfRule type="expression" dxfId="323" priority="26">
      <formula>$J1="OPEN"</formula>
    </cfRule>
  </conditionalFormatting>
  <conditionalFormatting sqref="A1:B1">
    <cfRule type="expression" dxfId="322" priority="27">
      <formula>$P1="OPEN"</formula>
    </cfRule>
  </conditionalFormatting>
  <conditionalFormatting sqref="A1:B1">
    <cfRule type="expression" dxfId="321" priority="28">
      <formula>$P1="CLOSED"</formula>
    </cfRule>
  </conditionalFormatting>
  <conditionalFormatting sqref="A1:B1">
    <cfRule type="expression" dxfId="320" priority="29">
      <formula>$O1="CLOSED"</formula>
    </cfRule>
  </conditionalFormatting>
  <conditionalFormatting sqref="A1:B1">
    <cfRule type="expression" dxfId="319" priority="30">
      <formula>$O1="OPEN"</formula>
    </cfRule>
  </conditionalFormatting>
  <conditionalFormatting sqref="A1:B1">
    <cfRule type="expression" dxfId="318" priority="31">
      <formula>$P1="OPEN"</formula>
    </cfRule>
  </conditionalFormatting>
  <conditionalFormatting sqref="A1:B1">
    <cfRule type="expression" dxfId="317" priority="32">
      <formula>$P1="CLOSED"</formula>
    </cfRule>
  </conditionalFormatting>
  <conditionalFormatting sqref="A1:B1">
    <cfRule type="expression" dxfId="316" priority="33">
      <formula>#REF!="CLOSED"</formula>
    </cfRule>
  </conditionalFormatting>
  <conditionalFormatting sqref="A1:B1">
    <cfRule type="expression" dxfId="315" priority="34">
      <formula>#REF!="OPEN"</formula>
    </cfRule>
  </conditionalFormatting>
  <conditionalFormatting sqref="A1:B1">
    <cfRule type="expression" dxfId="314" priority="35">
      <formula>#REF!="OPEN"</formula>
    </cfRule>
  </conditionalFormatting>
  <conditionalFormatting sqref="A1:B1">
    <cfRule type="expression" dxfId="313" priority="36">
      <formula>#REF!="CLOSED"</formula>
    </cfRule>
  </conditionalFormatting>
  <conditionalFormatting sqref="A1:B1">
    <cfRule type="expression" dxfId="312" priority="37">
      <formula>$K1="OPEN"</formula>
    </cfRule>
  </conditionalFormatting>
  <conditionalFormatting sqref="A1:B1">
    <cfRule type="expression" dxfId="311" priority="38">
      <formula>$K1="CLOSED"</formula>
    </cfRule>
  </conditionalFormatting>
  <conditionalFormatting sqref="A1:B1">
    <cfRule type="expression" dxfId="310" priority="39">
      <formula>$O1="OPEN"</formula>
    </cfRule>
  </conditionalFormatting>
  <conditionalFormatting sqref="A1:B1">
    <cfRule type="expression" dxfId="309" priority="40">
      <formula>$O1="CLOSED"</formula>
    </cfRule>
  </conditionalFormatting>
  <conditionalFormatting sqref="A1:B1">
    <cfRule type="expression" dxfId="308" priority="41">
      <formula>$N1="CLOSED"</formula>
    </cfRule>
  </conditionalFormatting>
  <conditionalFormatting sqref="A1:B1">
    <cfRule type="expression" dxfId="307" priority="42">
      <formula>$N1="OPEN"</formula>
    </cfRule>
  </conditionalFormatting>
  <conditionalFormatting sqref="A1:B1">
    <cfRule type="expression" dxfId="306" priority="43">
      <formula>$O1="OPEN"</formula>
    </cfRule>
  </conditionalFormatting>
  <conditionalFormatting sqref="A1:B1">
    <cfRule type="expression" dxfId="305" priority="44">
      <formula>$O1="CLOSED"</formula>
    </cfRule>
  </conditionalFormatting>
  <conditionalFormatting sqref="A1:B1">
    <cfRule type="expression" dxfId="304" priority="45">
      <formula>$J1="OPEN"</formula>
    </cfRule>
  </conditionalFormatting>
  <conditionalFormatting sqref="A1:B1">
    <cfRule type="expression" dxfId="303" priority="46">
      <formula>$J1="CLOSED"</formula>
    </cfRule>
  </conditionalFormatting>
  <conditionalFormatting sqref="A1:B1">
    <cfRule type="expression" dxfId="302" priority="47">
      <formula>$K1="CLOSED"</formula>
    </cfRule>
  </conditionalFormatting>
  <conditionalFormatting sqref="A1:B1">
    <cfRule type="expression" dxfId="301" priority="48">
      <formula>$K1="OPEN"</formula>
    </cfRule>
  </conditionalFormatting>
  <conditionalFormatting sqref="A1:B1">
    <cfRule type="expression" dxfId="300" priority="49">
      <formula>$L1="OPEN"</formula>
    </cfRule>
  </conditionalFormatting>
  <conditionalFormatting sqref="A1:B1">
    <cfRule type="expression" dxfId="299" priority="50">
      <formula>$L1="CLOSED"</formula>
    </cfRule>
  </conditionalFormatting>
  <conditionalFormatting sqref="A1:B1">
    <cfRule type="expression" dxfId="298" priority="51">
      <formula>$M1="OPEN"</formula>
    </cfRule>
  </conditionalFormatting>
  <conditionalFormatting sqref="A1:B1">
    <cfRule type="expression" dxfId="297" priority="52">
      <formula>$M1="CLOSED"</formula>
    </cfRule>
  </conditionalFormatting>
  <conditionalFormatting sqref="A1:B1">
    <cfRule type="expression" dxfId="296" priority="53">
      <formula>$N1="OPEN"</formula>
    </cfRule>
  </conditionalFormatting>
  <conditionalFormatting sqref="A1:B1">
    <cfRule type="expression" dxfId="295" priority="54">
      <formula>$N1="CLOSED"</formula>
    </cfRule>
  </conditionalFormatting>
  <conditionalFormatting sqref="A1:B1">
    <cfRule type="expression" dxfId="294" priority="55">
      <formula>$L1="CLOSED"</formula>
    </cfRule>
  </conditionalFormatting>
  <conditionalFormatting sqref="A1:B1">
    <cfRule type="expression" dxfId="293" priority="56">
      <formula>$L1="OPEN"</formula>
    </cfRule>
  </conditionalFormatting>
  <conditionalFormatting sqref="A1:B1">
    <cfRule type="expression" dxfId="292" priority="57">
      <formula>$M1="OPEN"</formula>
    </cfRule>
  </conditionalFormatting>
  <conditionalFormatting sqref="A1:B1">
    <cfRule type="expression" dxfId="291" priority="58">
      <formula>$M1="CLOSED"</formula>
    </cfRule>
  </conditionalFormatting>
  <conditionalFormatting sqref="A1:B1">
    <cfRule type="expression" dxfId="290" priority="59">
      <formula>$N1="OPEN"</formula>
    </cfRule>
  </conditionalFormatting>
  <conditionalFormatting sqref="A1:B1">
    <cfRule type="expression" dxfId="289" priority="60">
      <formula>$N1="CLOSED"</formula>
    </cfRule>
  </conditionalFormatting>
  <conditionalFormatting sqref="A1:B1">
    <cfRule type="expression" dxfId="288" priority="61">
      <formula>$M1="CLOSED"</formula>
    </cfRule>
  </conditionalFormatting>
  <conditionalFormatting sqref="A1:B1">
    <cfRule type="expression" dxfId="287" priority="62">
      <formula>$M1="OPEN"</formula>
    </cfRule>
  </conditionalFormatting>
  <conditionalFormatting sqref="A1:B1">
    <cfRule type="expression" dxfId="286" priority="63">
      <formula>#REF!="CLOSED"</formula>
    </cfRule>
  </conditionalFormatting>
  <conditionalFormatting sqref="A1:B1">
    <cfRule type="expression" dxfId="285" priority="64">
      <formula>#REF!="OPEN"</formula>
    </cfRule>
  </conditionalFormatting>
  <conditionalFormatting sqref="A1:B1">
    <cfRule type="expression" dxfId="284" priority="65">
      <formula>#REF!="OPEN"</formula>
    </cfRule>
  </conditionalFormatting>
  <conditionalFormatting sqref="A1:B1">
    <cfRule type="expression" dxfId="283" priority="66">
      <formula>#REF!="CLOSED"</formula>
    </cfRule>
  </conditionalFormatting>
  <conditionalFormatting sqref="A1:B1">
    <cfRule type="expression" dxfId="282" priority="67">
      <formula>#REF!="OPEN"</formula>
    </cfRule>
  </conditionalFormatting>
  <conditionalFormatting sqref="A1:B1">
    <cfRule type="expression" dxfId="281" priority="68">
      <formula>#REF!="CLOSED"</formula>
    </cfRule>
  </conditionalFormatting>
  <conditionalFormatting sqref="A1:B1">
    <cfRule type="expression" dxfId="280" priority="69">
      <formula>$I1="OPEN"</formula>
    </cfRule>
  </conditionalFormatting>
  <conditionalFormatting sqref="A1:B1">
    <cfRule type="expression" dxfId="279" priority="70">
      <formula>#REF!="OPEN"</formula>
    </cfRule>
  </conditionalFormatting>
  <conditionalFormatting sqref="A1:B1">
    <cfRule type="expression" dxfId="278" priority="71">
      <formula>$H1="OPEN"</formula>
    </cfRule>
  </conditionalFormatting>
  <conditionalFormatting sqref="A1:B1">
    <cfRule type="expression" dxfId="277" priority="72">
      <formula>$H1="CLOSED"</formula>
    </cfRule>
  </conditionalFormatting>
  <conditionalFormatting sqref="A1:C1">
    <cfRule type="expression" dxfId="276" priority="73">
      <formula>$I1="OPEN"</formula>
    </cfRule>
  </conditionalFormatting>
  <conditionalFormatting sqref="A1:C1">
    <cfRule type="expression" dxfId="275" priority="74">
      <formula>$I1="CLOSED"</formula>
    </cfRule>
  </conditionalFormatting>
  <conditionalFormatting sqref="A1:B1">
    <cfRule type="expression" dxfId="274" priority="75">
      <formula>$I1="CLOSED"</formula>
    </cfRule>
  </conditionalFormatting>
  <dataValidations count="16">
    <dataValidation type="list" allowBlank="1" showErrorMessage="1" sqref="F3:F51">
      <formula1>"LM,CBM,PAINTING"</formula1>
    </dataValidation>
    <dataValidation type="list" allowBlank="1" showErrorMessage="1" sqref="K3:K51">
      <formula1>"INVESTIGATE,WAITING PERFORM"</formula1>
    </dataValidation>
    <dataValidation type="list" allowBlank="1" showErrorMessage="1" sqref="B3:B51">
      <formula1>"WG 09,WG 01,WG 07,WG 12,WG 06,WG 05,WG 03,WG 02,WG 08,WG 13,WG 11"</formula1>
    </dataValidation>
    <dataValidation type="list" allowBlank="1" showErrorMessage="1" sqref="L3:L51">
      <formula1>"IU,JT,ID,IW"</formula1>
    </dataValidation>
    <dataValidation type="list" allowBlank="1" showErrorMessage="1" sqref="Q3:Q98">
      <formula1>"OPEN,CLOSED"</formula1>
    </dataValidation>
    <dataValidation type="list" allowBlank="1" showErrorMessage="1" sqref="V3:V4 U59:U90 U102:U124">
      <formula1>"AUTHOR,DEFFECT,GSE,IRR,MP,NS,NT,OCT,TC,WT,WTP"</formula1>
    </dataValidation>
    <dataValidation type="list" allowBlank="1" showErrorMessage="1" sqref="U91:U101">
      <formula1>"AUTHOR,DEFFECT,GSE,IRR,MP,NS,NT,OCT,TC,WT,WTP,LT"</formula1>
    </dataValidation>
    <dataValidation type="list" allowBlank="1" showErrorMessage="1" sqref="U3:U58">
      <formula1>"AUTHOR,DEFFECT,GSE,IRR,MP,NS,NT,OCT,TC,WT,WTP,OCMP"</formula1>
    </dataValidation>
    <dataValidation type="list" allowBlank="1" showErrorMessage="1" sqref="M52:M98">
      <formula1>"ATR72,A320,B737,A330"</formula1>
    </dataValidation>
    <dataValidation type="custom" allowBlank="1" showDropDown="1" showErrorMessage="1" sqref="G53:H53 O53 G55:H55 G63:H63 A70 G70:H70">
      <formula1>OR(NOT(ISERROR(DATEVALUE(A53))), AND(ISNUMBER(A53), LEFT(CELL("format", A53))="D"))</formula1>
    </dataValidation>
    <dataValidation type="list" allowBlank="1" showErrorMessage="1" sqref="B52:B98">
      <formula1>"WG 12,WG 09,WG 07,WG 01,WG 08,WG 06,WG 05,WG 03,WG 02,WG 10,WG 13"</formula1>
    </dataValidation>
    <dataValidation type="list" allowBlank="1" showErrorMessage="1" sqref="M3:M51">
      <formula1>"A320,B737,ATR72,A330"</formula1>
    </dataValidation>
    <dataValidation type="list" allowBlank="1" showErrorMessage="1" sqref="F52:F98">
      <formula1>"CBM,LM,PAINTING"</formula1>
    </dataValidation>
    <dataValidation type="custom" allowBlank="1" showDropDown="1" showErrorMessage="1" sqref="O34 R3:R124">
      <formula1>OR(NOT(ISERROR(DATEVALUE(O3))), AND(ISNUMBER(O3), LEFT(CELL("format", O3))="D"))</formula1>
    </dataValidation>
    <dataValidation type="list" allowBlank="1" showErrorMessage="1" sqref="K52:K98">
      <formula1>"WAITING PERFORM,INVESTIGATE"</formula1>
    </dataValidation>
    <dataValidation type="list" allowBlank="1" showErrorMessage="1" sqref="L52:L98">
      <formula1>"IW,IU,ID,JT"</formula1>
    </dataValidation>
  </dataValidations>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A9999"/>
  </sheetPr>
  <dimension ref="A1:L52"/>
  <sheetViews>
    <sheetView workbookViewId="0">
      <pane ySplit="2" topLeftCell="A3" activePane="bottomLeft" state="frozen"/>
      <selection pane="bottomLeft" activeCell="B4" sqref="B4"/>
    </sheetView>
  </sheetViews>
  <sheetFormatPr defaultColWidth="12.5703125" defaultRowHeight="15" customHeight="1"/>
  <cols>
    <col min="1" max="1" width="10.140625" customWidth="1"/>
    <col min="2" max="2" width="9.5703125" customWidth="1"/>
    <col min="3" max="3" width="7.7109375" customWidth="1"/>
    <col min="4" max="4" width="12.42578125" customWidth="1"/>
    <col min="5" max="5" width="14.140625" customWidth="1"/>
    <col min="6" max="6" width="62.42578125" customWidth="1"/>
    <col min="7" max="7" width="12.28515625" customWidth="1"/>
    <col min="8" max="8" width="14.42578125" customWidth="1"/>
    <col min="9" max="9" width="14.85546875" customWidth="1"/>
    <col min="10" max="10" width="12.5703125" customWidth="1"/>
    <col min="11" max="11" width="31.5703125" customWidth="1"/>
    <col min="12" max="12" width="24.140625" customWidth="1"/>
  </cols>
  <sheetData>
    <row r="1" spans="1:12" ht="25.5" customHeight="1">
      <c r="A1" s="382">
        <v>46308</v>
      </c>
      <c r="B1" s="383"/>
      <c r="C1" s="194"/>
      <c r="D1" s="384" t="s">
        <v>455</v>
      </c>
      <c r="E1" s="383"/>
      <c r="F1" s="383"/>
      <c r="G1" s="383"/>
      <c r="H1" s="383"/>
      <c r="I1" s="383"/>
      <c r="J1" s="383"/>
      <c r="K1" s="194"/>
      <c r="L1" s="194"/>
    </row>
    <row r="2" spans="1:12" ht="33.75" customHeight="1">
      <c r="A2" s="195" t="s">
        <v>24</v>
      </c>
      <c r="B2" s="196" t="s">
        <v>15</v>
      </c>
      <c r="C2" s="196" t="s">
        <v>3</v>
      </c>
      <c r="D2" s="197" t="s">
        <v>456</v>
      </c>
      <c r="E2" s="197" t="s">
        <v>457</v>
      </c>
      <c r="F2" s="197" t="s">
        <v>458</v>
      </c>
      <c r="G2" s="197" t="s">
        <v>459</v>
      </c>
      <c r="H2" s="196" t="s">
        <v>460</v>
      </c>
      <c r="I2" s="196" t="s">
        <v>461</v>
      </c>
      <c r="J2" s="196" t="s">
        <v>462</v>
      </c>
      <c r="K2" s="196" t="s">
        <v>463</v>
      </c>
      <c r="L2" s="196" t="s">
        <v>464</v>
      </c>
    </row>
    <row r="3" spans="1:12" ht="12.75">
      <c r="A3" s="153">
        <v>46308</v>
      </c>
      <c r="B3" s="158" t="s">
        <v>52</v>
      </c>
      <c r="C3" s="198" t="s">
        <v>272</v>
      </c>
      <c r="D3" s="198" t="s">
        <v>465</v>
      </c>
      <c r="E3" s="198">
        <v>19439</v>
      </c>
      <c r="F3" s="199" t="s">
        <v>466</v>
      </c>
      <c r="G3" s="200"/>
      <c r="H3" s="200"/>
      <c r="I3" s="158" t="s">
        <v>76</v>
      </c>
      <c r="J3" s="158" t="s">
        <v>76</v>
      </c>
      <c r="K3" s="158"/>
      <c r="L3" s="158"/>
    </row>
    <row r="4" spans="1:12" ht="12.75">
      <c r="A4" s="153">
        <v>46308</v>
      </c>
      <c r="B4" s="158" t="s">
        <v>86</v>
      </c>
      <c r="C4" s="198" t="s">
        <v>418</v>
      </c>
      <c r="D4" s="198" t="s">
        <v>467</v>
      </c>
      <c r="E4" s="198">
        <v>18802</v>
      </c>
      <c r="F4" s="199" t="s">
        <v>468</v>
      </c>
      <c r="G4" s="200"/>
      <c r="H4" s="200"/>
      <c r="I4" s="158" t="s">
        <v>76</v>
      </c>
      <c r="J4" s="158" t="s">
        <v>76</v>
      </c>
      <c r="K4" s="158"/>
      <c r="L4" s="158"/>
    </row>
    <row r="5" spans="1:12" ht="12.75">
      <c r="A5" s="153">
        <v>46308</v>
      </c>
      <c r="B5" s="158" t="s">
        <v>86</v>
      </c>
      <c r="C5" s="198" t="s">
        <v>418</v>
      </c>
      <c r="D5" s="198" t="s">
        <v>467</v>
      </c>
      <c r="E5" s="198">
        <v>18803</v>
      </c>
      <c r="F5" s="199" t="s">
        <v>469</v>
      </c>
      <c r="G5" s="200"/>
      <c r="H5" s="200"/>
      <c r="I5" s="158" t="s">
        <v>76</v>
      </c>
      <c r="J5" s="158" t="s">
        <v>76</v>
      </c>
      <c r="K5" s="158"/>
      <c r="L5" s="158"/>
    </row>
    <row r="6" spans="1:12" ht="12.75">
      <c r="A6" s="153">
        <v>46308</v>
      </c>
      <c r="B6" s="158" t="s">
        <v>86</v>
      </c>
      <c r="C6" s="198" t="s">
        <v>470</v>
      </c>
      <c r="D6" s="198" t="s">
        <v>467</v>
      </c>
      <c r="E6" s="198">
        <v>18892</v>
      </c>
      <c r="F6" s="199" t="s">
        <v>471</v>
      </c>
      <c r="G6" s="200"/>
      <c r="H6" s="200"/>
      <c r="I6" s="158" t="s">
        <v>76</v>
      </c>
      <c r="J6" s="158" t="s">
        <v>76</v>
      </c>
      <c r="K6" s="158"/>
      <c r="L6" s="201"/>
    </row>
    <row r="7" spans="1:12" ht="12.75">
      <c r="A7" s="153">
        <v>46308</v>
      </c>
      <c r="B7" s="158" t="s">
        <v>86</v>
      </c>
      <c r="C7" s="198" t="s">
        <v>470</v>
      </c>
      <c r="D7" s="198" t="s">
        <v>467</v>
      </c>
      <c r="E7" s="198">
        <v>18893</v>
      </c>
      <c r="F7" s="199" t="s">
        <v>472</v>
      </c>
      <c r="G7" s="200"/>
      <c r="H7" s="200"/>
      <c r="I7" s="158" t="s">
        <v>76</v>
      </c>
      <c r="J7" s="158" t="s">
        <v>76</v>
      </c>
      <c r="K7" s="158"/>
      <c r="L7" s="201"/>
    </row>
    <row r="8" spans="1:12" ht="12.75">
      <c r="A8" s="153">
        <v>46308</v>
      </c>
      <c r="B8" s="158" t="s">
        <v>86</v>
      </c>
      <c r="C8" s="198" t="s">
        <v>470</v>
      </c>
      <c r="D8" s="198" t="s">
        <v>467</v>
      </c>
      <c r="E8" s="198">
        <v>18894</v>
      </c>
      <c r="F8" s="199" t="s">
        <v>473</v>
      </c>
      <c r="G8" s="200"/>
      <c r="H8" s="200"/>
      <c r="I8" s="158" t="s">
        <v>76</v>
      </c>
      <c r="J8" s="158" t="s">
        <v>76</v>
      </c>
      <c r="K8" s="158"/>
      <c r="L8" s="201"/>
    </row>
    <row r="9" spans="1:12" ht="12.75">
      <c r="A9" s="153">
        <v>46308</v>
      </c>
      <c r="B9" s="158" t="s">
        <v>86</v>
      </c>
      <c r="C9" s="198" t="s">
        <v>474</v>
      </c>
      <c r="D9" s="198" t="s">
        <v>465</v>
      </c>
      <c r="E9" s="198">
        <v>18845</v>
      </c>
      <c r="F9" s="199" t="s">
        <v>475</v>
      </c>
      <c r="G9" s="200"/>
      <c r="H9" s="200"/>
      <c r="I9" s="158" t="s">
        <v>76</v>
      </c>
      <c r="J9" s="158" t="s">
        <v>76</v>
      </c>
      <c r="K9" s="158"/>
      <c r="L9" s="201"/>
    </row>
    <row r="10" spans="1:12" ht="12.75">
      <c r="A10" s="153">
        <v>46308</v>
      </c>
      <c r="B10" s="158" t="s">
        <v>86</v>
      </c>
      <c r="C10" s="198" t="s">
        <v>474</v>
      </c>
      <c r="D10" s="198" t="s">
        <v>465</v>
      </c>
      <c r="E10" s="198">
        <v>18847</v>
      </c>
      <c r="F10" s="199" t="s">
        <v>476</v>
      </c>
      <c r="G10" s="200"/>
      <c r="H10" s="200"/>
      <c r="I10" s="158" t="s">
        <v>76</v>
      </c>
      <c r="J10" s="158" t="s">
        <v>76</v>
      </c>
      <c r="K10" s="158"/>
      <c r="L10" s="201"/>
    </row>
    <row r="11" spans="1:12" ht="12.75">
      <c r="A11" s="153">
        <v>46308</v>
      </c>
      <c r="B11" s="158" t="s">
        <v>52</v>
      </c>
      <c r="C11" s="202" t="s">
        <v>29</v>
      </c>
      <c r="D11" s="202" t="s">
        <v>465</v>
      </c>
      <c r="E11" s="202">
        <v>18645</v>
      </c>
      <c r="F11" s="203" t="s">
        <v>477</v>
      </c>
      <c r="G11" s="112"/>
      <c r="H11" s="202"/>
      <c r="I11" s="158" t="s">
        <v>76</v>
      </c>
      <c r="J11" s="158" t="s">
        <v>76</v>
      </c>
      <c r="K11" s="204"/>
      <c r="L11" s="201"/>
    </row>
    <row r="12" spans="1:12" ht="12.75">
      <c r="A12" s="153">
        <v>46308</v>
      </c>
      <c r="B12" s="158" t="s">
        <v>52</v>
      </c>
      <c r="C12" s="202" t="s">
        <v>29</v>
      </c>
      <c r="D12" s="202" t="s">
        <v>465</v>
      </c>
      <c r="E12" s="202">
        <v>18647</v>
      </c>
      <c r="F12" s="203" t="s">
        <v>478</v>
      </c>
      <c r="G12" s="112"/>
      <c r="H12" s="202"/>
      <c r="I12" s="158" t="s">
        <v>76</v>
      </c>
      <c r="J12" s="158" t="s">
        <v>76</v>
      </c>
      <c r="K12" s="204"/>
      <c r="L12" s="201"/>
    </row>
    <row r="13" spans="1:12" ht="12.75">
      <c r="A13" s="153">
        <v>46308</v>
      </c>
      <c r="B13" s="158" t="s">
        <v>52</v>
      </c>
      <c r="C13" s="202" t="s">
        <v>29</v>
      </c>
      <c r="D13" s="202" t="s">
        <v>465</v>
      </c>
      <c r="E13" s="202">
        <v>18648</v>
      </c>
      <c r="F13" s="203" t="s">
        <v>479</v>
      </c>
      <c r="G13" s="112"/>
      <c r="H13" s="202"/>
      <c r="I13" s="158" t="s">
        <v>76</v>
      </c>
      <c r="J13" s="158" t="s">
        <v>76</v>
      </c>
      <c r="K13" s="204"/>
      <c r="L13" s="201"/>
    </row>
    <row r="14" spans="1:12" ht="12.75">
      <c r="A14" s="153">
        <v>46308</v>
      </c>
      <c r="B14" s="158" t="s">
        <v>52</v>
      </c>
      <c r="C14" s="202" t="s">
        <v>29</v>
      </c>
      <c r="D14" s="202" t="s">
        <v>465</v>
      </c>
      <c r="E14" s="202">
        <v>18650</v>
      </c>
      <c r="F14" s="203" t="s">
        <v>480</v>
      </c>
      <c r="G14" s="112"/>
      <c r="H14" s="202"/>
      <c r="I14" s="158" t="s">
        <v>76</v>
      </c>
      <c r="J14" s="158" t="s">
        <v>76</v>
      </c>
      <c r="K14" s="204"/>
      <c r="L14" s="201"/>
    </row>
    <row r="15" spans="1:12" ht="12.75">
      <c r="A15" s="153">
        <v>46308</v>
      </c>
      <c r="B15" s="158" t="s">
        <v>52</v>
      </c>
      <c r="C15" s="202" t="s">
        <v>29</v>
      </c>
      <c r="D15" s="202" t="s">
        <v>465</v>
      </c>
      <c r="E15" s="202">
        <v>18651</v>
      </c>
      <c r="F15" s="203" t="s">
        <v>481</v>
      </c>
      <c r="G15" s="112"/>
      <c r="H15" s="202"/>
      <c r="I15" s="158" t="s">
        <v>76</v>
      </c>
      <c r="J15" s="158" t="s">
        <v>76</v>
      </c>
      <c r="K15" s="204"/>
      <c r="L15" s="201"/>
    </row>
    <row r="16" spans="1:12" ht="12.75">
      <c r="A16" s="153">
        <v>46308</v>
      </c>
      <c r="B16" s="158" t="s">
        <v>52</v>
      </c>
      <c r="C16" s="202" t="s">
        <v>29</v>
      </c>
      <c r="D16" s="202" t="s">
        <v>465</v>
      </c>
      <c r="E16" s="202">
        <v>18652</v>
      </c>
      <c r="F16" s="203" t="s">
        <v>482</v>
      </c>
      <c r="G16" s="112"/>
      <c r="H16" s="202"/>
      <c r="I16" s="158" t="s">
        <v>76</v>
      </c>
      <c r="J16" s="158" t="s">
        <v>76</v>
      </c>
      <c r="K16" s="204"/>
      <c r="L16" s="201"/>
    </row>
    <row r="17" spans="1:12" ht="12.75">
      <c r="A17" s="153">
        <v>46308</v>
      </c>
      <c r="B17" s="158" t="s">
        <v>52</v>
      </c>
      <c r="C17" s="202" t="s">
        <v>29</v>
      </c>
      <c r="D17" s="202" t="s">
        <v>465</v>
      </c>
      <c r="E17" s="202">
        <v>18653</v>
      </c>
      <c r="F17" s="203" t="s">
        <v>483</v>
      </c>
      <c r="G17" s="112"/>
      <c r="H17" s="202"/>
      <c r="I17" s="158" t="s">
        <v>76</v>
      </c>
      <c r="J17" s="158" t="s">
        <v>76</v>
      </c>
      <c r="K17" s="204"/>
      <c r="L17" s="201"/>
    </row>
    <row r="18" spans="1:12" ht="12.75">
      <c r="A18" s="153">
        <v>46308</v>
      </c>
      <c r="B18" s="158" t="s">
        <v>52</v>
      </c>
      <c r="C18" s="202" t="s">
        <v>29</v>
      </c>
      <c r="D18" s="202" t="s">
        <v>465</v>
      </c>
      <c r="E18" s="202">
        <v>18654</v>
      </c>
      <c r="F18" s="203" t="s">
        <v>484</v>
      </c>
      <c r="G18" s="112"/>
      <c r="H18" s="202"/>
      <c r="I18" s="158" t="s">
        <v>76</v>
      </c>
      <c r="J18" s="158" t="s">
        <v>76</v>
      </c>
      <c r="K18" s="204"/>
      <c r="L18" s="201"/>
    </row>
    <row r="19" spans="1:12" ht="12.75">
      <c r="A19" s="153">
        <v>46308</v>
      </c>
      <c r="B19" s="158" t="s">
        <v>52</v>
      </c>
      <c r="C19" s="202" t="s">
        <v>29</v>
      </c>
      <c r="D19" s="202" t="s">
        <v>465</v>
      </c>
      <c r="E19" s="202">
        <v>18655</v>
      </c>
      <c r="F19" s="203" t="s">
        <v>485</v>
      </c>
      <c r="G19" s="112"/>
      <c r="H19" s="202"/>
      <c r="I19" s="158" t="s">
        <v>76</v>
      </c>
      <c r="J19" s="158" t="s">
        <v>76</v>
      </c>
      <c r="K19" s="204"/>
      <c r="L19" s="201"/>
    </row>
    <row r="20" spans="1:12" ht="12.75">
      <c r="A20" s="153">
        <v>46308</v>
      </c>
      <c r="B20" s="158" t="s">
        <v>52</v>
      </c>
      <c r="C20" s="202" t="s">
        <v>29</v>
      </c>
      <c r="D20" s="202" t="s">
        <v>465</v>
      </c>
      <c r="E20" s="202">
        <v>18657</v>
      </c>
      <c r="F20" s="203" t="s">
        <v>486</v>
      </c>
      <c r="G20" s="112"/>
      <c r="H20" s="202"/>
      <c r="I20" s="158" t="s">
        <v>76</v>
      </c>
      <c r="J20" s="158" t="s">
        <v>76</v>
      </c>
      <c r="K20" s="204"/>
      <c r="L20" s="201"/>
    </row>
    <row r="21" spans="1:12" ht="12.75">
      <c r="A21" s="153">
        <v>46308</v>
      </c>
      <c r="B21" s="158" t="s">
        <v>52</v>
      </c>
      <c r="C21" s="202" t="s">
        <v>29</v>
      </c>
      <c r="D21" s="202" t="s">
        <v>465</v>
      </c>
      <c r="E21" s="202">
        <v>18659</v>
      </c>
      <c r="F21" s="203" t="s">
        <v>487</v>
      </c>
      <c r="G21" s="112"/>
      <c r="H21" s="202"/>
      <c r="I21" s="158" t="s">
        <v>76</v>
      </c>
      <c r="J21" s="158" t="s">
        <v>76</v>
      </c>
      <c r="K21" s="204"/>
      <c r="L21" s="201"/>
    </row>
    <row r="22" spans="1:12" ht="25.5">
      <c r="A22" s="153">
        <v>46308</v>
      </c>
      <c r="B22" s="158" t="s">
        <v>86</v>
      </c>
      <c r="C22" s="202" t="s">
        <v>488</v>
      </c>
      <c r="D22" s="202" t="s">
        <v>465</v>
      </c>
      <c r="E22" s="202">
        <v>18669</v>
      </c>
      <c r="F22" s="203" t="s">
        <v>489</v>
      </c>
      <c r="G22" s="112"/>
      <c r="H22" s="202"/>
      <c r="I22" s="158" t="s">
        <v>76</v>
      </c>
      <c r="J22" s="158" t="s">
        <v>76</v>
      </c>
      <c r="K22" s="204"/>
      <c r="L22" s="201"/>
    </row>
    <row r="23" spans="1:12" ht="12.75">
      <c r="A23" s="153">
        <v>46308</v>
      </c>
      <c r="B23" s="158" t="s">
        <v>86</v>
      </c>
      <c r="C23" s="202" t="s">
        <v>488</v>
      </c>
      <c r="D23" s="202" t="s">
        <v>465</v>
      </c>
      <c r="E23" s="202">
        <v>18670</v>
      </c>
      <c r="F23" s="203" t="s">
        <v>490</v>
      </c>
      <c r="G23" s="112"/>
      <c r="H23" s="202"/>
      <c r="I23" s="158" t="s">
        <v>76</v>
      </c>
      <c r="J23" s="158" t="s">
        <v>76</v>
      </c>
      <c r="K23" s="204"/>
      <c r="L23" s="201"/>
    </row>
    <row r="24" spans="1:12" ht="12.75">
      <c r="A24" s="153">
        <v>46308</v>
      </c>
      <c r="B24" s="158" t="s">
        <v>86</v>
      </c>
      <c r="C24" s="202" t="s">
        <v>488</v>
      </c>
      <c r="D24" s="202" t="s">
        <v>465</v>
      </c>
      <c r="E24" s="202">
        <v>18672</v>
      </c>
      <c r="F24" s="203" t="s">
        <v>491</v>
      </c>
      <c r="G24" s="112"/>
      <c r="H24" s="202"/>
      <c r="I24" s="158" t="s">
        <v>76</v>
      </c>
      <c r="J24" s="158" t="s">
        <v>76</v>
      </c>
      <c r="K24" s="204"/>
      <c r="L24" s="201"/>
    </row>
    <row r="25" spans="1:12" ht="38.25">
      <c r="A25" s="153">
        <v>46308</v>
      </c>
      <c r="B25" s="158" t="s">
        <v>86</v>
      </c>
      <c r="C25" s="202" t="s">
        <v>488</v>
      </c>
      <c r="D25" s="202" t="s">
        <v>465</v>
      </c>
      <c r="E25" s="202">
        <v>18673</v>
      </c>
      <c r="F25" s="203" t="s">
        <v>492</v>
      </c>
      <c r="G25" s="112"/>
      <c r="H25" s="202"/>
      <c r="I25" s="158" t="s">
        <v>76</v>
      </c>
      <c r="J25" s="158" t="s">
        <v>76</v>
      </c>
      <c r="K25" s="204"/>
      <c r="L25" s="201"/>
    </row>
    <row r="26" spans="1:12" ht="12.75">
      <c r="A26" s="153">
        <v>46308</v>
      </c>
      <c r="B26" s="158" t="s">
        <v>86</v>
      </c>
      <c r="C26" s="202" t="s">
        <v>488</v>
      </c>
      <c r="D26" s="202" t="s">
        <v>465</v>
      </c>
      <c r="E26" s="202">
        <v>18674</v>
      </c>
      <c r="F26" s="203" t="s">
        <v>493</v>
      </c>
      <c r="G26" s="112"/>
      <c r="H26" s="202"/>
      <c r="I26" s="158" t="s">
        <v>76</v>
      </c>
      <c r="J26" s="158" t="s">
        <v>76</v>
      </c>
      <c r="K26" s="204"/>
      <c r="L26" s="201"/>
    </row>
    <row r="27" spans="1:12" ht="12.75">
      <c r="A27" s="153">
        <v>46308</v>
      </c>
      <c r="B27" s="158" t="s">
        <v>86</v>
      </c>
      <c r="C27" s="202" t="s">
        <v>470</v>
      </c>
      <c r="D27" s="202" t="s">
        <v>467</v>
      </c>
      <c r="E27" s="202">
        <v>18679</v>
      </c>
      <c r="F27" s="203" t="s">
        <v>494</v>
      </c>
      <c r="G27" s="112"/>
      <c r="H27" s="202"/>
      <c r="I27" s="158" t="s">
        <v>76</v>
      </c>
      <c r="J27" s="158" t="s">
        <v>76</v>
      </c>
      <c r="K27" s="158"/>
      <c r="L27" s="201"/>
    </row>
    <row r="28" spans="1:12" ht="12.75">
      <c r="A28" s="153">
        <v>46308</v>
      </c>
      <c r="B28" s="158" t="s">
        <v>86</v>
      </c>
      <c r="C28" s="202" t="s">
        <v>470</v>
      </c>
      <c r="D28" s="202" t="s">
        <v>467</v>
      </c>
      <c r="E28" s="202">
        <v>18680</v>
      </c>
      <c r="F28" s="203" t="s">
        <v>495</v>
      </c>
      <c r="G28" s="112"/>
      <c r="H28" s="202"/>
      <c r="I28" s="158" t="s">
        <v>76</v>
      </c>
      <c r="J28" s="158" t="s">
        <v>76</v>
      </c>
      <c r="K28" s="158"/>
      <c r="L28" s="201"/>
    </row>
    <row r="29" spans="1:12" ht="12.75">
      <c r="A29" s="153">
        <v>46308</v>
      </c>
      <c r="B29" s="158" t="s">
        <v>86</v>
      </c>
      <c r="C29" s="202" t="s">
        <v>470</v>
      </c>
      <c r="D29" s="202" t="s">
        <v>467</v>
      </c>
      <c r="E29" s="202">
        <v>18681</v>
      </c>
      <c r="F29" s="203" t="s">
        <v>496</v>
      </c>
      <c r="G29" s="112"/>
      <c r="H29" s="202"/>
      <c r="I29" s="158" t="s">
        <v>76</v>
      </c>
      <c r="J29" s="158" t="s">
        <v>76</v>
      </c>
      <c r="K29" s="158"/>
      <c r="L29" s="201"/>
    </row>
    <row r="30" spans="1:12" ht="12.75">
      <c r="A30" s="205">
        <v>46308</v>
      </c>
      <c r="B30" s="158" t="s">
        <v>52</v>
      </c>
      <c r="C30" s="202" t="s">
        <v>29</v>
      </c>
      <c r="D30" s="202" t="s">
        <v>465</v>
      </c>
      <c r="E30" s="202">
        <v>18656</v>
      </c>
      <c r="F30" s="206" t="s">
        <v>497</v>
      </c>
      <c r="G30" s="112"/>
      <c r="H30" s="202" t="s">
        <v>55</v>
      </c>
      <c r="I30" s="207" t="s">
        <v>34</v>
      </c>
      <c r="J30" s="207" t="s">
        <v>34</v>
      </c>
      <c r="K30" s="204" t="s">
        <v>498</v>
      </c>
      <c r="L30" s="201"/>
    </row>
    <row r="31" spans="1:12" ht="25.5">
      <c r="A31" s="205">
        <v>46308</v>
      </c>
      <c r="B31" s="158" t="s">
        <v>52</v>
      </c>
      <c r="C31" s="202" t="s">
        <v>29</v>
      </c>
      <c r="D31" s="202" t="s">
        <v>465</v>
      </c>
      <c r="E31" s="202">
        <v>18658</v>
      </c>
      <c r="F31" s="206" t="s">
        <v>499</v>
      </c>
      <c r="G31" s="112"/>
      <c r="H31" s="202" t="s">
        <v>55</v>
      </c>
      <c r="I31" s="207" t="s">
        <v>34</v>
      </c>
      <c r="J31" s="207" t="s">
        <v>76</v>
      </c>
      <c r="K31" s="204" t="s">
        <v>500</v>
      </c>
      <c r="L31" s="201"/>
    </row>
    <row r="32" spans="1:12" ht="12.75">
      <c r="A32" s="205">
        <v>46308</v>
      </c>
      <c r="B32" s="158" t="s">
        <v>52</v>
      </c>
      <c r="C32" s="202" t="s">
        <v>29</v>
      </c>
      <c r="D32" s="202" t="s">
        <v>465</v>
      </c>
      <c r="E32" s="202">
        <v>18649</v>
      </c>
      <c r="F32" s="206" t="s">
        <v>501</v>
      </c>
      <c r="G32" s="112"/>
      <c r="H32" s="202" t="s">
        <v>55</v>
      </c>
      <c r="I32" s="207" t="s">
        <v>34</v>
      </c>
      <c r="J32" s="207" t="s">
        <v>76</v>
      </c>
      <c r="K32" s="204" t="s">
        <v>502</v>
      </c>
      <c r="L32" s="201"/>
    </row>
    <row r="33" spans="1:12" ht="12.75">
      <c r="A33" s="205">
        <v>46308</v>
      </c>
      <c r="B33" s="158" t="s">
        <v>52</v>
      </c>
      <c r="C33" s="202" t="s">
        <v>29</v>
      </c>
      <c r="D33" s="202" t="s">
        <v>465</v>
      </c>
      <c r="E33" s="202">
        <v>18643</v>
      </c>
      <c r="F33" s="206" t="s">
        <v>503</v>
      </c>
      <c r="G33" s="112"/>
      <c r="H33" s="202" t="s">
        <v>55</v>
      </c>
      <c r="I33" s="207" t="s">
        <v>34</v>
      </c>
      <c r="J33" s="207" t="s">
        <v>76</v>
      </c>
      <c r="K33" s="204" t="s">
        <v>504</v>
      </c>
      <c r="L33" s="201"/>
    </row>
    <row r="34" spans="1:12" ht="12.75">
      <c r="A34" s="205">
        <v>46308</v>
      </c>
      <c r="B34" s="158" t="s">
        <v>52</v>
      </c>
      <c r="C34" s="202" t="s">
        <v>29</v>
      </c>
      <c r="D34" s="202" t="s">
        <v>465</v>
      </c>
      <c r="E34" s="202">
        <v>18644</v>
      </c>
      <c r="F34" s="206" t="s">
        <v>505</v>
      </c>
      <c r="G34" s="112"/>
      <c r="H34" s="202" t="s">
        <v>55</v>
      </c>
      <c r="I34" s="207" t="s">
        <v>34</v>
      </c>
      <c r="J34" s="207" t="s">
        <v>76</v>
      </c>
      <c r="K34" s="204" t="s">
        <v>506</v>
      </c>
      <c r="L34" s="201"/>
    </row>
    <row r="35" spans="1:12" ht="12.75">
      <c r="A35" s="205">
        <v>46308</v>
      </c>
      <c r="B35" s="158" t="s">
        <v>52</v>
      </c>
      <c r="C35" s="202" t="s">
        <v>29</v>
      </c>
      <c r="D35" s="202" t="s">
        <v>465</v>
      </c>
      <c r="E35" s="202">
        <v>18646</v>
      </c>
      <c r="F35" s="206" t="s">
        <v>507</v>
      </c>
      <c r="G35" s="112"/>
      <c r="H35" s="202" t="s">
        <v>55</v>
      </c>
      <c r="I35" s="207" t="s">
        <v>34</v>
      </c>
      <c r="J35" s="207" t="s">
        <v>76</v>
      </c>
      <c r="K35" s="204" t="s">
        <v>508</v>
      </c>
      <c r="L35" s="201"/>
    </row>
    <row r="36" spans="1:12" ht="12.75">
      <c r="A36" s="205">
        <v>46308</v>
      </c>
      <c r="B36" s="158" t="s">
        <v>108</v>
      </c>
      <c r="C36" s="202" t="s">
        <v>156</v>
      </c>
      <c r="D36" s="202" t="s">
        <v>467</v>
      </c>
      <c r="E36" s="202">
        <v>19107</v>
      </c>
      <c r="F36" s="206" t="s">
        <v>509</v>
      </c>
      <c r="G36" s="112"/>
      <c r="H36" s="202" t="s">
        <v>55</v>
      </c>
      <c r="I36" s="207" t="s">
        <v>34</v>
      </c>
      <c r="J36" s="207" t="s">
        <v>76</v>
      </c>
      <c r="K36" s="204" t="s">
        <v>510</v>
      </c>
      <c r="L36" s="201"/>
    </row>
    <row r="37" spans="1:12" ht="12.75">
      <c r="A37" s="205">
        <v>46308</v>
      </c>
      <c r="B37" s="158" t="s">
        <v>108</v>
      </c>
      <c r="C37" s="202" t="s">
        <v>382</v>
      </c>
      <c r="D37" s="202" t="s">
        <v>465</v>
      </c>
      <c r="E37" s="202">
        <v>19254</v>
      </c>
      <c r="F37" s="206" t="s">
        <v>511</v>
      </c>
      <c r="G37" s="112"/>
      <c r="H37" s="202" t="s">
        <v>388</v>
      </c>
      <c r="I37" s="207" t="s">
        <v>34</v>
      </c>
      <c r="J37" s="207" t="s">
        <v>76</v>
      </c>
      <c r="K37" s="204" t="s">
        <v>512</v>
      </c>
      <c r="L37" s="201"/>
    </row>
    <row r="38" spans="1:12" ht="12.75">
      <c r="A38" s="205">
        <v>46308</v>
      </c>
      <c r="B38" s="158" t="s">
        <v>108</v>
      </c>
      <c r="C38" s="202" t="s">
        <v>382</v>
      </c>
      <c r="D38" s="202" t="s">
        <v>465</v>
      </c>
      <c r="E38" s="202">
        <v>19253</v>
      </c>
      <c r="F38" s="206" t="s">
        <v>513</v>
      </c>
      <c r="G38" s="112"/>
      <c r="H38" s="202" t="s">
        <v>388</v>
      </c>
      <c r="I38" s="207" t="s">
        <v>34</v>
      </c>
      <c r="J38" s="207" t="s">
        <v>76</v>
      </c>
      <c r="K38" s="204" t="s">
        <v>514</v>
      </c>
      <c r="L38" s="201"/>
    </row>
    <row r="39" spans="1:12" ht="12.75">
      <c r="A39" s="205">
        <v>46308</v>
      </c>
      <c r="B39" s="158" t="s">
        <v>108</v>
      </c>
      <c r="C39" s="202" t="s">
        <v>382</v>
      </c>
      <c r="D39" s="202" t="s">
        <v>465</v>
      </c>
      <c r="E39" s="202">
        <v>19251</v>
      </c>
      <c r="F39" s="206" t="s">
        <v>515</v>
      </c>
      <c r="G39" s="112"/>
      <c r="H39" s="202" t="s">
        <v>388</v>
      </c>
      <c r="I39" s="207" t="s">
        <v>34</v>
      </c>
      <c r="J39" s="207" t="s">
        <v>76</v>
      </c>
      <c r="K39" s="204" t="s">
        <v>516</v>
      </c>
      <c r="L39" s="201"/>
    </row>
    <row r="40" spans="1:12" ht="12.75">
      <c r="A40" s="205">
        <v>46308</v>
      </c>
      <c r="B40" s="158" t="s">
        <v>108</v>
      </c>
      <c r="C40" s="202" t="s">
        <v>156</v>
      </c>
      <c r="D40" s="202" t="s">
        <v>467</v>
      </c>
      <c r="E40" s="202">
        <v>19084</v>
      </c>
      <c r="F40" s="206" t="s">
        <v>517</v>
      </c>
      <c r="G40" s="112"/>
      <c r="H40" s="202" t="s">
        <v>55</v>
      </c>
      <c r="I40" s="207" t="s">
        <v>34</v>
      </c>
      <c r="J40" s="207" t="s">
        <v>76</v>
      </c>
      <c r="K40" s="204" t="s">
        <v>518</v>
      </c>
      <c r="L40" s="201"/>
    </row>
    <row r="41" spans="1:12" ht="12.75">
      <c r="A41" s="205">
        <v>46308</v>
      </c>
      <c r="B41" s="158" t="s">
        <v>108</v>
      </c>
      <c r="C41" s="202" t="s">
        <v>156</v>
      </c>
      <c r="D41" s="202" t="s">
        <v>467</v>
      </c>
      <c r="E41" s="202">
        <v>19085</v>
      </c>
      <c r="F41" s="206" t="s">
        <v>519</v>
      </c>
      <c r="G41" s="112"/>
      <c r="H41" s="202" t="s">
        <v>55</v>
      </c>
      <c r="I41" s="207" t="s">
        <v>34</v>
      </c>
      <c r="J41" s="207" t="s">
        <v>76</v>
      </c>
      <c r="K41" s="204" t="s">
        <v>520</v>
      </c>
      <c r="L41" s="201"/>
    </row>
    <row r="42" spans="1:12" ht="12.75">
      <c r="A42" s="205">
        <v>46308</v>
      </c>
      <c r="B42" s="158" t="s">
        <v>108</v>
      </c>
      <c r="C42" s="202" t="s">
        <v>410</v>
      </c>
      <c r="D42" s="202" t="s">
        <v>465</v>
      </c>
      <c r="E42" s="202">
        <v>18926</v>
      </c>
      <c r="F42" s="206" t="s">
        <v>521</v>
      </c>
      <c r="G42" s="112"/>
      <c r="H42" s="202" t="s">
        <v>94</v>
      </c>
      <c r="I42" s="207" t="s">
        <v>34</v>
      </c>
      <c r="J42" s="207" t="s">
        <v>34</v>
      </c>
      <c r="K42" s="204" t="s">
        <v>522</v>
      </c>
      <c r="L42" s="201"/>
    </row>
    <row r="43" spans="1:12" ht="25.5">
      <c r="A43" s="205">
        <v>46308</v>
      </c>
      <c r="B43" s="158" t="s">
        <v>108</v>
      </c>
      <c r="C43" s="202" t="s">
        <v>410</v>
      </c>
      <c r="D43" s="202" t="s">
        <v>465</v>
      </c>
      <c r="E43" s="202">
        <v>18927</v>
      </c>
      <c r="F43" s="206" t="s">
        <v>523</v>
      </c>
      <c r="G43" s="112"/>
      <c r="H43" s="202" t="s">
        <v>94</v>
      </c>
      <c r="I43" s="207" t="s">
        <v>34</v>
      </c>
      <c r="J43" s="207" t="s">
        <v>34</v>
      </c>
      <c r="K43" s="204" t="s">
        <v>524</v>
      </c>
      <c r="L43" s="201"/>
    </row>
    <row r="44" spans="1:12" ht="12.75">
      <c r="A44" s="205">
        <v>46308</v>
      </c>
      <c r="B44" s="158" t="s">
        <v>108</v>
      </c>
      <c r="C44" s="202" t="s">
        <v>410</v>
      </c>
      <c r="D44" s="202" t="s">
        <v>465</v>
      </c>
      <c r="E44" s="202">
        <v>18929</v>
      </c>
      <c r="F44" s="206" t="s">
        <v>525</v>
      </c>
      <c r="G44" s="112"/>
      <c r="H44" s="202" t="s">
        <v>94</v>
      </c>
      <c r="I44" s="207" t="s">
        <v>34</v>
      </c>
      <c r="J44" s="207" t="s">
        <v>34</v>
      </c>
      <c r="K44" s="204" t="s">
        <v>526</v>
      </c>
      <c r="L44" s="201"/>
    </row>
    <row r="45" spans="1:12" ht="12.75">
      <c r="A45" s="205">
        <v>46308</v>
      </c>
      <c r="B45" s="158" t="s">
        <v>108</v>
      </c>
      <c r="C45" s="202" t="s">
        <v>527</v>
      </c>
      <c r="D45" s="202" t="s">
        <v>467</v>
      </c>
      <c r="E45" s="202">
        <v>19041</v>
      </c>
      <c r="F45" s="206" t="s">
        <v>528</v>
      </c>
      <c r="G45" s="112"/>
      <c r="H45" s="202" t="s">
        <v>111</v>
      </c>
      <c r="I45" s="207" t="s">
        <v>34</v>
      </c>
      <c r="J45" s="207" t="s">
        <v>34</v>
      </c>
      <c r="K45" s="204" t="s">
        <v>529</v>
      </c>
      <c r="L45" s="201"/>
    </row>
    <row r="46" spans="1:12" ht="12.75">
      <c r="A46" s="205">
        <v>46308</v>
      </c>
      <c r="B46" s="158" t="s">
        <v>108</v>
      </c>
      <c r="C46" s="202" t="s">
        <v>527</v>
      </c>
      <c r="D46" s="202" t="s">
        <v>467</v>
      </c>
      <c r="E46" s="202">
        <v>19042</v>
      </c>
      <c r="F46" s="206" t="s">
        <v>530</v>
      </c>
      <c r="G46" s="112"/>
      <c r="H46" s="202" t="s">
        <v>111</v>
      </c>
      <c r="I46" s="207" t="s">
        <v>34</v>
      </c>
      <c r="J46" s="207" t="s">
        <v>34</v>
      </c>
      <c r="K46" s="204" t="s">
        <v>531</v>
      </c>
      <c r="L46" s="201"/>
    </row>
    <row r="47" spans="1:12" ht="12.75">
      <c r="A47" s="205">
        <v>46308</v>
      </c>
      <c r="B47" s="158" t="s">
        <v>108</v>
      </c>
      <c r="C47" s="202" t="s">
        <v>527</v>
      </c>
      <c r="D47" s="202" t="s">
        <v>467</v>
      </c>
      <c r="E47" s="202">
        <v>19059</v>
      </c>
      <c r="F47" s="206" t="s">
        <v>532</v>
      </c>
      <c r="G47" s="112"/>
      <c r="H47" s="202" t="s">
        <v>111</v>
      </c>
      <c r="I47" s="207" t="s">
        <v>34</v>
      </c>
      <c r="J47" s="207" t="s">
        <v>34</v>
      </c>
      <c r="K47" s="204" t="s">
        <v>533</v>
      </c>
      <c r="L47" s="201"/>
    </row>
    <row r="48" spans="1:12" ht="12.75">
      <c r="A48" s="205">
        <v>46308</v>
      </c>
      <c r="B48" s="158" t="s">
        <v>108</v>
      </c>
      <c r="C48" s="202" t="s">
        <v>527</v>
      </c>
      <c r="D48" s="202" t="s">
        <v>467</v>
      </c>
      <c r="E48" s="202">
        <v>19060</v>
      </c>
      <c r="F48" s="206" t="s">
        <v>534</v>
      </c>
      <c r="G48" s="112"/>
      <c r="H48" s="202" t="s">
        <v>111</v>
      </c>
      <c r="I48" s="207" t="s">
        <v>34</v>
      </c>
      <c r="J48" s="207" t="s">
        <v>34</v>
      </c>
      <c r="K48" s="204" t="s">
        <v>535</v>
      </c>
      <c r="L48" s="201"/>
    </row>
    <row r="49" spans="1:12" ht="12.75">
      <c r="A49" s="205">
        <v>46308</v>
      </c>
      <c r="B49" s="158" t="s">
        <v>108</v>
      </c>
      <c r="C49" s="202" t="s">
        <v>410</v>
      </c>
      <c r="D49" s="202" t="s">
        <v>465</v>
      </c>
      <c r="E49" s="202">
        <v>18925</v>
      </c>
      <c r="F49" s="206" t="s">
        <v>536</v>
      </c>
      <c r="G49" s="112"/>
      <c r="H49" s="202" t="s">
        <v>94</v>
      </c>
      <c r="I49" s="207" t="s">
        <v>34</v>
      </c>
      <c r="J49" s="207" t="s">
        <v>34</v>
      </c>
      <c r="K49" s="204" t="s">
        <v>537</v>
      </c>
      <c r="L49" s="201"/>
    </row>
    <row r="50" spans="1:12" ht="12.75">
      <c r="A50" s="205">
        <v>46308</v>
      </c>
      <c r="B50" s="158" t="s">
        <v>108</v>
      </c>
      <c r="C50" s="202" t="s">
        <v>156</v>
      </c>
      <c r="D50" s="202" t="s">
        <v>467</v>
      </c>
      <c r="E50" s="202">
        <v>19108</v>
      </c>
      <c r="F50" s="206" t="s">
        <v>538</v>
      </c>
      <c r="G50" s="112"/>
      <c r="H50" s="202" t="s">
        <v>55</v>
      </c>
      <c r="I50" s="207" t="s">
        <v>34</v>
      </c>
      <c r="J50" s="207" t="s">
        <v>34</v>
      </c>
      <c r="K50" s="204" t="s">
        <v>539</v>
      </c>
      <c r="L50" s="201"/>
    </row>
    <row r="51" spans="1:12" ht="12.75">
      <c r="A51" s="205">
        <v>46308</v>
      </c>
      <c r="B51" s="158" t="s">
        <v>108</v>
      </c>
      <c r="C51" s="202" t="s">
        <v>382</v>
      </c>
      <c r="D51" s="202" t="s">
        <v>465</v>
      </c>
      <c r="E51" s="202">
        <v>19252</v>
      </c>
      <c r="F51" s="206" t="s">
        <v>540</v>
      </c>
      <c r="G51" s="112"/>
      <c r="H51" s="202" t="s">
        <v>388</v>
      </c>
      <c r="I51" s="207" t="s">
        <v>34</v>
      </c>
      <c r="J51" s="207" t="s">
        <v>34</v>
      </c>
      <c r="K51" s="204" t="s">
        <v>541</v>
      </c>
      <c r="L51" s="201"/>
    </row>
    <row r="52" spans="1:12" ht="12.75">
      <c r="A52" s="205">
        <v>46308</v>
      </c>
      <c r="B52" s="158" t="s">
        <v>108</v>
      </c>
      <c r="C52" s="202" t="s">
        <v>410</v>
      </c>
      <c r="D52" s="202" t="s">
        <v>465</v>
      </c>
      <c r="E52" s="202">
        <v>18930</v>
      </c>
      <c r="F52" s="206" t="s">
        <v>542</v>
      </c>
      <c r="G52" s="112"/>
      <c r="H52" s="202"/>
      <c r="I52" s="207" t="s">
        <v>76</v>
      </c>
      <c r="J52" s="207" t="s">
        <v>76</v>
      </c>
      <c r="K52" s="204"/>
      <c r="L52" s="201"/>
    </row>
  </sheetData>
  <autoFilter ref="A2:L52"/>
  <customSheetViews>
    <customSheetView guid="{F83E585A-69F9-47AC-86EE-2BDA3B9CB35E}" filter="1" showAutoFilter="1">
      <pageMargins left="0.7" right="0.7" top="0.75" bottom="0.75" header="0.3" footer="0.3"/>
      <autoFilter ref="A1:K2"/>
    </customSheetView>
    <customSheetView guid="{A6D78304-069F-43D9-89AC-C0406D0D2F21}" filter="1" showAutoFilter="1">
      <pageMargins left="0.7" right="0.7" top="0.75" bottom="0.75" header="0.3" footer="0.3"/>
      <autoFilter ref="A1:K2"/>
    </customSheetView>
    <customSheetView guid="{7364E64E-FF78-49A8-821B-ED95AB03628D}" filter="1" showAutoFilter="1">
      <pageMargins left="0.7" right="0.7" top="0.75" bottom="0.75" header="0.3" footer="0.3"/>
      <autoFilter ref="A1:B2"/>
    </customSheetView>
    <customSheetView guid="{801E430E-9E75-4FEE-8878-7517E5659F26}" filter="1" showAutoFilter="1">
      <pageMargins left="0.7" right="0.7" top="0.75" bottom="0.75" header="0.3" footer="0.3"/>
      <autoFilter ref="A2:K2"/>
    </customSheetView>
  </customSheetViews>
  <mergeCells count="2">
    <mergeCell ref="A1:B1"/>
    <mergeCell ref="D1:J1"/>
  </mergeCells>
  <conditionalFormatting sqref="A3:A29">
    <cfRule type="expression" dxfId="273" priority="1">
      <formula>$Q3="CLOSED"</formula>
    </cfRule>
  </conditionalFormatting>
  <conditionalFormatting sqref="A3:A29">
    <cfRule type="expression" dxfId="272" priority="2">
      <formula>$Q3="OPEN"</formula>
    </cfRule>
  </conditionalFormatting>
  <conditionalFormatting sqref="A3:A29">
    <cfRule type="expression" dxfId="271" priority="3">
      <formula>$Q3="OPEN"</formula>
    </cfRule>
  </conditionalFormatting>
  <conditionalFormatting sqref="A3:A29">
    <cfRule type="expression" dxfId="270" priority="4">
      <formula>$Q3="CLOSED"</formula>
    </cfRule>
  </conditionalFormatting>
  <conditionalFormatting sqref="A3:A29">
    <cfRule type="expression" dxfId="269" priority="5">
      <formula>$Q3="OPEN"</formula>
    </cfRule>
  </conditionalFormatting>
  <conditionalFormatting sqref="A3:A29">
    <cfRule type="expression" dxfId="268" priority="6">
      <formula>$Q3="CLOSED"</formula>
    </cfRule>
  </conditionalFormatting>
  <conditionalFormatting sqref="A3:A29">
    <cfRule type="expression" dxfId="267" priority="7">
      <formula>$U3="OPEN"</formula>
    </cfRule>
  </conditionalFormatting>
  <conditionalFormatting sqref="A3:A29">
    <cfRule type="expression" dxfId="266" priority="8">
      <formula>$U3="CLOSED"</formula>
    </cfRule>
  </conditionalFormatting>
  <conditionalFormatting sqref="A3:A29">
    <cfRule type="expression" dxfId="265" priority="9">
      <formula>$T3="CLOSED"</formula>
    </cfRule>
  </conditionalFormatting>
  <conditionalFormatting sqref="A3:A29">
    <cfRule type="expression" dxfId="264" priority="10">
      <formula>$T3="OPEN"</formula>
    </cfRule>
  </conditionalFormatting>
  <conditionalFormatting sqref="A3:A29">
    <cfRule type="expression" dxfId="263" priority="11">
      <formula>$U3="OPEN"</formula>
    </cfRule>
  </conditionalFormatting>
  <conditionalFormatting sqref="A3:A29">
    <cfRule type="expression" dxfId="262" priority="12">
      <formula>$U3="CLOSED"</formula>
    </cfRule>
  </conditionalFormatting>
  <conditionalFormatting sqref="A3:A29">
    <cfRule type="expression" dxfId="261" priority="13">
      <formula>$U3="OPEN"</formula>
    </cfRule>
  </conditionalFormatting>
  <conditionalFormatting sqref="A3:A29">
    <cfRule type="expression" dxfId="260" priority="14">
      <formula>$U3="CLOSED"</formula>
    </cfRule>
  </conditionalFormatting>
  <conditionalFormatting sqref="A3:A29">
    <cfRule type="expression" dxfId="259" priority="15">
      <formula>$M3="CLOSED"</formula>
    </cfRule>
  </conditionalFormatting>
  <conditionalFormatting sqref="A3:A29">
    <cfRule type="expression" dxfId="258" priority="16">
      <formula>$M3="OPEN"</formula>
    </cfRule>
  </conditionalFormatting>
  <conditionalFormatting sqref="A3:A29">
    <cfRule type="expression" dxfId="257" priority="17">
      <formula>$M3="CLOSED"</formula>
    </cfRule>
  </conditionalFormatting>
  <conditionalFormatting sqref="A3:A29">
    <cfRule type="expression" dxfId="256" priority="18">
      <formula>$M3="OPEN"</formula>
    </cfRule>
  </conditionalFormatting>
  <conditionalFormatting sqref="A3:A29">
    <cfRule type="expression" dxfId="255" priority="19">
      <formula>$T3="OPEN"</formula>
    </cfRule>
  </conditionalFormatting>
  <conditionalFormatting sqref="A3:A29">
    <cfRule type="expression" dxfId="254" priority="20">
      <formula>$T3="CLOSED"</formula>
    </cfRule>
  </conditionalFormatting>
  <conditionalFormatting sqref="A3:A29">
    <cfRule type="expression" dxfId="253" priority="21">
      <formula>$S3="CLOSED"</formula>
    </cfRule>
  </conditionalFormatting>
  <conditionalFormatting sqref="A3:A29">
    <cfRule type="expression" dxfId="252" priority="22">
      <formula>$S3="OPEN"</formula>
    </cfRule>
  </conditionalFormatting>
  <conditionalFormatting sqref="A3:A29">
    <cfRule type="expression" dxfId="251" priority="23">
      <formula>$T3="OPEN"</formula>
    </cfRule>
  </conditionalFormatting>
  <conditionalFormatting sqref="A3:A29">
    <cfRule type="expression" dxfId="250" priority="24">
      <formula>$T3="CLOSED"</formula>
    </cfRule>
  </conditionalFormatting>
  <conditionalFormatting sqref="A3:A29">
    <cfRule type="expression" dxfId="249" priority="25">
      <formula>$T3="OPEN"</formula>
    </cfRule>
  </conditionalFormatting>
  <conditionalFormatting sqref="A3:A29">
    <cfRule type="expression" dxfId="248" priority="26">
      <formula>$T3="CLOSED"</formula>
    </cfRule>
  </conditionalFormatting>
  <conditionalFormatting sqref="A3:A29">
    <cfRule type="expression" dxfId="247" priority="27">
      <formula>$S3="OPEN"</formula>
    </cfRule>
  </conditionalFormatting>
  <conditionalFormatting sqref="A3:A29">
    <cfRule type="expression" dxfId="246" priority="28">
      <formula>$S3="CLOSED"</formula>
    </cfRule>
  </conditionalFormatting>
  <conditionalFormatting sqref="A3:A29">
    <cfRule type="expression" dxfId="245" priority="29">
      <formula>$R3="CLOSED"</formula>
    </cfRule>
  </conditionalFormatting>
  <conditionalFormatting sqref="A3:A29">
    <cfRule type="expression" dxfId="244" priority="30">
      <formula>$R3="OPEN"</formula>
    </cfRule>
  </conditionalFormatting>
  <conditionalFormatting sqref="A3:A29">
    <cfRule type="expression" dxfId="243" priority="31">
      <formula>$S3="OPEN"</formula>
    </cfRule>
  </conditionalFormatting>
  <conditionalFormatting sqref="A3:A29">
    <cfRule type="expression" dxfId="242" priority="32">
      <formula>$S3="CLOSED"</formula>
    </cfRule>
  </conditionalFormatting>
  <conditionalFormatting sqref="A3:A29">
    <cfRule type="expression" dxfId="241" priority="33">
      <formula>$S3="OPEN"</formula>
    </cfRule>
  </conditionalFormatting>
  <conditionalFormatting sqref="A3:A29">
    <cfRule type="expression" dxfId="240" priority="34">
      <formula>$S3="CLOSED"</formula>
    </cfRule>
  </conditionalFormatting>
  <conditionalFormatting sqref="A3:A29">
    <cfRule type="expression" dxfId="239" priority="35">
      <formula>$R3="OPEN"</formula>
    </cfRule>
  </conditionalFormatting>
  <conditionalFormatting sqref="A3:A29">
    <cfRule type="expression" dxfId="238" priority="36">
      <formula>$R3="CLOSED"</formula>
    </cfRule>
  </conditionalFormatting>
  <conditionalFormatting sqref="A3:A29">
    <cfRule type="expression" dxfId="237" priority="37">
      <formula>$R3="OPEN"</formula>
    </cfRule>
  </conditionalFormatting>
  <conditionalFormatting sqref="A3:A29">
    <cfRule type="expression" dxfId="236" priority="38">
      <formula>$R3="CLOSED"</formula>
    </cfRule>
  </conditionalFormatting>
  <conditionalFormatting sqref="A3:A29">
    <cfRule type="expression" dxfId="235" priority="39">
      <formula>$J3="OPEN"</formula>
    </cfRule>
  </conditionalFormatting>
  <conditionalFormatting sqref="A3:A29">
    <cfRule type="expression" dxfId="234" priority="40">
      <formula>$P3="CLOSED"</formula>
    </cfRule>
  </conditionalFormatting>
  <conditionalFormatting sqref="A3:A29">
    <cfRule type="expression" dxfId="233" priority="41">
      <formula>$P3="OPEN"</formula>
    </cfRule>
  </conditionalFormatting>
  <conditionalFormatting sqref="A3:A29">
    <cfRule type="expression" dxfId="232" priority="42">
      <formula>$O3="OPEN"</formula>
    </cfRule>
  </conditionalFormatting>
  <conditionalFormatting sqref="A3:A29">
    <cfRule type="expression" dxfId="231" priority="43">
      <formula>$O3="CLOSED"</formula>
    </cfRule>
  </conditionalFormatting>
  <conditionalFormatting sqref="A3:A29">
    <cfRule type="expression" dxfId="230" priority="44">
      <formula>$N3="CLOSED"</formula>
    </cfRule>
  </conditionalFormatting>
  <conditionalFormatting sqref="A3:A29">
    <cfRule type="expression" dxfId="229" priority="45">
      <formula>$N3="OPEN"</formula>
    </cfRule>
  </conditionalFormatting>
  <conditionalFormatting sqref="A3:A29">
    <cfRule type="expression" dxfId="228" priority="46">
      <formula>$O3="OPEN"</formula>
    </cfRule>
  </conditionalFormatting>
  <conditionalFormatting sqref="A3:A29">
    <cfRule type="expression" dxfId="227" priority="47">
      <formula>$O3="CLOSED"</formula>
    </cfRule>
  </conditionalFormatting>
  <conditionalFormatting sqref="A3:A29">
    <cfRule type="expression" dxfId="226" priority="48">
      <formula>$P3="OPEN"</formula>
    </cfRule>
  </conditionalFormatting>
  <conditionalFormatting sqref="A3:A29">
    <cfRule type="expression" dxfId="225" priority="49">
      <formula>$P3="CLOSED"</formula>
    </cfRule>
  </conditionalFormatting>
  <conditionalFormatting sqref="A3:A29">
    <cfRule type="expression" dxfId="224" priority="50">
      <formula>$P3="OPEN"</formula>
    </cfRule>
  </conditionalFormatting>
  <conditionalFormatting sqref="A3:A29">
    <cfRule type="expression" dxfId="223" priority="51">
      <formula>$P3="CLOSED"</formula>
    </cfRule>
  </conditionalFormatting>
  <conditionalFormatting sqref="A3:A29">
    <cfRule type="expression" dxfId="222" priority="52">
      <formula>$O3="CLOSED"</formula>
    </cfRule>
  </conditionalFormatting>
  <conditionalFormatting sqref="A3:A29">
    <cfRule type="expression" dxfId="221" priority="53">
      <formula>$O3="OPEN"</formula>
    </cfRule>
  </conditionalFormatting>
  <conditionalFormatting sqref="A1 A3:A29">
    <cfRule type="expression" dxfId="220" priority="54">
      <formula>#REF!="OPEN"</formula>
    </cfRule>
  </conditionalFormatting>
  <conditionalFormatting sqref="A1 A3:A29">
    <cfRule type="expression" dxfId="219" priority="55">
      <formula>$N1="OPEN"</formula>
    </cfRule>
  </conditionalFormatting>
  <conditionalFormatting sqref="A1 A3:A29">
    <cfRule type="expression" dxfId="218" priority="56">
      <formula>$N1="CLOSED"</formula>
    </cfRule>
  </conditionalFormatting>
  <conditionalFormatting sqref="A1 A3:A29">
    <cfRule type="expression" dxfId="217" priority="57">
      <formula>$M1="CLOSED"</formula>
    </cfRule>
  </conditionalFormatting>
  <conditionalFormatting sqref="A1 A3:A29">
    <cfRule type="expression" dxfId="216" priority="58">
      <formula>$M1="OPEN"</formula>
    </cfRule>
  </conditionalFormatting>
  <conditionalFormatting sqref="A1 A3:A29">
    <cfRule type="expression" dxfId="215" priority="59">
      <formula>$N1="OPEN"</formula>
    </cfRule>
  </conditionalFormatting>
  <conditionalFormatting sqref="A1 A3:A29">
    <cfRule type="expression" dxfId="214" priority="60">
      <formula>$N1="CLOSED"</formula>
    </cfRule>
  </conditionalFormatting>
  <conditionalFormatting sqref="A3:A29">
    <cfRule type="expression" dxfId="213" priority="61">
      <formula>$N3="OPEN"</formula>
    </cfRule>
  </conditionalFormatting>
  <conditionalFormatting sqref="A3:A29">
    <cfRule type="expression" dxfId="212" priority="62">
      <formula>$N3="CLOSED"</formula>
    </cfRule>
  </conditionalFormatting>
  <conditionalFormatting sqref="A1 A3:A29">
    <cfRule type="expression" dxfId="211" priority="63">
      <formula>#REF!="CLOSED"</formula>
    </cfRule>
  </conditionalFormatting>
  <conditionalFormatting sqref="A1 A3:A29">
    <cfRule type="expression" dxfId="210" priority="64">
      <formula>#REF!="OPEN"</formula>
    </cfRule>
  </conditionalFormatting>
  <conditionalFormatting sqref="A3:A29">
    <cfRule type="expression" dxfId="209" priority="65">
      <formula>#REF!="CLOSED"</formula>
    </cfRule>
  </conditionalFormatting>
  <conditionalFormatting sqref="A3:A29">
    <cfRule type="expression" dxfId="208" priority="66">
      <formula>#REF!="OPEN"</formula>
    </cfRule>
  </conditionalFormatting>
  <conditionalFormatting sqref="A1 A3:A29">
    <cfRule type="expression" dxfId="207" priority="67">
      <formula>$M1="OPEN"</formula>
    </cfRule>
  </conditionalFormatting>
  <conditionalFormatting sqref="A1 A3:A29">
    <cfRule type="expression" dxfId="206" priority="68">
      <formula>$M1="CLOSED"</formula>
    </cfRule>
  </conditionalFormatting>
  <conditionalFormatting sqref="A1 A3:A29">
    <cfRule type="expression" dxfId="205" priority="69">
      <formula>#REF!="CLOSED"</formula>
    </cfRule>
  </conditionalFormatting>
  <conditionalFormatting sqref="A1 A3:A29">
    <cfRule type="expression" dxfId="204" priority="70">
      <formula>#REF!="OPEN"</formula>
    </cfRule>
  </conditionalFormatting>
  <conditionalFormatting sqref="A1 A3:A29">
    <cfRule type="expression" dxfId="203" priority="71">
      <formula>$M1="OPEN"</formula>
    </cfRule>
  </conditionalFormatting>
  <conditionalFormatting sqref="A1 A3:A29">
    <cfRule type="expression" dxfId="202" priority="72">
      <formula>$M1="CLOSED"</formula>
    </cfRule>
  </conditionalFormatting>
  <conditionalFormatting sqref="A3:A29">
    <cfRule type="expression" dxfId="201" priority="73">
      <formula>$M3="OPEN"</formula>
    </cfRule>
  </conditionalFormatting>
  <conditionalFormatting sqref="A3:A29">
    <cfRule type="expression" dxfId="200" priority="74">
      <formula>$M3="CLOSED"</formula>
    </cfRule>
  </conditionalFormatting>
  <conditionalFormatting sqref="A1 A3:A29">
    <cfRule type="expression" dxfId="199" priority="75">
      <formula>$L1="CLOSED"</formula>
    </cfRule>
  </conditionalFormatting>
  <conditionalFormatting sqref="A1 A3:A29">
    <cfRule type="expression" dxfId="198" priority="76">
      <formula>$L1="OPEN"</formula>
    </cfRule>
  </conditionalFormatting>
  <conditionalFormatting sqref="A3:A29">
    <cfRule type="expression" dxfId="197" priority="77">
      <formula>$L3="CLOSED"</formula>
    </cfRule>
  </conditionalFormatting>
  <conditionalFormatting sqref="A3:A29">
    <cfRule type="expression" dxfId="196" priority="78">
      <formula>$L3="OPEN"</formula>
    </cfRule>
  </conditionalFormatting>
  <conditionalFormatting sqref="A1 A3:A29">
    <cfRule type="expression" dxfId="195" priority="79">
      <formula>#REF!="OPEN"</formula>
    </cfRule>
  </conditionalFormatting>
  <conditionalFormatting sqref="A1 A3:A29">
    <cfRule type="expression" dxfId="194" priority="80">
      <formula>#REF!="CLOSED"</formula>
    </cfRule>
  </conditionalFormatting>
  <conditionalFormatting sqref="A1 A3:A29">
    <cfRule type="expression" dxfId="193" priority="81">
      <formula>#REF!="CLOSED"</formula>
    </cfRule>
  </conditionalFormatting>
  <conditionalFormatting sqref="A1 A3:A29">
    <cfRule type="expression" dxfId="192" priority="82">
      <formula>#REF!="OPEN"</formula>
    </cfRule>
  </conditionalFormatting>
  <conditionalFormatting sqref="A1 A3:A29">
    <cfRule type="expression" dxfId="191" priority="83">
      <formula>#REF!="OPEN"</formula>
    </cfRule>
  </conditionalFormatting>
  <conditionalFormatting sqref="A1 A3:A29">
    <cfRule type="expression" dxfId="190" priority="84">
      <formula>#REF!="CLOSED"</formula>
    </cfRule>
  </conditionalFormatting>
  <conditionalFormatting sqref="A3:A29">
    <cfRule type="expression" dxfId="189" priority="85">
      <formula>#REF!="OPEN"</formula>
    </cfRule>
  </conditionalFormatting>
  <conditionalFormatting sqref="A3:A29">
    <cfRule type="expression" dxfId="188" priority="86">
      <formula>#REF!="CLOSED"</formula>
    </cfRule>
  </conditionalFormatting>
  <conditionalFormatting sqref="A1 A3:A29">
    <cfRule type="expression" dxfId="187" priority="87">
      <formula>$K1="CLOSED"</formula>
    </cfRule>
  </conditionalFormatting>
  <conditionalFormatting sqref="A1 A3:A29">
    <cfRule type="expression" dxfId="186" priority="88">
      <formula>$K1="OPEN"</formula>
    </cfRule>
  </conditionalFormatting>
  <conditionalFormatting sqref="A1 A3:A29">
    <cfRule type="expression" dxfId="185" priority="89">
      <formula>$K1="OPEN"</formula>
    </cfRule>
  </conditionalFormatting>
  <conditionalFormatting sqref="A1 A3:A29">
    <cfRule type="expression" dxfId="184" priority="90">
      <formula>$K1="CLOSED"</formula>
    </cfRule>
  </conditionalFormatting>
  <conditionalFormatting sqref="A3:A29">
    <cfRule type="expression" dxfId="183" priority="91">
      <formula>$K3="OPEN"</formula>
    </cfRule>
  </conditionalFormatting>
  <conditionalFormatting sqref="A3:A29">
    <cfRule type="expression" dxfId="182" priority="92">
      <formula>$K3="CLOSED"</formula>
    </cfRule>
  </conditionalFormatting>
  <conditionalFormatting sqref="A3:A29">
    <cfRule type="expression" dxfId="181" priority="93">
      <formula>$K3="OPEN"</formula>
    </cfRule>
  </conditionalFormatting>
  <conditionalFormatting sqref="A3:A29">
    <cfRule type="expression" dxfId="180" priority="94">
      <formula>$K3="CLOSED"</formula>
    </cfRule>
  </conditionalFormatting>
  <conditionalFormatting sqref="A1 A3:A29">
    <cfRule type="expression" dxfId="179" priority="95">
      <formula>$L1="CLOSED"</formula>
    </cfRule>
  </conditionalFormatting>
  <conditionalFormatting sqref="A1 A3:A29">
    <cfRule type="expression" dxfId="178" priority="96">
      <formula>$L1="OPEN"</formula>
    </cfRule>
  </conditionalFormatting>
  <conditionalFormatting sqref="A1 A3:A29">
    <cfRule type="expression" dxfId="177" priority="97">
      <formula>#REF!="OPEN"</formula>
    </cfRule>
  </conditionalFormatting>
  <conditionalFormatting sqref="A1 A3:A29">
    <cfRule type="expression" dxfId="176" priority="98">
      <formula>#REF!="CLOSED"</formula>
    </cfRule>
  </conditionalFormatting>
  <conditionalFormatting sqref="A1 A3:A29">
    <cfRule type="expression" dxfId="175" priority="99">
      <formula>#REF!="OPEN"</formula>
    </cfRule>
  </conditionalFormatting>
  <conditionalFormatting sqref="A1 A3:A29">
    <cfRule type="expression" dxfId="174" priority="100">
      <formula>#REF!="CLOSED"</formula>
    </cfRule>
  </conditionalFormatting>
  <conditionalFormatting sqref="A1 A3:A29">
    <cfRule type="expression" dxfId="173" priority="101">
      <formula>#REF!="CLOSED"</formula>
    </cfRule>
  </conditionalFormatting>
  <conditionalFormatting sqref="A1 A3:A29">
    <cfRule type="expression" dxfId="172" priority="102">
      <formula>#REF!="OPEN"</formula>
    </cfRule>
  </conditionalFormatting>
  <conditionalFormatting sqref="A3:A29">
    <cfRule type="expression" dxfId="171" priority="103">
      <formula>#REF!="CLOSED"</formula>
    </cfRule>
  </conditionalFormatting>
  <conditionalFormatting sqref="A3:A29">
    <cfRule type="expression" dxfId="170" priority="104">
      <formula>#REF!="OPEN"</formula>
    </cfRule>
  </conditionalFormatting>
  <conditionalFormatting sqref="A1 A3:A29">
    <cfRule type="expression" dxfId="169" priority="105">
      <formula>#REF!="OPEN"</formula>
    </cfRule>
  </conditionalFormatting>
  <conditionalFormatting sqref="A1 A3:A29">
    <cfRule type="expression" dxfId="168" priority="106">
      <formula>#REF!="CLOSED"</formula>
    </cfRule>
  </conditionalFormatting>
  <conditionalFormatting sqref="A1 A3:A29">
    <cfRule type="expression" dxfId="167" priority="107">
      <formula>#REF!="CLOSED"</formula>
    </cfRule>
  </conditionalFormatting>
  <conditionalFormatting sqref="A1 A3:A29">
    <cfRule type="expression" dxfId="166" priority="108">
      <formula>#REF!="OPEN"</formula>
    </cfRule>
  </conditionalFormatting>
  <conditionalFormatting sqref="A1 A3:A29">
    <cfRule type="expression" dxfId="165" priority="109">
      <formula>#REF!="OPEN"</formula>
    </cfRule>
  </conditionalFormatting>
  <conditionalFormatting sqref="A1 A3:A29">
    <cfRule type="expression" dxfId="164" priority="110">
      <formula>#REF!="CLOSED"</formula>
    </cfRule>
  </conditionalFormatting>
  <conditionalFormatting sqref="A1 A3:A29">
    <cfRule type="expression" dxfId="163" priority="111">
      <formula>$L1="OPEN"</formula>
    </cfRule>
  </conditionalFormatting>
  <conditionalFormatting sqref="A1 A3:A29">
    <cfRule type="expression" dxfId="162" priority="112">
      <formula>$L1="CLOSED"</formula>
    </cfRule>
  </conditionalFormatting>
  <conditionalFormatting sqref="A1 A3:A29">
    <cfRule type="expression" dxfId="161" priority="113">
      <formula>#REF!="CLOSED"</formula>
    </cfRule>
  </conditionalFormatting>
  <conditionalFormatting sqref="A1 A3:A29">
    <cfRule type="expression" dxfId="160" priority="114">
      <formula>#REF!="OPEN"</formula>
    </cfRule>
  </conditionalFormatting>
  <conditionalFormatting sqref="A1 A3:A29">
    <cfRule type="expression" dxfId="159" priority="115">
      <formula>#REF!="OPEN"</formula>
    </cfRule>
  </conditionalFormatting>
  <conditionalFormatting sqref="A1 A3:A29">
    <cfRule type="expression" dxfId="158" priority="116">
      <formula>#REF!="CLOSED"</formula>
    </cfRule>
  </conditionalFormatting>
  <conditionalFormatting sqref="A1 A3:A29">
    <cfRule type="expression" dxfId="157" priority="117">
      <formula>#REF!="OPEN"</formula>
    </cfRule>
  </conditionalFormatting>
  <conditionalFormatting sqref="A1 A3:A29">
    <cfRule type="expression" dxfId="156" priority="118">
      <formula>#REF!="CLOSED"</formula>
    </cfRule>
  </conditionalFormatting>
  <conditionalFormatting sqref="A1 A3:A29">
    <cfRule type="expression" dxfId="155" priority="119">
      <formula>#REF!="OPEN"</formula>
    </cfRule>
  </conditionalFormatting>
  <conditionalFormatting sqref="A1 A3:A29">
    <cfRule type="expression" dxfId="154" priority="120">
      <formula>#REF!="CLOSED"</formula>
    </cfRule>
  </conditionalFormatting>
  <conditionalFormatting sqref="A1 A3:A29">
    <cfRule type="expression" dxfId="153" priority="121">
      <formula>#REF!="CLOSED"</formula>
    </cfRule>
  </conditionalFormatting>
  <conditionalFormatting sqref="A1 A3:A29">
    <cfRule type="expression" dxfId="152" priority="122">
      <formula>#REF!="OPEN"</formula>
    </cfRule>
  </conditionalFormatting>
  <conditionalFormatting sqref="A1 A3:A29">
    <cfRule type="expression" dxfId="151" priority="123">
      <formula>#REF!="OPEN"</formula>
    </cfRule>
  </conditionalFormatting>
  <conditionalFormatting sqref="A1 A3:A29">
    <cfRule type="expression" dxfId="150" priority="124">
      <formula>#REF!="CLOSED"</formula>
    </cfRule>
  </conditionalFormatting>
  <conditionalFormatting sqref="A1 A3:A29">
    <cfRule type="expression" dxfId="149" priority="125">
      <formula>#REF!="CLOSED"</formula>
    </cfRule>
  </conditionalFormatting>
  <conditionalFormatting sqref="A1 A3:A29">
    <cfRule type="expression" dxfId="148" priority="126">
      <formula>#REF!="OPEN"</formula>
    </cfRule>
  </conditionalFormatting>
  <conditionalFormatting sqref="A1 A3:A29">
    <cfRule type="expression" dxfId="147" priority="127">
      <formula>#REF!="OPEN"</formula>
    </cfRule>
  </conditionalFormatting>
  <conditionalFormatting sqref="A1 A3:A29">
    <cfRule type="expression" dxfId="146" priority="128">
      <formula>#REF!="CLOSED"</formula>
    </cfRule>
  </conditionalFormatting>
  <conditionalFormatting sqref="A1 A3:A29">
    <cfRule type="expression" dxfId="145" priority="129">
      <formula>$J1="CLOSED"</formula>
    </cfRule>
  </conditionalFormatting>
  <conditionalFormatting sqref="A1 A3:A29">
    <cfRule type="expression" dxfId="144" priority="130">
      <formula>$J1="OPEN"</formula>
    </cfRule>
  </conditionalFormatting>
  <conditionalFormatting sqref="A1 A3:A29">
    <cfRule type="expression" dxfId="143" priority="131">
      <formula>#REF!="OPEN"</formula>
    </cfRule>
  </conditionalFormatting>
  <conditionalFormatting sqref="A1 A3:A29">
    <cfRule type="expression" dxfId="142" priority="132">
      <formula>$J1="OPEN"</formula>
    </cfRule>
  </conditionalFormatting>
  <conditionalFormatting sqref="A3:A29">
    <cfRule type="expression" dxfId="141" priority="133">
      <formula>$J3="OPEN"</formula>
    </cfRule>
  </conditionalFormatting>
  <conditionalFormatting sqref="A1:A52">
    <cfRule type="expression" dxfId="140" priority="134">
      <formula>#REF!="OPEN"</formula>
    </cfRule>
  </conditionalFormatting>
  <conditionalFormatting sqref="A1:A52">
    <cfRule type="expression" dxfId="139" priority="135">
      <formula>#REF!="CLOSED"</formula>
    </cfRule>
  </conditionalFormatting>
  <conditionalFormatting sqref="A1:A52">
    <cfRule type="expression" dxfId="138" priority="136">
      <formula>#REF!="CLOSED"</formula>
    </cfRule>
  </conditionalFormatting>
  <conditionalFormatting sqref="A1:A52">
    <cfRule type="expression" dxfId="137" priority="137">
      <formula>#REF!="OPEN"</formula>
    </cfRule>
  </conditionalFormatting>
  <conditionalFormatting sqref="A1:A52">
    <cfRule type="expression" dxfId="136" priority="138">
      <formula>#REF!="OPEN"</formula>
    </cfRule>
  </conditionalFormatting>
  <conditionalFormatting sqref="A1:A52">
    <cfRule type="expression" dxfId="135" priority="139">
      <formula>#REF!="CLOSED"</formula>
    </cfRule>
  </conditionalFormatting>
  <conditionalFormatting sqref="A2:A52">
    <cfRule type="expression" dxfId="134" priority="140">
      <formula>#REF!="CLOSED"</formula>
    </cfRule>
  </conditionalFormatting>
  <conditionalFormatting sqref="A2:A52">
    <cfRule type="expression" dxfId="133" priority="141">
      <formula>#REF!="OPEN"</formula>
    </cfRule>
  </conditionalFormatting>
  <conditionalFormatting sqref="A2:A52">
    <cfRule type="expression" dxfId="132" priority="142">
      <formula>#REF!="OPEN"</formula>
    </cfRule>
  </conditionalFormatting>
  <conditionalFormatting sqref="A2:A52">
    <cfRule type="expression" dxfId="131" priority="143">
      <formula>#REF!="CLOSED"</formula>
    </cfRule>
  </conditionalFormatting>
  <conditionalFormatting sqref="A2:A52">
    <cfRule type="expression" dxfId="130" priority="144">
      <formula>#REF!="OPEN"</formula>
    </cfRule>
  </conditionalFormatting>
  <conditionalFormatting sqref="A2:A52">
    <cfRule type="expression" dxfId="129" priority="145">
      <formula>#REF!="CLOSED"</formula>
    </cfRule>
  </conditionalFormatting>
  <conditionalFormatting sqref="A2:A52">
    <cfRule type="expression" dxfId="128" priority="146">
      <formula>#REF!="OPEN"</formula>
    </cfRule>
  </conditionalFormatting>
  <conditionalFormatting sqref="A2:A52">
    <cfRule type="expression" dxfId="127" priority="147">
      <formula>#REF!="CLOSED"</formula>
    </cfRule>
  </conditionalFormatting>
  <conditionalFormatting sqref="A2:A52">
    <cfRule type="expression" dxfId="126" priority="148">
      <formula>#REF!="OPEN"</formula>
    </cfRule>
  </conditionalFormatting>
  <conditionalFormatting sqref="A2:A52">
    <cfRule type="expression" dxfId="125" priority="149">
      <formula>#REF!="CLOSED"</formula>
    </cfRule>
  </conditionalFormatting>
  <conditionalFormatting sqref="A2:A52">
    <cfRule type="expression" dxfId="124" priority="150">
      <formula>#REF!="CLOSED"</formula>
    </cfRule>
  </conditionalFormatting>
  <conditionalFormatting sqref="A2:A52">
    <cfRule type="expression" dxfId="123" priority="151">
      <formula>#REF!="OPEN"</formula>
    </cfRule>
  </conditionalFormatting>
  <conditionalFormatting sqref="A2:A52">
    <cfRule type="expression" dxfId="122" priority="152">
      <formula>#REF!="CLOSED"</formula>
    </cfRule>
  </conditionalFormatting>
  <conditionalFormatting sqref="A2:A52">
    <cfRule type="expression" dxfId="121" priority="153">
      <formula>#REF!="OPEN"</formula>
    </cfRule>
  </conditionalFormatting>
  <conditionalFormatting sqref="A2:A52">
    <cfRule type="expression" dxfId="120" priority="154">
      <formula>#REF!="OPEN"</formula>
    </cfRule>
  </conditionalFormatting>
  <conditionalFormatting sqref="A2:A52">
    <cfRule type="expression" dxfId="119" priority="155">
      <formula>#REF!="CLOSED"</formula>
    </cfRule>
  </conditionalFormatting>
  <conditionalFormatting sqref="A1:A52">
    <cfRule type="expression" dxfId="118" priority="156">
      <formula>#REF!="OPEN"</formula>
    </cfRule>
  </conditionalFormatting>
  <conditionalFormatting sqref="A1:A52">
    <cfRule type="expression" dxfId="117" priority="157">
      <formula>#REF!="CLOSED"</formula>
    </cfRule>
  </conditionalFormatting>
  <conditionalFormatting sqref="A2:A52">
    <cfRule type="expression" dxfId="116" priority="158">
      <formula>#REF!="CLOSED"</formula>
    </cfRule>
  </conditionalFormatting>
  <conditionalFormatting sqref="A2:A52">
    <cfRule type="expression" dxfId="115" priority="159">
      <formula>#REF!="OPEN"</formula>
    </cfRule>
  </conditionalFormatting>
  <conditionalFormatting sqref="A2:A52">
    <cfRule type="expression" dxfId="114" priority="160">
      <formula>#REF!="OPEN"</formula>
    </cfRule>
  </conditionalFormatting>
  <conditionalFormatting sqref="A2:A52">
    <cfRule type="expression" dxfId="113" priority="161">
      <formula>#REF!="CLOSED"</formula>
    </cfRule>
  </conditionalFormatting>
  <conditionalFormatting sqref="A1:A52">
    <cfRule type="expression" dxfId="112" priority="162">
      <formula>$H1="OPEN"</formula>
    </cfRule>
  </conditionalFormatting>
  <conditionalFormatting sqref="A1:A52">
    <cfRule type="expression" dxfId="111" priority="163">
      <formula>$H1="CLOSED"</formula>
    </cfRule>
  </conditionalFormatting>
  <conditionalFormatting sqref="A4:H4 K4:K8 L4 K27:K29">
    <cfRule type="expression" dxfId="110" priority="164">
      <formula>$J4="CLOSED"</formula>
    </cfRule>
  </conditionalFormatting>
  <conditionalFormatting sqref="A4:H4 K4:K8 L4 K27:K29">
    <cfRule type="expression" dxfId="109" priority="165">
      <formula>#REF!="OPEN"</formula>
    </cfRule>
  </conditionalFormatting>
  <dataValidations count="2">
    <dataValidation type="list" allowBlank="1" sqref="I3:J52">
      <formula1>"CLOSED,OPEN"</formula1>
    </dataValidation>
    <dataValidation type="list" allowBlank="1" showErrorMessage="1" sqref="B3:B52">
      <formula1>"JT,ID,IU,IW"</formula1>
    </dataValidation>
  </dataValidation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06"/>
  <sheetViews>
    <sheetView workbookViewId="0">
      <pane ySplit="2" topLeftCell="A3" activePane="bottomLeft" state="frozen"/>
      <selection pane="bottomLeft" activeCell="F32" sqref="F32"/>
    </sheetView>
  </sheetViews>
  <sheetFormatPr defaultColWidth="12.5703125" defaultRowHeight="15" customHeight="1"/>
  <cols>
    <col min="1" max="1" width="12.28515625" customWidth="1"/>
    <col min="2" max="2" width="18.28515625" customWidth="1"/>
    <col min="3" max="3" width="11.140625" customWidth="1"/>
    <col min="4" max="4" width="13.42578125" customWidth="1"/>
    <col min="5" max="5" width="14.42578125" customWidth="1"/>
    <col min="6" max="6" width="95.42578125" customWidth="1"/>
    <col min="7" max="7" width="27.85546875" customWidth="1"/>
    <col min="8" max="8" width="17.42578125" customWidth="1"/>
    <col min="9" max="9" width="19.7109375" customWidth="1"/>
    <col min="10" max="10" width="32.7109375" customWidth="1"/>
    <col min="11" max="23" width="35.140625" customWidth="1"/>
  </cols>
  <sheetData>
    <row r="1" spans="1:23" ht="26.25" customHeight="1">
      <c r="A1" s="385">
        <v>46307</v>
      </c>
      <c r="B1" s="377"/>
      <c r="C1" s="14"/>
      <c r="D1" s="386"/>
      <c r="E1" s="377"/>
      <c r="F1" s="208"/>
      <c r="G1" s="14"/>
      <c r="H1" s="14"/>
      <c r="I1" s="14"/>
      <c r="J1" s="14"/>
      <c r="K1" s="209"/>
      <c r="L1" s="209"/>
      <c r="M1" s="209"/>
      <c r="N1" s="209"/>
      <c r="O1" s="209"/>
      <c r="P1" s="209"/>
      <c r="Q1" s="209"/>
      <c r="R1" s="209"/>
      <c r="S1" s="209"/>
      <c r="T1" s="209"/>
      <c r="U1" s="209"/>
      <c r="V1" s="209"/>
      <c r="W1" s="209"/>
    </row>
    <row r="2" spans="1:23" ht="28.5" customHeight="1">
      <c r="A2" s="210" t="s">
        <v>24</v>
      </c>
      <c r="B2" s="210" t="s">
        <v>15</v>
      </c>
      <c r="C2" s="210" t="s">
        <v>3</v>
      </c>
      <c r="D2" s="210" t="s">
        <v>456</v>
      </c>
      <c r="E2" s="210" t="s">
        <v>543</v>
      </c>
      <c r="F2" s="210" t="s">
        <v>544</v>
      </c>
      <c r="G2" s="210" t="s">
        <v>545</v>
      </c>
      <c r="H2" s="210" t="s">
        <v>546</v>
      </c>
      <c r="I2" s="211" t="s">
        <v>51</v>
      </c>
      <c r="J2" s="210" t="s">
        <v>19</v>
      </c>
      <c r="K2" s="212"/>
      <c r="L2" s="212"/>
      <c r="M2" s="212"/>
      <c r="N2" s="212"/>
      <c r="O2" s="212"/>
      <c r="P2" s="212"/>
      <c r="Q2" s="212"/>
      <c r="R2" s="212"/>
      <c r="S2" s="212"/>
      <c r="T2" s="212"/>
      <c r="U2" s="212"/>
      <c r="V2" s="212"/>
      <c r="W2" s="212"/>
    </row>
    <row r="3" spans="1:23" ht="12.75">
      <c r="A3" s="213">
        <v>46307</v>
      </c>
      <c r="B3" s="214" t="s">
        <v>547</v>
      </c>
      <c r="C3" s="214" t="s">
        <v>390</v>
      </c>
      <c r="D3" s="214" t="s">
        <v>9</v>
      </c>
      <c r="E3" s="214">
        <v>2347420</v>
      </c>
      <c r="F3" s="214" t="s">
        <v>548</v>
      </c>
      <c r="G3" s="214"/>
      <c r="H3" s="214" t="s">
        <v>55</v>
      </c>
      <c r="I3" s="214" t="s">
        <v>34</v>
      </c>
      <c r="J3" s="214"/>
      <c r="K3" s="215"/>
      <c r="L3" s="215"/>
      <c r="M3" s="215"/>
      <c r="N3" s="215"/>
      <c r="O3" s="215"/>
      <c r="P3" s="215"/>
      <c r="Q3" s="215"/>
      <c r="R3" s="215"/>
      <c r="S3" s="215"/>
      <c r="T3" s="215"/>
      <c r="U3" s="215"/>
      <c r="V3" s="215"/>
      <c r="W3" s="215"/>
    </row>
    <row r="4" spans="1:23" ht="12.75">
      <c r="A4" s="216">
        <v>46308</v>
      </c>
      <c r="B4" s="217" t="s">
        <v>563</v>
      </c>
      <c r="C4" s="217" t="s">
        <v>574</v>
      </c>
      <c r="D4" s="217" t="s">
        <v>9</v>
      </c>
      <c r="E4" s="223">
        <v>2353023</v>
      </c>
      <c r="F4" s="47" t="s">
        <v>575</v>
      </c>
      <c r="G4" s="63"/>
      <c r="H4" s="217" t="s">
        <v>55</v>
      </c>
      <c r="I4" s="47" t="s">
        <v>34</v>
      </c>
      <c r="J4" s="121"/>
      <c r="K4" s="63"/>
      <c r="L4" s="63"/>
      <c r="M4" s="63"/>
      <c r="N4" s="63"/>
      <c r="O4" s="63"/>
      <c r="P4" s="63"/>
      <c r="Q4" s="63"/>
      <c r="R4" s="63"/>
      <c r="S4" s="63"/>
      <c r="T4" s="63"/>
      <c r="U4" s="63"/>
      <c r="V4" s="63"/>
      <c r="W4" s="63"/>
    </row>
    <row r="5" spans="1:23">
      <c r="A5" s="216">
        <v>46308</v>
      </c>
      <c r="B5" s="217" t="s">
        <v>563</v>
      </c>
      <c r="C5" s="217" t="s">
        <v>574</v>
      </c>
      <c r="D5" s="217" t="s">
        <v>9</v>
      </c>
      <c r="E5" s="223">
        <v>2353085</v>
      </c>
      <c r="F5" s="217" t="s">
        <v>576</v>
      </c>
      <c r="G5" s="63"/>
      <c r="H5" s="217" t="s">
        <v>55</v>
      </c>
      <c r="I5" s="47" t="s">
        <v>34</v>
      </c>
      <c r="J5" s="121"/>
      <c r="K5" s="63"/>
      <c r="L5" s="63"/>
      <c r="M5" s="63"/>
      <c r="N5" s="63"/>
      <c r="O5" s="63"/>
      <c r="P5" s="63"/>
      <c r="Q5" s="63"/>
      <c r="R5" s="63"/>
      <c r="S5" s="63"/>
      <c r="T5" s="63"/>
      <c r="U5" s="63"/>
      <c r="V5" s="63"/>
      <c r="W5" s="63"/>
    </row>
    <row r="6" spans="1:23" ht="12.75">
      <c r="A6" s="216">
        <v>46308</v>
      </c>
      <c r="B6" s="217" t="s">
        <v>547</v>
      </c>
      <c r="C6" s="217" t="s">
        <v>390</v>
      </c>
      <c r="D6" s="218" t="s">
        <v>551</v>
      </c>
      <c r="E6" s="221" t="s">
        <v>391</v>
      </c>
      <c r="F6" s="217" t="s">
        <v>571</v>
      </c>
      <c r="G6" s="63"/>
      <c r="H6" s="217" t="s">
        <v>322</v>
      </c>
      <c r="I6" s="47" t="s">
        <v>34</v>
      </c>
      <c r="J6" s="221"/>
      <c r="K6" s="63"/>
      <c r="L6" s="63"/>
      <c r="M6" s="63"/>
      <c r="N6" s="63"/>
      <c r="O6" s="63"/>
      <c r="P6" s="63"/>
      <c r="Q6" s="63"/>
      <c r="R6" s="63"/>
      <c r="S6" s="63"/>
      <c r="T6" s="63"/>
      <c r="U6" s="63"/>
      <c r="V6" s="63"/>
      <c r="W6" s="63"/>
    </row>
    <row r="7" spans="1:23" ht="12.75">
      <c r="A7" s="216">
        <v>46308</v>
      </c>
      <c r="B7" s="217" t="s">
        <v>547</v>
      </c>
      <c r="C7" s="218" t="s">
        <v>319</v>
      </c>
      <c r="D7" s="218" t="s">
        <v>551</v>
      </c>
      <c r="E7" s="217" t="s">
        <v>320</v>
      </c>
      <c r="F7" s="217" t="s">
        <v>562</v>
      </c>
      <c r="G7" s="63"/>
      <c r="H7" s="218" t="s">
        <v>322</v>
      </c>
      <c r="I7" s="47" t="s">
        <v>34</v>
      </c>
      <c r="J7" s="218"/>
      <c r="K7" s="63"/>
      <c r="L7" s="63"/>
      <c r="M7" s="63"/>
      <c r="N7" s="63"/>
      <c r="O7" s="63"/>
      <c r="P7" s="63"/>
      <c r="Q7" s="63"/>
      <c r="R7" s="63"/>
      <c r="S7" s="63"/>
      <c r="T7" s="63"/>
      <c r="U7" s="63"/>
      <c r="V7" s="63"/>
      <c r="W7" s="63"/>
    </row>
    <row r="8" spans="1:23" ht="12.75">
      <c r="A8" s="216">
        <v>46308</v>
      </c>
      <c r="B8" s="217" t="s">
        <v>547</v>
      </c>
      <c r="C8" s="217" t="s">
        <v>29</v>
      </c>
      <c r="D8" s="218" t="s">
        <v>551</v>
      </c>
      <c r="E8" s="223" t="s">
        <v>582</v>
      </c>
      <c r="F8" s="220" t="s">
        <v>583</v>
      </c>
      <c r="G8" s="63"/>
      <c r="H8" s="217" t="s">
        <v>55</v>
      </c>
      <c r="I8" s="47" t="s">
        <v>34</v>
      </c>
      <c r="J8" s="121"/>
      <c r="K8" s="63"/>
      <c r="L8" s="63"/>
      <c r="M8" s="63"/>
      <c r="N8" s="63"/>
      <c r="O8" s="63"/>
      <c r="P8" s="63"/>
      <c r="Q8" s="63"/>
      <c r="R8" s="63"/>
      <c r="S8" s="63"/>
      <c r="T8" s="63"/>
      <c r="U8" s="63"/>
      <c r="V8" s="63"/>
      <c r="W8" s="63"/>
    </row>
    <row r="9" spans="1:23">
      <c r="A9" s="216">
        <v>46308</v>
      </c>
      <c r="B9" s="217" t="s">
        <v>547</v>
      </c>
      <c r="C9" s="221" t="s">
        <v>390</v>
      </c>
      <c r="D9" s="218" t="s">
        <v>551</v>
      </c>
      <c r="E9" s="217" t="s">
        <v>569</v>
      </c>
      <c r="F9" s="217" t="s">
        <v>570</v>
      </c>
      <c r="G9" s="63"/>
      <c r="H9" s="217" t="s">
        <v>322</v>
      </c>
      <c r="I9" s="47" t="s">
        <v>34</v>
      </c>
      <c r="J9" s="221"/>
      <c r="K9" s="63"/>
      <c r="L9" s="63"/>
      <c r="M9" s="63"/>
      <c r="N9" s="63"/>
      <c r="O9" s="63"/>
      <c r="P9" s="63"/>
      <c r="Q9" s="63"/>
      <c r="R9" s="63"/>
      <c r="S9" s="63"/>
      <c r="T9" s="63"/>
      <c r="U9" s="63"/>
      <c r="V9" s="63"/>
      <c r="W9" s="63"/>
    </row>
    <row r="10" spans="1:23">
      <c r="A10" s="216">
        <v>46307</v>
      </c>
      <c r="B10" s="217" t="s">
        <v>549</v>
      </c>
      <c r="C10" s="218" t="s">
        <v>418</v>
      </c>
      <c r="D10" s="218" t="s">
        <v>551</v>
      </c>
      <c r="E10" s="219" t="s">
        <v>554</v>
      </c>
      <c r="F10" s="220" t="s">
        <v>555</v>
      </c>
      <c r="G10" s="63"/>
      <c r="H10" s="221" t="s">
        <v>111</v>
      </c>
      <c r="I10" s="47" t="s">
        <v>34</v>
      </c>
      <c r="J10" s="221"/>
      <c r="K10" s="63"/>
      <c r="L10" s="63"/>
      <c r="M10" s="63"/>
      <c r="N10" s="63"/>
      <c r="O10" s="63"/>
      <c r="P10" s="63"/>
      <c r="Q10" s="63"/>
      <c r="R10" s="63"/>
      <c r="S10" s="63"/>
      <c r="T10" s="63"/>
      <c r="U10" s="63"/>
      <c r="V10" s="63"/>
      <c r="W10" s="63"/>
    </row>
    <row r="11" spans="1:23" ht="12.75">
      <c r="A11" s="216">
        <v>46307</v>
      </c>
      <c r="B11" s="217" t="s">
        <v>549</v>
      </c>
      <c r="C11" s="218" t="s">
        <v>550</v>
      </c>
      <c r="D11" s="218" t="s">
        <v>551</v>
      </c>
      <c r="E11" s="219" t="s">
        <v>552</v>
      </c>
      <c r="F11" s="47" t="s">
        <v>553</v>
      </c>
      <c r="G11" s="63"/>
      <c r="H11" s="217" t="s">
        <v>111</v>
      </c>
      <c r="I11" s="47" t="s">
        <v>34</v>
      </c>
      <c r="J11" s="218"/>
      <c r="K11" s="63"/>
      <c r="L11" s="63"/>
      <c r="M11" s="63"/>
      <c r="N11" s="63"/>
      <c r="O11" s="63"/>
      <c r="P11" s="63"/>
      <c r="Q11" s="63"/>
      <c r="R11" s="63"/>
      <c r="S11" s="63"/>
      <c r="T11" s="63"/>
      <c r="U11" s="63"/>
      <c r="V11" s="63"/>
      <c r="W11" s="63"/>
    </row>
    <row r="12" spans="1:23" ht="12.75">
      <c r="A12" s="216">
        <v>46308</v>
      </c>
      <c r="B12" s="217" t="s">
        <v>549</v>
      </c>
      <c r="C12" s="223" t="s">
        <v>577</v>
      </c>
      <c r="D12" s="218" t="s">
        <v>551</v>
      </c>
      <c r="E12" s="223" t="s">
        <v>578</v>
      </c>
      <c r="F12" s="220" t="s">
        <v>579</v>
      </c>
      <c r="G12" s="63"/>
      <c r="H12" s="217" t="s">
        <v>55</v>
      </c>
      <c r="I12" s="47" t="s">
        <v>34</v>
      </c>
      <c r="J12" s="121"/>
      <c r="K12" s="63"/>
      <c r="L12" s="63"/>
      <c r="M12" s="63"/>
      <c r="N12" s="63"/>
      <c r="O12" s="63"/>
      <c r="P12" s="63"/>
      <c r="Q12" s="63"/>
      <c r="R12" s="63"/>
      <c r="S12" s="63"/>
      <c r="T12" s="63"/>
      <c r="U12" s="63"/>
      <c r="V12" s="63"/>
      <c r="W12" s="63"/>
    </row>
    <row r="13" spans="1:23" ht="12.75">
      <c r="A13" s="216">
        <v>46308</v>
      </c>
      <c r="B13" s="217" t="s">
        <v>563</v>
      </c>
      <c r="C13" s="221" t="s">
        <v>182</v>
      </c>
      <c r="D13" s="218" t="s">
        <v>551</v>
      </c>
      <c r="E13" s="223" t="s">
        <v>580</v>
      </c>
      <c r="F13" s="220" t="s">
        <v>581</v>
      </c>
      <c r="G13" s="63"/>
      <c r="H13" s="217" t="s">
        <v>55</v>
      </c>
      <c r="I13" s="47" t="s">
        <v>34</v>
      </c>
      <c r="J13" s="121"/>
      <c r="K13" s="63"/>
      <c r="L13" s="63"/>
      <c r="M13" s="63"/>
      <c r="N13" s="63"/>
      <c r="O13" s="63"/>
      <c r="P13" s="63"/>
      <c r="Q13" s="63"/>
      <c r="R13" s="63"/>
      <c r="S13" s="63"/>
      <c r="T13" s="63"/>
      <c r="U13" s="63"/>
      <c r="V13" s="63"/>
      <c r="W13" s="63"/>
    </row>
    <row r="14" spans="1:23" ht="12.75">
      <c r="A14" s="216">
        <v>46308</v>
      </c>
      <c r="B14" s="217" t="s">
        <v>563</v>
      </c>
      <c r="C14" s="221" t="s">
        <v>564</v>
      </c>
      <c r="D14" s="221" t="s">
        <v>551</v>
      </c>
      <c r="E14" s="221" t="s">
        <v>565</v>
      </c>
      <c r="F14" s="217" t="s">
        <v>566</v>
      </c>
      <c r="G14" s="63"/>
      <c r="H14" s="221" t="s">
        <v>94</v>
      </c>
      <c r="I14" s="47" t="s">
        <v>34</v>
      </c>
      <c r="J14" s="221"/>
      <c r="K14" s="63"/>
      <c r="L14" s="63"/>
      <c r="M14" s="63"/>
      <c r="N14" s="63"/>
      <c r="O14" s="63"/>
      <c r="P14" s="63"/>
      <c r="Q14" s="63"/>
      <c r="R14" s="63"/>
      <c r="S14" s="63"/>
      <c r="T14" s="63"/>
      <c r="U14" s="63"/>
      <c r="V14" s="63"/>
      <c r="W14" s="63"/>
    </row>
    <row r="15" spans="1:23">
      <c r="A15" s="216">
        <v>46308</v>
      </c>
      <c r="B15" s="217" t="s">
        <v>563</v>
      </c>
      <c r="C15" s="221" t="s">
        <v>564</v>
      </c>
      <c r="D15" s="221" t="s">
        <v>551</v>
      </c>
      <c r="E15" s="221" t="s">
        <v>567</v>
      </c>
      <c r="F15" s="217" t="s">
        <v>568</v>
      </c>
      <c r="G15" s="63"/>
      <c r="H15" s="221" t="s">
        <v>94</v>
      </c>
      <c r="I15" s="47" t="s">
        <v>34</v>
      </c>
      <c r="J15" s="217"/>
      <c r="K15" s="63"/>
      <c r="L15" s="63"/>
      <c r="M15" s="63"/>
      <c r="N15" s="63"/>
      <c r="O15" s="63"/>
      <c r="P15" s="63"/>
      <c r="Q15" s="63"/>
      <c r="R15" s="63"/>
      <c r="S15" s="63"/>
      <c r="T15" s="63"/>
      <c r="U15" s="63"/>
      <c r="V15" s="63"/>
      <c r="W15" s="63"/>
    </row>
    <row r="16" spans="1:23">
      <c r="A16" s="216">
        <v>46307</v>
      </c>
      <c r="B16" s="217" t="s">
        <v>556</v>
      </c>
      <c r="C16" s="221" t="s">
        <v>559</v>
      </c>
      <c r="D16" s="221" t="s">
        <v>551</v>
      </c>
      <c r="E16" s="219" t="s">
        <v>560</v>
      </c>
      <c r="F16" s="222" t="s">
        <v>561</v>
      </c>
      <c r="G16" s="121"/>
      <c r="H16" s="221" t="s">
        <v>111</v>
      </c>
      <c r="I16" s="217" t="s">
        <v>34</v>
      </c>
      <c r="J16" s="221"/>
      <c r="K16" s="121"/>
      <c r="L16" s="121"/>
      <c r="M16" s="121"/>
      <c r="N16" s="121"/>
      <c r="O16" s="121"/>
      <c r="P16" s="121"/>
      <c r="Q16" s="121"/>
      <c r="R16" s="121"/>
      <c r="S16" s="121"/>
      <c r="T16" s="121"/>
      <c r="U16" s="121"/>
      <c r="V16" s="121"/>
      <c r="W16" s="121"/>
    </row>
    <row r="17" spans="1:23">
      <c r="A17" s="216">
        <v>46307</v>
      </c>
      <c r="B17" s="217" t="s">
        <v>556</v>
      </c>
      <c r="C17" s="221" t="s">
        <v>249</v>
      </c>
      <c r="D17" s="221" t="s">
        <v>551</v>
      </c>
      <c r="E17" s="219" t="s">
        <v>557</v>
      </c>
      <c r="F17" s="220" t="s">
        <v>558</v>
      </c>
      <c r="G17" s="63"/>
      <c r="H17" s="221" t="s">
        <v>111</v>
      </c>
      <c r="I17" s="47" t="s">
        <v>34</v>
      </c>
      <c r="J17" s="217"/>
      <c r="K17" s="63"/>
      <c r="L17" s="63"/>
      <c r="M17" s="63"/>
      <c r="N17" s="63"/>
      <c r="O17" s="63"/>
      <c r="P17" s="63"/>
      <c r="Q17" s="63"/>
      <c r="R17" s="63"/>
      <c r="S17" s="63"/>
      <c r="T17" s="63"/>
      <c r="U17" s="63"/>
      <c r="V17" s="63"/>
      <c r="W17" s="63"/>
    </row>
    <row r="18" spans="1:23">
      <c r="A18" s="216">
        <v>46308</v>
      </c>
      <c r="B18" s="217" t="s">
        <v>556</v>
      </c>
      <c r="C18" s="47" t="s">
        <v>249</v>
      </c>
      <c r="D18" s="221" t="s">
        <v>551</v>
      </c>
      <c r="E18" s="223" t="s">
        <v>572</v>
      </c>
      <c r="F18" s="220" t="s">
        <v>573</v>
      </c>
      <c r="G18" s="63"/>
      <c r="H18" s="47" t="s">
        <v>111</v>
      </c>
      <c r="I18" s="47" t="s">
        <v>34</v>
      </c>
      <c r="J18" s="63"/>
      <c r="K18" s="63"/>
      <c r="L18" s="63"/>
      <c r="M18" s="63"/>
      <c r="N18" s="63"/>
      <c r="O18" s="63"/>
      <c r="P18" s="63"/>
      <c r="Q18" s="63"/>
      <c r="R18" s="63"/>
      <c r="S18" s="63"/>
      <c r="T18" s="63"/>
      <c r="U18" s="63"/>
      <c r="V18" s="63"/>
      <c r="W18" s="63"/>
    </row>
    <row r="19" spans="1:23" ht="12.75">
      <c r="A19" s="216"/>
      <c r="B19" s="217"/>
      <c r="C19" s="47"/>
      <c r="D19" s="47"/>
      <c r="E19" s="121"/>
      <c r="F19" s="47"/>
      <c r="G19" s="63"/>
      <c r="H19" s="47"/>
      <c r="I19" s="47"/>
      <c r="J19" s="63"/>
      <c r="K19" s="63"/>
      <c r="L19" s="63"/>
      <c r="M19" s="63"/>
      <c r="N19" s="63"/>
      <c r="O19" s="63"/>
      <c r="P19" s="63"/>
      <c r="Q19" s="63"/>
      <c r="R19" s="63"/>
      <c r="S19" s="63"/>
      <c r="T19" s="63"/>
      <c r="U19" s="63"/>
      <c r="V19" s="63"/>
      <c r="W19" s="63"/>
    </row>
    <row r="20" spans="1:23" ht="12.75">
      <c r="A20" s="216"/>
      <c r="B20" s="217"/>
      <c r="C20" s="47"/>
      <c r="D20" s="47"/>
      <c r="E20" s="121"/>
      <c r="F20" s="47"/>
      <c r="G20" s="63"/>
      <c r="H20" s="47"/>
      <c r="I20" s="47"/>
      <c r="J20" s="63"/>
      <c r="K20" s="63"/>
      <c r="L20" s="63"/>
      <c r="M20" s="63"/>
      <c r="N20" s="63"/>
      <c r="O20" s="63"/>
      <c r="P20" s="63"/>
      <c r="Q20" s="63"/>
      <c r="R20" s="63"/>
      <c r="S20" s="63"/>
      <c r="T20" s="63"/>
      <c r="U20" s="63"/>
      <c r="V20" s="63"/>
      <c r="W20" s="63"/>
    </row>
    <row r="21" spans="1:23" ht="12.75">
      <c r="A21" s="216"/>
      <c r="B21" s="217"/>
      <c r="C21" s="47"/>
      <c r="D21" s="47"/>
      <c r="E21" s="121"/>
      <c r="F21" s="47"/>
      <c r="G21" s="63"/>
      <c r="H21" s="47"/>
      <c r="I21" s="47"/>
      <c r="J21" s="63"/>
      <c r="K21" s="63"/>
      <c r="L21" s="63"/>
      <c r="M21" s="63"/>
      <c r="N21" s="63"/>
      <c r="O21" s="63"/>
      <c r="P21" s="63"/>
      <c r="Q21" s="63"/>
      <c r="R21" s="63"/>
      <c r="S21" s="63"/>
      <c r="T21" s="63"/>
      <c r="U21" s="63"/>
      <c r="V21" s="63"/>
      <c r="W21" s="63"/>
    </row>
    <row r="22" spans="1:23" ht="12.75">
      <c r="A22" s="216"/>
      <c r="B22" s="217"/>
      <c r="C22" s="47"/>
      <c r="D22" s="47"/>
      <c r="E22" s="121"/>
      <c r="F22" s="47"/>
      <c r="G22" s="63"/>
      <c r="H22" s="47"/>
      <c r="I22" s="47"/>
      <c r="J22" s="63"/>
      <c r="K22" s="63"/>
      <c r="L22" s="63"/>
      <c r="M22" s="63"/>
      <c r="N22" s="63"/>
      <c r="O22" s="63"/>
      <c r="P22" s="63"/>
      <c r="Q22" s="63"/>
      <c r="R22" s="63"/>
      <c r="S22" s="63"/>
      <c r="T22" s="63"/>
      <c r="U22" s="63"/>
      <c r="V22" s="63"/>
      <c r="W22" s="63"/>
    </row>
    <row r="23" spans="1:23" ht="12.75">
      <c r="A23" s="216"/>
      <c r="B23" s="217"/>
      <c r="C23" s="47"/>
      <c r="D23" s="47"/>
      <c r="E23" s="121"/>
      <c r="F23" s="47"/>
      <c r="G23" s="63"/>
      <c r="H23" s="47"/>
      <c r="I23" s="47"/>
      <c r="J23" s="63"/>
      <c r="K23" s="63"/>
      <c r="L23" s="63"/>
      <c r="M23" s="63"/>
      <c r="N23" s="63"/>
      <c r="O23" s="63"/>
      <c r="P23" s="63"/>
      <c r="Q23" s="63"/>
      <c r="R23" s="63"/>
      <c r="S23" s="63"/>
      <c r="T23" s="63"/>
      <c r="U23" s="63"/>
      <c r="V23" s="63"/>
      <c r="W23" s="63"/>
    </row>
    <row r="24" spans="1:23" ht="12.75">
      <c r="A24" s="216"/>
      <c r="B24" s="217"/>
      <c r="C24" s="47"/>
      <c r="D24" s="47"/>
      <c r="E24" s="121"/>
      <c r="F24" s="47"/>
      <c r="G24" s="63"/>
      <c r="H24" s="47"/>
      <c r="I24" s="47"/>
      <c r="J24" s="63"/>
      <c r="K24" s="63"/>
      <c r="L24" s="63"/>
      <c r="M24" s="63"/>
      <c r="N24" s="63"/>
      <c r="O24" s="63"/>
      <c r="P24" s="63"/>
      <c r="Q24" s="63"/>
      <c r="R24" s="63"/>
      <c r="S24" s="63"/>
      <c r="T24" s="63"/>
      <c r="U24" s="63"/>
      <c r="V24" s="63"/>
      <c r="W24" s="63"/>
    </row>
    <row r="25" spans="1:23" ht="12.75">
      <c r="A25" s="216"/>
      <c r="B25" s="217"/>
      <c r="C25" s="47"/>
      <c r="D25" s="47"/>
      <c r="E25" s="121"/>
      <c r="F25" s="47"/>
      <c r="G25" s="63"/>
      <c r="H25" s="47"/>
      <c r="I25" s="47"/>
      <c r="J25" s="63"/>
      <c r="K25" s="63"/>
      <c r="L25" s="63"/>
      <c r="M25" s="63"/>
      <c r="N25" s="63"/>
      <c r="O25" s="63"/>
      <c r="P25" s="63"/>
      <c r="Q25" s="63"/>
      <c r="R25" s="63"/>
      <c r="S25" s="63"/>
      <c r="T25" s="63"/>
      <c r="U25" s="63"/>
      <c r="V25" s="63"/>
      <c r="W25" s="63"/>
    </row>
    <row r="26" spans="1:23" ht="12.75">
      <c r="A26" s="216"/>
      <c r="B26" s="217"/>
      <c r="C26" s="47"/>
      <c r="D26" s="47"/>
      <c r="E26" s="121"/>
      <c r="F26" s="47"/>
      <c r="G26" s="63"/>
      <c r="H26" s="47"/>
      <c r="I26" s="47"/>
      <c r="J26" s="63"/>
      <c r="K26" s="63"/>
      <c r="L26" s="63"/>
      <c r="M26" s="63"/>
      <c r="N26" s="63"/>
      <c r="O26" s="63"/>
      <c r="P26" s="63"/>
      <c r="Q26" s="63"/>
      <c r="R26" s="63"/>
      <c r="S26" s="63"/>
      <c r="T26" s="63"/>
      <c r="U26" s="63"/>
      <c r="V26" s="63"/>
      <c r="W26" s="63"/>
    </row>
    <row r="27" spans="1:23" ht="12.75">
      <c r="A27" s="216"/>
      <c r="B27" s="217"/>
      <c r="C27" s="47"/>
      <c r="D27" s="47"/>
      <c r="E27" s="121"/>
      <c r="F27" s="47"/>
      <c r="G27" s="63"/>
      <c r="H27" s="47"/>
      <c r="I27" s="47"/>
      <c r="J27" s="63"/>
      <c r="K27" s="63"/>
      <c r="L27" s="63"/>
      <c r="M27" s="63"/>
      <c r="N27" s="63"/>
      <c r="O27" s="63"/>
      <c r="P27" s="63"/>
      <c r="Q27" s="63"/>
      <c r="R27" s="63"/>
      <c r="S27" s="63"/>
      <c r="T27" s="63"/>
      <c r="U27" s="63"/>
      <c r="V27" s="63"/>
      <c r="W27" s="63"/>
    </row>
    <row r="28" spans="1:23" ht="12.75">
      <c r="A28" s="216"/>
      <c r="B28" s="217"/>
      <c r="C28" s="47"/>
      <c r="D28" s="47"/>
      <c r="E28" s="121"/>
      <c r="F28" s="47"/>
      <c r="G28" s="63"/>
      <c r="H28" s="47"/>
      <c r="I28" s="47"/>
      <c r="J28" s="63"/>
      <c r="K28" s="63"/>
      <c r="L28" s="63"/>
      <c r="M28" s="63"/>
      <c r="N28" s="63"/>
      <c r="O28" s="63"/>
      <c r="P28" s="63"/>
      <c r="Q28" s="63"/>
      <c r="R28" s="63"/>
      <c r="S28" s="63"/>
      <c r="T28" s="63"/>
      <c r="U28" s="63"/>
      <c r="V28" s="63"/>
      <c r="W28" s="63"/>
    </row>
    <row r="29" spans="1:23" ht="12.75">
      <c r="A29" s="216"/>
      <c r="B29" s="217"/>
      <c r="C29" s="47"/>
      <c r="D29" s="47"/>
      <c r="E29" s="121"/>
      <c r="F29" s="47"/>
      <c r="G29" s="63"/>
      <c r="H29" s="47"/>
      <c r="I29" s="47"/>
      <c r="J29" s="63"/>
      <c r="K29" s="63"/>
      <c r="L29" s="63"/>
      <c r="M29" s="63"/>
      <c r="N29" s="63"/>
      <c r="O29" s="63"/>
      <c r="P29" s="63"/>
      <c r="Q29" s="63"/>
      <c r="R29" s="63"/>
      <c r="S29" s="63"/>
      <c r="T29" s="63"/>
      <c r="U29" s="63"/>
      <c r="V29" s="63"/>
      <c r="W29" s="63"/>
    </row>
    <row r="30" spans="1:23" ht="12.75">
      <c r="A30" s="216"/>
      <c r="B30" s="217"/>
      <c r="C30" s="47"/>
      <c r="D30" s="47"/>
      <c r="E30" s="121"/>
      <c r="F30" s="47"/>
      <c r="G30" s="63"/>
      <c r="H30" s="47"/>
      <c r="I30" s="47"/>
      <c r="J30" s="63"/>
      <c r="K30" s="63"/>
      <c r="L30" s="63"/>
      <c r="M30" s="63"/>
      <c r="N30" s="63"/>
      <c r="O30" s="63"/>
      <c r="P30" s="63"/>
      <c r="Q30" s="63"/>
      <c r="R30" s="63"/>
      <c r="S30" s="63"/>
      <c r="T30" s="63"/>
      <c r="U30" s="63"/>
      <c r="V30" s="63"/>
      <c r="W30" s="63"/>
    </row>
    <row r="31" spans="1:23" ht="12.75">
      <c r="A31" s="216"/>
      <c r="B31" s="217"/>
      <c r="C31" s="47"/>
      <c r="D31" s="47"/>
      <c r="E31" s="121"/>
      <c r="F31" s="47"/>
      <c r="G31" s="63"/>
      <c r="H31" s="47"/>
      <c r="I31" s="47"/>
      <c r="J31" s="63"/>
      <c r="K31" s="63"/>
      <c r="L31" s="63"/>
      <c r="M31" s="63"/>
      <c r="N31" s="63"/>
      <c r="O31" s="63"/>
      <c r="P31" s="63"/>
      <c r="Q31" s="63"/>
      <c r="R31" s="63"/>
      <c r="S31" s="63"/>
      <c r="T31" s="63"/>
      <c r="U31" s="63"/>
      <c r="V31" s="63"/>
      <c r="W31" s="63"/>
    </row>
    <row r="32" spans="1:23" ht="12.75">
      <c r="A32" s="216"/>
      <c r="B32" s="217"/>
      <c r="C32" s="47"/>
      <c r="D32" s="47"/>
      <c r="E32" s="121"/>
      <c r="F32" s="47"/>
      <c r="G32" s="63"/>
      <c r="H32" s="47"/>
      <c r="I32" s="47"/>
      <c r="J32" s="63"/>
      <c r="K32" s="63"/>
      <c r="L32" s="63"/>
      <c r="M32" s="63"/>
      <c r="N32" s="63"/>
      <c r="O32" s="63"/>
      <c r="P32" s="63"/>
      <c r="Q32" s="63"/>
      <c r="R32" s="63"/>
      <c r="S32" s="63"/>
      <c r="T32" s="63"/>
      <c r="U32" s="63"/>
      <c r="V32" s="63"/>
      <c r="W32" s="63"/>
    </row>
    <row r="33" spans="1:23" ht="12.75">
      <c r="A33" s="216"/>
      <c r="B33" s="217"/>
      <c r="C33" s="47"/>
      <c r="D33" s="47"/>
      <c r="E33" s="121"/>
      <c r="F33" s="47"/>
      <c r="G33" s="63"/>
      <c r="H33" s="47"/>
      <c r="I33" s="47"/>
      <c r="J33" s="63"/>
      <c r="K33" s="63"/>
      <c r="L33" s="63"/>
      <c r="M33" s="63"/>
      <c r="N33" s="63"/>
      <c r="O33" s="63"/>
      <c r="P33" s="63"/>
      <c r="Q33" s="63"/>
      <c r="R33" s="63"/>
      <c r="S33" s="63"/>
      <c r="T33" s="63"/>
      <c r="U33" s="63"/>
      <c r="V33" s="63"/>
      <c r="W33" s="63"/>
    </row>
    <row r="34" spans="1:23" ht="12.75">
      <c r="A34" s="216"/>
      <c r="B34" s="217"/>
      <c r="C34" s="47"/>
      <c r="D34" s="47"/>
      <c r="E34" s="121"/>
      <c r="F34" s="47"/>
      <c r="G34" s="63"/>
      <c r="H34" s="47"/>
      <c r="I34" s="47"/>
      <c r="J34" s="63"/>
      <c r="K34" s="63"/>
      <c r="L34" s="63"/>
      <c r="M34" s="63"/>
      <c r="N34" s="63"/>
      <c r="O34" s="63"/>
      <c r="P34" s="63"/>
      <c r="Q34" s="63"/>
      <c r="R34" s="63"/>
      <c r="S34" s="63"/>
      <c r="T34" s="63"/>
      <c r="U34" s="63"/>
      <c r="V34" s="63"/>
      <c r="W34" s="63"/>
    </row>
    <row r="35" spans="1:23" ht="12.75">
      <c r="A35" s="216"/>
      <c r="B35" s="217"/>
      <c r="C35" s="47"/>
      <c r="D35" s="47"/>
      <c r="E35" s="121"/>
      <c r="F35" s="47"/>
      <c r="G35" s="63"/>
      <c r="H35" s="47"/>
      <c r="I35" s="47"/>
      <c r="J35" s="63"/>
      <c r="K35" s="63"/>
      <c r="L35" s="63"/>
      <c r="M35" s="63"/>
      <c r="N35" s="63"/>
      <c r="O35" s="63"/>
      <c r="P35" s="63"/>
      <c r="Q35" s="63"/>
      <c r="R35" s="63"/>
      <c r="S35" s="63"/>
      <c r="T35" s="63"/>
      <c r="U35" s="63"/>
      <c r="V35" s="63"/>
      <c r="W35" s="63"/>
    </row>
    <row r="36" spans="1:23" ht="12.75">
      <c r="A36" s="216"/>
      <c r="B36" s="217"/>
      <c r="C36" s="47"/>
      <c r="D36" s="47"/>
      <c r="E36" s="121"/>
      <c r="F36" s="47"/>
      <c r="G36" s="63"/>
      <c r="H36" s="47"/>
      <c r="I36" s="47"/>
      <c r="J36" s="63"/>
      <c r="K36" s="63"/>
      <c r="L36" s="63"/>
      <c r="M36" s="63"/>
      <c r="N36" s="63"/>
      <c r="O36" s="63"/>
      <c r="P36" s="63"/>
      <c r="Q36" s="63"/>
      <c r="R36" s="63"/>
      <c r="S36" s="63"/>
      <c r="T36" s="63"/>
      <c r="U36" s="63"/>
      <c r="V36" s="63"/>
      <c r="W36" s="63"/>
    </row>
    <row r="37" spans="1:23" ht="12.75">
      <c r="A37" s="216"/>
      <c r="B37" s="217"/>
      <c r="C37" s="47"/>
      <c r="D37" s="47"/>
      <c r="E37" s="121"/>
      <c r="F37" s="47"/>
      <c r="G37" s="63"/>
      <c r="H37" s="47"/>
      <c r="I37" s="47"/>
      <c r="J37" s="63"/>
      <c r="K37" s="63"/>
      <c r="L37" s="63"/>
      <c r="M37" s="63"/>
      <c r="N37" s="63"/>
      <c r="O37" s="63"/>
      <c r="P37" s="63"/>
      <c r="Q37" s="63"/>
      <c r="R37" s="63"/>
      <c r="S37" s="63"/>
      <c r="T37" s="63"/>
      <c r="U37" s="63"/>
      <c r="V37" s="63"/>
      <c r="W37" s="63"/>
    </row>
    <row r="38" spans="1:23" ht="12.75">
      <c r="A38" s="216"/>
      <c r="B38" s="217"/>
      <c r="C38" s="47"/>
      <c r="D38" s="47"/>
      <c r="E38" s="121"/>
      <c r="F38" s="47"/>
      <c r="G38" s="63"/>
      <c r="H38" s="47"/>
      <c r="I38" s="47"/>
      <c r="J38" s="63"/>
      <c r="K38" s="63"/>
      <c r="L38" s="63"/>
      <c r="M38" s="63"/>
      <c r="N38" s="63"/>
      <c r="O38" s="63"/>
      <c r="P38" s="63"/>
      <c r="Q38" s="63"/>
      <c r="R38" s="63"/>
      <c r="S38" s="63"/>
      <c r="T38" s="63"/>
      <c r="U38" s="63"/>
      <c r="V38" s="63"/>
      <c r="W38" s="63"/>
    </row>
    <row r="39" spans="1:23" ht="12.75">
      <c r="A39" s="216"/>
      <c r="B39" s="217"/>
      <c r="C39" s="47"/>
      <c r="D39" s="47"/>
      <c r="E39" s="121"/>
      <c r="F39" s="47"/>
      <c r="G39" s="63"/>
      <c r="H39" s="47"/>
      <c r="I39" s="47"/>
      <c r="J39" s="63"/>
      <c r="K39" s="63"/>
      <c r="L39" s="63"/>
      <c r="M39" s="63"/>
      <c r="N39" s="63"/>
      <c r="O39" s="63"/>
      <c r="P39" s="63"/>
      <c r="Q39" s="63"/>
      <c r="R39" s="63"/>
      <c r="S39" s="63"/>
      <c r="T39" s="63"/>
      <c r="U39" s="63"/>
      <c r="V39" s="63"/>
      <c r="W39" s="63"/>
    </row>
    <row r="40" spans="1:23" ht="12.75">
      <c r="A40" s="216"/>
      <c r="B40" s="217"/>
      <c r="C40" s="47"/>
      <c r="D40" s="47"/>
      <c r="E40" s="121"/>
      <c r="F40" s="47"/>
      <c r="G40" s="63"/>
      <c r="H40" s="47"/>
      <c r="I40" s="47"/>
      <c r="J40" s="63"/>
      <c r="K40" s="63"/>
      <c r="L40" s="63"/>
      <c r="M40" s="63"/>
      <c r="N40" s="63"/>
      <c r="O40" s="63"/>
      <c r="P40" s="63"/>
      <c r="Q40" s="63"/>
      <c r="R40" s="63"/>
      <c r="S40" s="63"/>
      <c r="T40" s="63"/>
      <c r="U40" s="63"/>
      <c r="V40" s="63"/>
      <c r="W40" s="63"/>
    </row>
    <row r="41" spans="1:23" ht="12.75">
      <c r="A41" s="216"/>
      <c r="B41" s="217"/>
      <c r="C41" s="47"/>
      <c r="D41" s="47"/>
      <c r="E41" s="121"/>
      <c r="F41" s="47"/>
      <c r="G41" s="63"/>
      <c r="H41" s="47"/>
      <c r="I41" s="47"/>
      <c r="J41" s="63"/>
      <c r="K41" s="63"/>
      <c r="L41" s="63"/>
      <c r="M41" s="63"/>
      <c r="N41" s="63"/>
      <c r="O41" s="63"/>
      <c r="P41" s="63"/>
      <c r="Q41" s="63"/>
      <c r="R41" s="63"/>
      <c r="S41" s="63"/>
      <c r="T41" s="63"/>
      <c r="U41" s="63"/>
      <c r="V41" s="63"/>
      <c r="W41" s="63"/>
    </row>
    <row r="42" spans="1:23" ht="12.75">
      <c r="A42" s="216"/>
      <c r="B42" s="217"/>
      <c r="C42" s="47"/>
      <c r="D42" s="47"/>
      <c r="E42" s="121"/>
      <c r="F42" s="47"/>
      <c r="G42" s="63"/>
      <c r="H42" s="47"/>
      <c r="I42" s="47"/>
      <c r="J42" s="63"/>
      <c r="K42" s="63"/>
      <c r="L42" s="63"/>
      <c r="M42" s="63"/>
      <c r="N42" s="63"/>
      <c r="O42" s="63"/>
      <c r="P42" s="63"/>
      <c r="Q42" s="63"/>
      <c r="R42" s="63"/>
      <c r="S42" s="63"/>
      <c r="T42" s="63"/>
      <c r="U42" s="63"/>
      <c r="V42" s="63"/>
      <c r="W42" s="63"/>
    </row>
    <row r="43" spans="1:23" ht="12.75">
      <c r="A43" s="216"/>
      <c r="B43" s="217"/>
      <c r="C43" s="47"/>
      <c r="D43" s="47"/>
      <c r="E43" s="121"/>
      <c r="F43" s="47"/>
      <c r="G43" s="63"/>
      <c r="H43" s="47"/>
      <c r="I43" s="47"/>
      <c r="J43" s="63"/>
      <c r="K43" s="63"/>
      <c r="L43" s="63"/>
      <c r="M43" s="63"/>
      <c r="N43" s="63"/>
      <c r="O43" s="63"/>
      <c r="P43" s="63"/>
      <c r="Q43" s="63"/>
      <c r="R43" s="63"/>
      <c r="S43" s="63"/>
      <c r="T43" s="63"/>
      <c r="U43" s="63"/>
      <c r="V43" s="63"/>
      <c r="W43" s="63"/>
    </row>
    <row r="44" spans="1:23" ht="12.75">
      <c r="A44" s="216"/>
      <c r="B44" s="217"/>
      <c r="C44" s="47"/>
      <c r="D44" s="47"/>
      <c r="E44" s="121"/>
      <c r="F44" s="47"/>
      <c r="G44" s="63"/>
      <c r="H44" s="47"/>
      <c r="I44" s="47"/>
      <c r="J44" s="63"/>
      <c r="K44" s="63"/>
      <c r="L44" s="63"/>
      <c r="M44" s="63"/>
      <c r="N44" s="63"/>
      <c r="O44" s="63"/>
      <c r="P44" s="63"/>
      <c r="Q44" s="63"/>
      <c r="R44" s="63"/>
      <c r="S44" s="63"/>
      <c r="T44" s="63"/>
      <c r="U44" s="63"/>
      <c r="V44" s="63"/>
      <c r="W44" s="63"/>
    </row>
    <row r="45" spans="1:23" ht="12.75">
      <c r="A45" s="216"/>
      <c r="B45" s="217"/>
      <c r="C45" s="47"/>
      <c r="D45" s="47"/>
      <c r="E45" s="121"/>
      <c r="F45" s="47"/>
      <c r="G45" s="63"/>
      <c r="H45" s="47"/>
      <c r="I45" s="47"/>
      <c r="J45" s="63"/>
      <c r="K45" s="63"/>
      <c r="L45" s="63"/>
      <c r="M45" s="63"/>
      <c r="N45" s="63"/>
      <c r="O45" s="63"/>
      <c r="P45" s="63"/>
      <c r="Q45" s="63"/>
      <c r="R45" s="63"/>
      <c r="S45" s="63"/>
      <c r="T45" s="63"/>
      <c r="U45" s="63"/>
      <c r="V45" s="63"/>
      <c r="W45" s="63"/>
    </row>
    <row r="46" spans="1:23" ht="12.75">
      <c r="A46" s="216"/>
      <c r="B46" s="217"/>
      <c r="C46" s="47"/>
      <c r="D46" s="47"/>
      <c r="E46" s="121"/>
      <c r="F46" s="47"/>
      <c r="G46" s="63"/>
      <c r="H46" s="47"/>
      <c r="I46" s="47"/>
      <c r="J46" s="63"/>
      <c r="K46" s="63"/>
      <c r="L46" s="63"/>
      <c r="M46" s="63"/>
      <c r="N46" s="63"/>
      <c r="O46" s="63"/>
      <c r="P46" s="63"/>
      <c r="Q46" s="63"/>
      <c r="R46" s="63"/>
      <c r="S46" s="63"/>
      <c r="T46" s="63"/>
      <c r="U46" s="63"/>
      <c r="V46" s="63"/>
      <c r="W46" s="63"/>
    </row>
    <row r="47" spans="1:23" ht="12.75">
      <c r="A47" s="216"/>
      <c r="B47" s="217"/>
      <c r="C47" s="47"/>
      <c r="D47" s="47"/>
      <c r="E47" s="121"/>
      <c r="F47" s="47"/>
      <c r="G47" s="63"/>
      <c r="H47" s="47"/>
      <c r="I47" s="47"/>
      <c r="J47" s="63"/>
      <c r="K47" s="63"/>
      <c r="L47" s="63"/>
      <c r="M47" s="63"/>
      <c r="N47" s="63"/>
      <c r="O47" s="63"/>
      <c r="P47" s="63"/>
      <c r="Q47" s="63"/>
      <c r="R47" s="63"/>
      <c r="S47" s="63"/>
      <c r="T47" s="63"/>
      <c r="U47" s="63"/>
      <c r="V47" s="63"/>
      <c r="W47" s="63"/>
    </row>
    <row r="48" spans="1:23" ht="12.75">
      <c r="A48" s="216"/>
      <c r="B48" s="217"/>
      <c r="C48" s="47"/>
      <c r="D48" s="47"/>
      <c r="E48" s="121"/>
      <c r="F48" s="47"/>
      <c r="G48" s="63"/>
      <c r="H48" s="47"/>
      <c r="I48" s="47"/>
      <c r="J48" s="63"/>
      <c r="K48" s="63"/>
      <c r="L48" s="63"/>
      <c r="M48" s="63"/>
      <c r="N48" s="63"/>
      <c r="O48" s="63"/>
      <c r="P48" s="63"/>
      <c r="Q48" s="63"/>
      <c r="R48" s="63"/>
      <c r="S48" s="63"/>
      <c r="T48" s="63"/>
      <c r="U48" s="63"/>
      <c r="V48" s="63"/>
      <c r="W48" s="63"/>
    </row>
    <row r="49" spans="1:23" ht="12.75">
      <c r="A49" s="216"/>
      <c r="B49" s="217"/>
      <c r="C49" s="47"/>
      <c r="D49" s="47"/>
      <c r="E49" s="121"/>
      <c r="F49" s="47"/>
      <c r="G49" s="63"/>
      <c r="H49" s="47"/>
      <c r="I49" s="47"/>
      <c r="J49" s="63"/>
      <c r="K49" s="63"/>
      <c r="L49" s="63"/>
      <c r="M49" s="63"/>
      <c r="N49" s="63"/>
      <c r="O49" s="63"/>
      <c r="P49" s="63"/>
      <c r="Q49" s="63"/>
      <c r="R49" s="63"/>
      <c r="S49" s="63"/>
      <c r="T49" s="63"/>
      <c r="U49" s="63"/>
      <c r="V49" s="63"/>
      <c r="W49" s="63"/>
    </row>
    <row r="50" spans="1:23" ht="12.75">
      <c r="A50" s="216"/>
      <c r="B50" s="217"/>
      <c r="C50" s="47"/>
      <c r="D50" s="47"/>
      <c r="E50" s="121"/>
      <c r="F50" s="47"/>
      <c r="G50" s="63"/>
      <c r="H50" s="47"/>
      <c r="I50" s="47"/>
      <c r="J50" s="63"/>
      <c r="K50" s="63"/>
      <c r="L50" s="63"/>
      <c r="M50" s="63"/>
      <c r="N50" s="63"/>
      <c r="O50" s="63"/>
      <c r="P50" s="63"/>
      <c r="Q50" s="63"/>
      <c r="R50" s="63"/>
      <c r="S50" s="63"/>
      <c r="T50" s="63"/>
      <c r="U50" s="63"/>
      <c r="V50" s="63"/>
      <c r="W50" s="63"/>
    </row>
    <row r="51" spans="1:23" ht="12.75">
      <c r="A51" s="216"/>
      <c r="B51" s="217"/>
      <c r="C51" s="47"/>
      <c r="D51" s="47"/>
      <c r="E51" s="121"/>
      <c r="F51" s="47"/>
      <c r="G51" s="63"/>
      <c r="H51" s="47"/>
      <c r="I51" s="47"/>
      <c r="J51" s="63"/>
      <c r="K51" s="63"/>
      <c r="L51" s="63"/>
      <c r="M51" s="63"/>
      <c r="N51" s="63"/>
      <c r="O51" s="63"/>
      <c r="P51" s="63"/>
      <c r="Q51" s="63"/>
      <c r="R51" s="63"/>
      <c r="S51" s="63"/>
      <c r="T51" s="63"/>
      <c r="U51" s="63"/>
      <c r="V51" s="63"/>
      <c r="W51" s="63"/>
    </row>
    <row r="52" spans="1:23" ht="12.75">
      <c r="A52" s="216"/>
      <c r="B52" s="217"/>
      <c r="C52" s="47"/>
      <c r="D52" s="47"/>
      <c r="E52" s="121"/>
      <c r="F52" s="47"/>
      <c r="G52" s="63"/>
      <c r="H52" s="47"/>
      <c r="I52" s="47"/>
      <c r="J52" s="63"/>
      <c r="K52" s="63"/>
      <c r="L52" s="63"/>
      <c r="M52" s="63"/>
      <c r="N52" s="63"/>
      <c r="O52" s="63"/>
      <c r="P52" s="63"/>
      <c r="Q52" s="63"/>
      <c r="R52" s="63"/>
      <c r="S52" s="63"/>
      <c r="T52" s="63"/>
      <c r="U52" s="63"/>
      <c r="V52" s="63"/>
      <c r="W52" s="63"/>
    </row>
    <row r="53" spans="1:23" ht="12.75">
      <c r="A53" s="216"/>
      <c r="B53" s="217"/>
      <c r="C53" s="47"/>
      <c r="D53" s="47"/>
      <c r="E53" s="121"/>
      <c r="F53" s="47"/>
      <c r="G53" s="63"/>
      <c r="H53" s="47"/>
      <c r="I53" s="47"/>
      <c r="J53" s="63"/>
      <c r="K53" s="63"/>
      <c r="L53" s="63"/>
      <c r="M53" s="63"/>
      <c r="N53" s="63"/>
      <c r="O53" s="63"/>
      <c r="P53" s="63"/>
      <c r="Q53" s="63"/>
      <c r="R53" s="63"/>
      <c r="S53" s="63"/>
      <c r="T53" s="63"/>
      <c r="U53" s="63"/>
      <c r="V53" s="63"/>
      <c r="W53" s="63"/>
    </row>
    <row r="54" spans="1:23" ht="12.75">
      <c r="A54" s="216"/>
      <c r="B54" s="217"/>
      <c r="C54" s="47"/>
      <c r="D54" s="47"/>
      <c r="E54" s="121"/>
      <c r="F54" s="47"/>
      <c r="G54" s="63"/>
      <c r="H54" s="47"/>
      <c r="I54" s="47"/>
      <c r="J54" s="63"/>
      <c r="K54" s="63"/>
      <c r="L54" s="63"/>
      <c r="M54" s="63"/>
      <c r="N54" s="63"/>
      <c r="O54" s="63"/>
      <c r="P54" s="63"/>
      <c r="Q54" s="63"/>
      <c r="R54" s="63"/>
      <c r="S54" s="63"/>
      <c r="T54" s="63"/>
      <c r="U54" s="63"/>
      <c r="V54" s="63"/>
      <c r="W54" s="63"/>
    </row>
    <row r="55" spans="1:23" ht="12.75">
      <c r="A55" s="216"/>
      <c r="B55" s="217"/>
      <c r="C55" s="47"/>
      <c r="D55" s="47"/>
      <c r="E55" s="121"/>
      <c r="F55" s="47"/>
      <c r="G55" s="63"/>
      <c r="H55" s="47"/>
      <c r="I55" s="47"/>
      <c r="J55" s="63"/>
      <c r="K55" s="63"/>
      <c r="L55" s="63"/>
      <c r="M55" s="63"/>
      <c r="N55" s="63"/>
      <c r="O55" s="63"/>
      <c r="P55" s="63"/>
      <c r="Q55" s="63"/>
      <c r="R55" s="63"/>
      <c r="S55" s="63"/>
      <c r="T55" s="63"/>
      <c r="U55" s="63"/>
      <c r="V55" s="63"/>
      <c r="W55" s="63"/>
    </row>
    <row r="56" spans="1:23" ht="12.75">
      <c r="A56" s="216"/>
      <c r="B56" s="217"/>
      <c r="C56" s="47"/>
      <c r="D56" s="47"/>
      <c r="E56" s="121"/>
      <c r="F56" s="47"/>
      <c r="G56" s="63"/>
      <c r="H56" s="47"/>
      <c r="I56" s="47"/>
      <c r="J56" s="63"/>
      <c r="K56" s="63"/>
      <c r="L56" s="63"/>
      <c r="M56" s="63"/>
      <c r="N56" s="63"/>
      <c r="O56" s="63"/>
      <c r="P56" s="63"/>
      <c r="Q56" s="63"/>
      <c r="R56" s="63"/>
      <c r="S56" s="63"/>
      <c r="T56" s="63"/>
      <c r="U56" s="63"/>
      <c r="V56" s="63"/>
      <c r="W56" s="63"/>
    </row>
    <row r="57" spans="1:23" ht="12.75">
      <c r="A57" s="216"/>
      <c r="B57" s="217"/>
      <c r="C57" s="47"/>
      <c r="D57" s="47"/>
      <c r="E57" s="121"/>
      <c r="F57" s="47"/>
      <c r="G57" s="63"/>
      <c r="H57" s="47"/>
      <c r="I57" s="47"/>
      <c r="J57" s="63"/>
      <c r="K57" s="63"/>
      <c r="L57" s="63"/>
      <c r="M57" s="63"/>
      <c r="N57" s="63"/>
      <c r="O57" s="63"/>
      <c r="P57" s="63"/>
      <c r="Q57" s="63"/>
      <c r="R57" s="63"/>
      <c r="S57" s="63"/>
      <c r="T57" s="63"/>
      <c r="U57" s="63"/>
      <c r="V57" s="63"/>
      <c r="W57" s="63"/>
    </row>
    <row r="58" spans="1:23" ht="12.75">
      <c r="A58" s="216"/>
      <c r="B58" s="217"/>
      <c r="C58" s="47"/>
      <c r="D58" s="47"/>
      <c r="E58" s="121"/>
      <c r="F58" s="47"/>
      <c r="G58" s="63"/>
      <c r="H58" s="47"/>
      <c r="I58" s="47"/>
      <c r="J58" s="63"/>
      <c r="K58" s="63"/>
      <c r="L58" s="63"/>
      <c r="M58" s="63"/>
      <c r="N58" s="63"/>
      <c r="O58" s="63"/>
      <c r="P58" s="63"/>
      <c r="Q58" s="63"/>
      <c r="R58" s="63"/>
      <c r="S58" s="63"/>
      <c r="T58" s="63"/>
      <c r="U58" s="63"/>
      <c r="V58" s="63"/>
      <c r="W58" s="63"/>
    </row>
    <row r="59" spans="1:23" ht="12.75">
      <c r="A59" s="216"/>
      <c r="B59" s="217"/>
      <c r="C59" s="47"/>
      <c r="D59" s="47"/>
      <c r="E59" s="121"/>
      <c r="F59" s="47"/>
      <c r="G59" s="63"/>
      <c r="H59" s="47"/>
      <c r="I59" s="47"/>
      <c r="J59" s="63"/>
      <c r="K59" s="63"/>
      <c r="L59" s="63"/>
      <c r="M59" s="63"/>
      <c r="N59" s="63"/>
      <c r="O59" s="63"/>
      <c r="P59" s="63"/>
      <c r="Q59" s="63"/>
      <c r="R59" s="63"/>
      <c r="S59" s="63"/>
      <c r="T59" s="63"/>
      <c r="U59" s="63"/>
      <c r="V59" s="63"/>
      <c r="W59" s="63"/>
    </row>
    <row r="60" spans="1:23" ht="12.75">
      <c r="A60" s="216"/>
      <c r="B60" s="217"/>
      <c r="C60" s="47"/>
      <c r="D60" s="47"/>
      <c r="E60" s="121"/>
      <c r="F60" s="47"/>
      <c r="G60" s="63"/>
      <c r="H60" s="47"/>
      <c r="I60" s="47"/>
      <c r="J60" s="63"/>
      <c r="K60" s="63"/>
      <c r="L60" s="63"/>
      <c r="M60" s="63"/>
      <c r="N60" s="63"/>
      <c r="O60" s="63"/>
      <c r="P60" s="63"/>
      <c r="Q60" s="63"/>
      <c r="R60" s="63"/>
      <c r="S60" s="63"/>
      <c r="T60" s="63"/>
      <c r="U60" s="63"/>
      <c r="V60" s="63"/>
      <c r="W60" s="63"/>
    </row>
    <row r="61" spans="1:23" ht="12.75">
      <c r="A61" s="216"/>
      <c r="B61" s="217"/>
      <c r="C61" s="47"/>
      <c r="D61" s="47"/>
      <c r="E61" s="121"/>
      <c r="F61" s="47"/>
      <c r="G61" s="63"/>
      <c r="H61" s="47"/>
      <c r="I61" s="47"/>
      <c r="J61" s="63"/>
      <c r="K61" s="63"/>
      <c r="L61" s="63"/>
      <c r="M61" s="63"/>
      <c r="N61" s="63"/>
      <c r="O61" s="63"/>
      <c r="P61" s="63"/>
      <c r="Q61" s="63"/>
      <c r="R61" s="63"/>
      <c r="S61" s="63"/>
      <c r="T61" s="63"/>
      <c r="U61" s="63"/>
      <c r="V61" s="63"/>
      <c r="W61" s="63"/>
    </row>
    <row r="62" spans="1:23" ht="12.75">
      <c r="A62" s="216"/>
      <c r="B62" s="217"/>
      <c r="C62" s="47"/>
      <c r="D62" s="47"/>
      <c r="E62" s="121"/>
      <c r="F62" s="47"/>
      <c r="G62" s="63"/>
      <c r="H62" s="47"/>
      <c r="I62" s="47"/>
      <c r="J62" s="63"/>
      <c r="K62" s="63"/>
      <c r="L62" s="63"/>
      <c r="M62" s="63"/>
      <c r="N62" s="63"/>
      <c r="O62" s="63"/>
      <c r="P62" s="63"/>
      <c r="Q62" s="63"/>
      <c r="R62" s="63"/>
      <c r="S62" s="63"/>
      <c r="T62" s="63"/>
      <c r="U62" s="63"/>
      <c r="V62" s="63"/>
      <c r="W62" s="63"/>
    </row>
    <row r="63" spans="1:23" ht="12.75">
      <c r="A63" s="216"/>
      <c r="B63" s="217"/>
      <c r="C63" s="47"/>
      <c r="D63" s="47"/>
      <c r="E63" s="121"/>
      <c r="F63" s="47"/>
      <c r="G63" s="63"/>
      <c r="H63" s="47"/>
      <c r="I63" s="47"/>
      <c r="J63" s="63"/>
      <c r="K63" s="63"/>
      <c r="L63" s="63"/>
      <c r="M63" s="63"/>
      <c r="N63" s="63"/>
      <c r="O63" s="63"/>
      <c r="P63" s="63"/>
      <c r="Q63" s="63"/>
      <c r="R63" s="63"/>
      <c r="S63" s="63"/>
      <c r="T63" s="63"/>
      <c r="U63" s="63"/>
      <c r="V63" s="63"/>
      <c r="W63" s="63"/>
    </row>
    <row r="64" spans="1:23" ht="12.75">
      <c r="A64" s="216"/>
      <c r="B64" s="217"/>
      <c r="C64" s="47"/>
      <c r="D64" s="47"/>
      <c r="E64" s="121"/>
      <c r="F64" s="47"/>
      <c r="G64" s="63"/>
      <c r="H64" s="47"/>
      <c r="I64" s="47"/>
      <c r="J64" s="63"/>
      <c r="K64" s="63"/>
      <c r="L64" s="63"/>
      <c r="M64" s="63"/>
      <c r="N64" s="63"/>
      <c r="O64" s="63"/>
      <c r="P64" s="63"/>
      <c r="Q64" s="63"/>
      <c r="R64" s="63"/>
      <c r="S64" s="63"/>
      <c r="T64" s="63"/>
      <c r="U64" s="63"/>
      <c r="V64" s="63"/>
      <c r="W64" s="63"/>
    </row>
    <row r="65" spans="1:23" ht="12.75">
      <c r="A65" s="216"/>
      <c r="B65" s="217"/>
      <c r="C65" s="47"/>
      <c r="D65" s="47"/>
      <c r="E65" s="121"/>
      <c r="F65" s="47"/>
      <c r="G65" s="63"/>
      <c r="H65" s="47"/>
      <c r="I65" s="47"/>
      <c r="J65" s="63"/>
      <c r="K65" s="63"/>
      <c r="L65" s="63"/>
      <c r="M65" s="63"/>
      <c r="N65" s="63"/>
      <c r="O65" s="63"/>
      <c r="P65" s="63"/>
      <c r="Q65" s="63"/>
      <c r="R65" s="63"/>
      <c r="S65" s="63"/>
      <c r="T65" s="63"/>
      <c r="U65" s="63"/>
      <c r="V65" s="63"/>
      <c r="W65" s="63"/>
    </row>
    <row r="66" spans="1:23" ht="12.75">
      <c r="A66" s="216"/>
      <c r="B66" s="217"/>
      <c r="C66" s="47"/>
      <c r="D66" s="47"/>
      <c r="E66" s="121"/>
      <c r="F66" s="47"/>
      <c r="G66" s="63"/>
      <c r="H66" s="47"/>
      <c r="I66" s="47"/>
      <c r="J66" s="63"/>
      <c r="K66" s="63"/>
      <c r="L66" s="63"/>
      <c r="M66" s="63"/>
      <c r="N66" s="63"/>
      <c r="O66" s="63"/>
      <c r="P66" s="63"/>
      <c r="Q66" s="63"/>
      <c r="R66" s="63"/>
      <c r="S66" s="63"/>
      <c r="T66" s="63"/>
      <c r="U66" s="63"/>
      <c r="V66" s="63"/>
      <c r="W66" s="63"/>
    </row>
    <row r="67" spans="1:23" ht="12.75">
      <c r="A67" s="216"/>
      <c r="B67" s="217"/>
      <c r="C67" s="47"/>
      <c r="D67" s="47"/>
      <c r="E67" s="121"/>
      <c r="F67" s="47"/>
      <c r="G67" s="63"/>
      <c r="H67" s="47"/>
      <c r="I67" s="47"/>
      <c r="J67" s="63"/>
      <c r="K67" s="63"/>
      <c r="L67" s="63"/>
      <c r="M67" s="63"/>
      <c r="N67" s="63"/>
      <c r="O67" s="63"/>
      <c r="P67" s="63"/>
      <c r="Q67" s="63"/>
      <c r="R67" s="63"/>
      <c r="S67" s="63"/>
      <c r="T67" s="63"/>
      <c r="U67" s="63"/>
      <c r="V67" s="63"/>
      <c r="W67" s="63"/>
    </row>
    <row r="68" spans="1:23" ht="12.75">
      <c r="A68" s="216"/>
      <c r="B68" s="217"/>
      <c r="C68" s="47"/>
      <c r="D68" s="47"/>
      <c r="E68" s="121"/>
      <c r="F68" s="47"/>
      <c r="G68" s="63"/>
      <c r="H68" s="47"/>
      <c r="I68" s="47"/>
      <c r="J68" s="63"/>
      <c r="K68" s="63"/>
      <c r="L68" s="63"/>
      <c r="M68" s="63"/>
      <c r="N68" s="63"/>
      <c r="O68" s="63"/>
      <c r="P68" s="63"/>
      <c r="Q68" s="63"/>
      <c r="R68" s="63"/>
      <c r="S68" s="63"/>
      <c r="T68" s="63"/>
      <c r="U68" s="63"/>
      <c r="V68" s="63"/>
      <c r="W68" s="63"/>
    </row>
    <row r="69" spans="1:23" ht="12.75">
      <c r="A69" s="216"/>
      <c r="B69" s="217"/>
      <c r="C69" s="47"/>
      <c r="D69" s="47"/>
      <c r="E69" s="121"/>
      <c r="F69" s="47"/>
      <c r="G69" s="63"/>
      <c r="H69" s="47"/>
      <c r="I69" s="47"/>
      <c r="J69" s="63"/>
      <c r="K69" s="63"/>
      <c r="L69" s="63"/>
      <c r="M69" s="63"/>
      <c r="N69" s="63"/>
      <c r="O69" s="63"/>
      <c r="P69" s="63"/>
      <c r="Q69" s="63"/>
      <c r="R69" s="63"/>
      <c r="S69" s="63"/>
      <c r="T69" s="63"/>
      <c r="U69" s="63"/>
      <c r="V69" s="63"/>
      <c r="W69" s="63"/>
    </row>
    <row r="70" spans="1:23" ht="12.75">
      <c r="A70" s="216"/>
      <c r="B70" s="217"/>
      <c r="C70" s="47"/>
      <c r="D70" s="47"/>
      <c r="E70" s="121"/>
      <c r="F70" s="47"/>
      <c r="G70" s="63"/>
      <c r="H70" s="47"/>
      <c r="I70" s="47"/>
      <c r="J70" s="63"/>
      <c r="K70" s="63"/>
      <c r="L70" s="63"/>
      <c r="M70" s="63"/>
      <c r="N70" s="63"/>
      <c r="O70" s="63"/>
      <c r="P70" s="63"/>
      <c r="Q70" s="63"/>
      <c r="R70" s="63"/>
      <c r="S70" s="63"/>
      <c r="T70" s="63"/>
      <c r="U70" s="63"/>
      <c r="V70" s="63"/>
      <c r="W70" s="63"/>
    </row>
    <row r="71" spans="1:23" ht="12.75">
      <c r="A71" s="216"/>
      <c r="B71" s="217"/>
      <c r="C71" s="47"/>
      <c r="D71" s="47"/>
      <c r="E71" s="121"/>
      <c r="F71" s="47"/>
      <c r="G71" s="63"/>
      <c r="H71" s="47"/>
      <c r="I71" s="47"/>
      <c r="J71" s="63"/>
      <c r="K71" s="63"/>
      <c r="L71" s="63"/>
      <c r="M71" s="63"/>
      <c r="N71" s="63"/>
      <c r="O71" s="63"/>
      <c r="P71" s="63"/>
      <c r="Q71" s="63"/>
      <c r="R71" s="63"/>
      <c r="S71" s="63"/>
      <c r="T71" s="63"/>
      <c r="U71" s="63"/>
      <c r="V71" s="63"/>
      <c r="W71" s="63"/>
    </row>
    <row r="72" spans="1:23" ht="12.75">
      <c r="A72" s="216"/>
      <c r="B72" s="217"/>
      <c r="C72" s="47"/>
      <c r="D72" s="47"/>
      <c r="E72" s="121"/>
      <c r="F72" s="47"/>
      <c r="G72" s="63"/>
      <c r="H72" s="47"/>
      <c r="I72" s="47"/>
      <c r="J72" s="63"/>
      <c r="K72" s="63"/>
      <c r="L72" s="63"/>
      <c r="M72" s="63"/>
      <c r="N72" s="63"/>
      <c r="O72" s="63"/>
      <c r="P72" s="63"/>
      <c r="Q72" s="63"/>
      <c r="R72" s="63"/>
      <c r="S72" s="63"/>
      <c r="T72" s="63"/>
      <c r="U72" s="63"/>
      <c r="V72" s="63"/>
      <c r="W72" s="63"/>
    </row>
    <row r="73" spans="1:23" ht="12.75">
      <c r="A73" s="216"/>
      <c r="B73" s="217"/>
      <c r="C73" s="47"/>
      <c r="D73" s="47"/>
      <c r="E73" s="121"/>
      <c r="F73" s="47"/>
      <c r="G73" s="63"/>
      <c r="H73" s="47"/>
      <c r="I73" s="47"/>
      <c r="J73" s="63"/>
      <c r="K73" s="63"/>
      <c r="L73" s="63"/>
      <c r="M73" s="63"/>
      <c r="N73" s="63"/>
      <c r="O73" s="63"/>
      <c r="P73" s="63"/>
      <c r="Q73" s="63"/>
      <c r="R73" s="63"/>
      <c r="S73" s="63"/>
      <c r="T73" s="63"/>
      <c r="U73" s="63"/>
      <c r="V73" s="63"/>
      <c r="W73" s="63"/>
    </row>
    <row r="74" spans="1:23" ht="12.75">
      <c r="A74" s="216"/>
      <c r="B74" s="217"/>
      <c r="C74" s="47"/>
      <c r="D74" s="47"/>
      <c r="E74" s="121"/>
      <c r="F74" s="47"/>
      <c r="G74" s="63"/>
      <c r="H74" s="47"/>
      <c r="I74" s="47"/>
      <c r="J74" s="63"/>
      <c r="K74" s="63"/>
      <c r="L74" s="63"/>
      <c r="M74" s="63"/>
      <c r="N74" s="63"/>
      <c r="O74" s="63"/>
      <c r="P74" s="63"/>
      <c r="Q74" s="63"/>
      <c r="R74" s="63"/>
      <c r="S74" s="63"/>
      <c r="T74" s="63"/>
      <c r="U74" s="63"/>
      <c r="V74" s="63"/>
      <c r="W74" s="63"/>
    </row>
    <row r="75" spans="1:23" ht="12.75">
      <c r="A75" s="216"/>
      <c r="B75" s="217"/>
      <c r="C75" s="47"/>
      <c r="D75" s="47"/>
      <c r="E75" s="121"/>
      <c r="F75" s="47"/>
      <c r="G75" s="63"/>
      <c r="H75" s="47"/>
      <c r="I75" s="47"/>
      <c r="J75" s="63"/>
      <c r="K75" s="63"/>
      <c r="L75" s="63"/>
      <c r="M75" s="63"/>
      <c r="N75" s="63"/>
      <c r="O75" s="63"/>
      <c r="P75" s="63"/>
      <c r="Q75" s="63"/>
      <c r="R75" s="63"/>
      <c r="S75" s="63"/>
      <c r="T75" s="63"/>
      <c r="U75" s="63"/>
      <c r="V75" s="63"/>
      <c r="W75" s="63"/>
    </row>
    <row r="76" spans="1:23" ht="12.75">
      <c r="A76" s="216"/>
      <c r="B76" s="217"/>
      <c r="C76" s="47"/>
      <c r="D76" s="47"/>
      <c r="E76" s="121"/>
      <c r="F76" s="47"/>
      <c r="G76" s="63"/>
      <c r="H76" s="47"/>
      <c r="I76" s="47"/>
      <c r="J76" s="63"/>
      <c r="K76" s="63"/>
      <c r="L76" s="63"/>
      <c r="M76" s="63"/>
      <c r="N76" s="63"/>
      <c r="O76" s="63"/>
      <c r="P76" s="63"/>
      <c r="Q76" s="63"/>
      <c r="R76" s="63"/>
      <c r="S76" s="63"/>
      <c r="T76" s="63"/>
      <c r="U76" s="63"/>
      <c r="V76" s="63"/>
      <c r="W76" s="63"/>
    </row>
    <row r="77" spans="1:23" ht="12.75">
      <c r="A77" s="216"/>
      <c r="B77" s="217"/>
      <c r="C77" s="47"/>
      <c r="D77" s="47"/>
      <c r="E77" s="121"/>
      <c r="F77" s="47"/>
      <c r="G77" s="63"/>
      <c r="H77" s="47"/>
      <c r="I77" s="47"/>
      <c r="J77" s="63"/>
      <c r="K77" s="63"/>
      <c r="L77" s="63"/>
      <c r="M77" s="63"/>
      <c r="N77" s="63"/>
      <c r="O77" s="63"/>
      <c r="P77" s="63"/>
      <c r="Q77" s="63"/>
      <c r="R77" s="63"/>
      <c r="S77" s="63"/>
      <c r="T77" s="63"/>
      <c r="U77" s="63"/>
      <c r="V77" s="63"/>
      <c r="W77" s="63"/>
    </row>
    <row r="78" spans="1:23" ht="12.75">
      <c r="A78" s="216"/>
      <c r="B78" s="217"/>
      <c r="C78" s="47"/>
      <c r="D78" s="47"/>
      <c r="E78" s="121"/>
      <c r="F78" s="47"/>
      <c r="G78" s="63"/>
      <c r="H78" s="47"/>
      <c r="I78" s="47"/>
      <c r="J78" s="63"/>
      <c r="K78" s="63"/>
      <c r="L78" s="63"/>
      <c r="M78" s="63"/>
      <c r="N78" s="63"/>
      <c r="O78" s="63"/>
      <c r="P78" s="63"/>
      <c r="Q78" s="63"/>
      <c r="R78" s="63"/>
      <c r="S78" s="63"/>
      <c r="T78" s="63"/>
      <c r="U78" s="63"/>
      <c r="V78" s="63"/>
      <c r="W78" s="63"/>
    </row>
    <row r="79" spans="1:23" ht="12.75">
      <c r="A79" s="216"/>
      <c r="B79" s="217"/>
      <c r="C79" s="47"/>
      <c r="D79" s="47"/>
      <c r="E79" s="121"/>
      <c r="F79" s="47"/>
      <c r="G79" s="63"/>
      <c r="H79" s="47"/>
      <c r="I79" s="47"/>
      <c r="J79" s="63"/>
      <c r="K79" s="63"/>
      <c r="L79" s="63"/>
      <c r="M79" s="63"/>
      <c r="N79" s="63"/>
      <c r="O79" s="63"/>
      <c r="P79" s="63"/>
      <c r="Q79" s="63"/>
      <c r="R79" s="63"/>
      <c r="S79" s="63"/>
      <c r="T79" s="63"/>
      <c r="U79" s="63"/>
      <c r="V79" s="63"/>
      <c r="W79" s="63"/>
    </row>
    <row r="80" spans="1:23" ht="12.75">
      <c r="A80" s="216"/>
      <c r="B80" s="217"/>
      <c r="C80" s="47"/>
      <c r="D80" s="47"/>
      <c r="E80" s="121"/>
      <c r="F80" s="47"/>
      <c r="G80" s="63"/>
      <c r="H80" s="47"/>
      <c r="I80" s="47"/>
      <c r="J80" s="63"/>
      <c r="K80" s="63"/>
      <c r="L80" s="63"/>
      <c r="M80" s="63"/>
      <c r="N80" s="63"/>
      <c r="O80" s="63"/>
      <c r="P80" s="63"/>
      <c r="Q80" s="63"/>
      <c r="R80" s="63"/>
      <c r="S80" s="63"/>
      <c r="T80" s="63"/>
      <c r="U80" s="63"/>
      <c r="V80" s="63"/>
      <c r="W80" s="63"/>
    </row>
    <row r="81" spans="1:23" ht="12.75">
      <c r="A81" s="216"/>
      <c r="B81" s="217"/>
      <c r="C81" s="47"/>
      <c r="D81" s="47"/>
      <c r="E81" s="121"/>
      <c r="F81" s="47"/>
      <c r="G81" s="63"/>
      <c r="H81" s="47"/>
      <c r="I81" s="47"/>
      <c r="J81" s="63"/>
      <c r="K81" s="63"/>
      <c r="L81" s="63"/>
      <c r="M81" s="63"/>
      <c r="N81" s="63"/>
      <c r="O81" s="63"/>
      <c r="P81" s="63"/>
      <c r="Q81" s="63"/>
      <c r="R81" s="63"/>
      <c r="S81" s="63"/>
      <c r="T81" s="63"/>
      <c r="U81" s="63"/>
      <c r="V81" s="63"/>
      <c r="W81" s="63"/>
    </row>
    <row r="82" spans="1:23" ht="12.75">
      <c r="A82" s="216"/>
      <c r="B82" s="217"/>
      <c r="C82" s="47"/>
      <c r="D82" s="47"/>
      <c r="E82" s="121"/>
      <c r="F82" s="47"/>
      <c r="G82" s="63"/>
      <c r="H82" s="47"/>
      <c r="I82" s="47"/>
      <c r="J82" s="63"/>
      <c r="K82" s="63"/>
      <c r="L82" s="63"/>
      <c r="M82" s="63"/>
      <c r="N82" s="63"/>
      <c r="O82" s="63"/>
      <c r="P82" s="63"/>
      <c r="Q82" s="63"/>
      <c r="R82" s="63"/>
      <c r="S82" s="63"/>
      <c r="T82" s="63"/>
      <c r="U82" s="63"/>
      <c r="V82" s="63"/>
      <c r="W82" s="63"/>
    </row>
    <row r="83" spans="1:23" ht="12.75">
      <c r="A83" s="216"/>
      <c r="B83" s="217"/>
      <c r="C83" s="47"/>
      <c r="D83" s="47"/>
      <c r="E83" s="121"/>
      <c r="F83" s="47"/>
      <c r="G83" s="63"/>
      <c r="H83" s="47"/>
      <c r="I83" s="47"/>
      <c r="J83" s="63"/>
      <c r="K83" s="63"/>
      <c r="L83" s="63"/>
      <c r="M83" s="63"/>
      <c r="N83" s="63"/>
      <c r="O83" s="63"/>
      <c r="P83" s="63"/>
      <c r="Q83" s="63"/>
      <c r="R83" s="63"/>
      <c r="S83" s="63"/>
      <c r="T83" s="63"/>
      <c r="U83" s="63"/>
      <c r="V83" s="63"/>
      <c r="W83" s="63"/>
    </row>
    <row r="84" spans="1:23" ht="12.75">
      <c r="A84" s="216"/>
      <c r="B84" s="217"/>
      <c r="C84" s="47"/>
      <c r="D84" s="47"/>
      <c r="E84" s="121"/>
      <c r="F84" s="47"/>
      <c r="G84" s="63"/>
      <c r="H84" s="47"/>
      <c r="I84" s="47"/>
      <c r="J84" s="63"/>
      <c r="K84" s="63"/>
      <c r="L84" s="63"/>
      <c r="M84" s="63"/>
      <c r="N84" s="63"/>
      <c r="O84" s="63"/>
      <c r="P84" s="63"/>
      <c r="Q84" s="63"/>
      <c r="R84" s="63"/>
      <c r="S84" s="63"/>
      <c r="T84" s="63"/>
      <c r="U84" s="63"/>
      <c r="V84" s="63"/>
      <c r="W84" s="63"/>
    </row>
    <row r="85" spans="1:23" ht="12.75">
      <c r="A85" s="216"/>
      <c r="B85" s="217"/>
      <c r="C85" s="47"/>
      <c r="D85" s="47"/>
      <c r="E85" s="121"/>
      <c r="F85" s="47"/>
      <c r="G85" s="63"/>
      <c r="H85" s="47"/>
      <c r="I85" s="47"/>
      <c r="J85" s="63"/>
      <c r="K85" s="63"/>
      <c r="L85" s="63"/>
      <c r="M85" s="63"/>
      <c r="N85" s="63"/>
      <c r="O85" s="63"/>
      <c r="P85" s="63"/>
      <c r="Q85" s="63"/>
      <c r="R85" s="63"/>
      <c r="S85" s="63"/>
      <c r="T85" s="63"/>
      <c r="U85" s="63"/>
      <c r="V85" s="63"/>
      <c r="W85" s="63"/>
    </row>
    <row r="86" spans="1:23" ht="12.75">
      <c r="A86" s="216"/>
      <c r="B86" s="217"/>
      <c r="C86" s="47"/>
      <c r="D86" s="47"/>
      <c r="E86" s="121"/>
      <c r="F86" s="47"/>
      <c r="G86" s="63"/>
      <c r="H86" s="47"/>
      <c r="I86" s="47"/>
      <c r="J86" s="63"/>
      <c r="K86" s="63"/>
      <c r="L86" s="63"/>
      <c r="M86" s="63"/>
      <c r="N86" s="63"/>
      <c r="O86" s="63"/>
      <c r="P86" s="63"/>
      <c r="Q86" s="63"/>
      <c r="R86" s="63"/>
      <c r="S86" s="63"/>
      <c r="T86" s="63"/>
      <c r="U86" s="63"/>
      <c r="V86" s="63"/>
      <c r="W86" s="63"/>
    </row>
    <row r="87" spans="1:23" ht="12.75">
      <c r="A87" s="216"/>
      <c r="B87" s="217"/>
      <c r="C87" s="47"/>
      <c r="D87" s="47"/>
      <c r="E87" s="121"/>
      <c r="F87" s="47"/>
      <c r="G87" s="63"/>
      <c r="H87" s="47"/>
      <c r="I87" s="47"/>
      <c r="J87" s="63"/>
      <c r="K87" s="63"/>
      <c r="L87" s="63"/>
      <c r="M87" s="63"/>
      <c r="N87" s="63"/>
      <c r="O87" s="63"/>
      <c r="P87" s="63"/>
      <c r="Q87" s="63"/>
      <c r="R87" s="63"/>
      <c r="S87" s="63"/>
      <c r="T87" s="63"/>
      <c r="U87" s="63"/>
      <c r="V87" s="63"/>
      <c r="W87" s="63"/>
    </row>
    <row r="88" spans="1:23" ht="12.75">
      <c r="A88" s="216"/>
      <c r="B88" s="217"/>
      <c r="C88" s="47"/>
      <c r="D88" s="47"/>
      <c r="E88" s="121"/>
      <c r="F88" s="47"/>
      <c r="G88" s="63"/>
      <c r="H88" s="47"/>
      <c r="I88" s="47"/>
      <c r="J88" s="63"/>
      <c r="K88" s="63"/>
      <c r="L88" s="63"/>
      <c r="M88" s="63"/>
      <c r="N88" s="63"/>
      <c r="O88" s="63"/>
      <c r="P88" s="63"/>
      <c r="Q88" s="63"/>
      <c r="R88" s="63"/>
      <c r="S88" s="63"/>
      <c r="T88" s="63"/>
      <c r="U88" s="63"/>
      <c r="V88" s="63"/>
      <c r="W88" s="63"/>
    </row>
    <row r="89" spans="1:23" ht="12.75">
      <c r="A89" s="216"/>
      <c r="B89" s="217"/>
      <c r="C89" s="47"/>
      <c r="D89" s="47"/>
      <c r="E89" s="121"/>
      <c r="F89" s="47"/>
      <c r="G89" s="63"/>
      <c r="H89" s="47"/>
      <c r="I89" s="47"/>
      <c r="J89" s="63"/>
      <c r="K89" s="63"/>
      <c r="L89" s="63"/>
      <c r="M89" s="63"/>
      <c r="N89" s="63"/>
      <c r="O89" s="63"/>
      <c r="P89" s="63"/>
      <c r="Q89" s="63"/>
      <c r="R89" s="63"/>
      <c r="S89" s="63"/>
      <c r="T89" s="63"/>
      <c r="U89" s="63"/>
      <c r="V89" s="63"/>
      <c r="W89" s="63"/>
    </row>
    <row r="90" spans="1:23" ht="12.75">
      <c r="A90" s="216"/>
      <c r="B90" s="217"/>
      <c r="C90" s="47"/>
      <c r="D90" s="47"/>
      <c r="E90" s="121"/>
      <c r="F90" s="47"/>
      <c r="G90" s="63"/>
      <c r="H90" s="47"/>
      <c r="I90" s="47"/>
      <c r="J90" s="63"/>
      <c r="K90" s="63"/>
      <c r="L90" s="63"/>
      <c r="M90" s="63"/>
      <c r="N90" s="63"/>
      <c r="O90" s="63"/>
      <c r="P90" s="63"/>
      <c r="Q90" s="63"/>
      <c r="R90" s="63"/>
      <c r="S90" s="63"/>
      <c r="T90" s="63"/>
      <c r="U90" s="63"/>
      <c r="V90" s="63"/>
      <c r="W90" s="63"/>
    </row>
    <row r="91" spans="1:23" ht="12.75">
      <c r="A91" s="216"/>
      <c r="B91" s="217"/>
      <c r="C91" s="47"/>
      <c r="D91" s="47"/>
      <c r="E91" s="121"/>
      <c r="F91" s="47"/>
      <c r="G91" s="63"/>
      <c r="H91" s="47"/>
      <c r="I91" s="47"/>
      <c r="J91" s="63"/>
      <c r="K91" s="63"/>
      <c r="L91" s="63"/>
      <c r="M91" s="63"/>
      <c r="N91" s="63"/>
      <c r="O91" s="63"/>
      <c r="P91" s="63"/>
      <c r="Q91" s="63"/>
      <c r="R91" s="63"/>
      <c r="S91" s="63"/>
      <c r="T91" s="63"/>
      <c r="U91" s="63"/>
      <c r="V91" s="63"/>
      <c r="W91" s="63"/>
    </row>
    <row r="92" spans="1:23" ht="12.75">
      <c r="A92" s="216"/>
      <c r="B92" s="217"/>
      <c r="C92" s="47"/>
      <c r="D92" s="47"/>
      <c r="E92" s="121"/>
      <c r="F92" s="47"/>
      <c r="G92" s="63"/>
      <c r="H92" s="47"/>
      <c r="I92" s="47"/>
      <c r="J92" s="63"/>
      <c r="K92" s="63"/>
      <c r="L92" s="63"/>
      <c r="M92" s="63"/>
      <c r="N92" s="63"/>
      <c r="O92" s="63"/>
      <c r="P92" s="63"/>
      <c r="Q92" s="63"/>
      <c r="R92" s="63"/>
      <c r="S92" s="63"/>
      <c r="T92" s="63"/>
      <c r="U92" s="63"/>
      <c r="V92" s="63"/>
      <c r="W92" s="63"/>
    </row>
    <row r="93" spans="1:23" ht="12.75">
      <c r="A93" s="216"/>
      <c r="B93" s="217"/>
      <c r="C93" s="47"/>
      <c r="D93" s="47"/>
      <c r="E93" s="121"/>
      <c r="F93" s="47"/>
      <c r="G93" s="63"/>
      <c r="H93" s="47"/>
      <c r="I93" s="47"/>
      <c r="J93" s="63"/>
      <c r="K93" s="63"/>
      <c r="L93" s="63"/>
      <c r="M93" s="63"/>
      <c r="N93" s="63"/>
      <c r="O93" s="63"/>
      <c r="P93" s="63"/>
      <c r="Q93" s="63"/>
      <c r="R93" s="63"/>
      <c r="S93" s="63"/>
      <c r="T93" s="63"/>
      <c r="U93" s="63"/>
      <c r="V93" s="63"/>
      <c r="W93" s="63"/>
    </row>
    <row r="94" spans="1:23" ht="12.75">
      <c r="A94" s="216"/>
      <c r="B94" s="217"/>
      <c r="C94" s="47"/>
      <c r="D94" s="47"/>
      <c r="E94" s="121"/>
      <c r="F94" s="47"/>
      <c r="G94" s="63"/>
      <c r="H94" s="47"/>
      <c r="I94" s="47"/>
      <c r="J94" s="63"/>
      <c r="K94" s="63"/>
      <c r="L94" s="63"/>
      <c r="M94" s="63"/>
      <c r="N94" s="63"/>
      <c r="O94" s="63"/>
      <c r="P94" s="63"/>
      <c r="Q94" s="63"/>
      <c r="R94" s="63"/>
      <c r="S94" s="63"/>
      <c r="T94" s="63"/>
      <c r="U94" s="63"/>
      <c r="V94" s="63"/>
      <c r="W94" s="63"/>
    </row>
    <row r="95" spans="1:23" ht="12.75">
      <c r="A95" s="216"/>
      <c r="B95" s="217"/>
      <c r="C95" s="47"/>
      <c r="D95" s="47"/>
      <c r="E95" s="121"/>
      <c r="F95" s="47"/>
      <c r="G95" s="63"/>
      <c r="H95" s="47"/>
      <c r="I95" s="47"/>
      <c r="J95" s="63"/>
      <c r="K95" s="63"/>
      <c r="L95" s="63"/>
      <c r="M95" s="63"/>
      <c r="N95" s="63"/>
      <c r="O95" s="63"/>
      <c r="P95" s="63"/>
      <c r="Q95" s="63"/>
      <c r="R95" s="63"/>
      <c r="S95" s="63"/>
      <c r="T95" s="63"/>
      <c r="U95" s="63"/>
      <c r="V95" s="63"/>
      <c r="W95" s="63"/>
    </row>
    <row r="96" spans="1:23" ht="12.75">
      <c r="A96" s="216"/>
      <c r="B96" s="217"/>
      <c r="C96" s="47"/>
      <c r="D96" s="47"/>
      <c r="E96" s="121"/>
      <c r="F96" s="47"/>
      <c r="G96" s="63"/>
      <c r="H96" s="47"/>
      <c r="I96" s="47"/>
      <c r="J96" s="63"/>
      <c r="K96" s="63"/>
      <c r="L96" s="63"/>
      <c r="M96" s="63"/>
      <c r="N96" s="63"/>
      <c r="O96" s="63"/>
      <c r="P96" s="63"/>
      <c r="Q96" s="63"/>
      <c r="R96" s="63"/>
      <c r="S96" s="63"/>
      <c r="T96" s="63"/>
      <c r="U96" s="63"/>
      <c r="V96" s="63"/>
      <c r="W96" s="63"/>
    </row>
    <row r="97" spans="1:23" ht="12.75">
      <c r="A97" s="216"/>
      <c r="B97" s="217"/>
      <c r="C97" s="47"/>
      <c r="D97" s="47"/>
      <c r="E97" s="121"/>
      <c r="F97" s="47"/>
      <c r="G97" s="63"/>
      <c r="H97" s="47"/>
      <c r="I97" s="47"/>
      <c r="J97" s="63"/>
      <c r="K97" s="63"/>
      <c r="L97" s="63"/>
      <c r="M97" s="63"/>
      <c r="N97" s="63"/>
      <c r="O97" s="63"/>
      <c r="P97" s="63"/>
      <c r="Q97" s="63"/>
      <c r="R97" s="63"/>
      <c r="S97" s="63"/>
      <c r="T97" s="63"/>
      <c r="U97" s="63"/>
      <c r="V97" s="63"/>
      <c r="W97" s="63"/>
    </row>
    <row r="98" spans="1:23" ht="12.75">
      <c r="A98" s="216"/>
      <c r="B98" s="217"/>
      <c r="C98" s="47"/>
      <c r="D98" s="47"/>
      <c r="E98" s="121"/>
      <c r="F98" s="47"/>
      <c r="G98" s="63"/>
      <c r="H98" s="47"/>
      <c r="I98" s="47"/>
      <c r="J98" s="63"/>
      <c r="K98" s="63"/>
      <c r="L98" s="63"/>
      <c r="M98" s="63"/>
      <c r="N98" s="63"/>
      <c r="O98" s="63"/>
      <c r="P98" s="63"/>
      <c r="Q98" s="63"/>
      <c r="R98" s="63"/>
      <c r="S98" s="63"/>
      <c r="T98" s="63"/>
      <c r="U98" s="63"/>
      <c r="V98" s="63"/>
      <c r="W98" s="63"/>
    </row>
    <row r="99" spans="1:23" ht="12.75">
      <c r="A99" s="216"/>
      <c r="B99" s="217"/>
      <c r="C99" s="47"/>
      <c r="D99" s="47"/>
      <c r="E99" s="121"/>
      <c r="F99" s="47"/>
      <c r="G99" s="63"/>
      <c r="H99" s="47"/>
      <c r="I99" s="47"/>
      <c r="J99" s="63"/>
      <c r="K99" s="63"/>
      <c r="L99" s="63"/>
      <c r="M99" s="63"/>
      <c r="N99" s="63"/>
      <c r="O99" s="63"/>
      <c r="P99" s="63"/>
      <c r="Q99" s="63"/>
      <c r="R99" s="63"/>
      <c r="S99" s="63"/>
      <c r="T99" s="63"/>
      <c r="U99" s="63"/>
      <c r="V99" s="63"/>
      <c r="W99" s="63"/>
    </row>
    <row r="100" spans="1:23" ht="12.75">
      <c r="A100" s="216"/>
      <c r="B100" s="217"/>
      <c r="C100" s="47"/>
      <c r="D100" s="47"/>
      <c r="E100" s="121"/>
      <c r="F100" s="47"/>
      <c r="G100" s="63"/>
      <c r="H100" s="47"/>
      <c r="I100" s="47"/>
      <c r="J100" s="63"/>
      <c r="K100" s="63"/>
      <c r="L100" s="63"/>
      <c r="M100" s="63"/>
      <c r="N100" s="63"/>
      <c r="O100" s="63"/>
      <c r="P100" s="63"/>
      <c r="Q100" s="63"/>
      <c r="R100" s="63"/>
      <c r="S100" s="63"/>
      <c r="T100" s="63"/>
      <c r="U100" s="63"/>
      <c r="V100" s="63"/>
      <c r="W100" s="63"/>
    </row>
    <row r="101" spans="1:23" ht="12.75">
      <c r="A101" s="216"/>
      <c r="B101" s="217"/>
      <c r="C101" s="47"/>
      <c r="D101" s="47"/>
      <c r="E101" s="121"/>
      <c r="F101" s="47"/>
      <c r="G101" s="63"/>
      <c r="H101" s="47"/>
      <c r="I101" s="47"/>
      <c r="J101" s="63"/>
      <c r="K101" s="63"/>
      <c r="L101" s="63"/>
      <c r="M101" s="63"/>
      <c r="N101" s="63"/>
      <c r="O101" s="63"/>
      <c r="P101" s="63"/>
      <c r="Q101" s="63"/>
      <c r="R101" s="63"/>
      <c r="S101" s="63"/>
      <c r="T101" s="63"/>
      <c r="U101" s="63"/>
      <c r="V101" s="63"/>
      <c r="W101" s="63"/>
    </row>
    <row r="102" spans="1:23" ht="12.75">
      <c r="A102" s="216"/>
      <c r="B102" s="217"/>
      <c r="C102" s="47"/>
      <c r="D102" s="47"/>
      <c r="E102" s="121"/>
      <c r="F102" s="47"/>
      <c r="G102" s="63"/>
      <c r="H102" s="47"/>
      <c r="I102" s="47"/>
      <c r="J102" s="63"/>
      <c r="K102" s="63"/>
      <c r="L102" s="63"/>
      <c r="M102" s="63"/>
      <c r="N102" s="63"/>
      <c r="O102" s="63"/>
      <c r="P102" s="63"/>
      <c r="Q102" s="63"/>
      <c r="R102" s="63"/>
      <c r="S102" s="63"/>
      <c r="T102" s="63"/>
      <c r="U102" s="63"/>
      <c r="V102" s="63"/>
      <c r="W102" s="63"/>
    </row>
    <row r="103" spans="1:23" ht="12.75">
      <c r="A103" s="216"/>
      <c r="B103" s="217"/>
      <c r="C103" s="47"/>
      <c r="D103" s="47"/>
      <c r="E103" s="121"/>
      <c r="F103" s="47"/>
      <c r="G103" s="63"/>
      <c r="H103" s="47"/>
      <c r="I103" s="47"/>
      <c r="J103" s="63"/>
      <c r="K103" s="63"/>
      <c r="L103" s="63"/>
      <c r="M103" s="63"/>
      <c r="N103" s="63"/>
      <c r="O103" s="63"/>
      <c r="P103" s="63"/>
      <c r="Q103" s="63"/>
      <c r="R103" s="63"/>
      <c r="S103" s="63"/>
      <c r="T103" s="63"/>
      <c r="U103" s="63"/>
      <c r="V103" s="63"/>
      <c r="W103" s="63"/>
    </row>
    <row r="104" spans="1:23" ht="12.75">
      <c r="A104" s="216"/>
      <c r="B104" s="217"/>
      <c r="C104" s="47"/>
      <c r="D104" s="47"/>
      <c r="E104" s="121"/>
      <c r="F104" s="47"/>
      <c r="G104" s="63"/>
      <c r="H104" s="47"/>
      <c r="I104" s="47"/>
      <c r="J104" s="63"/>
      <c r="K104" s="63"/>
      <c r="L104" s="63"/>
      <c r="M104" s="63"/>
      <c r="N104" s="63"/>
      <c r="O104" s="63"/>
      <c r="P104" s="63"/>
      <c r="Q104" s="63"/>
      <c r="R104" s="63"/>
      <c r="S104" s="63"/>
      <c r="T104" s="63"/>
      <c r="U104" s="63"/>
      <c r="V104" s="63"/>
      <c r="W104" s="63"/>
    </row>
    <row r="105" spans="1:23" ht="12.75">
      <c r="A105" s="216"/>
      <c r="B105" s="217"/>
      <c r="C105" s="47"/>
      <c r="D105" s="47"/>
      <c r="E105" s="121"/>
      <c r="F105" s="47"/>
      <c r="G105" s="63"/>
      <c r="H105" s="47"/>
      <c r="I105" s="47"/>
      <c r="J105" s="63"/>
      <c r="K105" s="63"/>
      <c r="L105" s="63"/>
      <c r="M105" s="63"/>
      <c r="N105" s="63"/>
      <c r="O105" s="63"/>
      <c r="P105" s="63"/>
      <c r="Q105" s="63"/>
      <c r="R105" s="63"/>
      <c r="S105" s="63"/>
      <c r="T105" s="63"/>
      <c r="U105" s="63"/>
      <c r="V105" s="63"/>
      <c r="W105" s="63"/>
    </row>
    <row r="106" spans="1:23" ht="12.75">
      <c r="A106" s="216"/>
      <c r="B106" s="217"/>
      <c r="C106" s="47"/>
      <c r="D106" s="47"/>
      <c r="E106" s="121"/>
      <c r="F106" s="47"/>
      <c r="G106" s="63"/>
      <c r="H106" s="47"/>
      <c r="I106" s="47"/>
      <c r="J106" s="63"/>
      <c r="K106" s="63"/>
      <c r="L106" s="63"/>
      <c r="M106" s="63"/>
      <c r="N106" s="63"/>
      <c r="O106" s="63"/>
      <c r="P106" s="63"/>
      <c r="Q106" s="63"/>
      <c r="R106" s="63"/>
      <c r="S106" s="63"/>
      <c r="T106" s="63"/>
      <c r="U106" s="63"/>
      <c r="V106" s="63"/>
      <c r="W106" s="63"/>
    </row>
    <row r="107" spans="1:23" ht="12.75">
      <c r="A107" s="216"/>
      <c r="B107" s="217"/>
      <c r="C107" s="47"/>
      <c r="D107" s="47"/>
      <c r="E107" s="121"/>
      <c r="F107" s="47"/>
      <c r="G107" s="63"/>
      <c r="H107" s="47"/>
      <c r="I107" s="47"/>
      <c r="J107" s="63"/>
      <c r="K107" s="63"/>
      <c r="L107" s="63"/>
      <c r="M107" s="63"/>
      <c r="N107" s="63"/>
      <c r="O107" s="63"/>
      <c r="P107" s="63"/>
      <c r="Q107" s="63"/>
      <c r="R107" s="63"/>
      <c r="S107" s="63"/>
      <c r="T107" s="63"/>
      <c r="U107" s="63"/>
      <c r="V107" s="63"/>
      <c r="W107" s="63"/>
    </row>
    <row r="108" spans="1:23" ht="12.75">
      <c r="A108" s="216"/>
      <c r="B108" s="217"/>
      <c r="C108" s="47"/>
      <c r="D108" s="47"/>
      <c r="E108" s="121"/>
      <c r="F108" s="47"/>
      <c r="G108" s="63"/>
      <c r="H108" s="47"/>
      <c r="I108" s="47"/>
      <c r="J108" s="63"/>
      <c r="K108" s="63"/>
      <c r="L108" s="63"/>
      <c r="M108" s="63"/>
      <c r="N108" s="63"/>
      <c r="O108" s="63"/>
      <c r="P108" s="63"/>
      <c r="Q108" s="63"/>
      <c r="R108" s="63"/>
      <c r="S108" s="63"/>
      <c r="T108" s="63"/>
      <c r="U108" s="63"/>
      <c r="V108" s="63"/>
      <c r="W108" s="63"/>
    </row>
    <row r="109" spans="1:23" ht="12.75">
      <c r="A109" s="216"/>
      <c r="B109" s="217"/>
      <c r="C109" s="47"/>
      <c r="D109" s="47"/>
      <c r="E109" s="121"/>
      <c r="F109" s="47"/>
      <c r="G109" s="63"/>
      <c r="H109" s="47"/>
      <c r="I109" s="47"/>
      <c r="J109" s="63"/>
      <c r="K109" s="63"/>
      <c r="L109" s="63"/>
      <c r="M109" s="63"/>
      <c r="N109" s="63"/>
      <c r="O109" s="63"/>
      <c r="P109" s="63"/>
      <c r="Q109" s="63"/>
      <c r="R109" s="63"/>
      <c r="S109" s="63"/>
      <c r="T109" s="63"/>
      <c r="U109" s="63"/>
      <c r="V109" s="63"/>
      <c r="W109" s="63"/>
    </row>
    <row r="110" spans="1:23" ht="12.75">
      <c r="A110" s="216"/>
      <c r="B110" s="217"/>
      <c r="C110" s="47"/>
      <c r="D110" s="47"/>
      <c r="E110" s="121"/>
      <c r="F110" s="47"/>
      <c r="G110" s="63"/>
      <c r="H110" s="47"/>
      <c r="I110" s="47"/>
      <c r="J110" s="63"/>
      <c r="K110" s="63"/>
      <c r="L110" s="63"/>
      <c r="M110" s="63"/>
      <c r="N110" s="63"/>
      <c r="O110" s="63"/>
      <c r="P110" s="63"/>
      <c r="Q110" s="63"/>
      <c r="R110" s="63"/>
      <c r="S110" s="63"/>
      <c r="T110" s="63"/>
      <c r="U110" s="63"/>
      <c r="V110" s="63"/>
      <c r="W110" s="63"/>
    </row>
    <row r="111" spans="1:23" ht="12.75">
      <c r="A111" s="216"/>
      <c r="B111" s="217"/>
      <c r="C111" s="47"/>
      <c r="D111" s="47"/>
      <c r="E111" s="121"/>
      <c r="F111" s="47"/>
      <c r="G111" s="63"/>
      <c r="H111" s="47"/>
      <c r="I111" s="47"/>
      <c r="J111" s="63"/>
      <c r="K111" s="63"/>
      <c r="L111" s="63"/>
      <c r="M111" s="63"/>
      <c r="N111" s="63"/>
      <c r="O111" s="63"/>
      <c r="P111" s="63"/>
      <c r="Q111" s="63"/>
      <c r="R111" s="63"/>
      <c r="S111" s="63"/>
      <c r="T111" s="63"/>
      <c r="U111" s="63"/>
      <c r="V111" s="63"/>
      <c r="W111" s="63"/>
    </row>
    <row r="112" spans="1:23" ht="12.75">
      <c r="A112" s="216"/>
      <c r="B112" s="217"/>
      <c r="C112" s="47"/>
      <c r="D112" s="47"/>
      <c r="E112" s="121"/>
      <c r="F112" s="47"/>
      <c r="G112" s="63"/>
      <c r="H112" s="47"/>
      <c r="I112" s="47"/>
      <c r="J112" s="63"/>
      <c r="K112" s="63"/>
      <c r="L112" s="63"/>
      <c r="M112" s="63"/>
      <c r="N112" s="63"/>
      <c r="O112" s="63"/>
      <c r="P112" s="63"/>
      <c r="Q112" s="63"/>
      <c r="R112" s="63"/>
      <c r="S112" s="63"/>
      <c r="T112" s="63"/>
      <c r="U112" s="63"/>
      <c r="V112" s="63"/>
      <c r="W112" s="63"/>
    </row>
    <row r="113" spans="1:23" ht="12.75">
      <c r="A113" s="216"/>
      <c r="B113" s="217"/>
      <c r="C113" s="47"/>
      <c r="D113" s="47"/>
      <c r="E113" s="121"/>
      <c r="F113" s="47"/>
      <c r="G113" s="63"/>
      <c r="H113" s="47"/>
      <c r="I113" s="47"/>
      <c r="J113" s="63"/>
      <c r="K113" s="63"/>
      <c r="L113" s="63"/>
      <c r="M113" s="63"/>
      <c r="N113" s="63"/>
      <c r="O113" s="63"/>
      <c r="P113" s="63"/>
      <c r="Q113" s="63"/>
      <c r="R113" s="63"/>
      <c r="S113" s="63"/>
      <c r="T113" s="63"/>
      <c r="U113" s="63"/>
      <c r="V113" s="63"/>
      <c r="W113" s="63"/>
    </row>
    <row r="114" spans="1:23" ht="12.75">
      <c r="A114" s="216"/>
      <c r="B114" s="217"/>
      <c r="C114" s="47"/>
      <c r="D114" s="47"/>
      <c r="E114" s="121"/>
      <c r="F114" s="47"/>
      <c r="G114" s="63"/>
      <c r="H114" s="47"/>
      <c r="I114" s="47"/>
      <c r="J114" s="63"/>
      <c r="K114" s="63"/>
      <c r="L114" s="63"/>
      <c r="M114" s="63"/>
      <c r="N114" s="63"/>
      <c r="O114" s="63"/>
      <c r="P114" s="63"/>
      <c r="Q114" s="63"/>
      <c r="R114" s="63"/>
      <c r="S114" s="63"/>
      <c r="T114" s="63"/>
      <c r="U114" s="63"/>
      <c r="V114" s="63"/>
      <c r="W114" s="63"/>
    </row>
    <row r="115" spans="1:23" ht="12.75">
      <c r="A115" s="216"/>
      <c r="B115" s="217"/>
      <c r="C115" s="47"/>
      <c r="D115" s="47"/>
      <c r="E115" s="121"/>
      <c r="F115" s="47"/>
      <c r="G115" s="63"/>
      <c r="H115" s="47"/>
      <c r="I115" s="47"/>
      <c r="J115" s="63"/>
      <c r="K115" s="63"/>
      <c r="L115" s="63"/>
      <c r="M115" s="63"/>
      <c r="N115" s="63"/>
      <c r="O115" s="63"/>
      <c r="P115" s="63"/>
      <c r="Q115" s="63"/>
      <c r="R115" s="63"/>
      <c r="S115" s="63"/>
      <c r="T115" s="63"/>
      <c r="U115" s="63"/>
      <c r="V115" s="63"/>
      <c r="W115" s="63"/>
    </row>
    <row r="116" spans="1:23" ht="12.75">
      <c r="A116" s="216"/>
      <c r="B116" s="217"/>
      <c r="C116" s="47"/>
      <c r="D116" s="47"/>
      <c r="E116" s="121"/>
      <c r="F116" s="47"/>
      <c r="G116" s="63"/>
      <c r="H116" s="47"/>
      <c r="I116" s="47"/>
      <c r="J116" s="63"/>
      <c r="K116" s="63"/>
      <c r="L116" s="63"/>
      <c r="M116" s="63"/>
      <c r="N116" s="63"/>
      <c r="O116" s="63"/>
      <c r="P116" s="63"/>
      <c r="Q116" s="63"/>
      <c r="R116" s="63"/>
      <c r="S116" s="63"/>
      <c r="T116" s="63"/>
      <c r="U116" s="63"/>
      <c r="V116" s="63"/>
      <c r="W116" s="63"/>
    </row>
    <row r="117" spans="1:23" ht="12.75">
      <c r="A117" s="216"/>
      <c r="B117" s="217"/>
      <c r="C117" s="47"/>
      <c r="D117" s="47"/>
      <c r="E117" s="121"/>
      <c r="F117" s="47"/>
      <c r="G117" s="63"/>
      <c r="H117" s="47"/>
      <c r="I117" s="47"/>
      <c r="J117" s="63"/>
      <c r="K117" s="63"/>
      <c r="L117" s="63"/>
      <c r="M117" s="63"/>
      <c r="N117" s="63"/>
      <c r="O117" s="63"/>
      <c r="P117" s="63"/>
      <c r="Q117" s="63"/>
      <c r="R117" s="63"/>
      <c r="S117" s="63"/>
      <c r="T117" s="63"/>
      <c r="U117" s="63"/>
      <c r="V117" s="63"/>
      <c r="W117" s="63"/>
    </row>
    <row r="118" spans="1:23" ht="12.75">
      <c r="A118" s="216"/>
      <c r="B118" s="217"/>
      <c r="C118" s="47"/>
      <c r="D118" s="47"/>
      <c r="E118" s="121"/>
      <c r="F118" s="47"/>
      <c r="G118" s="63"/>
      <c r="H118" s="47"/>
      <c r="I118" s="47"/>
      <c r="J118" s="63"/>
      <c r="K118" s="63"/>
      <c r="L118" s="63"/>
      <c r="M118" s="63"/>
      <c r="N118" s="63"/>
      <c r="O118" s="63"/>
      <c r="P118" s="63"/>
      <c r="Q118" s="63"/>
      <c r="R118" s="63"/>
      <c r="S118" s="63"/>
      <c r="T118" s="63"/>
      <c r="U118" s="63"/>
      <c r="V118" s="63"/>
      <c r="W118" s="63"/>
    </row>
    <row r="119" spans="1:23" ht="12.75">
      <c r="A119" s="216"/>
      <c r="B119" s="217"/>
      <c r="C119" s="47"/>
      <c r="D119" s="47"/>
      <c r="E119" s="121"/>
      <c r="F119" s="47"/>
      <c r="G119" s="63"/>
      <c r="H119" s="47"/>
      <c r="I119" s="47"/>
      <c r="J119" s="63"/>
      <c r="K119" s="63"/>
      <c r="L119" s="63"/>
      <c r="M119" s="63"/>
      <c r="N119" s="63"/>
      <c r="O119" s="63"/>
      <c r="P119" s="63"/>
      <c r="Q119" s="63"/>
      <c r="R119" s="63"/>
      <c r="S119" s="63"/>
      <c r="T119" s="63"/>
      <c r="U119" s="63"/>
      <c r="V119" s="63"/>
      <c r="W119" s="63"/>
    </row>
    <row r="120" spans="1:23" ht="12.75">
      <c r="A120" s="216"/>
      <c r="B120" s="217"/>
      <c r="C120" s="47"/>
      <c r="D120" s="47"/>
      <c r="E120" s="121"/>
      <c r="F120" s="47"/>
      <c r="G120" s="63"/>
      <c r="H120" s="47"/>
      <c r="I120" s="47"/>
      <c r="J120" s="63"/>
      <c r="K120" s="63"/>
      <c r="L120" s="63"/>
      <c r="M120" s="63"/>
      <c r="N120" s="63"/>
      <c r="O120" s="63"/>
      <c r="P120" s="63"/>
      <c r="Q120" s="63"/>
      <c r="R120" s="63"/>
      <c r="S120" s="63"/>
      <c r="T120" s="63"/>
      <c r="U120" s="63"/>
      <c r="V120" s="63"/>
      <c r="W120" s="63"/>
    </row>
    <row r="121" spans="1:23" ht="12.75">
      <c r="A121" s="216"/>
      <c r="B121" s="217"/>
      <c r="C121" s="47"/>
      <c r="D121" s="47"/>
      <c r="E121" s="121"/>
      <c r="F121" s="47"/>
      <c r="G121" s="63"/>
      <c r="H121" s="47"/>
      <c r="I121" s="47"/>
      <c r="J121" s="63"/>
      <c r="K121" s="63"/>
      <c r="L121" s="63"/>
      <c r="M121" s="63"/>
      <c r="N121" s="63"/>
      <c r="O121" s="63"/>
      <c r="P121" s="63"/>
      <c r="Q121" s="63"/>
      <c r="R121" s="63"/>
      <c r="S121" s="63"/>
      <c r="T121" s="63"/>
      <c r="U121" s="63"/>
      <c r="V121" s="63"/>
      <c r="W121" s="63"/>
    </row>
    <row r="122" spans="1:23" ht="12.75">
      <c r="A122" s="216"/>
      <c r="B122" s="217"/>
      <c r="C122" s="47"/>
      <c r="D122" s="47"/>
      <c r="E122" s="121"/>
      <c r="F122" s="47"/>
      <c r="G122" s="63"/>
      <c r="H122" s="47"/>
      <c r="I122" s="47"/>
      <c r="J122" s="63"/>
      <c r="K122" s="63"/>
      <c r="L122" s="63"/>
      <c r="M122" s="63"/>
      <c r="N122" s="63"/>
      <c r="O122" s="63"/>
      <c r="P122" s="63"/>
      <c r="Q122" s="63"/>
      <c r="R122" s="63"/>
      <c r="S122" s="63"/>
      <c r="T122" s="63"/>
      <c r="U122" s="63"/>
      <c r="V122" s="63"/>
      <c r="W122" s="63"/>
    </row>
    <row r="123" spans="1:23" ht="12.75">
      <c r="A123" s="216"/>
      <c r="B123" s="217"/>
      <c r="C123" s="47"/>
      <c r="D123" s="47"/>
      <c r="E123" s="121"/>
      <c r="F123" s="47"/>
      <c r="G123" s="63"/>
      <c r="H123" s="47"/>
      <c r="I123" s="47"/>
      <c r="J123" s="63"/>
      <c r="K123" s="63"/>
      <c r="L123" s="63"/>
      <c r="M123" s="63"/>
      <c r="N123" s="63"/>
      <c r="O123" s="63"/>
      <c r="P123" s="63"/>
      <c r="Q123" s="63"/>
      <c r="R123" s="63"/>
      <c r="S123" s="63"/>
      <c r="T123" s="63"/>
      <c r="U123" s="63"/>
      <c r="V123" s="63"/>
      <c r="W123" s="63"/>
    </row>
    <row r="124" spans="1:23" ht="12.75">
      <c r="A124" s="216"/>
      <c r="B124" s="217"/>
      <c r="C124" s="47"/>
      <c r="D124" s="47"/>
      <c r="E124" s="121"/>
      <c r="F124" s="47"/>
      <c r="G124" s="63"/>
      <c r="H124" s="47"/>
      <c r="I124" s="47"/>
      <c r="J124" s="63"/>
      <c r="K124" s="63"/>
      <c r="L124" s="63"/>
      <c r="M124" s="63"/>
      <c r="N124" s="63"/>
      <c r="O124" s="63"/>
      <c r="P124" s="63"/>
      <c r="Q124" s="63"/>
      <c r="R124" s="63"/>
      <c r="S124" s="63"/>
      <c r="T124" s="63"/>
      <c r="U124" s="63"/>
      <c r="V124" s="63"/>
      <c r="W124" s="63"/>
    </row>
    <row r="125" spans="1:23" ht="12.75">
      <c r="A125" s="216"/>
      <c r="B125" s="217"/>
      <c r="C125" s="47"/>
      <c r="D125" s="47"/>
      <c r="E125" s="121"/>
      <c r="F125" s="47"/>
      <c r="G125" s="63"/>
      <c r="H125" s="47"/>
      <c r="I125" s="47"/>
      <c r="J125" s="63"/>
      <c r="K125" s="63"/>
      <c r="L125" s="63"/>
      <c r="M125" s="63"/>
      <c r="N125" s="63"/>
      <c r="O125" s="63"/>
      <c r="P125" s="63"/>
      <c r="Q125" s="63"/>
      <c r="R125" s="63"/>
      <c r="S125" s="63"/>
      <c r="T125" s="63"/>
      <c r="U125" s="63"/>
      <c r="V125" s="63"/>
      <c r="W125" s="63"/>
    </row>
    <row r="126" spans="1:23" ht="12.75">
      <c r="A126" s="216"/>
      <c r="B126" s="217"/>
      <c r="C126" s="47"/>
      <c r="D126" s="47"/>
      <c r="E126" s="121"/>
      <c r="F126" s="47"/>
      <c r="G126" s="63"/>
      <c r="H126" s="47"/>
      <c r="I126" s="47"/>
      <c r="J126" s="63"/>
      <c r="K126" s="63"/>
      <c r="L126" s="63"/>
      <c r="M126" s="63"/>
      <c r="N126" s="63"/>
      <c r="O126" s="63"/>
      <c r="P126" s="63"/>
      <c r="Q126" s="63"/>
      <c r="R126" s="63"/>
      <c r="S126" s="63"/>
      <c r="T126" s="63"/>
      <c r="U126" s="63"/>
      <c r="V126" s="63"/>
      <c r="W126" s="63"/>
    </row>
    <row r="127" spans="1:23" ht="12.75">
      <c r="A127" s="216"/>
      <c r="B127" s="217"/>
      <c r="C127" s="47"/>
      <c r="D127" s="47"/>
      <c r="E127" s="121"/>
      <c r="F127" s="47"/>
      <c r="G127" s="63"/>
      <c r="H127" s="47"/>
      <c r="I127" s="47"/>
      <c r="J127" s="63"/>
      <c r="K127" s="63"/>
      <c r="L127" s="63"/>
      <c r="M127" s="63"/>
      <c r="N127" s="63"/>
      <c r="O127" s="63"/>
      <c r="P127" s="63"/>
      <c r="Q127" s="63"/>
      <c r="R127" s="63"/>
      <c r="S127" s="63"/>
      <c r="T127" s="63"/>
      <c r="U127" s="63"/>
      <c r="V127" s="63"/>
      <c r="W127" s="63"/>
    </row>
    <row r="128" spans="1:23" ht="12.75">
      <c r="A128" s="216"/>
      <c r="B128" s="217"/>
      <c r="C128" s="47"/>
      <c r="D128" s="47"/>
      <c r="E128" s="121"/>
      <c r="F128" s="47"/>
      <c r="G128" s="63"/>
      <c r="H128" s="47"/>
      <c r="I128" s="47"/>
      <c r="J128" s="63"/>
      <c r="K128" s="63"/>
      <c r="L128" s="63"/>
      <c r="M128" s="63"/>
      <c r="N128" s="63"/>
      <c r="O128" s="63"/>
      <c r="P128" s="63"/>
      <c r="Q128" s="63"/>
      <c r="R128" s="63"/>
      <c r="S128" s="63"/>
      <c r="T128" s="63"/>
      <c r="U128" s="63"/>
      <c r="V128" s="63"/>
      <c r="W128" s="63"/>
    </row>
    <row r="129" spans="1:23" ht="12.75">
      <c r="A129" s="216"/>
      <c r="B129" s="217"/>
      <c r="C129" s="47"/>
      <c r="D129" s="47"/>
      <c r="E129" s="121"/>
      <c r="F129" s="47"/>
      <c r="G129" s="63"/>
      <c r="H129" s="47"/>
      <c r="I129" s="47"/>
      <c r="J129" s="63"/>
      <c r="K129" s="63"/>
      <c r="L129" s="63"/>
      <c r="M129" s="63"/>
      <c r="N129" s="63"/>
      <c r="O129" s="63"/>
      <c r="P129" s="63"/>
      <c r="Q129" s="63"/>
      <c r="R129" s="63"/>
      <c r="S129" s="63"/>
      <c r="T129" s="63"/>
      <c r="U129" s="63"/>
      <c r="V129" s="63"/>
      <c r="W129" s="63"/>
    </row>
    <row r="130" spans="1:23" ht="12.75">
      <c r="A130" s="216"/>
      <c r="B130" s="217"/>
      <c r="C130" s="47"/>
      <c r="D130" s="47"/>
      <c r="E130" s="121"/>
      <c r="F130" s="47"/>
      <c r="G130" s="63"/>
      <c r="H130" s="47"/>
      <c r="I130" s="47"/>
      <c r="J130" s="63"/>
      <c r="K130" s="63"/>
      <c r="L130" s="63"/>
      <c r="M130" s="63"/>
      <c r="N130" s="63"/>
      <c r="O130" s="63"/>
      <c r="P130" s="63"/>
      <c r="Q130" s="63"/>
      <c r="R130" s="63"/>
      <c r="S130" s="63"/>
      <c r="T130" s="63"/>
      <c r="U130" s="63"/>
      <c r="V130" s="63"/>
      <c r="W130" s="63"/>
    </row>
    <row r="131" spans="1:23" ht="12.75">
      <c r="A131" s="216"/>
      <c r="B131" s="217"/>
      <c r="C131" s="47"/>
      <c r="D131" s="47"/>
      <c r="E131" s="121"/>
      <c r="F131" s="47"/>
      <c r="G131" s="63"/>
      <c r="H131" s="47"/>
      <c r="I131" s="47"/>
      <c r="J131" s="63"/>
      <c r="K131" s="63"/>
      <c r="L131" s="63"/>
      <c r="M131" s="63"/>
      <c r="N131" s="63"/>
      <c r="O131" s="63"/>
      <c r="P131" s="63"/>
      <c r="Q131" s="63"/>
      <c r="R131" s="63"/>
      <c r="S131" s="63"/>
      <c r="T131" s="63"/>
      <c r="U131" s="63"/>
      <c r="V131" s="63"/>
      <c r="W131" s="63"/>
    </row>
    <row r="132" spans="1:23" ht="12.75">
      <c r="A132" s="216"/>
      <c r="B132" s="217"/>
      <c r="C132" s="47"/>
      <c r="D132" s="47"/>
      <c r="E132" s="121"/>
      <c r="F132" s="47"/>
      <c r="G132" s="63"/>
      <c r="H132" s="47"/>
      <c r="I132" s="47"/>
      <c r="J132" s="63"/>
      <c r="K132" s="63"/>
      <c r="L132" s="63"/>
      <c r="M132" s="63"/>
      <c r="N132" s="63"/>
      <c r="O132" s="63"/>
      <c r="P132" s="63"/>
      <c r="Q132" s="63"/>
      <c r="R132" s="63"/>
      <c r="S132" s="63"/>
      <c r="T132" s="63"/>
      <c r="U132" s="63"/>
      <c r="V132" s="63"/>
      <c r="W132" s="63"/>
    </row>
    <row r="133" spans="1:23" ht="12.75">
      <c r="A133" s="216"/>
      <c r="B133" s="217"/>
      <c r="C133" s="47"/>
      <c r="D133" s="47"/>
      <c r="E133" s="121"/>
      <c r="F133" s="47"/>
      <c r="G133" s="63"/>
      <c r="H133" s="47"/>
      <c r="I133" s="47"/>
      <c r="J133" s="63"/>
      <c r="K133" s="63"/>
      <c r="L133" s="63"/>
      <c r="M133" s="63"/>
      <c r="N133" s="63"/>
      <c r="O133" s="63"/>
      <c r="P133" s="63"/>
      <c r="Q133" s="63"/>
      <c r="R133" s="63"/>
      <c r="S133" s="63"/>
      <c r="T133" s="63"/>
      <c r="U133" s="63"/>
      <c r="V133" s="63"/>
      <c r="W133" s="63"/>
    </row>
    <row r="134" spans="1:23" ht="12.75">
      <c r="A134" s="216"/>
      <c r="B134" s="217"/>
      <c r="C134" s="47"/>
      <c r="D134" s="47"/>
      <c r="E134" s="121"/>
      <c r="F134" s="47"/>
      <c r="G134" s="63"/>
      <c r="H134" s="47"/>
      <c r="I134" s="47"/>
      <c r="J134" s="63"/>
      <c r="K134" s="63"/>
      <c r="L134" s="63"/>
      <c r="M134" s="63"/>
      <c r="N134" s="63"/>
      <c r="O134" s="63"/>
      <c r="P134" s="63"/>
      <c r="Q134" s="63"/>
      <c r="R134" s="63"/>
      <c r="S134" s="63"/>
      <c r="T134" s="63"/>
      <c r="U134" s="63"/>
      <c r="V134" s="63"/>
      <c r="W134" s="63"/>
    </row>
    <row r="135" spans="1:23" ht="12.75">
      <c r="A135" s="216"/>
      <c r="B135" s="217"/>
      <c r="C135" s="47"/>
      <c r="D135" s="47"/>
      <c r="E135" s="121"/>
      <c r="F135" s="47"/>
      <c r="G135" s="63"/>
      <c r="H135" s="47"/>
      <c r="I135" s="47"/>
      <c r="J135" s="63"/>
      <c r="K135" s="63"/>
      <c r="L135" s="63"/>
      <c r="M135" s="63"/>
      <c r="N135" s="63"/>
      <c r="O135" s="63"/>
      <c r="P135" s="63"/>
      <c r="Q135" s="63"/>
      <c r="R135" s="63"/>
      <c r="S135" s="63"/>
      <c r="T135" s="63"/>
      <c r="U135" s="63"/>
      <c r="V135" s="63"/>
      <c r="W135" s="63"/>
    </row>
    <row r="136" spans="1:23" ht="12.75">
      <c r="A136" s="216"/>
      <c r="B136" s="217"/>
      <c r="C136" s="47"/>
      <c r="D136" s="47"/>
      <c r="E136" s="121"/>
      <c r="F136" s="47"/>
      <c r="G136" s="63"/>
      <c r="H136" s="47"/>
      <c r="I136" s="47"/>
      <c r="J136" s="63"/>
      <c r="K136" s="63"/>
      <c r="L136" s="63"/>
      <c r="M136" s="63"/>
      <c r="N136" s="63"/>
      <c r="O136" s="63"/>
      <c r="P136" s="63"/>
      <c r="Q136" s="63"/>
      <c r="R136" s="63"/>
      <c r="S136" s="63"/>
      <c r="T136" s="63"/>
      <c r="U136" s="63"/>
      <c r="V136" s="63"/>
      <c r="W136" s="63"/>
    </row>
    <row r="137" spans="1:23" ht="12.75">
      <c r="A137" s="216"/>
      <c r="B137" s="217"/>
      <c r="C137" s="47"/>
      <c r="D137" s="47"/>
      <c r="E137" s="121"/>
      <c r="F137" s="47"/>
      <c r="G137" s="63"/>
      <c r="H137" s="47"/>
      <c r="I137" s="47"/>
      <c r="J137" s="63"/>
      <c r="K137" s="63"/>
      <c r="L137" s="63"/>
      <c r="M137" s="63"/>
      <c r="N137" s="63"/>
      <c r="O137" s="63"/>
      <c r="P137" s="63"/>
      <c r="Q137" s="63"/>
      <c r="R137" s="63"/>
      <c r="S137" s="63"/>
      <c r="T137" s="63"/>
      <c r="U137" s="63"/>
      <c r="V137" s="63"/>
      <c r="W137" s="63"/>
    </row>
    <row r="138" spans="1:23" ht="12.75">
      <c r="A138" s="216"/>
      <c r="B138" s="217"/>
      <c r="C138" s="47"/>
      <c r="D138" s="47"/>
      <c r="E138" s="121"/>
      <c r="F138" s="47"/>
      <c r="G138" s="63"/>
      <c r="H138" s="47"/>
      <c r="I138" s="47"/>
      <c r="J138" s="63"/>
      <c r="K138" s="63"/>
      <c r="L138" s="63"/>
      <c r="M138" s="63"/>
      <c r="N138" s="63"/>
      <c r="O138" s="63"/>
      <c r="P138" s="63"/>
      <c r="Q138" s="63"/>
      <c r="R138" s="63"/>
      <c r="S138" s="63"/>
      <c r="T138" s="63"/>
      <c r="U138" s="63"/>
      <c r="V138" s="63"/>
      <c r="W138" s="63"/>
    </row>
    <row r="139" spans="1:23" ht="12.75">
      <c r="A139" s="216"/>
      <c r="B139" s="217"/>
      <c r="C139" s="47"/>
      <c r="D139" s="47"/>
      <c r="E139" s="121"/>
      <c r="F139" s="47"/>
      <c r="G139" s="63"/>
      <c r="H139" s="47"/>
      <c r="I139" s="47"/>
      <c r="J139" s="63"/>
      <c r="K139" s="63"/>
      <c r="L139" s="63"/>
      <c r="M139" s="63"/>
      <c r="N139" s="63"/>
      <c r="O139" s="63"/>
      <c r="P139" s="63"/>
      <c r="Q139" s="63"/>
      <c r="R139" s="63"/>
      <c r="S139" s="63"/>
      <c r="T139" s="63"/>
      <c r="U139" s="63"/>
      <c r="V139" s="63"/>
      <c r="W139" s="63"/>
    </row>
    <row r="140" spans="1:23" ht="12.75">
      <c r="A140" s="216"/>
      <c r="B140" s="217"/>
      <c r="C140" s="47"/>
      <c r="D140" s="47"/>
      <c r="E140" s="121"/>
      <c r="F140" s="47"/>
      <c r="G140" s="63"/>
      <c r="H140" s="47"/>
      <c r="I140" s="47"/>
      <c r="J140" s="63"/>
      <c r="K140" s="63"/>
      <c r="L140" s="63"/>
      <c r="M140" s="63"/>
      <c r="N140" s="63"/>
      <c r="O140" s="63"/>
      <c r="P140" s="63"/>
      <c r="Q140" s="63"/>
      <c r="R140" s="63"/>
      <c r="S140" s="63"/>
      <c r="T140" s="63"/>
      <c r="U140" s="63"/>
      <c r="V140" s="63"/>
      <c r="W140" s="63"/>
    </row>
    <row r="141" spans="1:23" ht="12.75">
      <c r="A141" s="216"/>
      <c r="B141" s="217"/>
      <c r="C141" s="47"/>
      <c r="D141" s="47"/>
      <c r="E141" s="121"/>
      <c r="F141" s="47"/>
      <c r="G141" s="63"/>
      <c r="H141" s="47"/>
      <c r="I141" s="47"/>
      <c r="J141" s="63"/>
      <c r="K141" s="63"/>
      <c r="L141" s="63"/>
      <c r="M141" s="63"/>
      <c r="N141" s="63"/>
      <c r="O141" s="63"/>
      <c r="P141" s="63"/>
      <c r="Q141" s="63"/>
      <c r="R141" s="63"/>
      <c r="S141" s="63"/>
      <c r="T141" s="63"/>
      <c r="U141" s="63"/>
      <c r="V141" s="63"/>
      <c r="W141" s="63"/>
    </row>
    <row r="142" spans="1:23" ht="12.75">
      <c r="A142" s="216"/>
      <c r="B142" s="217"/>
      <c r="C142" s="47"/>
      <c r="D142" s="47"/>
      <c r="E142" s="121"/>
      <c r="F142" s="47"/>
      <c r="G142" s="63"/>
      <c r="H142" s="47"/>
      <c r="I142" s="47"/>
      <c r="J142" s="63"/>
      <c r="K142" s="63"/>
      <c r="L142" s="63"/>
      <c r="M142" s="63"/>
      <c r="N142" s="63"/>
      <c r="O142" s="63"/>
      <c r="P142" s="63"/>
      <c r="Q142" s="63"/>
      <c r="R142" s="63"/>
      <c r="S142" s="63"/>
      <c r="T142" s="63"/>
      <c r="U142" s="63"/>
      <c r="V142" s="63"/>
      <c r="W142" s="63"/>
    </row>
    <row r="143" spans="1:23" ht="12.75">
      <c r="A143" s="216"/>
      <c r="B143" s="217"/>
      <c r="C143" s="47"/>
      <c r="D143" s="47"/>
      <c r="E143" s="121"/>
      <c r="F143" s="47"/>
      <c r="G143" s="63"/>
      <c r="H143" s="47"/>
      <c r="I143" s="47"/>
      <c r="J143" s="63"/>
      <c r="K143" s="63"/>
      <c r="L143" s="63"/>
      <c r="M143" s="63"/>
      <c r="N143" s="63"/>
      <c r="O143" s="63"/>
      <c r="P143" s="63"/>
      <c r="Q143" s="63"/>
      <c r="R143" s="63"/>
      <c r="S143" s="63"/>
      <c r="T143" s="63"/>
      <c r="U143" s="63"/>
      <c r="V143" s="63"/>
      <c r="W143" s="63"/>
    </row>
    <row r="144" spans="1:23" ht="12.75">
      <c r="A144" s="216"/>
      <c r="B144" s="217"/>
      <c r="C144" s="47"/>
      <c r="D144" s="47"/>
      <c r="E144" s="121"/>
      <c r="F144" s="47"/>
      <c r="G144" s="63"/>
      <c r="H144" s="47"/>
      <c r="I144" s="47"/>
      <c r="J144" s="63"/>
      <c r="K144" s="63"/>
      <c r="L144" s="63"/>
      <c r="M144" s="63"/>
      <c r="N144" s="63"/>
      <c r="O144" s="63"/>
      <c r="P144" s="63"/>
      <c r="Q144" s="63"/>
      <c r="R144" s="63"/>
      <c r="S144" s="63"/>
      <c r="T144" s="63"/>
      <c r="U144" s="63"/>
      <c r="V144" s="63"/>
      <c r="W144" s="63"/>
    </row>
    <row r="145" spans="1:23" ht="12.75">
      <c r="A145" s="216"/>
      <c r="B145" s="217"/>
      <c r="C145" s="47"/>
      <c r="D145" s="47"/>
      <c r="E145" s="121"/>
      <c r="F145" s="47"/>
      <c r="G145" s="63"/>
      <c r="H145" s="47"/>
      <c r="I145" s="47"/>
      <c r="J145" s="63"/>
      <c r="K145" s="63"/>
      <c r="L145" s="63"/>
      <c r="M145" s="63"/>
      <c r="N145" s="63"/>
      <c r="O145" s="63"/>
      <c r="P145" s="63"/>
      <c r="Q145" s="63"/>
      <c r="R145" s="63"/>
      <c r="S145" s="63"/>
      <c r="T145" s="63"/>
      <c r="U145" s="63"/>
      <c r="V145" s="63"/>
      <c r="W145" s="63"/>
    </row>
    <row r="146" spans="1:23" ht="12.75">
      <c r="A146" s="216"/>
      <c r="B146" s="217"/>
      <c r="C146" s="47"/>
      <c r="D146" s="47"/>
      <c r="E146" s="121"/>
      <c r="F146" s="47"/>
      <c r="G146" s="63"/>
      <c r="H146" s="47"/>
      <c r="I146" s="47"/>
      <c r="J146" s="63"/>
      <c r="K146" s="63"/>
      <c r="L146" s="63"/>
      <c r="M146" s="63"/>
      <c r="N146" s="63"/>
      <c r="O146" s="63"/>
      <c r="P146" s="63"/>
      <c r="Q146" s="63"/>
      <c r="R146" s="63"/>
      <c r="S146" s="63"/>
      <c r="T146" s="63"/>
      <c r="U146" s="63"/>
      <c r="V146" s="63"/>
      <c r="W146" s="63"/>
    </row>
    <row r="147" spans="1:23" ht="12.75">
      <c r="A147" s="216"/>
      <c r="B147" s="217"/>
      <c r="C147" s="47"/>
      <c r="D147" s="47"/>
      <c r="E147" s="121"/>
      <c r="F147" s="47"/>
      <c r="G147" s="63"/>
      <c r="H147" s="47"/>
      <c r="I147" s="47"/>
      <c r="J147" s="63"/>
      <c r="K147" s="63"/>
      <c r="L147" s="63"/>
      <c r="M147" s="63"/>
      <c r="N147" s="63"/>
      <c r="O147" s="63"/>
      <c r="P147" s="63"/>
      <c r="Q147" s="63"/>
      <c r="R147" s="63"/>
      <c r="S147" s="63"/>
      <c r="T147" s="63"/>
      <c r="U147" s="63"/>
      <c r="V147" s="63"/>
      <c r="W147" s="63"/>
    </row>
    <row r="148" spans="1:23" ht="12.75">
      <c r="A148" s="216"/>
      <c r="B148" s="217"/>
      <c r="C148" s="47"/>
      <c r="D148" s="47"/>
      <c r="E148" s="121"/>
      <c r="F148" s="47"/>
      <c r="G148" s="63"/>
      <c r="H148" s="47"/>
      <c r="I148" s="47"/>
      <c r="J148" s="63"/>
      <c r="K148" s="63"/>
      <c r="L148" s="63"/>
      <c r="M148" s="63"/>
      <c r="N148" s="63"/>
      <c r="O148" s="63"/>
      <c r="P148" s="63"/>
      <c r="Q148" s="63"/>
      <c r="R148" s="63"/>
      <c r="S148" s="63"/>
      <c r="T148" s="63"/>
      <c r="U148" s="63"/>
      <c r="V148" s="63"/>
      <c r="W148" s="63"/>
    </row>
    <row r="149" spans="1:23" ht="12.75">
      <c r="A149" s="216"/>
      <c r="B149" s="217"/>
      <c r="C149" s="47"/>
      <c r="D149" s="47"/>
      <c r="E149" s="121"/>
      <c r="F149" s="47"/>
      <c r="G149" s="63"/>
      <c r="H149" s="47"/>
      <c r="I149" s="47"/>
      <c r="J149" s="63"/>
      <c r="K149" s="63"/>
      <c r="L149" s="63"/>
      <c r="M149" s="63"/>
      <c r="N149" s="63"/>
      <c r="O149" s="63"/>
      <c r="P149" s="63"/>
      <c r="Q149" s="63"/>
      <c r="R149" s="63"/>
      <c r="S149" s="63"/>
      <c r="T149" s="63"/>
      <c r="U149" s="63"/>
      <c r="V149" s="63"/>
      <c r="W149" s="63"/>
    </row>
    <row r="150" spans="1:23" ht="12.75">
      <c r="A150" s="216"/>
      <c r="B150" s="217"/>
      <c r="C150" s="47"/>
      <c r="D150" s="47"/>
      <c r="E150" s="121"/>
      <c r="F150" s="47"/>
      <c r="G150" s="63"/>
      <c r="H150" s="47"/>
      <c r="I150" s="47"/>
      <c r="J150" s="63"/>
      <c r="K150" s="63"/>
      <c r="L150" s="63"/>
      <c r="M150" s="63"/>
      <c r="N150" s="63"/>
      <c r="O150" s="63"/>
      <c r="P150" s="63"/>
      <c r="Q150" s="63"/>
      <c r="R150" s="63"/>
      <c r="S150" s="63"/>
      <c r="T150" s="63"/>
      <c r="U150" s="63"/>
      <c r="V150" s="63"/>
      <c r="W150" s="63"/>
    </row>
    <row r="151" spans="1:23" ht="12.75">
      <c r="A151" s="216"/>
      <c r="B151" s="217"/>
      <c r="C151" s="47"/>
      <c r="D151" s="47"/>
      <c r="E151" s="121"/>
      <c r="F151" s="47"/>
      <c r="G151" s="63"/>
      <c r="H151" s="47"/>
      <c r="I151" s="47"/>
      <c r="J151" s="63"/>
      <c r="K151" s="63"/>
      <c r="L151" s="63"/>
      <c r="M151" s="63"/>
      <c r="N151" s="63"/>
      <c r="O151" s="63"/>
      <c r="P151" s="63"/>
      <c r="Q151" s="63"/>
      <c r="R151" s="63"/>
      <c r="S151" s="63"/>
      <c r="T151" s="63"/>
      <c r="U151" s="63"/>
      <c r="V151" s="63"/>
      <c r="W151" s="63"/>
    </row>
    <row r="152" spans="1:23" ht="12.75">
      <c r="A152" s="216"/>
      <c r="B152" s="217"/>
      <c r="C152" s="47"/>
      <c r="D152" s="47"/>
      <c r="E152" s="121"/>
      <c r="F152" s="47"/>
      <c r="G152" s="63"/>
      <c r="H152" s="47"/>
      <c r="I152" s="47"/>
      <c r="J152" s="63"/>
      <c r="K152" s="63"/>
      <c r="L152" s="63"/>
      <c r="M152" s="63"/>
      <c r="N152" s="63"/>
      <c r="O152" s="63"/>
      <c r="P152" s="63"/>
      <c r="Q152" s="63"/>
      <c r="R152" s="63"/>
      <c r="S152" s="63"/>
      <c r="T152" s="63"/>
      <c r="U152" s="63"/>
      <c r="V152" s="63"/>
      <c r="W152" s="63"/>
    </row>
    <row r="153" spans="1:23" ht="12.75">
      <c r="A153" s="216"/>
      <c r="B153" s="217"/>
      <c r="C153" s="47"/>
      <c r="D153" s="47"/>
      <c r="E153" s="121"/>
      <c r="F153" s="47"/>
      <c r="G153" s="63"/>
      <c r="H153" s="47"/>
      <c r="I153" s="47"/>
      <c r="J153" s="63"/>
      <c r="K153" s="63"/>
      <c r="L153" s="63"/>
      <c r="M153" s="63"/>
      <c r="N153" s="63"/>
      <c r="O153" s="63"/>
      <c r="P153" s="63"/>
      <c r="Q153" s="63"/>
      <c r="R153" s="63"/>
      <c r="S153" s="63"/>
      <c r="T153" s="63"/>
      <c r="U153" s="63"/>
      <c r="V153" s="63"/>
      <c r="W153" s="63"/>
    </row>
    <row r="154" spans="1:23" ht="12.75">
      <c r="A154" s="216"/>
      <c r="B154" s="217"/>
      <c r="C154" s="47"/>
      <c r="D154" s="47"/>
      <c r="E154" s="121"/>
      <c r="F154" s="47"/>
      <c r="G154" s="63"/>
      <c r="H154" s="47"/>
      <c r="I154" s="47"/>
      <c r="J154" s="63"/>
      <c r="K154" s="63"/>
      <c r="L154" s="63"/>
      <c r="M154" s="63"/>
      <c r="N154" s="63"/>
      <c r="O154" s="63"/>
      <c r="P154" s="63"/>
      <c r="Q154" s="63"/>
      <c r="R154" s="63"/>
      <c r="S154" s="63"/>
      <c r="T154" s="63"/>
      <c r="U154" s="63"/>
      <c r="V154" s="63"/>
      <c r="W154" s="63"/>
    </row>
    <row r="155" spans="1:23" ht="12.75">
      <c r="A155" s="216"/>
      <c r="B155" s="217"/>
      <c r="C155" s="47"/>
      <c r="D155" s="47"/>
      <c r="E155" s="121"/>
      <c r="F155" s="47"/>
      <c r="G155" s="63"/>
      <c r="H155" s="47"/>
      <c r="I155" s="47"/>
      <c r="J155" s="63"/>
      <c r="K155" s="63"/>
      <c r="L155" s="63"/>
      <c r="M155" s="63"/>
      <c r="N155" s="63"/>
      <c r="O155" s="63"/>
      <c r="P155" s="63"/>
      <c r="Q155" s="63"/>
      <c r="R155" s="63"/>
      <c r="S155" s="63"/>
      <c r="T155" s="63"/>
      <c r="U155" s="63"/>
      <c r="V155" s="63"/>
      <c r="W155" s="63"/>
    </row>
    <row r="156" spans="1:23" ht="12.75">
      <c r="A156" s="216"/>
      <c r="B156" s="217"/>
      <c r="C156" s="47"/>
      <c r="D156" s="47"/>
      <c r="E156" s="121"/>
      <c r="F156" s="47"/>
      <c r="G156" s="63"/>
      <c r="H156" s="47"/>
      <c r="I156" s="47"/>
      <c r="J156" s="63"/>
      <c r="K156" s="63"/>
      <c r="L156" s="63"/>
      <c r="M156" s="63"/>
      <c r="N156" s="63"/>
      <c r="O156" s="63"/>
      <c r="P156" s="63"/>
      <c r="Q156" s="63"/>
      <c r="R156" s="63"/>
      <c r="S156" s="63"/>
      <c r="T156" s="63"/>
      <c r="U156" s="63"/>
      <c r="V156" s="63"/>
      <c r="W156" s="63"/>
    </row>
    <row r="157" spans="1:23" ht="12.75">
      <c r="A157" s="216"/>
      <c r="B157" s="217"/>
      <c r="C157" s="47"/>
      <c r="D157" s="47"/>
      <c r="E157" s="121"/>
      <c r="F157" s="47"/>
      <c r="G157" s="63"/>
      <c r="H157" s="47"/>
      <c r="I157" s="47"/>
      <c r="J157" s="63"/>
      <c r="K157" s="63"/>
      <c r="L157" s="63"/>
      <c r="M157" s="63"/>
      <c r="N157" s="63"/>
      <c r="O157" s="63"/>
      <c r="P157" s="63"/>
      <c r="Q157" s="63"/>
      <c r="R157" s="63"/>
      <c r="S157" s="63"/>
      <c r="T157" s="63"/>
      <c r="U157" s="63"/>
      <c r="V157" s="63"/>
      <c r="W157" s="63"/>
    </row>
    <row r="158" spans="1:23" ht="12.75">
      <c r="A158" s="216"/>
      <c r="B158" s="217"/>
      <c r="C158" s="47"/>
      <c r="D158" s="47"/>
      <c r="E158" s="121"/>
      <c r="F158" s="47"/>
      <c r="G158" s="63"/>
      <c r="H158" s="47"/>
      <c r="I158" s="47"/>
      <c r="J158" s="63"/>
      <c r="K158" s="63"/>
      <c r="L158" s="63"/>
      <c r="M158" s="63"/>
      <c r="N158" s="63"/>
      <c r="O158" s="63"/>
      <c r="P158" s="63"/>
      <c r="Q158" s="63"/>
      <c r="R158" s="63"/>
      <c r="S158" s="63"/>
      <c r="T158" s="63"/>
      <c r="U158" s="63"/>
      <c r="V158" s="63"/>
      <c r="W158" s="63"/>
    </row>
    <row r="159" spans="1:23" ht="12.75">
      <c r="A159" s="216"/>
      <c r="B159" s="217"/>
      <c r="C159" s="47"/>
      <c r="D159" s="47"/>
      <c r="E159" s="121"/>
      <c r="F159" s="47"/>
      <c r="G159" s="63"/>
      <c r="H159" s="47"/>
      <c r="I159" s="47"/>
      <c r="J159" s="63"/>
      <c r="K159" s="63"/>
      <c r="L159" s="63"/>
      <c r="M159" s="63"/>
      <c r="N159" s="63"/>
      <c r="O159" s="63"/>
      <c r="P159" s="63"/>
      <c r="Q159" s="63"/>
      <c r="R159" s="63"/>
      <c r="S159" s="63"/>
      <c r="T159" s="63"/>
      <c r="U159" s="63"/>
      <c r="V159" s="63"/>
      <c r="W159" s="63"/>
    </row>
    <row r="160" spans="1:23" ht="12.75">
      <c r="A160" s="216"/>
      <c r="B160" s="217"/>
      <c r="C160" s="47"/>
      <c r="D160" s="47"/>
      <c r="E160" s="121"/>
      <c r="F160" s="47"/>
      <c r="G160" s="63"/>
      <c r="H160" s="47"/>
      <c r="I160" s="47"/>
      <c r="J160" s="63"/>
      <c r="K160" s="63"/>
      <c r="L160" s="63"/>
      <c r="M160" s="63"/>
      <c r="N160" s="63"/>
      <c r="O160" s="63"/>
      <c r="P160" s="63"/>
      <c r="Q160" s="63"/>
      <c r="R160" s="63"/>
      <c r="S160" s="63"/>
      <c r="T160" s="63"/>
      <c r="U160" s="63"/>
      <c r="V160" s="63"/>
      <c r="W160" s="63"/>
    </row>
    <row r="161" spans="1:23" ht="12.75">
      <c r="A161" s="216"/>
      <c r="B161" s="217"/>
      <c r="C161" s="47"/>
      <c r="D161" s="47"/>
      <c r="E161" s="121"/>
      <c r="F161" s="47"/>
      <c r="G161" s="63"/>
      <c r="H161" s="47"/>
      <c r="I161" s="47"/>
      <c r="J161" s="63"/>
      <c r="K161" s="63"/>
      <c r="L161" s="63"/>
      <c r="M161" s="63"/>
      <c r="N161" s="63"/>
      <c r="O161" s="63"/>
      <c r="P161" s="63"/>
      <c r="Q161" s="63"/>
      <c r="R161" s="63"/>
      <c r="S161" s="63"/>
      <c r="T161" s="63"/>
      <c r="U161" s="63"/>
      <c r="V161" s="63"/>
      <c r="W161" s="63"/>
    </row>
    <row r="162" spans="1:23" ht="12.75">
      <c r="A162" s="216"/>
      <c r="B162" s="217"/>
      <c r="C162" s="47"/>
      <c r="D162" s="47"/>
      <c r="E162" s="121"/>
      <c r="F162" s="47"/>
      <c r="G162" s="63"/>
      <c r="H162" s="47"/>
      <c r="I162" s="47"/>
      <c r="J162" s="63"/>
      <c r="K162" s="63"/>
      <c r="L162" s="63"/>
      <c r="M162" s="63"/>
      <c r="N162" s="63"/>
      <c r="O162" s="63"/>
      <c r="P162" s="63"/>
      <c r="Q162" s="63"/>
      <c r="R162" s="63"/>
      <c r="S162" s="63"/>
      <c r="T162" s="63"/>
      <c r="U162" s="63"/>
      <c r="V162" s="63"/>
      <c r="W162" s="63"/>
    </row>
    <row r="163" spans="1:23" ht="12.75">
      <c r="A163" s="216"/>
      <c r="B163" s="217"/>
      <c r="C163" s="47"/>
      <c r="D163" s="47"/>
      <c r="E163" s="121"/>
      <c r="F163" s="47"/>
      <c r="G163" s="63"/>
      <c r="H163" s="47"/>
      <c r="I163" s="47"/>
      <c r="J163" s="63"/>
      <c r="K163" s="63"/>
      <c r="L163" s="63"/>
      <c r="M163" s="63"/>
      <c r="N163" s="63"/>
      <c r="O163" s="63"/>
      <c r="P163" s="63"/>
      <c r="Q163" s="63"/>
      <c r="R163" s="63"/>
      <c r="S163" s="63"/>
      <c r="T163" s="63"/>
      <c r="U163" s="63"/>
      <c r="V163" s="63"/>
      <c r="W163" s="63"/>
    </row>
    <row r="164" spans="1:23" ht="12.75">
      <c r="A164" s="216"/>
      <c r="B164" s="217"/>
      <c r="C164" s="47"/>
      <c r="D164" s="47"/>
      <c r="E164" s="121"/>
      <c r="F164" s="47"/>
      <c r="G164" s="63"/>
      <c r="H164" s="47"/>
      <c r="I164" s="47"/>
      <c r="J164" s="63"/>
      <c r="K164" s="63"/>
      <c r="L164" s="63"/>
      <c r="M164" s="63"/>
      <c r="N164" s="63"/>
      <c r="O164" s="63"/>
      <c r="P164" s="63"/>
      <c r="Q164" s="63"/>
      <c r="R164" s="63"/>
      <c r="S164" s="63"/>
      <c r="T164" s="63"/>
      <c r="U164" s="63"/>
      <c r="V164" s="63"/>
      <c r="W164" s="63"/>
    </row>
    <row r="165" spans="1:23" ht="12.75">
      <c r="A165" s="216"/>
      <c r="B165" s="217"/>
      <c r="C165" s="47"/>
      <c r="D165" s="47"/>
      <c r="E165" s="121"/>
      <c r="F165" s="47"/>
      <c r="G165" s="63"/>
      <c r="H165" s="47"/>
      <c r="I165" s="47"/>
      <c r="J165" s="63"/>
      <c r="K165" s="63"/>
      <c r="L165" s="63"/>
      <c r="M165" s="63"/>
      <c r="N165" s="63"/>
      <c r="O165" s="63"/>
      <c r="P165" s="63"/>
      <c r="Q165" s="63"/>
      <c r="R165" s="63"/>
      <c r="S165" s="63"/>
      <c r="T165" s="63"/>
      <c r="U165" s="63"/>
      <c r="V165" s="63"/>
      <c r="W165" s="63"/>
    </row>
    <row r="166" spans="1:23" ht="12.75">
      <c r="A166" s="216"/>
      <c r="B166" s="217"/>
      <c r="C166" s="47"/>
      <c r="D166" s="47"/>
      <c r="E166" s="121"/>
      <c r="F166" s="47"/>
      <c r="G166" s="63"/>
      <c r="H166" s="47"/>
      <c r="I166" s="47"/>
      <c r="J166" s="63"/>
      <c r="K166" s="63"/>
      <c r="L166" s="63"/>
      <c r="M166" s="63"/>
      <c r="N166" s="63"/>
      <c r="O166" s="63"/>
      <c r="P166" s="63"/>
      <c r="Q166" s="63"/>
      <c r="R166" s="63"/>
      <c r="S166" s="63"/>
      <c r="T166" s="63"/>
      <c r="U166" s="63"/>
      <c r="V166" s="63"/>
      <c r="W166" s="63"/>
    </row>
    <row r="167" spans="1:23" ht="12.75">
      <c r="A167" s="216"/>
      <c r="B167" s="217"/>
      <c r="C167" s="47"/>
      <c r="D167" s="47"/>
      <c r="E167" s="121"/>
      <c r="F167" s="47"/>
      <c r="G167" s="63"/>
      <c r="H167" s="47"/>
      <c r="I167" s="47"/>
      <c r="J167" s="63"/>
      <c r="K167" s="63"/>
      <c r="L167" s="63"/>
      <c r="M167" s="63"/>
      <c r="N167" s="63"/>
      <c r="O167" s="63"/>
      <c r="P167" s="63"/>
      <c r="Q167" s="63"/>
      <c r="R167" s="63"/>
      <c r="S167" s="63"/>
      <c r="T167" s="63"/>
      <c r="U167" s="63"/>
      <c r="V167" s="63"/>
      <c r="W167" s="63"/>
    </row>
    <row r="168" spans="1:23" ht="12.75">
      <c r="A168" s="216"/>
      <c r="B168" s="217"/>
      <c r="C168" s="47"/>
      <c r="D168" s="47"/>
      <c r="E168" s="121"/>
      <c r="F168" s="47"/>
      <c r="G168" s="63"/>
      <c r="H168" s="47"/>
      <c r="I168" s="47"/>
      <c r="J168" s="63"/>
      <c r="K168" s="63"/>
      <c r="L168" s="63"/>
      <c r="M168" s="63"/>
      <c r="N168" s="63"/>
      <c r="O168" s="63"/>
      <c r="P168" s="63"/>
      <c r="Q168" s="63"/>
      <c r="R168" s="63"/>
      <c r="S168" s="63"/>
      <c r="T168" s="63"/>
      <c r="U168" s="63"/>
      <c r="V168" s="63"/>
      <c r="W168" s="63"/>
    </row>
    <row r="169" spans="1:23" ht="12.75">
      <c r="A169" s="216"/>
      <c r="B169" s="217"/>
      <c r="C169" s="47"/>
      <c r="D169" s="47"/>
      <c r="E169" s="121"/>
      <c r="F169" s="47"/>
      <c r="G169" s="63"/>
      <c r="H169" s="47"/>
      <c r="I169" s="47"/>
      <c r="J169" s="63"/>
      <c r="K169" s="63"/>
      <c r="L169" s="63"/>
      <c r="M169" s="63"/>
      <c r="N169" s="63"/>
      <c r="O169" s="63"/>
      <c r="P169" s="63"/>
      <c r="Q169" s="63"/>
      <c r="R169" s="63"/>
      <c r="S169" s="63"/>
      <c r="T169" s="63"/>
      <c r="U169" s="63"/>
      <c r="V169" s="63"/>
      <c r="W169" s="63"/>
    </row>
    <row r="170" spans="1:23" ht="12.75">
      <c r="A170" s="216"/>
      <c r="B170" s="217"/>
      <c r="C170" s="47"/>
      <c r="D170" s="47"/>
      <c r="E170" s="121"/>
      <c r="F170" s="47"/>
      <c r="G170" s="63"/>
      <c r="H170" s="47"/>
      <c r="I170" s="47"/>
      <c r="J170" s="63"/>
      <c r="K170" s="63"/>
      <c r="L170" s="63"/>
      <c r="M170" s="63"/>
      <c r="N170" s="63"/>
      <c r="O170" s="63"/>
      <c r="P170" s="63"/>
      <c r="Q170" s="63"/>
      <c r="R170" s="63"/>
      <c r="S170" s="63"/>
      <c r="T170" s="63"/>
      <c r="U170" s="63"/>
      <c r="V170" s="63"/>
      <c r="W170" s="63"/>
    </row>
    <row r="171" spans="1:23" ht="12.75">
      <c r="A171" s="216"/>
      <c r="B171" s="217"/>
      <c r="C171" s="47"/>
      <c r="D171" s="47"/>
      <c r="E171" s="121"/>
      <c r="F171" s="47"/>
      <c r="G171" s="63"/>
      <c r="H171" s="47"/>
      <c r="I171" s="47"/>
      <c r="J171" s="63"/>
      <c r="K171" s="63"/>
      <c r="L171" s="63"/>
      <c r="M171" s="63"/>
      <c r="N171" s="63"/>
      <c r="O171" s="63"/>
      <c r="P171" s="63"/>
      <c r="Q171" s="63"/>
      <c r="R171" s="63"/>
      <c r="S171" s="63"/>
      <c r="T171" s="63"/>
      <c r="U171" s="63"/>
      <c r="V171" s="63"/>
      <c r="W171" s="63"/>
    </row>
    <row r="172" spans="1:23" ht="12.75">
      <c r="A172" s="216"/>
      <c r="B172" s="217"/>
      <c r="C172" s="47"/>
      <c r="D172" s="47"/>
      <c r="E172" s="121"/>
      <c r="F172" s="47"/>
      <c r="G172" s="63"/>
      <c r="H172" s="47"/>
      <c r="I172" s="47"/>
      <c r="J172" s="63"/>
      <c r="K172" s="63"/>
      <c r="L172" s="63"/>
      <c r="M172" s="63"/>
      <c r="N172" s="63"/>
      <c r="O172" s="63"/>
      <c r="P172" s="63"/>
      <c r="Q172" s="63"/>
      <c r="R172" s="63"/>
      <c r="S172" s="63"/>
      <c r="T172" s="63"/>
      <c r="U172" s="63"/>
      <c r="V172" s="63"/>
      <c r="W172" s="63"/>
    </row>
    <row r="173" spans="1:23" ht="12.75">
      <c r="A173" s="216"/>
      <c r="B173" s="217"/>
      <c r="C173" s="47"/>
      <c r="D173" s="47"/>
      <c r="E173" s="121"/>
      <c r="F173" s="47"/>
      <c r="G173" s="63"/>
      <c r="H173" s="47"/>
      <c r="I173" s="47"/>
      <c r="J173" s="63"/>
      <c r="K173" s="63"/>
      <c r="L173" s="63"/>
      <c r="M173" s="63"/>
      <c r="N173" s="63"/>
      <c r="O173" s="63"/>
      <c r="P173" s="63"/>
      <c r="Q173" s="63"/>
      <c r="R173" s="63"/>
      <c r="S173" s="63"/>
      <c r="T173" s="63"/>
      <c r="U173" s="63"/>
      <c r="V173" s="63"/>
      <c r="W173" s="63"/>
    </row>
    <row r="174" spans="1:23" ht="12.75">
      <c r="A174" s="216"/>
      <c r="B174" s="217"/>
      <c r="C174" s="47"/>
      <c r="D174" s="47"/>
      <c r="E174" s="121"/>
      <c r="F174" s="47"/>
      <c r="G174" s="63"/>
      <c r="H174" s="47"/>
      <c r="I174" s="47"/>
      <c r="J174" s="63"/>
      <c r="K174" s="63"/>
      <c r="L174" s="63"/>
      <c r="M174" s="63"/>
      <c r="N174" s="63"/>
      <c r="O174" s="63"/>
      <c r="P174" s="63"/>
      <c r="Q174" s="63"/>
      <c r="R174" s="63"/>
      <c r="S174" s="63"/>
      <c r="T174" s="63"/>
      <c r="U174" s="63"/>
      <c r="V174" s="63"/>
      <c r="W174" s="63"/>
    </row>
    <row r="175" spans="1:23" ht="12.75">
      <c r="A175" s="216"/>
      <c r="B175" s="217"/>
      <c r="C175" s="47"/>
      <c r="D175" s="47"/>
      <c r="E175" s="121"/>
      <c r="F175" s="47"/>
      <c r="G175" s="63"/>
      <c r="H175" s="47"/>
      <c r="I175" s="47"/>
      <c r="J175" s="63"/>
      <c r="K175" s="63"/>
      <c r="L175" s="63"/>
      <c r="M175" s="63"/>
      <c r="N175" s="63"/>
      <c r="O175" s="63"/>
      <c r="P175" s="63"/>
      <c r="Q175" s="63"/>
      <c r="R175" s="63"/>
      <c r="S175" s="63"/>
      <c r="T175" s="63"/>
      <c r="U175" s="63"/>
      <c r="V175" s="63"/>
      <c r="W175" s="63"/>
    </row>
    <row r="176" spans="1:23" ht="12.75">
      <c r="A176" s="216"/>
      <c r="B176" s="217"/>
      <c r="C176" s="47"/>
      <c r="D176" s="47"/>
      <c r="E176" s="121"/>
      <c r="F176" s="47"/>
      <c r="G176" s="63"/>
      <c r="H176" s="47"/>
      <c r="I176" s="47"/>
      <c r="J176" s="63"/>
      <c r="K176" s="63"/>
      <c r="L176" s="63"/>
      <c r="M176" s="63"/>
      <c r="N176" s="63"/>
      <c r="O176" s="63"/>
      <c r="P176" s="63"/>
      <c r="Q176" s="63"/>
      <c r="R176" s="63"/>
      <c r="S176" s="63"/>
      <c r="T176" s="63"/>
      <c r="U176" s="63"/>
      <c r="V176" s="63"/>
      <c r="W176" s="63"/>
    </row>
    <row r="177" spans="1:23" ht="12.75">
      <c r="A177" s="216"/>
      <c r="B177" s="217"/>
      <c r="C177" s="47"/>
      <c r="D177" s="47"/>
      <c r="E177" s="121"/>
      <c r="F177" s="47"/>
      <c r="G177" s="63"/>
      <c r="H177" s="47"/>
      <c r="I177" s="47"/>
      <c r="J177" s="63"/>
      <c r="K177" s="63"/>
      <c r="L177" s="63"/>
      <c r="M177" s="63"/>
      <c r="N177" s="63"/>
      <c r="O177" s="63"/>
      <c r="P177" s="63"/>
      <c r="Q177" s="63"/>
      <c r="R177" s="63"/>
      <c r="S177" s="63"/>
      <c r="T177" s="63"/>
      <c r="U177" s="63"/>
      <c r="V177" s="63"/>
      <c r="W177" s="63"/>
    </row>
    <row r="178" spans="1:23" ht="12.75">
      <c r="A178" s="216"/>
      <c r="B178" s="217"/>
      <c r="C178" s="47"/>
      <c r="D178" s="47"/>
      <c r="E178" s="121"/>
      <c r="F178" s="47"/>
      <c r="G178" s="63"/>
      <c r="H178" s="47"/>
      <c r="I178" s="47"/>
      <c r="J178" s="63"/>
      <c r="K178" s="63"/>
      <c r="L178" s="63"/>
      <c r="M178" s="63"/>
      <c r="N178" s="63"/>
      <c r="O178" s="63"/>
      <c r="P178" s="63"/>
      <c r="Q178" s="63"/>
      <c r="R178" s="63"/>
      <c r="S178" s="63"/>
      <c r="T178" s="63"/>
      <c r="U178" s="63"/>
      <c r="V178" s="63"/>
      <c r="W178" s="63"/>
    </row>
    <row r="179" spans="1:23" ht="12.75">
      <c r="A179" s="216"/>
      <c r="B179" s="217"/>
      <c r="C179" s="47"/>
      <c r="D179" s="47"/>
      <c r="E179" s="121"/>
      <c r="F179" s="47"/>
      <c r="G179" s="63"/>
      <c r="H179" s="47"/>
      <c r="I179" s="47"/>
      <c r="J179" s="63"/>
      <c r="K179" s="63"/>
      <c r="L179" s="63"/>
      <c r="M179" s="63"/>
      <c r="N179" s="63"/>
      <c r="O179" s="63"/>
      <c r="P179" s="63"/>
      <c r="Q179" s="63"/>
      <c r="R179" s="63"/>
      <c r="S179" s="63"/>
      <c r="T179" s="63"/>
      <c r="U179" s="63"/>
      <c r="V179" s="63"/>
      <c r="W179" s="63"/>
    </row>
    <row r="180" spans="1:23" ht="12.75">
      <c r="A180" s="216"/>
      <c r="B180" s="217"/>
      <c r="C180" s="47"/>
      <c r="D180" s="47"/>
      <c r="E180" s="121"/>
      <c r="F180" s="47"/>
      <c r="G180" s="63"/>
      <c r="H180" s="47"/>
      <c r="I180" s="47"/>
      <c r="J180" s="63"/>
      <c r="K180" s="63"/>
      <c r="L180" s="63"/>
      <c r="M180" s="63"/>
      <c r="N180" s="63"/>
      <c r="O180" s="63"/>
      <c r="P180" s="63"/>
      <c r="Q180" s="63"/>
      <c r="R180" s="63"/>
      <c r="S180" s="63"/>
      <c r="T180" s="63"/>
      <c r="U180" s="63"/>
      <c r="V180" s="63"/>
      <c r="W180" s="63"/>
    </row>
    <row r="181" spans="1:23" ht="12.75">
      <c r="A181" s="216"/>
      <c r="B181" s="217"/>
      <c r="C181" s="47"/>
      <c r="D181" s="47"/>
      <c r="E181" s="121"/>
      <c r="F181" s="47"/>
      <c r="G181" s="63"/>
      <c r="H181" s="47"/>
      <c r="I181" s="47"/>
      <c r="J181" s="63"/>
      <c r="K181" s="63"/>
      <c r="L181" s="63"/>
      <c r="M181" s="63"/>
      <c r="N181" s="63"/>
      <c r="O181" s="63"/>
      <c r="P181" s="63"/>
      <c r="Q181" s="63"/>
      <c r="R181" s="63"/>
      <c r="S181" s="63"/>
      <c r="T181" s="63"/>
      <c r="U181" s="63"/>
      <c r="V181" s="63"/>
      <c r="W181" s="63"/>
    </row>
    <row r="182" spans="1:23" ht="12.75">
      <c r="A182" s="216"/>
      <c r="B182" s="217"/>
      <c r="C182" s="47"/>
      <c r="D182" s="47"/>
      <c r="E182" s="121"/>
      <c r="F182" s="47"/>
      <c r="G182" s="63"/>
      <c r="H182" s="47"/>
      <c r="I182" s="47"/>
      <c r="J182" s="63"/>
      <c r="K182" s="63"/>
      <c r="L182" s="63"/>
      <c r="M182" s="63"/>
      <c r="N182" s="63"/>
      <c r="O182" s="63"/>
      <c r="P182" s="63"/>
      <c r="Q182" s="63"/>
      <c r="R182" s="63"/>
      <c r="S182" s="63"/>
      <c r="T182" s="63"/>
      <c r="U182" s="63"/>
      <c r="V182" s="63"/>
      <c r="W182" s="63"/>
    </row>
    <row r="183" spans="1:23" ht="12.75">
      <c r="A183" s="216"/>
      <c r="B183" s="217"/>
      <c r="C183" s="47"/>
      <c r="D183" s="47"/>
      <c r="E183" s="121"/>
      <c r="F183" s="47"/>
      <c r="G183" s="63"/>
      <c r="H183" s="47"/>
      <c r="I183" s="47"/>
      <c r="J183" s="63"/>
      <c r="K183" s="63"/>
      <c r="L183" s="63"/>
      <c r="M183" s="63"/>
      <c r="N183" s="63"/>
      <c r="O183" s="63"/>
      <c r="P183" s="63"/>
      <c r="Q183" s="63"/>
      <c r="R183" s="63"/>
      <c r="S183" s="63"/>
      <c r="T183" s="63"/>
      <c r="U183" s="63"/>
      <c r="V183" s="63"/>
      <c r="W183" s="63"/>
    </row>
    <row r="184" spans="1:23" ht="12.75">
      <c r="A184" s="216"/>
      <c r="B184" s="217"/>
      <c r="C184" s="47"/>
      <c r="D184" s="47"/>
      <c r="E184" s="121"/>
      <c r="F184" s="47"/>
      <c r="G184" s="63"/>
      <c r="H184" s="47"/>
      <c r="I184" s="47"/>
      <c r="J184" s="63"/>
      <c r="K184" s="63"/>
      <c r="L184" s="63"/>
      <c r="M184" s="63"/>
      <c r="N184" s="63"/>
      <c r="O184" s="63"/>
      <c r="P184" s="63"/>
      <c r="Q184" s="63"/>
      <c r="R184" s="63"/>
      <c r="S184" s="63"/>
      <c r="T184" s="63"/>
      <c r="U184" s="63"/>
      <c r="V184" s="63"/>
      <c r="W184" s="63"/>
    </row>
    <row r="185" spans="1:23" ht="12.75">
      <c r="A185" s="216"/>
      <c r="B185" s="217"/>
      <c r="C185" s="47"/>
      <c r="D185" s="47"/>
      <c r="E185" s="121"/>
      <c r="F185" s="47"/>
      <c r="G185" s="63"/>
      <c r="H185" s="47"/>
      <c r="I185" s="47"/>
      <c r="J185" s="63"/>
      <c r="K185" s="63"/>
      <c r="L185" s="63"/>
      <c r="M185" s="63"/>
      <c r="N185" s="63"/>
      <c r="O185" s="63"/>
      <c r="P185" s="63"/>
      <c r="Q185" s="63"/>
      <c r="R185" s="63"/>
      <c r="S185" s="63"/>
      <c r="T185" s="63"/>
      <c r="U185" s="63"/>
      <c r="V185" s="63"/>
      <c r="W185" s="63"/>
    </row>
    <row r="186" spans="1:23" ht="12.75">
      <c r="A186" s="216"/>
      <c r="B186" s="217"/>
      <c r="C186" s="47"/>
      <c r="D186" s="47"/>
      <c r="E186" s="121"/>
      <c r="F186" s="47"/>
      <c r="G186" s="63"/>
      <c r="H186" s="47"/>
      <c r="I186" s="47"/>
      <c r="J186" s="63"/>
      <c r="K186" s="63"/>
      <c r="L186" s="63"/>
      <c r="M186" s="63"/>
      <c r="N186" s="63"/>
      <c r="O186" s="63"/>
      <c r="P186" s="63"/>
      <c r="Q186" s="63"/>
      <c r="R186" s="63"/>
      <c r="S186" s="63"/>
      <c r="T186" s="63"/>
      <c r="U186" s="63"/>
      <c r="V186" s="63"/>
      <c r="W186" s="63"/>
    </row>
    <row r="187" spans="1:23" ht="12.75">
      <c r="A187" s="216"/>
      <c r="B187" s="217"/>
      <c r="C187" s="47"/>
      <c r="D187" s="47"/>
      <c r="E187" s="121"/>
      <c r="F187" s="47"/>
      <c r="G187" s="63"/>
      <c r="H187" s="47"/>
      <c r="I187" s="47"/>
      <c r="J187" s="63"/>
      <c r="K187" s="63"/>
      <c r="L187" s="63"/>
      <c r="M187" s="63"/>
      <c r="N187" s="63"/>
      <c r="O187" s="63"/>
      <c r="P187" s="63"/>
      <c r="Q187" s="63"/>
      <c r="R187" s="63"/>
      <c r="S187" s="63"/>
      <c r="T187" s="63"/>
      <c r="U187" s="63"/>
      <c r="V187" s="63"/>
      <c r="W187" s="63"/>
    </row>
    <row r="188" spans="1:23" ht="12.75">
      <c r="A188" s="216"/>
      <c r="B188" s="217"/>
      <c r="C188" s="47"/>
      <c r="D188" s="47"/>
      <c r="E188" s="121"/>
      <c r="F188" s="47"/>
      <c r="G188" s="63"/>
      <c r="H188" s="47"/>
      <c r="I188" s="47"/>
      <c r="J188" s="63"/>
      <c r="K188" s="63"/>
      <c r="L188" s="63"/>
      <c r="M188" s="63"/>
      <c r="N188" s="63"/>
      <c r="O188" s="63"/>
      <c r="P188" s="63"/>
      <c r="Q188" s="63"/>
      <c r="R188" s="63"/>
      <c r="S188" s="63"/>
      <c r="T188" s="63"/>
      <c r="U188" s="63"/>
      <c r="V188" s="63"/>
      <c r="W188" s="63"/>
    </row>
    <row r="189" spans="1:23" ht="12.75">
      <c r="A189" s="216"/>
      <c r="B189" s="217"/>
      <c r="C189" s="47"/>
      <c r="D189" s="47"/>
      <c r="E189" s="121"/>
      <c r="F189" s="47"/>
      <c r="G189" s="63"/>
      <c r="H189" s="47"/>
      <c r="I189" s="47"/>
      <c r="J189" s="63"/>
      <c r="K189" s="63"/>
      <c r="L189" s="63"/>
      <c r="M189" s="63"/>
      <c r="N189" s="63"/>
      <c r="O189" s="63"/>
      <c r="P189" s="63"/>
      <c r="Q189" s="63"/>
      <c r="R189" s="63"/>
      <c r="S189" s="63"/>
      <c r="T189" s="63"/>
      <c r="U189" s="63"/>
      <c r="V189" s="63"/>
      <c r="W189" s="63"/>
    </row>
    <row r="190" spans="1:23" ht="12.75">
      <c r="A190" s="216"/>
      <c r="B190" s="217"/>
      <c r="C190" s="47"/>
      <c r="D190" s="47"/>
      <c r="E190" s="121"/>
      <c r="F190" s="47"/>
      <c r="G190" s="63"/>
      <c r="H190" s="47"/>
      <c r="I190" s="47"/>
      <c r="J190" s="63"/>
      <c r="K190" s="63"/>
      <c r="L190" s="63"/>
      <c r="M190" s="63"/>
      <c r="N190" s="63"/>
      <c r="O190" s="63"/>
      <c r="P190" s="63"/>
      <c r="Q190" s="63"/>
      <c r="R190" s="63"/>
      <c r="S190" s="63"/>
      <c r="T190" s="63"/>
      <c r="U190" s="63"/>
      <c r="V190" s="63"/>
      <c r="W190" s="63"/>
    </row>
    <row r="191" spans="1:23" ht="12.75">
      <c r="A191" s="216"/>
      <c r="B191" s="217"/>
      <c r="C191" s="47"/>
      <c r="D191" s="47"/>
      <c r="E191" s="121"/>
      <c r="F191" s="47"/>
      <c r="G191" s="63"/>
      <c r="H191" s="47"/>
      <c r="I191" s="47"/>
      <c r="J191" s="63"/>
      <c r="K191" s="63"/>
      <c r="L191" s="63"/>
      <c r="M191" s="63"/>
      <c r="N191" s="63"/>
      <c r="O191" s="63"/>
      <c r="P191" s="63"/>
      <c r="Q191" s="63"/>
      <c r="R191" s="63"/>
      <c r="S191" s="63"/>
      <c r="T191" s="63"/>
      <c r="U191" s="63"/>
      <c r="V191" s="63"/>
      <c r="W191" s="63"/>
    </row>
    <row r="192" spans="1:23" ht="12.75">
      <c r="A192" s="216"/>
      <c r="B192" s="217"/>
      <c r="C192" s="47"/>
      <c r="D192" s="47"/>
      <c r="E192" s="121"/>
      <c r="F192" s="47"/>
      <c r="G192" s="63"/>
      <c r="H192" s="47"/>
      <c r="I192" s="47"/>
      <c r="J192" s="63"/>
      <c r="K192" s="63"/>
      <c r="L192" s="63"/>
      <c r="M192" s="63"/>
      <c r="N192" s="63"/>
      <c r="O192" s="63"/>
      <c r="P192" s="63"/>
      <c r="Q192" s="63"/>
      <c r="R192" s="63"/>
      <c r="S192" s="63"/>
      <c r="T192" s="63"/>
      <c r="U192" s="63"/>
      <c r="V192" s="63"/>
      <c r="W192" s="63"/>
    </row>
    <row r="193" spans="1:23" ht="12.75">
      <c r="A193" s="216"/>
      <c r="B193" s="217"/>
      <c r="C193" s="47"/>
      <c r="D193" s="47"/>
      <c r="E193" s="121"/>
      <c r="F193" s="47"/>
      <c r="G193" s="63"/>
      <c r="H193" s="47"/>
      <c r="I193" s="47"/>
      <c r="J193" s="63"/>
      <c r="K193" s="63"/>
      <c r="L193" s="63"/>
      <c r="M193" s="63"/>
      <c r="N193" s="63"/>
      <c r="O193" s="63"/>
      <c r="P193" s="63"/>
      <c r="Q193" s="63"/>
      <c r="R193" s="63"/>
      <c r="S193" s="63"/>
      <c r="T193" s="63"/>
      <c r="U193" s="63"/>
      <c r="V193" s="63"/>
      <c r="W193" s="63"/>
    </row>
    <row r="194" spans="1:23" ht="12.75">
      <c r="A194" s="216"/>
      <c r="B194" s="217"/>
      <c r="C194" s="47"/>
      <c r="D194" s="47"/>
      <c r="E194" s="121"/>
      <c r="F194" s="47"/>
      <c r="G194" s="63"/>
      <c r="H194" s="47"/>
      <c r="I194" s="47"/>
      <c r="J194" s="63"/>
      <c r="K194" s="63"/>
      <c r="L194" s="63"/>
      <c r="M194" s="63"/>
      <c r="N194" s="63"/>
      <c r="O194" s="63"/>
      <c r="P194" s="63"/>
      <c r="Q194" s="63"/>
      <c r="R194" s="63"/>
      <c r="S194" s="63"/>
      <c r="T194" s="63"/>
      <c r="U194" s="63"/>
      <c r="V194" s="63"/>
      <c r="W194" s="63"/>
    </row>
    <row r="195" spans="1:23" ht="12.75">
      <c r="A195" s="216"/>
      <c r="B195" s="217"/>
      <c r="C195" s="47"/>
      <c r="D195" s="47"/>
      <c r="E195" s="121"/>
      <c r="F195" s="47"/>
      <c r="G195" s="63"/>
      <c r="H195" s="47"/>
      <c r="I195" s="47"/>
      <c r="J195" s="63"/>
      <c r="K195" s="63"/>
      <c r="L195" s="63"/>
      <c r="M195" s="63"/>
      <c r="N195" s="63"/>
      <c r="O195" s="63"/>
      <c r="P195" s="63"/>
      <c r="Q195" s="63"/>
      <c r="R195" s="63"/>
      <c r="S195" s="63"/>
      <c r="T195" s="63"/>
      <c r="U195" s="63"/>
      <c r="V195" s="63"/>
      <c r="W195" s="63"/>
    </row>
    <row r="196" spans="1:23" ht="12.75">
      <c r="A196" s="216"/>
      <c r="B196" s="217"/>
      <c r="C196" s="47"/>
      <c r="D196" s="47"/>
      <c r="E196" s="121"/>
      <c r="F196" s="47"/>
      <c r="G196" s="63"/>
      <c r="H196" s="47"/>
      <c r="I196" s="47"/>
      <c r="J196" s="63"/>
      <c r="K196" s="63"/>
      <c r="L196" s="63"/>
      <c r="M196" s="63"/>
      <c r="N196" s="63"/>
      <c r="O196" s="63"/>
      <c r="P196" s="63"/>
      <c r="Q196" s="63"/>
      <c r="R196" s="63"/>
      <c r="S196" s="63"/>
      <c r="T196" s="63"/>
      <c r="U196" s="63"/>
      <c r="V196" s="63"/>
      <c r="W196" s="63"/>
    </row>
    <row r="197" spans="1:23" ht="12.75">
      <c r="A197" s="216"/>
      <c r="B197" s="217"/>
      <c r="C197" s="47"/>
      <c r="D197" s="47"/>
      <c r="E197" s="121"/>
      <c r="F197" s="47"/>
      <c r="G197" s="63"/>
      <c r="H197" s="47"/>
      <c r="I197" s="47"/>
      <c r="J197" s="63"/>
      <c r="K197" s="63"/>
      <c r="L197" s="63"/>
      <c r="M197" s="63"/>
      <c r="N197" s="63"/>
      <c r="O197" s="63"/>
      <c r="P197" s="63"/>
      <c r="Q197" s="63"/>
      <c r="R197" s="63"/>
      <c r="S197" s="63"/>
      <c r="T197" s="63"/>
      <c r="U197" s="63"/>
      <c r="V197" s="63"/>
      <c r="W197" s="63"/>
    </row>
    <row r="198" spans="1:23" ht="12.75">
      <c r="A198" s="216"/>
      <c r="B198" s="217"/>
      <c r="C198" s="47"/>
      <c r="D198" s="47"/>
      <c r="E198" s="121"/>
      <c r="F198" s="47"/>
      <c r="G198" s="63"/>
      <c r="H198" s="47"/>
      <c r="I198" s="47"/>
      <c r="J198" s="63"/>
      <c r="K198" s="63"/>
      <c r="L198" s="63"/>
      <c r="M198" s="63"/>
      <c r="N198" s="63"/>
      <c r="O198" s="63"/>
      <c r="P198" s="63"/>
      <c r="Q198" s="63"/>
      <c r="R198" s="63"/>
      <c r="S198" s="63"/>
      <c r="T198" s="63"/>
      <c r="U198" s="63"/>
      <c r="V198" s="63"/>
      <c r="W198" s="63"/>
    </row>
    <row r="199" spans="1:23" ht="12.75">
      <c r="A199" s="216"/>
      <c r="B199" s="217"/>
      <c r="C199" s="47"/>
      <c r="D199" s="47"/>
      <c r="E199" s="121"/>
      <c r="F199" s="47"/>
      <c r="G199" s="63"/>
      <c r="H199" s="47"/>
      <c r="I199" s="47"/>
      <c r="J199" s="63"/>
      <c r="K199" s="63"/>
      <c r="L199" s="63"/>
      <c r="M199" s="63"/>
      <c r="N199" s="63"/>
      <c r="O199" s="63"/>
      <c r="P199" s="63"/>
      <c r="Q199" s="63"/>
      <c r="R199" s="63"/>
      <c r="S199" s="63"/>
      <c r="T199" s="63"/>
      <c r="U199" s="63"/>
      <c r="V199" s="63"/>
      <c r="W199" s="63"/>
    </row>
    <row r="200" spans="1:23" ht="12.75">
      <c r="A200" s="216"/>
      <c r="B200" s="217"/>
      <c r="C200" s="47"/>
      <c r="D200" s="47"/>
      <c r="E200" s="121"/>
      <c r="F200" s="47"/>
      <c r="G200" s="63"/>
      <c r="H200" s="47"/>
      <c r="I200" s="47"/>
      <c r="J200" s="63"/>
      <c r="K200" s="63"/>
      <c r="L200" s="63"/>
      <c r="M200" s="63"/>
      <c r="N200" s="63"/>
      <c r="O200" s="63"/>
      <c r="P200" s="63"/>
      <c r="Q200" s="63"/>
      <c r="R200" s="63"/>
      <c r="S200" s="63"/>
      <c r="T200" s="63"/>
      <c r="U200" s="63"/>
      <c r="V200" s="63"/>
      <c r="W200" s="63"/>
    </row>
    <row r="201" spans="1:23" ht="12.75">
      <c r="A201" s="216"/>
      <c r="B201" s="217"/>
      <c r="C201" s="47"/>
      <c r="D201" s="47"/>
      <c r="E201" s="121"/>
      <c r="F201" s="47"/>
      <c r="G201" s="63"/>
      <c r="H201" s="47"/>
      <c r="I201" s="47"/>
      <c r="J201" s="63"/>
      <c r="K201" s="63"/>
      <c r="L201" s="63"/>
      <c r="M201" s="63"/>
      <c r="N201" s="63"/>
      <c r="O201" s="63"/>
      <c r="P201" s="63"/>
      <c r="Q201" s="63"/>
      <c r="R201" s="63"/>
      <c r="S201" s="63"/>
      <c r="T201" s="63"/>
      <c r="U201" s="63"/>
      <c r="V201" s="63"/>
      <c r="W201" s="63"/>
    </row>
    <row r="202" spans="1:23" ht="12.75">
      <c r="A202" s="216"/>
      <c r="B202" s="217"/>
      <c r="C202" s="47"/>
      <c r="D202" s="47"/>
      <c r="E202" s="121"/>
      <c r="F202" s="47"/>
      <c r="G202" s="63"/>
      <c r="H202" s="47"/>
      <c r="I202" s="47"/>
      <c r="J202" s="63"/>
      <c r="K202" s="63"/>
      <c r="L202" s="63"/>
      <c r="M202" s="63"/>
      <c r="N202" s="63"/>
      <c r="O202" s="63"/>
      <c r="P202" s="63"/>
      <c r="Q202" s="63"/>
      <c r="R202" s="63"/>
      <c r="S202" s="63"/>
      <c r="T202" s="63"/>
      <c r="U202" s="63"/>
      <c r="V202" s="63"/>
      <c r="W202" s="63"/>
    </row>
    <row r="203" spans="1:23" ht="12.75">
      <c r="A203" s="216"/>
      <c r="B203" s="217"/>
      <c r="C203" s="47"/>
      <c r="D203" s="47"/>
      <c r="E203" s="121"/>
      <c r="F203" s="47"/>
      <c r="G203" s="63"/>
      <c r="H203" s="47"/>
      <c r="I203" s="47"/>
      <c r="J203" s="63"/>
      <c r="K203" s="63"/>
      <c r="L203" s="63"/>
      <c r="M203" s="63"/>
      <c r="N203" s="63"/>
      <c r="O203" s="63"/>
      <c r="P203" s="63"/>
      <c r="Q203" s="63"/>
      <c r="R203" s="63"/>
      <c r="S203" s="63"/>
      <c r="T203" s="63"/>
      <c r="U203" s="63"/>
      <c r="V203" s="63"/>
      <c r="W203" s="63"/>
    </row>
    <row r="204" spans="1:23" ht="12.75">
      <c r="A204" s="216"/>
      <c r="B204" s="217"/>
      <c r="C204" s="47"/>
      <c r="D204" s="47"/>
      <c r="E204" s="121"/>
      <c r="F204" s="47"/>
      <c r="G204" s="63"/>
      <c r="H204" s="47"/>
      <c r="I204" s="47"/>
      <c r="J204" s="63"/>
      <c r="K204" s="63"/>
      <c r="L204" s="63"/>
      <c r="M204" s="63"/>
      <c r="N204" s="63"/>
      <c r="O204" s="63"/>
      <c r="P204" s="63"/>
      <c r="Q204" s="63"/>
      <c r="R204" s="63"/>
      <c r="S204" s="63"/>
      <c r="T204" s="63"/>
      <c r="U204" s="63"/>
      <c r="V204" s="63"/>
      <c r="W204" s="63"/>
    </row>
    <row r="205" spans="1:23" ht="12.75">
      <c r="A205" s="216"/>
      <c r="B205" s="217"/>
      <c r="C205" s="47"/>
      <c r="D205" s="47"/>
      <c r="E205" s="121"/>
      <c r="F205" s="47"/>
      <c r="G205" s="63"/>
      <c r="H205" s="47"/>
      <c r="I205" s="47"/>
      <c r="J205" s="63"/>
      <c r="K205" s="63"/>
      <c r="L205" s="63"/>
      <c r="M205" s="63"/>
      <c r="N205" s="63"/>
      <c r="O205" s="63"/>
      <c r="P205" s="63"/>
      <c r="Q205" s="63"/>
      <c r="R205" s="63"/>
      <c r="S205" s="63"/>
      <c r="T205" s="63"/>
      <c r="U205" s="63"/>
      <c r="V205" s="63"/>
      <c r="W205" s="63"/>
    </row>
    <row r="206" spans="1:23" ht="12.75">
      <c r="A206" s="216"/>
      <c r="B206" s="217"/>
      <c r="C206" s="47"/>
      <c r="D206" s="47"/>
      <c r="E206" s="121"/>
      <c r="F206" s="47"/>
      <c r="G206" s="63"/>
      <c r="H206" s="47"/>
      <c r="I206" s="47"/>
      <c r="J206" s="63"/>
      <c r="K206" s="63"/>
      <c r="L206" s="63"/>
      <c r="M206" s="63"/>
      <c r="N206" s="63"/>
      <c r="O206" s="63"/>
      <c r="P206" s="63"/>
      <c r="Q206" s="63"/>
      <c r="R206" s="63"/>
      <c r="S206" s="63"/>
      <c r="T206" s="63"/>
      <c r="U206" s="63"/>
      <c r="V206" s="63"/>
      <c r="W206" s="63"/>
    </row>
    <row r="207" spans="1:23" ht="12.75">
      <c r="A207" s="216"/>
      <c r="B207" s="217"/>
      <c r="C207" s="47"/>
      <c r="D207" s="47"/>
      <c r="E207" s="121"/>
      <c r="F207" s="47"/>
      <c r="G207" s="63"/>
      <c r="H207" s="47"/>
      <c r="I207" s="47"/>
      <c r="J207" s="63"/>
      <c r="K207" s="63"/>
      <c r="L207" s="63"/>
      <c r="M207" s="63"/>
      <c r="N207" s="63"/>
      <c r="O207" s="63"/>
      <c r="P207" s="63"/>
      <c r="Q207" s="63"/>
      <c r="R207" s="63"/>
      <c r="S207" s="63"/>
      <c r="T207" s="63"/>
      <c r="U207" s="63"/>
      <c r="V207" s="63"/>
      <c r="W207" s="63"/>
    </row>
    <row r="208" spans="1:23" ht="12.75">
      <c r="A208" s="216"/>
      <c r="B208" s="217"/>
      <c r="C208" s="47"/>
      <c r="D208" s="47"/>
      <c r="E208" s="121"/>
      <c r="F208" s="47"/>
      <c r="G208" s="63"/>
      <c r="H208" s="47"/>
      <c r="I208" s="47"/>
      <c r="J208" s="63"/>
      <c r="K208" s="63"/>
      <c r="L208" s="63"/>
      <c r="M208" s="63"/>
      <c r="N208" s="63"/>
      <c r="O208" s="63"/>
      <c r="P208" s="63"/>
      <c r="Q208" s="63"/>
      <c r="R208" s="63"/>
      <c r="S208" s="63"/>
      <c r="T208" s="63"/>
      <c r="U208" s="63"/>
      <c r="V208" s="63"/>
      <c r="W208" s="63"/>
    </row>
    <row r="209" spans="1:23" ht="12.75">
      <c r="A209" s="216"/>
      <c r="B209" s="217"/>
      <c r="C209" s="47"/>
      <c r="D209" s="47"/>
      <c r="E209" s="121"/>
      <c r="F209" s="47"/>
      <c r="G209" s="63"/>
      <c r="H209" s="47"/>
      <c r="I209" s="47"/>
      <c r="J209" s="63"/>
      <c r="K209" s="63"/>
      <c r="L209" s="63"/>
      <c r="M209" s="63"/>
      <c r="N209" s="63"/>
      <c r="O209" s="63"/>
      <c r="P209" s="63"/>
      <c r="Q209" s="63"/>
      <c r="R209" s="63"/>
      <c r="S209" s="63"/>
      <c r="T209" s="63"/>
      <c r="U209" s="63"/>
      <c r="V209" s="63"/>
      <c r="W209" s="63"/>
    </row>
    <row r="210" spans="1:23" ht="12.75">
      <c r="A210" s="216"/>
      <c r="B210" s="217"/>
      <c r="C210" s="47"/>
      <c r="D210" s="47"/>
      <c r="E210" s="121"/>
      <c r="F210" s="47"/>
      <c r="G210" s="63"/>
      <c r="H210" s="47"/>
      <c r="I210" s="47"/>
      <c r="J210" s="63"/>
      <c r="K210" s="63"/>
      <c r="L210" s="63"/>
      <c r="M210" s="63"/>
      <c r="N210" s="63"/>
      <c r="O210" s="63"/>
      <c r="P210" s="63"/>
      <c r="Q210" s="63"/>
      <c r="R210" s="63"/>
      <c r="S210" s="63"/>
      <c r="T210" s="63"/>
      <c r="U210" s="63"/>
      <c r="V210" s="63"/>
      <c r="W210" s="63"/>
    </row>
    <row r="211" spans="1:23" ht="12.75">
      <c r="A211" s="216"/>
      <c r="B211" s="217"/>
      <c r="C211" s="47"/>
      <c r="D211" s="47"/>
      <c r="E211" s="121"/>
      <c r="F211" s="47"/>
      <c r="G211" s="63"/>
      <c r="H211" s="47"/>
      <c r="I211" s="47"/>
      <c r="J211" s="63"/>
      <c r="K211" s="63"/>
      <c r="L211" s="63"/>
      <c r="M211" s="63"/>
      <c r="N211" s="63"/>
      <c r="O211" s="63"/>
      <c r="P211" s="63"/>
      <c r="Q211" s="63"/>
      <c r="R211" s="63"/>
      <c r="S211" s="63"/>
      <c r="T211" s="63"/>
      <c r="U211" s="63"/>
      <c r="V211" s="63"/>
      <c r="W211" s="63"/>
    </row>
    <row r="212" spans="1:23" ht="12.75">
      <c r="A212" s="216"/>
      <c r="B212" s="217"/>
      <c r="C212" s="47"/>
      <c r="D212" s="47"/>
      <c r="E212" s="121"/>
      <c r="F212" s="47"/>
      <c r="G212" s="63"/>
      <c r="H212" s="47"/>
      <c r="I212" s="47"/>
      <c r="J212" s="63"/>
      <c r="K212" s="63"/>
      <c r="L212" s="63"/>
      <c r="M212" s="63"/>
      <c r="N212" s="63"/>
      <c r="O212" s="63"/>
      <c r="P212" s="63"/>
      <c r="Q212" s="63"/>
      <c r="R212" s="63"/>
      <c r="S212" s="63"/>
      <c r="T212" s="63"/>
      <c r="U212" s="63"/>
      <c r="V212" s="63"/>
      <c r="W212" s="63"/>
    </row>
    <row r="213" spans="1:23" ht="12.75">
      <c r="A213" s="216"/>
      <c r="B213" s="217"/>
      <c r="C213" s="47"/>
      <c r="D213" s="47"/>
      <c r="E213" s="121"/>
      <c r="F213" s="47"/>
      <c r="G213" s="63"/>
      <c r="H213" s="47"/>
      <c r="I213" s="47"/>
      <c r="J213" s="63"/>
      <c r="K213" s="63"/>
      <c r="L213" s="63"/>
      <c r="M213" s="63"/>
      <c r="N213" s="63"/>
      <c r="O213" s="63"/>
      <c r="P213" s="63"/>
      <c r="Q213" s="63"/>
      <c r="R213" s="63"/>
      <c r="S213" s="63"/>
      <c r="T213" s="63"/>
      <c r="U213" s="63"/>
      <c r="V213" s="63"/>
      <c r="W213" s="63"/>
    </row>
    <row r="214" spans="1:23" ht="12.75">
      <c r="A214" s="216"/>
      <c r="B214" s="217"/>
      <c r="C214" s="47"/>
      <c r="D214" s="47"/>
      <c r="E214" s="121"/>
      <c r="F214" s="47"/>
      <c r="G214" s="63"/>
      <c r="H214" s="47"/>
      <c r="I214" s="47"/>
      <c r="J214" s="63"/>
      <c r="K214" s="63"/>
      <c r="L214" s="63"/>
      <c r="M214" s="63"/>
      <c r="N214" s="63"/>
      <c r="O214" s="63"/>
      <c r="P214" s="63"/>
      <c r="Q214" s="63"/>
      <c r="R214" s="63"/>
      <c r="S214" s="63"/>
      <c r="T214" s="63"/>
      <c r="U214" s="63"/>
      <c r="V214" s="63"/>
      <c r="W214" s="63"/>
    </row>
    <row r="215" spans="1:23" ht="12.75">
      <c r="A215" s="216"/>
      <c r="B215" s="217"/>
      <c r="C215" s="47"/>
      <c r="D215" s="47"/>
      <c r="E215" s="121"/>
      <c r="F215" s="47"/>
      <c r="G215" s="63"/>
      <c r="H215" s="47"/>
      <c r="I215" s="47"/>
      <c r="J215" s="63"/>
      <c r="K215" s="63"/>
      <c r="L215" s="63"/>
      <c r="M215" s="63"/>
      <c r="N215" s="63"/>
      <c r="O215" s="63"/>
      <c r="P215" s="63"/>
      <c r="Q215" s="63"/>
      <c r="R215" s="63"/>
      <c r="S215" s="63"/>
      <c r="T215" s="63"/>
      <c r="U215" s="63"/>
      <c r="V215" s="63"/>
      <c r="W215" s="63"/>
    </row>
    <row r="216" spans="1:23" ht="12.75">
      <c r="A216" s="216"/>
      <c r="B216" s="217"/>
      <c r="C216" s="47"/>
      <c r="D216" s="47"/>
      <c r="E216" s="121"/>
      <c r="F216" s="47"/>
      <c r="G216" s="63"/>
      <c r="H216" s="47"/>
      <c r="I216" s="47"/>
      <c r="J216" s="63"/>
      <c r="K216" s="63"/>
      <c r="L216" s="63"/>
      <c r="M216" s="63"/>
      <c r="N216" s="63"/>
      <c r="O216" s="63"/>
      <c r="P216" s="63"/>
      <c r="Q216" s="63"/>
      <c r="R216" s="63"/>
      <c r="S216" s="63"/>
      <c r="T216" s="63"/>
      <c r="U216" s="63"/>
      <c r="V216" s="63"/>
      <c r="W216" s="63"/>
    </row>
    <row r="217" spans="1:23" ht="12.75">
      <c r="A217" s="216"/>
      <c r="B217" s="217"/>
      <c r="C217" s="47"/>
      <c r="D217" s="47"/>
      <c r="E217" s="121"/>
      <c r="F217" s="47"/>
      <c r="G217" s="63"/>
      <c r="H217" s="47"/>
      <c r="I217" s="47"/>
      <c r="J217" s="63"/>
      <c r="K217" s="63"/>
      <c r="L217" s="63"/>
      <c r="M217" s="63"/>
      <c r="N217" s="63"/>
      <c r="O217" s="63"/>
      <c r="P217" s="63"/>
      <c r="Q217" s="63"/>
      <c r="R217" s="63"/>
      <c r="S217" s="63"/>
      <c r="T217" s="63"/>
      <c r="U217" s="63"/>
      <c r="V217" s="63"/>
      <c r="W217" s="63"/>
    </row>
    <row r="218" spans="1:23" ht="12.75">
      <c r="A218" s="216"/>
      <c r="B218" s="217"/>
      <c r="C218" s="47"/>
      <c r="D218" s="47"/>
      <c r="E218" s="121"/>
      <c r="F218" s="47"/>
      <c r="G218" s="63"/>
      <c r="H218" s="47"/>
      <c r="I218" s="47"/>
      <c r="J218" s="63"/>
      <c r="K218" s="63"/>
      <c r="L218" s="63"/>
      <c r="M218" s="63"/>
      <c r="N218" s="63"/>
      <c r="O218" s="63"/>
      <c r="P218" s="63"/>
      <c r="Q218" s="63"/>
      <c r="R218" s="63"/>
      <c r="S218" s="63"/>
      <c r="T218" s="63"/>
      <c r="U218" s="63"/>
      <c r="V218" s="63"/>
      <c r="W218" s="63"/>
    </row>
    <row r="219" spans="1:23" ht="12.75">
      <c r="A219" s="216"/>
      <c r="B219" s="217"/>
      <c r="C219" s="47"/>
      <c r="D219" s="47"/>
      <c r="E219" s="121"/>
      <c r="F219" s="47"/>
      <c r="G219" s="63"/>
      <c r="H219" s="47"/>
      <c r="I219" s="47"/>
      <c r="J219" s="63"/>
      <c r="K219" s="63"/>
      <c r="L219" s="63"/>
      <c r="M219" s="63"/>
      <c r="N219" s="63"/>
      <c r="O219" s="63"/>
      <c r="P219" s="63"/>
      <c r="Q219" s="63"/>
      <c r="R219" s="63"/>
      <c r="S219" s="63"/>
      <c r="T219" s="63"/>
      <c r="U219" s="63"/>
      <c r="V219" s="63"/>
      <c r="W219" s="63"/>
    </row>
    <row r="220" spans="1:23" ht="12.75">
      <c r="A220" s="216"/>
      <c r="B220" s="217"/>
      <c r="C220" s="47"/>
      <c r="D220" s="47"/>
      <c r="E220" s="121"/>
      <c r="F220" s="47"/>
      <c r="G220" s="63"/>
      <c r="H220" s="47"/>
      <c r="I220" s="47"/>
      <c r="J220" s="63"/>
      <c r="K220" s="63"/>
      <c r="L220" s="63"/>
      <c r="M220" s="63"/>
      <c r="N220" s="63"/>
      <c r="O220" s="63"/>
      <c r="P220" s="63"/>
      <c r="Q220" s="63"/>
      <c r="R220" s="63"/>
      <c r="S220" s="63"/>
      <c r="T220" s="63"/>
      <c r="U220" s="63"/>
      <c r="V220" s="63"/>
      <c r="W220" s="63"/>
    </row>
    <row r="221" spans="1:23" ht="12.75">
      <c r="A221" s="216"/>
      <c r="B221" s="217"/>
      <c r="C221" s="47"/>
      <c r="D221" s="47"/>
      <c r="E221" s="121"/>
      <c r="F221" s="47"/>
      <c r="G221" s="63"/>
      <c r="H221" s="47"/>
      <c r="I221" s="47"/>
      <c r="J221" s="63"/>
      <c r="K221" s="63"/>
      <c r="L221" s="63"/>
      <c r="M221" s="63"/>
      <c r="N221" s="63"/>
      <c r="O221" s="63"/>
      <c r="P221" s="63"/>
      <c r="Q221" s="63"/>
      <c r="R221" s="63"/>
      <c r="S221" s="63"/>
      <c r="T221" s="63"/>
      <c r="U221" s="63"/>
      <c r="V221" s="63"/>
      <c r="W221" s="63"/>
    </row>
    <row r="222" spans="1:23" ht="12.75">
      <c r="A222" s="216"/>
      <c r="B222" s="217"/>
      <c r="C222" s="47"/>
      <c r="D222" s="47"/>
      <c r="E222" s="121"/>
      <c r="F222" s="47"/>
      <c r="G222" s="63"/>
      <c r="H222" s="47"/>
      <c r="I222" s="47"/>
      <c r="J222" s="63"/>
      <c r="K222" s="63"/>
      <c r="L222" s="63"/>
      <c r="M222" s="63"/>
      <c r="N222" s="63"/>
      <c r="O222" s="63"/>
      <c r="P222" s="63"/>
      <c r="Q222" s="63"/>
      <c r="R222" s="63"/>
      <c r="S222" s="63"/>
      <c r="T222" s="63"/>
      <c r="U222" s="63"/>
      <c r="V222" s="63"/>
      <c r="W222" s="63"/>
    </row>
    <row r="223" spans="1:23" ht="12.75">
      <c r="A223" s="216"/>
      <c r="B223" s="217"/>
      <c r="C223" s="47"/>
      <c r="D223" s="47"/>
      <c r="E223" s="121"/>
      <c r="F223" s="47"/>
      <c r="G223" s="63"/>
      <c r="H223" s="47"/>
      <c r="I223" s="47"/>
      <c r="J223" s="63"/>
      <c r="K223" s="63"/>
      <c r="L223" s="63"/>
      <c r="M223" s="63"/>
      <c r="N223" s="63"/>
      <c r="O223" s="63"/>
      <c r="P223" s="63"/>
      <c r="Q223" s="63"/>
      <c r="R223" s="63"/>
      <c r="S223" s="63"/>
      <c r="T223" s="63"/>
      <c r="U223" s="63"/>
      <c r="V223" s="63"/>
      <c r="W223" s="63"/>
    </row>
    <row r="224" spans="1:23" ht="12.75">
      <c r="A224" s="216"/>
      <c r="B224" s="217"/>
      <c r="C224" s="47"/>
      <c r="D224" s="47"/>
      <c r="E224" s="121"/>
      <c r="F224" s="47"/>
      <c r="G224" s="63"/>
      <c r="H224" s="47"/>
      <c r="I224" s="47"/>
      <c r="J224" s="63"/>
      <c r="K224" s="63"/>
      <c r="L224" s="63"/>
      <c r="M224" s="63"/>
      <c r="N224" s="63"/>
      <c r="O224" s="63"/>
      <c r="P224" s="63"/>
      <c r="Q224" s="63"/>
      <c r="R224" s="63"/>
      <c r="S224" s="63"/>
      <c r="T224" s="63"/>
      <c r="U224" s="63"/>
      <c r="V224" s="63"/>
      <c r="W224" s="63"/>
    </row>
    <row r="225" spans="1:23" ht="12.75">
      <c r="A225" s="216"/>
      <c r="B225" s="217"/>
      <c r="C225" s="47"/>
      <c r="D225" s="47"/>
      <c r="E225" s="121"/>
      <c r="F225" s="47"/>
      <c r="G225" s="63"/>
      <c r="H225" s="47"/>
      <c r="I225" s="47"/>
      <c r="J225" s="63"/>
      <c r="K225" s="63"/>
      <c r="L225" s="63"/>
      <c r="M225" s="63"/>
      <c r="N225" s="63"/>
      <c r="O225" s="63"/>
      <c r="P225" s="63"/>
      <c r="Q225" s="63"/>
      <c r="R225" s="63"/>
      <c r="S225" s="63"/>
      <c r="T225" s="63"/>
      <c r="U225" s="63"/>
      <c r="V225" s="63"/>
      <c r="W225" s="63"/>
    </row>
    <row r="226" spans="1:23" ht="12.75">
      <c r="A226" s="216"/>
      <c r="B226" s="217"/>
      <c r="C226" s="47"/>
      <c r="D226" s="47"/>
      <c r="E226" s="121"/>
      <c r="F226" s="47"/>
      <c r="G226" s="63"/>
      <c r="H226" s="47"/>
      <c r="I226" s="47"/>
      <c r="J226" s="63"/>
      <c r="K226" s="63"/>
      <c r="L226" s="63"/>
      <c r="M226" s="63"/>
      <c r="N226" s="63"/>
      <c r="O226" s="63"/>
      <c r="P226" s="63"/>
      <c r="Q226" s="63"/>
      <c r="R226" s="63"/>
      <c r="S226" s="63"/>
      <c r="T226" s="63"/>
      <c r="U226" s="63"/>
      <c r="V226" s="63"/>
      <c r="W226" s="63"/>
    </row>
    <row r="227" spans="1:23" ht="12.75">
      <c r="A227" s="216"/>
      <c r="B227" s="217"/>
      <c r="C227" s="47"/>
      <c r="D227" s="47"/>
      <c r="E227" s="121"/>
      <c r="F227" s="47"/>
      <c r="G227" s="63"/>
      <c r="H227" s="47"/>
      <c r="I227" s="47"/>
      <c r="J227" s="63"/>
      <c r="K227" s="63"/>
      <c r="L227" s="63"/>
      <c r="M227" s="63"/>
      <c r="N227" s="63"/>
      <c r="O227" s="63"/>
      <c r="P227" s="63"/>
      <c r="Q227" s="63"/>
      <c r="R227" s="63"/>
      <c r="S227" s="63"/>
      <c r="T227" s="63"/>
      <c r="U227" s="63"/>
      <c r="V227" s="63"/>
      <c r="W227" s="63"/>
    </row>
    <row r="228" spans="1:23" ht="12.75">
      <c r="A228" s="216"/>
      <c r="B228" s="217"/>
      <c r="C228" s="47"/>
      <c r="D228" s="47"/>
      <c r="E228" s="121"/>
      <c r="F228" s="47"/>
      <c r="G228" s="63"/>
      <c r="H228" s="47"/>
      <c r="I228" s="47"/>
      <c r="J228" s="63"/>
      <c r="K228" s="63"/>
      <c r="L228" s="63"/>
      <c r="M228" s="63"/>
      <c r="N228" s="63"/>
      <c r="O228" s="63"/>
      <c r="P228" s="63"/>
      <c r="Q228" s="63"/>
      <c r="R228" s="63"/>
      <c r="S228" s="63"/>
      <c r="T228" s="63"/>
      <c r="U228" s="63"/>
      <c r="V228" s="63"/>
      <c r="W228" s="63"/>
    </row>
    <row r="229" spans="1:23" ht="12.75">
      <c r="A229" s="216"/>
      <c r="B229" s="217"/>
      <c r="C229" s="47"/>
      <c r="D229" s="47"/>
      <c r="E229" s="121"/>
      <c r="F229" s="47"/>
      <c r="G229" s="63"/>
      <c r="H229" s="47"/>
      <c r="I229" s="47"/>
      <c r="J229" s="63"/>
      <c r="K229" s="63"/>
      <c r="L229" s="63"/>
      <c r="M229" s="63"/>
      <c r="N229" s="63"/>
      <c r="O229" s="63"/>
      <c r="P229" s="63"/>
      <c r="Q229" s="63"/>
      <c r="R229" s="63"/>
      <c r="S229" s="63"/>
      <c r="T229" s="63"/>
      <c r="U229" s="63"/>
      <c r="V229" s="63"/>
      <c r="W229" s="63"/>
    </row>
    <row r="230" spans="1:23" ht="12.75">
      <c r="A230" s="216"/>
      <c r="B230" s="217"/>
      <c r="C230" s="47"/>
      <c r="D230" s="47"/>
      <c r="E230" s="121"/>
      <c r="F230" s="47"/>
      <c r="G230" s="63"/>
      <c r="H230" s="47"/>
      <c r="I230" s="47"/>
      <c r="J230" s="63"/>
      <c r="K230" s="63"/>
      <c r="L230" s="63"/>
      <c r="M230" s="63"/>
      <c r="N230" s="63"/>
      <c r="O230" s="63"/>
      <c r="P230" s="63"/>
      <c r="Q230" s="63"/>
      <c r="R230" s="63"/>
      <c r="S230" s="63"/>
      <c r="T230" s="63"/>
      <c r="U230" s="63"/>
      <c r="V230" s="63"/>
      <c r="W230" s="63"/>
    </row>
    <row r="231" spans="1:23" ht="12.75">
      <c r="A231" s="216"/>
      <c r="B231" s="217"/>
      <c r="C231" s="47"/>
      <c r="D231" s="47"/>
      <c r="E231" s="121"/>
      <c r="F231" s="47"/>
      <c r="G231" s="63"/>
      <c r="H231" s="47"/>
      <c r="I231" s="47"/>
      <c r="J231" s="63"/>
      <c r="K231" s="63"/>
      <c r="L231" s="63"/>
      <c r="M231" s="63"/>
      <c r="N231" s="63"/>
      <c r="O231" s="63"/>
      <c r="P231" s="63"/>
      <c r="Q231" s="63"/>
      <c r="R231" s="63"/>
      <c r="S231" s="63"/>
      <c r="T231" s="63"/>
      <c r="U231" s="63"/>
      <c r="V231" s="63"/>
      <c r="W231" s="63"/>
    </row>
    <row r="232" spans="1:23" ht="12.75">
      <c r="A232" s="216"/>
      <c r="B232" s="217"/>
      <c r="C232" s="47"/>
      <c r="D232" s="47"/>
      <c r="E232" s="121"/>
      <c r="F232" s="47"/>
      <c r="G232" s="63"/>
      <c r="H232" s="47"/>
      <c r="I232" s="47"/>
      <c r="J232" s="63"/>
      <c r="K232" s="63"/>
      <c r="L232" s="63"/>
      <c r="M232" s="63"/>
      <c r="N232" s="63"/>
      <c r="O232" s="63"/>
      <c r="P232" s="63"/>
      <c r="Q232" s="63"/>
      <c r="R232" s="63"/>
      <c r="S232" s="63"/>
      <c r="T232" s="63"/>
      <c r="U232" s="63"/>
      <c r="V232" s="63"/>
      <c r="W232" s="63"/>
    </row>
    <row r="233" spans="1:23" ht="12.75">
      <c r="A233" s="216"/>
      <c r="B233" s="217"/>
      <c r="C233" s="47"/>
      <c r="D233" s="47"/>
      <c r="E233" s="121"/>
      <c r="F233" s="47"/>
      <c r="G233" s="63"/>
      <c r="H233" s="47"/>
      <c r="I233" s="47"/>
      <c r="J233" s="63"/>
      <c r="K233" s="63"/>
      <c r="L233" s="63"/>
      <c r="M233" s="63"/>
      <c r="N233" s="63"/>
      <c r="O233" s="63"/>
      <c r="P233" s="63"/>
      <c r="Q233" s="63"/>
      <c r="R233" s="63"/>
      <c r="S233" s="63"/>
      <c r="T233" s="63"/>
      <c r="U233" s="63"/>
      <c r="V233" s="63"/>
      <c r="W233" s="63"/>
    </row>
    <row r="234" spans="1:23" ht="12.75">
      <c r="A234" s="216"/>
      <c r="B234" s="217"/>
      <c r="C234" s="47"/>
      <c r="D234" s="47"/>
      <c r="E234" s="121"/>
      <c r="F234" s="47"/>
      <c r="G234" s="63"/>
      <c r="H234" s="47"/>
      <c r="I234" s="47"/>
      <c r="J234" s="63"/>
      <c r="K234" s="63"/>
      <c r="L234" s="63"/>
      <c r="M234" s="63"/>
      <c r="N234" s="63"/>
      <c r="O234" s="63"/>
      <c r="P234" s="63"/>
      <c r="Q234" s="63"/>
      <c r="R234" s="63"/>
      <c r="S234" s="63"/>
      <c r="T234" s="63"/>
      <c r="U234" s="63"/>
      <c r="V234" s="63"/>
      <c r="W234" s="63"/>
    </row>
    <row r="235" spans="1:23" ht="12.75">
      <c r="A235" s="216"/>
      <c r="B235" s="217"/>
      <c r="C235" s="47"/>
      <c r="D235" s="47"/>
      <c r="E235" s="121"/>
      <c r="F235" s="47"/>
      <c r="G235" s="63"/>
      <c r="H235" s="47"/>
      <c r="I235" s="47"/>
      <c r="J235" s="63"/>
      <c r="K235" s="63"/>
      <c r="L235" s="63"/>
      <c r="M235" s="63"/>
      <c r="N235" s="63"/>
      <c r="O235" s="63"/>
      <c r="P235" s="63"/>
      <c r="Q235" s="63"/>
      <c r="R235" s="63"/>
      <c r="S235" s="63"/>
      <c r="T235" s="63"/>
      <c r="U235" s="63"/>
      <c r="V235" s="63"/>
      <c r="W235" s="63"/>
    </row>
    <row r="236" spans="1:23" ht="12.75">
      <c r="A236" s="216"/>
      <c r="B236" s="217"/>
      <c r="C236" s="47"/>
      <c r="D236" s="47"/>
      <c r="E236" s="121"/>
      <c r="F236" s="47"/>
      <c r="G236" s="63"/>
      <c r="H236" s="47"/>
      <c r="I236" s="47"/>
      <c r="J236" s="63"/>
      <c r="K236" s="63"/>
      <c r="L236" s="63"/>
      <c r="M236" s="63"/>
      <c r="N236" s="63"/>
      <c r="O236" s="63"/>
      <c r="P236" s="63"/>
      <c r="Q236" s="63"/>
      <c r="R236" s="63"/>
      <c r="S236" s="63"/>
      <c r="T236" s="63"/>
      <c r="U236" s="63"/>
      <c r="V236" s="63"/>
      <c r="W236" s="63"/>
    </row>
    <row r="237" spans="1:23" ht="12.75">
      <c r="A237" s="216"/>
      <c r="B237" s="217"/>
      <c r="C237" s="47"/>
      <c r="D237" s="47"/>
      <c r="E237" s="121"/>
      <c r="F237" s="47"/>
      <c r="G237" s="63"/>
      <c r="H237" s="47"/>
      <c r="I237" s="47"/>
      <c r="J237" s="63"/>
      <c r="K237" s="63"/>
      <c r="L237" s="63"/>
      <c r="M237" s="63"/>
      <c r="N237" s="63"/>
      <c r="O237" s="63"/>
      <c r="P237" s="63"/>
      <c r="Q237" s="63"/>
      <c r="R237" s="63"/>
      <c r="S237" s="63"/>
      <c r="T237" s="63"/>
      <c r="U237" s="63"/>
      <c r="V237" s="63"/>
      <c r="W237" s="63"/>
    </row>
    <row r="238" spans="1:23" ht="12.75">
      <c r="A238" s="216"/>
      <c r="B238" s="217"/>
      <c r="C238" s="47"/>
      <c r="D238" s="47"/>
      <c r="E238" s="121"/>
      <c r="F238" s="47"/>
      <c r="G238" s="63"/>
      <c r="H238" s="47"/>
      <c r="I238" s="47"/>
      <c r="J238" s="63"/>
      <c r="K238" s="63"/>
      <c r="L238" s="63"/>
      <c r="M238" s="63"/>
      <c r="N238" s="63"/>
      <c r="O238" s="63"/>
      <c r="P238" s="63"/>
      <c r="Q238" s="63"/>
      <c r="R238" s="63"/>
      <c r="S238" s="63"/>
      <c r="T238" s="63"/>
      <c r="U238" s="63"/>
      <c r="V238" s="63"/>
      <c r="W238" s="63"/>
    </row>
    <row r="239" spans="1:23" ht="12.75">
      <c r="A239" s="216"/>
      <c r="B239" s="217"/>
      <c r="C239" s="47"/>
      <c r="D239" s="47"/>
      <c r="E239" s="121"/>
      <c r="F239" s="47"/>
      <c r="G239" s="63"/>
      <c r="H239" s="47"/>
      <c r="I239" s="47"/>
      <c r="J239" s="63"/>
      <c r="K239" s="63"/>
      <c r="L239" s="63"/>
      <c r="M239" s="63"/>
      <c r="N239" s="63"/>
      <c r="O239" s="63"/>
      <c r="P239" s="63"/>
      <c r="Q239" s="63"/>
      <c r="R239" s="63"/>
      <c r="S239" s="63"/>
      <c r="T239" s="63"/>
      <c r="U239" s="63"/>
      <c r="V239" s="63"/>
      <c r="W239" s="63"/>
    </row>
    <row r="240" spans="1:23" ht="12.75">
      <c r="A240" s="216"/>
      <c r="B240" s="217"/>
      <c r="C240" s="47"/>
      <c r="D240" s="47"/>
      <c r="E240" s="121"/>
      <c r="F240" s="47"/>
      <c r="G240" s="63"/>
      <c r="H240" s="47"/>
      <c r="I240" s="47"/>
      <c r="J240" s="63"/>
      <c r="K240" s="63"/>
      <c r="L240" s="63"/>
      <c r="M240" s="63"/>
      <c r="N240" s="63"/>
      <c r="O240" s="63"/>
      <c r="P240" s="63"/>
      <c r="Q240" s="63"/>
      <c r="R240" s="63"/>
      <c r="S240" s="63"/>
      <c r="T240" s="63"/>
      <c r="U240" s="63"/>
      <c r="V240" s="63"/>
      <c r="W240" s="63"/>
    </row>
    <row r="241" spans="1:23" ht="12.75">
      <c r="A241" s="216"/>
      <c r="B241" s="217"/>
      <c r="C241" s="47"/>
      <c r="D241" s="47"/>
      <c r="E241" s="121"/>
      <c r="F241" s="47"/>
      <c r="G241" s="63"/>
      <c r="H241" s="47"/>
      <c r="I241" s="47"/>
      <c r="J241" s="63"/>
      <c r="K241" s="63"/>
      <c r="L241" s="63"/>
      <c r="M241" s="63"/>
      <c r="N241" s="63"/>
      <c r="O241" s="63"/>
      <c r="P241" s="63"/>
      <c r="Q241" s="63"/>
      <c r="R241" s="63"/>
      <c r="S241" s="63"/>
      <c r="T241" s="63"/>
      <c r="U241" s="63"/>
      <c r="V241" s="63"/>
      <c r="W241" s="63"/>
    </row>
    <row r="242" spans="1:23" ht="12.75">
      <c r="A242" s="216"/>
      <c r="B242" s="217"/>
      <c r="C242" s="47"/>
      <c r="D242" s="47"/>
      <c r="E242" s="121"/>
      <c r="F242" s="47"/>
      <c r="G242" s="63"/>
      <c r="H242" s="47"/>
      <c r="I242" s="47"/>
      <c r="J242" s="63"/>
      <c r="K242" s="63"/>
      <c r="L242" s="63"/>
      <c r="M242" s="63"/>
      <c r="N242" s="63"/>
      <c r="O242" s="63"/>
      <c r="P242" s="63"/>
      <c r="Q242" s="63"/>
      <c r="R242" s="63"/>
      <c r="S242" s="63"/>
      <c r="T242" s="63"/>
      <c r="U242" s="63"/>
      <c r="V242" s="63"/>
      <c r="W242" s="63"/>
    </row>
    <row r="243" spans="1:23" ht="12.75">
      <c r="A243" s="216"/>
      <c r="B243" s="217"/>
      <c r="C243" s="47"/>
      <c r="D243" s="47"/>
      <c r="E243" s="121"/>
      <c r="F243" s="47"/>
      <c r="G243" s="63"/>
      <c r="H243" s="47"/>
      <c r="I243" s="47"/>
      <c r="J243" s="63"/>
      <c r="K243" s="63"/>
      <c r="L243" s="63"/>
      <c r="M243" s="63"/>
      <c r="N243" s="63"/>
      <c r="O243" s="63"/>
      <c r="P243" s="63"/>
      <c r="Q243" s="63"/>
      <c r="R243" s="63"/>
      <c r="S243" s="63"/>
      <c r="T243" s="63"/>
      <c r="U243" s="63"/>
      <c r="V243" s="63"/>
      <c r="W243" s="63"/>
    </row>
    <row r="244" spans="1:23" ht="12.75">
      <c r="A244" s="216"/>
      <c r="B244" s="217"/>
      <c r="C244" s="47"/>
      <c r="D244" s="47"/>
      <c r="E244" s="121"/>
      <c r="F244" s="47"/>
      <c r="G244" s="63"/>
      <c r="H244" s="47"/>
      <c r="I244" s="47"/>
      <c r="J244" s="63"/>
      <c r="K244" s="63"/>
      <c r="L244" s="63"/>
      <c r="M244" s="63"/>
      <c r="N244" s="63"/>
      <c r="O244" s="63"/>
      <c r="P244" s="63"/>
      <c r="Q244" s="63"/>
      <c r="R244" s="63"/>
      <c r="S244" s="63"/>
      <c r="T244" s="63"/>
      <c r="U244" s="63"/>
      <c r="V244" s="63"/>
      <c r="W244" s="63"/>
    </row>
    <row r="245" spans="1:23" ht="12.75">
      <c r="A245" s="216"/>
      <c r="B245" s="217"/>
      <c r="C245" s="47"/>
      <c r="D245" s="47"/>
      <c r="E245" s="121"/>
      <c r="F245" s="47"/>
      <c r="G245" s="63"/>
      <c r="H245" s="47"/>
      <c r="I245" s="47"/>
      <c r="J245" s="63"/>
      <c r="K245" s="63"/>
      <c r="L245" s="63"/>
      <c r="M245" s="63"/>
      <c r="N245" s="63"/>
      <c r="O245" s="63"/>
      <c r="P245" s="63"/>
      <c r="Q245" s="63"/>
      <c r="R245" s="63"/>
      <c r="S245" s="63"/>
      <c r="T245" s="63"/>
      <c r="U245" s="63"/>
      <c r="V245" s="63"/>
      <c r="W245" s="63"/>
    </row>
    <row r="246" spans="1:23" ht="12.75">
      <c r="A246" s="216"/>
      <c r="B246" s="217"/>
      <c r="C246" s="47"/>
      <c r="D246" s="47"/>
      <c r="E246" s="121"/>
      <c r="F246" s="47"/>
      <c r="G246" s="63"/>
      <c r="H246" s="47"/>
      <c r="I246" s="47"/>
      <c r="J246" s="63"/>
      <c r="K246" s="63"/>
      <c r="L246" s="63"/>
      <c r="M246" s="63"/>
      <c r="N246" s="63"/>
      <c r="O246" s="63"/>
      <c r="P246" s="63"/>
      <c r="Q246" s="63"/>
      <c r="R246" s="63"/>
      <c r="S246" s="63"/>
      <c r="T246" s="63"/>
      <c r="U246" s="63"/>
      <c r="V246" s="63"/>
      <c r="W246" s="63"/>
    </row>
    <row r="247" spans="1:23" ht="12.75">
      <c r="A247" s="216"/>
      <c r="B247" s="217"/>
      <c r="C247" s="47"/>
      <c r="D247" s="47"/>
      <c r="E247" s="121"/>
      <c r="F247" s="47"/>
      <c r="G247" s="63"/>
      <c r="H247" s="47"/>
      <c r="I247" s="47"/>
      <c r="J247" s="63"/>
      <c r="K247" s="63"/>
      <c r="L247" s="63"/>
      <c r="M247" s="63"/>
      <c r="N247" s="63"/>
      <c r="O247" s="63"/>
      <c r="P247" s="63"/>
      <c r="Q247" s="63"/>
      <c r="R247" s="63"/>
      <c r="S247" s="63"/>
      <c r="T247" s="63"/>
      <c r="U247" s="63"/>
      <c r="V247" s="63"/>
      <c r="W247" s="63"/>
    </row>
    <row r="248" spans="1:23" ht="12.75">
      <c r="A248" s="216"/>
      <c r="B248" s="217"/>
      <c r="C248" s="47"/>
      <c r="D248" s="47"/>
      <c r="E248" s="121"/>
      <c r="F248" s="47"/>
      <c r="G248" s="63"/>
      <c r="H248" s="47"/>
      <c r="I248" s="47"/>
      <c r="J248" s="63"/>
      <c r="K248" s="63"/>
      <c r="L248" s="63"/>
      <c r="M248" s="63"/>
      <c r="N248" s="63"/>
      <c r="O248" s="63"/>
      <c r="P248" s="63"/>
      <c r="Q248" s="63"/>
      <c r="R248" s="63"/>
      <c r="S248" s="63"/>
      <c r="T248" s="63"/>
      <c r="U248" s="63"/>
      <c r="V248" s="63"/>
      <c r="W248" s="63"/>
    </row>
    <row r="249" spans="1:23" ht="12.75">
      <c r="A249" s="216"/>
      <c r="B249" s="217"/>
      <c r="C249" s="47"/>
      <c r="D249" s="47"/>
      <c r="E249" s="121"/>
      <c r="F249" s="47"/>
      <c r="G249" s="63"/>
      <c r="H249" s="47"/>
      <c r="I249" s="47"/>
      <c r="J249" s="63"/>
      <c r="K249" s="63"/>
      <c r="L249" s="63"/>
      <c r="M249" s="63"/>
      <c r="N249" s="63"/>
      <c r="O249" s="63"/>
      <c r="P249" s="63"/>
      <c r="Q249" s="63"/>
      <c r="R249" s="63"/>
      <c r="S249" s="63"/>
      <c r="T249" s="63"/>
      <c r="U249" s="63"/>
      <c r="V249" s="63"/>
      <c r="W249" s="63"/>
    </row>
    <row r="250" spans="1:23" ht="12.75">
      <c r="A250" s="216"/>
      <c r="B250" s="217"/>
      <c r="C250" s="47"/>
      <c r="D250" s="47"/>
      <c r="E250" s="121"/>
      <c r="F250" s="47"/>
      <c r="G250" s="63"/>
      <c r="H250" s="47"/>
      <c r="I250" s="47"/>
      <c r="J250" s="63"/>
      <c r="K250" s="63"/>
      <c r="L250" s="63"/>
      <c r="M250" s="63"/>
      <c r="N250" s="63"/>
      <c r="O250" s="63"/>
      <c r="P250" s="63"/>
      <c r="Q250" s="63"/>
      <c r="R250" s="63"/>
      <c r="S250" s="63"/>
      <c r="T250" s="63"/>
      <c r="U250" s="63"/>
      <c r="V250" s="63"/>
      <c r="W250" s="63"/>
    </row>
    <row r="251" spans="1:23" ht="12.75">
      <c r="A251" s="216"/>
      <c r="B251" s="217"/>
      <c r="C251" s="47"/>
      <c r="D251" s="47"/>
      <c r="E251" s="121"/>
      <c r="F251" s="47"/>
      <c r="G251" s="63"/>
      <c r="H251" s="47"/>
      <c r="I251" s="47"/>
      <c r="J251" s="63"/>
      <c r="K251" s="63"/>
      <c r="L251" s="63"/>
      <c r="M251" s="63"/>
      <c r="N251" s="63"/>
      <c r="O251" s="63"/>
      <c r="P251" s="63"/>
      <c r="Q251" s="63"/>
      <c r="R251" s="63"/>
      <c r="S251" s="63"/>
      <c r="T251" s="63"/>
      <c r="U251" s="63"/>
      <c r="V251" s="63"/>
      <c r="W251" s="63"/>
    </row>
    <row r="252" spans="1:23" ht="12.75">
      <c r="A252" s="216"/>
      <c r="B252" s="217"/>
      <c r="C252" s="47"/>
      <c r="D252" s="47"/>
      <c r="E252" s="121"/>
      <c r="F252" s="47"/>
      <c r="G252" s="63"/>
      <c r="H252" s="47"/>
      <c r="I252" s="47"/>
      <c r="J252" s="63"/>
      <c r="K252" s="63"/>
      <c r="L252" s="63"/>
      <c r="M252" s="63"/>
      <c r="N252" s="63"/>
      <c r="O252" s="63"/>
      <c r="P252" s="63"/>
      <c r="Q252" s="63"/>
      <c r="R252" s="63"/>
      <c r="S252" s="63"/>
      <c r="T252" s="63"/>
      <c r="U252" s="63"/>
      <c r="V252" s="63"/>
      <c r="W252" s="63"/>
    </row>
    <row r="253" spans="1:23" ht="12.75">
      <c r="A253" s="216"/>
      <c r="B253" s="217"/>
      <c r="C253" s="47"/>
      <c r="D253" s="47"/>
      <c r="E253" s="121"/>
      <c r="F253" s="47"/>
      <c r="G253" s="63"/>
      <c r="H253" s="47"/>
      <c r="I253" s="47"/>
      <c r="J253" s="63"/>
      <c r="K253" s="63"/>
      <c r="L253" s="63"/>
      <c r="M253" s="63"/>
      <c r="N253" s="63"/>
      <c r="O253" s="63"/>
      <c r="P253" s="63"/>
      <c r="Q253" s="63"/>
      <c r="R253" s="63"/>
      <c r="S253" s="63"/>
      <c r="T253" s="63"/>
      <c r="U253" s="63"/>
      <c r="V253" s="63"/>
      <c r="W253" s="63"/>
    </row>
    <row r="254" spans="1:23" ht="12.75">
      <c r="A254" s="216"/>
      <c r="B254" s="217"/>
      <c r="C254" s="47"/>
      <c r="D254" s="47"/>
      <c r="E254" s="121"/>
      <c r="F254" s="47"/>
      <c r="G254" s="63"/>
      <c r="H254" s="47"/>
      <c r="I254" s="47"/>
      <c r="J254" s="63"/>
      <c r="K254" s="63"/>
      <c r="L254" s="63"/>
      <c r="M254" s="63"/>
      <c r="N254" s="63"/>
      <c r="O254" s="63"/>
      <c r="P254" s="63"/>
      <c r="Q254" s="63"/>
      <c r="R254" s="63"/>
      <c r="S254" s="63"/>
      <c r="T254" s="63"/>
      <c r="U254" s="63"/>
      <c r="V254" s="63"/>
      <c r="W254" s="63"/>
    </row>
    <row r="255" spans="1:23" ht="12.75">
      <c r="A255" s="216"/>
      <c r="B255" s="217"/>
      <c r="C255" s="47"/>
      <c r="D255" s="47"/>
      <c r="E255" s="121"/>
      <c r="F255" s="47"/>
      <c r="G255" s="63"/>
      <c r="H255" s="47"/>
      <c r="I255" s="47"/>
      <c r="J255" s="63"/>
      <c r="K255" s="63"/>
      <c r="L255" s="63"/>
      <c r="M255" s="63"/>
      <c r="N255" s="63"/>
      <c r="O255" s="63"/>
      <c r="P255" s="63"/>
      <c r="Q255" s="63"/>
      <c r="R255" s="63"/>
      <c r="S255" s="63"/>
      <c r="T255" s="63"/>
      <c r="U255" s="63"/>
      <c r="V255" s="63"/>
      <c r="W255" s="63"/>
    </row>
    <row r="256" spans="1:23" ht="12.75">
      <c r="A256" s="216"/>
      <c r="B256" s="217"/>
      <c r="C256" s="47"/>
      <c r="D256" s="47"/>
      <c r="E256" s="121"/>
      <c r="F256" s="47"/>
      <c r="G256" s="63"/>
      <c r="H256" s="47"/>
      <c r="I256" s="47"/>
      <c r="J256" s="63"/>
      <c r="K256" s="63"/>
      <c r="L256" s="63"/>
      <c r="M256" s="63"/>
      <c r="N256" s="63"/>
      <c r="O256" s="63"/>
      <c r="P256" s="63"/>
      <c r="Q256" s="63"/>
      <c r="R256" s="63"/>
      <c r="S256" s="63"/>
      <c r="T256" s="63"/>
      <c r="U256" s="63"/>
      <c r="V256" s="63"/>
      <c r="W256" s="63"/>
    </row>
    <row r="257" spans="1:23" ht="12.75">
      <c r="A257" s="216"/>
      <c r="B257" s="217"/>
      <c r="C257" s="47"/>
      <c r="D257" s="47"/>
      <c r="E257" s="121"/>
      <c r="F257" s="47"/>
      <c r="G257" s="63"/>
      <c r="H257" s="47"/>
      <c r="I257" s="47"/>
      <c r="J257" s="63"/>
      <c r="K257" s="63"/>
      <c r="L257" s="63"/>
      <c r="M257" s="63"/>
      <c r="N257" s="63"/>
      <c r="O257" s="63"/>
      <c r="P257" s="63"/>
      <c r="Q257" s="63"/>
      <c r="R257" s="63"/>
      <c r="S257" s="63"/>
      <c r="T257" s="63"/>
      <c r="U257" s="63"/>
      <c r="V257" s="63"/>
      <c r="W257" s="63"/>
    </row>
    <row r="258" spans="1:23" ht="12.75">
      <c r="A258" s="216"/>
      <c r="B258" s="217"/>
      <c r="C258" s="47"/>
      <c r="D258" s="47"/>
      <c r="E258" s="121"/>
      <c r="F258" s="47"/>
      <c r="G258" s="63"/>
      <c r="H258" s="47"/>
      <c r="I258" s="47"/>
      <c r="J258" s="63"/>
      <c r="K258" s="63"/>
      <c r="L258" s="63"/>
      <c r="M258" s="63"/>
      <c r="N258" s="63"/>
      <c r="O258" s="63"/>
      <c r="P258" s="63"/>
      <c r="Q258" s="63"/>
      <c r="R258" s="63"/>
      <c r="S258" s="63"/>
      <c r="T258" s="63"/>
      <c r="U258" s="63"/>
      <c r="V258" s="63"/>
      <c r="W258" s="63"/>
    </row>
    <row r="259" spans="1:23" ht="12.75">
      <c r="A259" s="216"/>
      <c r="B259" s="217"/>
      <c r="C259" s="47"/>
      <c r="D259" s="47"/>
      <c r="E259" s="121"/>
      <c r="F259" s="47"/>
      <c r="G259" s="63"/>
      <c r="H259" s="47"/>
      <c r="I259" s="47"/>
      <c r="J259" s="63"/>
      <c r="K259" s="63"/>
      <c r="L259" s="63"/>
      <c r="M259" s="63"/>
      <c r="N259" s="63"/>
      <c r="O259" s="63"/>
      <c r="P259" s="63"/>
      <c r="Q259" s="63"/>
      <c r="R259" s="63"/>
      <c r="S259" s="63"/>
      <c r="T259" s="63"/>
      <c r="U259" s="63"/>
      <c r="V259" s="63"/>
      <c r="W259" s="63"/>
    </row>
    <row r="260" spans="1:23" ht="12.75">
      <c r="A260" s="216"/>
      <c r="B260" s="217"/>
      <c r="C260" s="47"/>
      <c r="D260" s="47"/>
      <c r="E260" s="121"/>
      <c r="F260" s="47"/>
      <c r="G260" s="63"/>
      <c r="H260" s="47"/>
      <c r="I260" s="47"/>
      <c r="J260" s="63"/>
      <c r="K260" s="63"/>
      <c r="L260" s="63"/>
      <c r="M260" s="63"/>
      <c r="N260" s="63"/>
      <c r="O260" s="63"/>
      <c r="P260" s="63"/>
      <c r="Q260" s="63"/>
      <c r="R260" s="63"/>
      <c r="S260" s="63"/>
      <c r="T260" s="63"/>
      <c r="U260" s="63"/>
      <c r="V260" s="63"/>
      <c r="W260" s="63"/>
    </row>
    <row r="261" spans="1:23" ht="12.75">
      <c r="A261" s="216"/>
      <c r="B261" s="217"/>
      <c r="C261" s="47"/>
      <c r="D261" s="47"/>
      <c r="E261" s="121"/>
      <c r="F261" s="47"/>
      <c r="G261" s="63"/>
      <c r="H261" s="47"/>
      <c r="I261" s="47"/>
      <c r="J261" s="63"/>
      <c r="K261" s="63"/>
      <c r="L261" s="63"/>
      <c r="M261" s="63"/>
      <c r="N261" s="63"/>
      <c r="O261" s="63"/>
      <c r="P261" s="63"/>
      <c r="Q261" s="63"/>
      <c r="R261" s="63"/>
      <c r="S261" s="63"/>
      <c r="T261" s="63"/>
      <c r="U261" s="63"/>
      <c r="V261" s="63"/>
      <c r="W261" s="63"/>
    </row>
    <row r="262" spans="1:23" ht="12.75">
      <c r="A262" s="216"/>
      <c r="B262" s="217"/>
      <c r="C262" s="47"/>
      <c r="D262" s="47"/>
      <c r="E262" s="121"/>
      <c r="F262" s="47"/>
      <c r="G262" s="63"/>
      <c r="H262" s="47"/>
      <c r="I262" s="47"/>
      <c r="J262" s="63"/>
      <c r="K262" s="63"/>
      <c r="L262" s="63"/>
      <c r="M262" s="63"/>
      <c r="N262" s="63"/>
      <c r="O262" s="63"/>
      <c r="P262" s="63"/>
      <c r="Q262" s="63"/>
      <c r="R262" s="63"/>
      <c r="S262" s="63"/>
      <c r="T262" s="63"/>
      <c r="U262" s="63"/>
      <c r="V262" s="63"/>
      <c r="W262" s="63"/>
    </row>
    <row r="263" spans="1:23" ht="12.75">
      <c r="A263" s="216"/>
      <c r="B263" s="217"/>
      <c r="C263" s="47"/>
      <c r="D263" s="47"/>
      <c r="E263" s="121"/>
      <c r="F263" s="47"/>
      <c r="G263" s="63"/>
      <c r="H263" s="47"/>
      <c r="I263" s="47"/>
      <c r="J263" s="63"/>
      <c r="K263" s="63"/>
      <c r="L263" s="63"/>
      <c r="M263" s="63"/>
      <c r="N263" s="63"/>
      <c r="O263" s="63"/>
      <c r="P263" s="63"/>
      <c r="Q263" s="63"/>
      <c r="R263" s="63"/>
      <c r="S263" s="63"/>
      <c r="T263" s="63"/>
      <c r="U263" s="63"/>
      <c r="V263" s="63"/>
      <c r="W263" s="63"/>
    </row>
    <row r="264" spans="1:23" ht="12.75">
      <c r="A264" s="216"/>
      <c r="B264" s="217"/>
      <c r="C264" s="47"/>
      <c r="D264" s="47"/>
      <c r="E264" s="121"/>
      <c r="F264" s="47"/>
      <c r="G264" s="63"/>
      <c r="H264" s="47"/>
      <c r="I264" s="47"/>
      <c r="J264" s="63"/>
      <c r="K264" s="63"/>
      <c r="L264" s="63"/>
      <c r="M264" s="63"/>
      <c r="N264" s="63"/>
      <c r="O264" s="63"/>
      <c r="P264" s="63"/>
      <c r="Q264" s="63"/>
      <c r="R264" s="63"/>
      <c r="S264" s="63"/>
      <c r="T264" s="63"/>
      <c r="U264" s="63"/>
      <c r="V264" s="63"/>
      <c r="W264" s="63"/>
    </row>
    <row r="265" spans="1:23" ht="12.75">
      <c r="A265" s="216"/>
      <c r="B265" s="217"/>
      <c r="C265" s="47"/>
      <c r="D265" s="47"/>
      <c r="E265" s="121"/>
      <c r="F265" s="47"/>
      <c r="G265" s="63"/>
      <c r="H265" s="47"/>
      <c r="I265" s="47"/>
      <c r="J265" s="63"/>
      <c r="K265" s="63"/>
      <c r="L265" s="63"/>
      <c r="M265" s="63"/>
      <c r="N265" s="63"/>
      <c r="O265" s="63"/>
      <c r="P265" s="63"/>
      <c r="Q265" s="63"/>
      <c r="R265" s="63"/>
      <c r="S265" s="63"/>
      <c r="T265" s="63"/>
      <c r="U265" s="63"/>
      <c r="V265" s="63"/>
      <c r="W265" s="63"/>
    </row>
    <row r="266" spans="1:23" ht="12.75">
      <c r="A266" s="216"/>
      <c r="B266" s="217"/>
      <c r="C266" s="47"/>
      <c r="D266" s="47"/>
      <c r="E266" s="121"/>
      <c r="F266" s="47"/>
      <c r="G266" s="63"/>
      <c r="H266" s="47"/>
      <c r="I266" s="47"/>
      <c r="J266" s="63"/>
      <c r="K266" s="63"/>
      <c r="L266" s="63"/>
      <c r="M266" s="63"/>
      <c r="N266" s="63"/>
      <c r="O266" s="63"/>
      <c r="P266" s="63"/>
      <c r="Q266" s="63"/>
      <c r="R266" s="63"/>
      <c r="S266" s="63"/>
      <c r="T266" s="63"/>
      <c r="U266" s="63"/>
      <c r="V266" s="63"/>
      <c r="W266" s="63"/>
    </row>
    <row r="267" spans="1:23" ht="12.75">
      <c r="A267" s="216"/>
      <c r="B267" s="217"/>
      <c r="C267" s="47"/>
      <c r="D267" s="47"/>
      <c r="E267" s="121"/>
      <c r="F267" s="47"/>
      <c r="G267" s="63"/>
      <c r="H267" s="47"/>
      <c r="I267" s="47"/>
      <c r="J267" s="63"/>
      <c r="K267" s="63"/>
      <c r="L267" s="63"/>
      <c r="M267" s="63"/>
      <c r="N267" s="63"/>
      <c r="O267" s="63"/>
      <c r="P267" s="63"/>
      <c r="Q267" s="63"/>
      <c r="R267" s="63"/>
      <c r="S267" s="63"/>
      <c r="T267" s="63"/>
      <c r="U267" s="63"/>
      <c r="V267" s="63"/>
      <c r="W267" s="63"/>
    </row>
    <row r="268" spans="1:23" ht="12.75">
      <c r="A268" s="216"/>
      <c r="B268" s="217"/>
      <c r="C268" s="47"/>
      <c r="D268" s="47"/>
      <c r="E268" s="121"/>
      <c r="F268" s="47"/>
      <c r="G268" s="63"/>
      <c r="H268" s="47"/>
      <c r="I268" s="47"/>
      <c r="J268" s="63"/>
      <c r="K268" s="63"/>
      <c r="L268" s="63"/>
      <c r="M268" s="63"/>
      <c r="N268" s="63"/>
      <c r="O268" s="63"/>
      <c r="P268" s="63"/>
      <c r="Q268" s="63"/>
      <c r="R268" s="63"/>
      <c r="S268" s="63"/>
      <c r="T268" s="63"/>
      <c r="U268" s="63"/>
      <c r="V268" s="63"/>
      <c r="W268" s="63"/>
    </row>
    <row r="269" spans="1:23" ht="12.75">
      <c r="A269" s="216"/>
      <c r="B269" s="217"/>
      <c r="C269" s="47"/>
      <c r="D269" s="47"/>
      <c r="E269" s="121"/>
      <c r="F269" s="47"/>
      <c r="G269" s="63"/>
      <c r="H269" s="47"/>
      <c r="I269" s="47"/>
      <c r="J269" s="63"/>
      <c r="K269" s="63"/>
      <c r="L269" s="63"/>
      <c r="M269" s="63"/>
      <c r="N269" s="63"/>
      <c r="O269" s="63"/>
      <c r="P269" s="63"/>
      <c r="Q269" s="63"/>
      <c r="R269" s="63"/>
      <c r="S269" s="63"/>
      <c r="T269" s="63"/>
      <c r="U269" s="63"/>
      <c r="V269" s="63"/>
      <c r="W269" s="63"/>
    </row>
    <row r="270" spans="1:23" ht="12.75">
      <c r="A270" s="216"/>
      <c r="B270" s="217"/>
      <c r="C270" s="47"/>
      <c r="D270" s="47"/>
      <c r="E270" s="121"/>
      <c r="F270" s="47"/>
      <c r="G270" s="63"/>
      <c r="H270" s="47"/>
      <c r="I270" s="47"/>
      <c r="J270" s="63"/>
      <c r="K270" s="63"/>
      <c r="L270" s="63"/>
      <c r="M270" s="63"/>
      <c r="N270" s="63"/>
      <c r="O270" s="63"/>
      <c r="P270" s="63"/>
      <c r="Q270" s="63"/>
      <c r="R270" s="63"/>
      <c r="S270" s="63"/>
      <c r="T270" s="63"/>
      <c r="U270" s="63"/>
      <c r="V270" s="63"/>
      <c r="W270" s="63"/>
    </row>
    <row r="271" spans="1:23" ht="12.75">
      <c r="A271" s="216"/>
      <c r="B271" s="217"/>
      <c r="C271" s="47"/>
      <c r="D271" s="47"/>
      <c r="E271" s="121"/>
      <c r="F271" s="47"/>
      <c r="G271" s="63"/>
      <c r="H271" s="47"/>
      <c r="I271" s="47"/>
      <c r="J271" s="63"/>
      <c r="K271" s="63"/>
      <c r="L271" s="63"/>
      <c r="M271" s="63"/>
      <c r="N271" s="63"/>
      <c r="O271" s="63"/>
      <c r="P271" s="63"/>
      <c r="Q271" s="63"/>
      <c r="R271" s="63"/>
      <c r="S271" s="63"/>
      <c r="T271" s="63"/>
      <c r="U271" s="63"/>
      <c r="V271" s="63"/>
      <c r="W271" s="63"/>
    </row>
    <row r="272" spans="1:23" ht="12.75">
      <c r="A272" s="216"/>
      <c r="B272" s="217"/>
      <c r="C272" s="47"/>
      <c r="D272" s="47"/>
      <c r="E272" s="121"/>
      <c r="F272" s="47"/>
      <c r="G272" s="63"/>
      <c r="H272" s="47"/>
      <c r="I272" s="47"/>
      <c r="J272" s="63"/>
      <c r="K272" s="63"/>
      <c r="L272" s="63"/>
      <c r="M272" s="63"/>
      <c r="N272" s="63"/>
      <c r="O272" s="63"/>
      <c r="P272" s="63"/>
      <c r="Q272" s="63"/>
      <c r="R272" s="63"/>
      <c r="S272" s="63"/>
      <c r="T272" s="63"/>
      <c r="U272" s="63"/>
      <c r="V272" s="63"/>
      <c r="W272" s="63"/>
    </row>
    <row r="273" spans="1:23" ht="12.75">
      <c r="A273" s="216"/>
      <c r="B273" s="217"/>
      <c r="C273" s="47"/>
      <c r="D273" s="47"/>
      <c r="E273" s="121"/>
      <c r="F273" s="47"/>
      <c r="G273" s="63"/>
      <c r="H273" s="47"/>
      <c r="I273" s="47"/>
      <c r="J273" s="63"/>
      <c r="K273" s="63"/>
      <c r="L273" s="63"/>
      <c r="M273" s="63"/>
      <c r="N273" s="63"/>
      <c r="O273" s="63"/>
      <c r="P273" s="63"/>
      <c r="Q273" s="63"/>
      <c r="R273" s="63"/>
      <c r="S273" s="63"/>
      <c r="T273" s="63"/>
      <c r="U273" s="63"/>
      <c r="V273" s="63"/>
      <c r="W273" s="63"/>
    </row>
    <row r="274" spans="1:23" ht="12.75">
      <c r="A274" s="216"/>
      <c r="B274" s="217"/>
      <c r="C274" s="47"/>
      <c r="D274" s="47"/>
      <c r="E274" s="121"/>
      <c r="F274" s="47"/>
      <c r="G274" s="63"/>
      <c r="H274" s="47"/>
      <c r="I274" s="47"/>
      <c r="J274" s="63"/>
      <c r="K274" s="63"/>
      <c r="L274" s="63"/>
      <c r="M274" s="63"/>
      <c r="N274" s="63"/>
      <c r="O274" s="63"/>
      <c r="P274" s="63"/>
      <c r="Q274" s="63"/>
      <c r="R274" s="63"/>
      <c r="S274" s="63"/>
      <c r="T274" s="63"/>
      <c r="U274" s="63"/>
      <c r="V274" s="63"/>
      <c r="W274" s="63"/>
    </row>
    <row r="275" spans="1:23" ht="12.75">
      <c r="A275" s="216"/>
      <c r="B275" s="217"/>
      <c r="C275" s="47"/>
      <c r="D275" s="47"/>
      <c r="E275" s="121"/>
      <c r="F275" s="47"/>
      <c r="G275" s="63"/>
      <c r="H275" s="47"/>
      <c r="I275" s="47"/>
      <c r="J275" s="63"/>
      <c r="K275" s="63"/>
      <c r="L275" s="63"/>
      <c r="M275" s="63"/>
      <c r="N275" s="63"/>
      <c r="O275" s="63"/>
      <c r="P275" s="63"/>
      <c r="Q275" s="63"/>
      <c r="R275" s="63"/>
      <c r="S275" s="63"/>
      <c r="T275" s="63"/>
      <c r="U275" s="63"/>
      <c r="V275" s="63"/>
      <c r="W275" s="63"/>
    </row>
    <row r="276" spans="1:23" ht="12.75">
      <c r="A276" s="216"/>
      <c r="B276" s="217"/>
      <c r="C276" s="47"/>
      <c r="D276" s="47"/>
      <c r="E276" s="121"/>
      <c r="F276" s="47"/>
      <c r="G276" s="63"/>
      <c r="H276" s="47"/>
      <c r="I276" s="47"/>
      <c r="J276" s="63"/>
      <c r="K276" s="63"/>
      <c r="L276" s="63"/>
      <c r="M276" s="63"/>
      <c r="N276" s="63"/>
      <c r="O276" s="63"/>
      <c r="P276" s="63"/>
      <c r="Q276" s="63"/>
      <c r="R276" s="63"/>
      <c r="S276" s="63"/>
      <c r="T276" s="63"/>
      <c r="U276" s="63"/>
      <c r="V276" s="63"/>
      <c r="W276" s="63"/>
    </row>
    <row r="277" spans="1:23" ht="12.75">
      <c r="A277" s="216"/>
      <c r="B277" s="217"/>
      <c r="C277" s="47"/>
      <c r="D277" s="47"/>
      <c r="E277" s="121"/>
      <c r="F277" s="47"/>
      <c r="G277" s="63"/>
      <c r="H277" s="47"/>
      <c r="I277" s="47"/>
      <c r="J277" s="63"/>
      <c r="K277" s="63"/>
      <c r="L277" s="63"/>
      <c r="M277" s="63"/>
      <c r="N277" s="63"/>
      <c r="O277" s="63"/>
      <c r="P277" s="63"/>
      <c r="Q277" s="63"/>
      <c r="R277" s="63"/>
      <c r="S277" s="63"/>
      <c r="T277" s="63"/>
      <c r="U277" s="63"/>
      <c r="V277" s="63"/>
      <c r="W277" s="63"/>
    </row>
    <row r="278" spans="1:23" ht="12.75">
      <c r="A278" s="216"/>
      <c r="B278" s="217"/>
      <c r="C278" s="47"/>
      <c r="D278" s="47"/>
      <c r="E278" s="121"/>
      <c r="F278" s="47"/>
      <c r="G278" s="63"/>
      <c r="H278" s="47"/>
      <c r="I278" s="47"/>
      <c r="J278" s="63"/>
      <c r="K278" s="63"/>
      <c r="L278" s="63"/>
      <c r="M278" s="63"/>
      <c r="N278" s="63"/>
      <c r="O278" s="63"/>
      <c r="P278" s="63"/>
      <c r="Q278" s="63"/>
      <c r="R278" s="63"/>
      <c r="S278" s="63"/>
      <c r="T278" s="63"/>
      <c r="U278" s="63"/>
      <c r="V278" s="63"/>
      <c r="W278" s="63"/>
    </row>
    <row r="279" spans="1:23" ht="12.75">
      <c r="A279" s="216"/>
      <c r="B279" s="217"/>
      <c r="C279" s="47"/>
      <c r="D279" s="47"/>
      <c r="E279" s="121"/>
      <c r="F279" s="47"/>
      <c r="G279" s="63"/>
      <c r="H279" s="47"/>
      <c r="I279" s="47"/>
      <c r="J279" s="63"/>
      <c r="K279" s="63"/>
      <c r="L279" s="63"/>
      <c r="M279" s="63"/>
      <c r="N279" s="63"/>
      <c r="O279" s="63"/>
      <c r="P279" s="63"/>
      <c r="Q279" s="63"/>
      <c r="R279" s="63"/>
      <c r="S279" s="63"/>
      <c r="T279" s="63"/>
      <c r="U279" s="63"/>
      <c r="V279" s="63"/>
      <c r="W279" s="63"/>
    </row>
    <row r="280" spans="1:23" ht="12.75">
      <c r="A280" s="216"/>
      <c r="B280" s="217"/>
      <c r="C280" s="47"/>
      <c r="D280" s="47"/>
      <c r="E280" s="121"/>
      <c r="F280" s="47"/>
      <c r="G280" s="63"/>
      <c r="H280" s="47"/>
      <c r="I280" s="47"/>
      <c r="J280" s="63"/>
      <c r="K280" s="63"/>
      <c r="L280" s="63"/>
      <c r="M280" s="63"/>
      <c r="N280" s="63"/>
      <c r="O280" s="63"/>
      <c r="P280" s="63"/>
      <c r="Q280" s="63"/>
      <c r="R280" s="63"/>
      <c r="S280" s="63"/>
      <c r="T280" s="63"/>
      <c r="U280" s="63"/>
      <c r="V280" s="63"/>
      <c r="W280" s="63"/>
    </row>
    <row r="281" spans="1:23" ht="12.75">
      <c r="A281" s="216"/>
      <c r="B281" s="217"/>
      <c r="C281" s="47"/>
      <c r="D281" s="47"/>
      <c r="E281" s="121"/>
      <c r="F281" s="47"/>
      <c r="G281" s="63"/>
      <c r="H281" s="47"/>
      <c r="I281" s="47"/>
      <c r="J281" s="63"/>
      <c r="K281" s="63"/>
      <c r="L281" s="63"/>
      <c r="M281" s="63"/>
      <c r="N281" s="63"/>
      <c r="O281" s="63"/>
      <c r="P281" s="63"/>
      <c r="Q281" s="63"/>
      <c r="R281" s="63"/>
      <c r="S281" s="63"/>
      <c r="T281" s="63"/>
      <c r="U281" s="63"/>
      <c r="V281" s="63"/>
      <c r="W281" s="63"/>
    </row>
    <row r="282" spans="1:23" ht="12.75">
      <c r="A282" s="216"/>
      <c r="B282" s="217"/>
      <c r="C282" s="47"/>
      <c r="D282" s="47"/>
      <c r="E282" s="121"/>
      <c r="F282" s="47"/>
      <c r="G282" s="63"/>
      <c r="H282" s="47"/>
      <c r="I282" s="47"/>
      <c r="J282" s="63"/>
      <c r="K282" s="63"/>
      <c r="L282" s="63"/>
      <c r="M282" s="63"/>
      <c r="N282" s="63"/>
      <c r="O282" s="63"/>
      <c r="P282" s="63"/>
      <c r="Q282" s="63"/>
      <c r="R282" s="63"/>
      <c r="S282" s="63"/>
      <c r="T282" s="63"/>
      <c r="U282" s="63"/>
      <c r="V282" s="63"/>
      <c r="W282" s="63"/>
    </row>
    <row r="283" spans="1:23" ht="12.75">
      <c r="A283" s="216"/>
      <c r="B283" s="217"/>
      <c r="C283" s="47"/>
      <c r="D283" s="47"/>
      <c r="E283" s="121"/>
      <c r="F283" s="47"/>
      <c r="G283" s="63"/>
      <c r="H283" s="47"/>
      <c r="I283" s="47"/>
      <c r="J283" s="63"/>
      <c r="K283" s="63"/>
      <c r="L283" s="63"/>
      <c r="M283" s="63"/>
      <c r="N283" s="63"/>
      <c r="O283" s="63"/>
      <c r="P283" s="63"/>
      <c r="Q283" s="63"/>
      <c r="R283" s="63"/>
      <c r="S283" s="63"/>
      <c r="T283" s="63"/>
      <c r="U283" s="63"/>
      <c r="V283" s="63"/>
      <c r="W283" s="63"/>
    </row>
    <row r="284" spans="1:23" ht="12.75">
      <c r="A284" s="216"/>
      <c r="B284" s="217"/>
      <c r="C284" s="47"/>
      <c r="D284" s="47"/>
      <c r="E284" s="121"/>
      <c r="F284" s="47"/>
      <c r="G284" s="63"/>
      <c r="H284" s="47"/>
      <c r="I284" s="47"/>
      <c r="J284" s="63"/>
      <c r="K284" s="63"/>
      <c r="L284" s="63"/>
      <c r="M284" s="63"/>
      <c r="N284" s="63"/>
      <c r="O284" s="63"/>
      <c r="P284" s="63"/>
      <c r="Q284" s="63"/>
      <c r="R284" s="63"/>
      <c r="S284" s="63"/>
      <c r="T284" s="63"/>
      <c r="U284" s="63"/>
      <c r="V284" s="63"/>
      <c r="W284" s="63"/>
    </row>
    <row r="285" spans="1:23" ht="12.75">
      <c r="A285" s="216"/>
      <c r="B285" s="217"/>
      <c r="C285" s="47"/>
      <c r="D285" s="47"/>
      <c r="E285" s="121"/>
      <c r="F285" s="47"/>
      <c r="G285" s="63"/>
      <c r="H285" s="47"/>
      <c r="I285" s="47"/>
      <c r="J285" s="63"/>
      <c r="K285" s="63"/>
      <c r="L285" s="63"/>
      <c r="M285" s="63"/>
      <c r="N285" s="63"/>
      <c r="O285" s="63"/>
      <c r="P285" s="63"/>
      <c r="Q285" s="63"/>
      <c r="R285" s="63"/>
      <c r="S285" s="63"/>
      <c r="T285" s="63"/>
      <c r="U285" s="63"/>
      <c r="V285" s="63"/>
      <c r="W285" s="63"/>
    </row>
    <row r="286" spans="1:23" ht="12.75">
      <c r="A286" s="216"/>
      <c r="B286" s="217"/>
      <c r="C286" s="47"/>
      <c r="D286" s="47"/>
      <c r="E286" s="121"/>
      <c r="F286" s="47"/>
      <c r="G286" s="63"/>
      <c r="H286" s="47"/>
      <c r="I286" s="47"/>
      <c r="J286" s="63"/>
      <c r="K286" s="63"/>
      <c r="L286" s="63"/>
      <c r="M286" s="63"/>
      <c r="N286" s="63"/>
      <c r="O286" s="63"/>
      <c r="P286" s="63"/>
      <c r="Q286" s="63"/>
      <c r="R286" s="63"/>
      <c r="S286" s="63"/>
      <c r="T286" s="63"/>
      <c r="U286" s="63"/>
      <c r="V286" s="63"/>
      <c r="W286" s="63"/>
    </row>
    <row r="287" spans="1:23" ht="12.75">
      <c r="A287" s="216"/>
      <c r="B287" s="217"/>
      <c r="C287" s="47"/>
      <c r="D287" s="47"/>
      <c r="E287" s="121"/>
      <c r="F287" s="47"/>
      <c r="G287" s="63"/>
      <c r="H287" s="47"/>
      <c r="I287" s="47"/>
      <c r="J287" s="63"/>
      <c r="K287" s="63"/>
      <c r="L287" s="63"/>
      <c r="M287" s="63"/>
      <c r="N287" s="63"/>
      <c r="O287" s="63"/>
      <c r="P287" s="63"/>
      <c r="Q287" s="63"/>
      <c r="R287" s="63"/>
      <c r="S287" s="63"/>
      <c r="T287" s="63"/>
      <c r="U287" s="63"/>
      <c r="V287" s="63"/>
      <c r="W287" s="63"/>
    </row>
    <row r="288" spans="1:23" ht="12.75">
      <c r="A288" s="216"/>
      <c r="B288" s="217"/>
      <c r="C288" s="47"/>
      <c r="D288" s="47"/>
      <c r="E288" s="121"/>
      <c r="F288" s="47"/>
      <c r="G288" s="63"/>
      <c r="H288" s="47"/>
      <c r="I288" s="47"/>
      <c r="J288" s="63"/>
      <c r="K288" s="63"/>
      <c r="L288" s="63"/>
      <c r="M288" s="63"/>
      <c r="N288" s="63"/>
      <c r="O288" s="63"/>
      <c r="P288" s="63"/>
      <c r="Q288" s="63"/>
      <c r="R288" s="63"/>
      <c r="S288" s="63"/>
      <c r="T288" s="63"/>
      <c r="U288" s="63"/>
      <c r="V288" s="63"/>
      <c r="W288" s="63"/>
    </row>
    <row r="289" spans="1:23" ht="12.75">
      <c r="A289" s="216"/>
      <c r="B289" s="217"/>
      <c r="C289" s="47"/>
      <c r="D289" s="47"/>
      <c r="E289" s="121"/>
      <c r="F289" s="47"/>
      <c r="G289" s="63"/>
      <c r="H289" s="47"/>
      <c r="I289" s="47"/>
      <c r="J289" s="63"/>
      <c r="K289" s="63"/>
      <c r="L289" s="63"/>
      <c r="M289" s="63"/>
      <c r="N289" s="63"/>
      <c r="O289" s="63"/>
      <c r="P289" s="63"/>
      <c r="Q289" s="63"/>
      <c r="R289" s="63"/>
      <c r="S289" s="63"/>
      <c r="T289" s="63"/>
      <c r="U289" s="63"/>
      <c r="V289" s="63"/>
      <c r="W289" s="63"/>
    </row>
    <row r="290" spans="1:23" ht="12.75">
      <c r="A290" s="216"/>
      <c r="B290" s="217"/>
      <c r="C290" s="47"/>
      <c r="D290" s="47"/>
      <c r="E290" s="121"/>
      <c r="F290" s="47"/>
      <c r="G290" s="63"/>
      <c r="H290" s="47"/>
      <c r="I290" s="47"/>
      <c r="J290" s="63"/>
      <c r="K290" s="63"/>
      <c r="L290" s="63"/>
      <c r="M290" s="63"/>
      <c r="N290" s="63"/>
      <c r="O290" s="63"/>
      <c r="P290" s="63"/>
      <c r="Q290" s="63"/>
      <c r="R290" s="63"/>
      <c r="S290" s="63"/>
      <c r="T290" s="63"/>
      <c r="U290" s="63"/>
      <c r="V290" s="63"/>
      <c r="W290" s="63"/>
    </row>
    <row r="291" spans="1:23" ht="12.75">
      <c r="A291" s="216"/>
      <c r="B291" s="217"/>
      <c r="C291" s="47"/>
      <c r="D291" s="47"/>
      <c r="E291" s="121"/>
      <c r="F291" s="47"/>
      <c r="G291" s="63"/>
      <c r="H291" s="47"/>
      <c r="I291" s="47"/>
      <c r="J291" s="63"/>
      <c r="K291" s="63"/>
      <c r="L291" s="63"/>
      <c r="M291" s="63"/>
      <c r="N291" s="63"/>
      <c r="O291" s="63"/>
      <c r="P291" s="63"/>
      <c r="Q291" s="63"/>
      <c r="R291" s="63"/>
      <c r="S291" s="63"/>
      <c r="T291" s="63"/>
      <c r="U291" s="63"/>
      <c r="V291" s="63"/>
      <c r="W291" s="63"/>
    </row>
    <row r="292" spans="1:23" ht="12.75">
      <c r="A292" s="216"/>
      <c r="B292" s="217"/>
      <c r="C292" s="47"/>
      <c r="D292" s="47"/>
      <c r="E292" s="121"/>
      <c r="F292" s="47"/>
      <c r="G292" s="63"/>
      <c r="H292" s="47"/>
      <c r="I292" s="47"/>
      <c r="J292" s="63"/>
      <c r="K292" s="63"/>
      <c r="L292" s="63"/>
      <c r="M292" s="63"/>
      <c r="N292" s="63"/>
      <c r="O292" s="63"/>
      <c r="P292" s="63"/>
      <c r="Q292" s="63"/>
      <c r="R292" s="63"/>
      <c r="S292" s="63"/>
      <c r="T292" s="63"/>
      <c r="U292" s="63"/>
      <c r="V292" s="63"/>
      <c r="W292" s="63"/>
    </row>
    <row r="293" spans="1:23" ht="12.75">
      <c r="A293" s="216"/>
      <c r="B293" s="217"/>
      <c r="C293" s="47"/>
      <c r="D293" s="47"/>
      <c r="E293" s="121"/>
      <c r="F293" s="47"/>
      <c r="G293" s="63"/>
      <c r="H293" s="47"/>
      <c r="I293" s="47"/>
      <c r="J293" s="63"/>
      <c r="K293" s="63"/>
      <c r="L293" s="63"/>
      <c r="M293" s="63"/>
      <c r="N293" s="63"/>
      <c r="O293" s="63"/>
      <c r="P293" s="63"/>
      <c r="Q293" s="63"/>
      <c r="R293" s="63"/>
      <c r="S293" s="63"/>
      <c r="T293" s="63"/>
      <c r="U293" s="63"/>
      <c r="V293" s="63"/>
      <c r="W293" s="63"/>
    </row>
    <row r="294" spans="1:23" ht="12.75">
      <c r="A294" s="216"/>
      <c r="B294" s="217"/>
      <c r="C294" s="47"/>
      <c r="D294" s="47"/>
      <c r="E294" s="121"/>
      <c r="F294" s="47"/>
      <c r="G294" s="63"/>
      <c r="H294" s="47"/>
      <c r="I294" s="47"/>
      <c r="J294" s="63"/>
      <c r="K294" s="63"/>
      <c r="L294" s="63"/>
      <c r="M294" s="63"/>
      <c r="N294" s="63"/>
      <c r="O294" s="63"/>
      <c r="P294" s="63"/>
      <c r="Q294" s="63"/>
      <c r="R294" s="63"/>
      <c r="S294" s="63"/>
      <c r="T294" s="63"/>
      <c r="U294" s="63"/>
      <c r="V294" s="63"/>
      <c r="W294" s="63"/>
    </row>
    <row r="295" spans="1:23" ht="12.75">
      <c r="A295" s="216"/>
      <c r="B295" s="217"/>
      <c r="C295" s="47"/>
      <c r="D295" s="47"/>
      <c r="E295" s="121"/>
      <c r="F295" s="47"/>
      <c r="G295" s="63"/>
      <c r="H295" s="47"/>
      <c r="I295" s="47"/>
      <c r="J295" s="63"/>
      <c r="K295" s="63"/>
      <c r="L295" s="63"/>
      <c r="M295" s="63"/>
      <c r="N295" s="63"/>
      <c r="O295" s="63"/>
      <c r="P295" s="63"/>
      <c r="Q295" s="63"/>
      <c r="R295" s="63"/>
      <c r="S295" s="63"/>
      <c r="T295" s="63"/>
      <c r="U295" s="63"/>
      <c r="V295" s="63"/>
      <c r="W295" s="63"/>
    </row>
    <row r="296" spans="1:23" ht="12.75">
      <c r="A296" s="216"/>
      <c r="B296" s="217"/>
      <c r="C296" s="47"/>
      <c r="D296" s="47"/>
      <c r="E296" s="121"/>
      <c r="F296" s="47"/>
      <c r="G296" s="63"/>
      <c r="H296" s="47"/>
      <c r="I296" s="47"/>
      <c r="J296" s="63"/>
      <c r="K296" s="63"/>
      <c r="L296" s="63"/>
      <c r="M296" s="63"/>
      <c r="N296" s="63"/>
      <c r="O296" s="63"/>
      <c r="P296" s="63"/>
      <c r="Q296" s="63"/>
      <c r="R296" s="63"/>
      <c r="S296" s="63"/>
      <c r="T296" s="63"/>
      <c r="U296" s="63"/>
      <c r="V296" s="63"/>
      <c r="W296" s="63"/>
    </row>
    <row r="297" spans="1:23" ht="12.75">
      <c r="A297" s="216"/>
      <c r="B297" s="217"/>
      <c r="C297" s="47"/>
      <c r="D297" s="47"/>
      <c r="E297" s="121"/>
      <c r="F297" s="47"/>
      <c r="G297" s="63"/>
      <c r="H297" s="47"/>
      <c r="I297" s="47"/>
      <c r="J297" s="63"/>
      <c r="K297" s="63"/>
      <c r="L297" s="63"/>
      <c r="M297" s="63"/>
      <c r="N297" s="63"/>
      <c r="O297" s="63"/>
      <c r="P297" s="63"/>
      <c r="Q297" s="63"/>
      <c r="R297" s="63"/>
      <c r="S297" s="63"/>
      <c r="T297" s="63"/>
      <c r="U297" s="63"/>
      <c r="V297" s="63"/>
      <c r="W297" s="63"/>
    </row>
    <row r="298" spans="1:23" ht="12.75">
      <c r="A298" s="216"/>
      <c r="B298" s="217"/>
      <c r="C298" s="47"/>
      <c r="D298" s="47"/>
      <c r="E298" s="121"/>
      <c r="F298" s="47"/>
      <c r="G298" s="63"/>
      <c r="H298" s="47"/>
      <c r="I298" s="47"/>
      <c r="J298" s="63"/>
      <c r="K298" s="63"/>
      <c r="L298" s="63"/>
      <c r="M298" s="63"/>
      <c r="N298" s="63"/>
      <c r="O298" s="63"/>
      <c r="P298" s="63"/>
      <c r="Q298" s="63"/>
      <c r="R298" s="63"/>
      <c r="S298" s="63"/>
      <c r="T298" s="63"/>
      <c r="U298" s="63"/>
      <c r="V298" s="63"/>
      <c r="W298" s="63"/>
    </row>
    <row r="299" spans="1:23" ht="12.75">
      <c r="A299" s="216"/>
      <c r="B299" s="217"/>
      <c r="C299" s="47"/>
      <c r="D299" s="47"/>
      <c r="E299" s="121"/>
      <c r="F299" s="47"/>
      <c r="G299" s="63"/>
      <c r="H299" s="47"/>
      <c r="I299" s="47"/>
      <c r="J299" s="63"/>
      <c r="K299" s="63"/>
      <c r="L299" s="63"/>
      <c r="M299" s="63"/>
      <c r="N299" s="63"/>
      <c r="O299" s="63"/>
      <c r="P299" s="63"/>
      <c r="Q299" s="63"/>
      <c r="R299" s="63"/>
      <c r="S299" s="63"/>
      <c r="T299" s="63"/>
      <c r="U299" s="63"/>
      <c r="V299" s="63"/>
      <c r="W299" s="63"/>
    </row>
    <row r="300" spans="1:23" ht="12.75">
      <c r="A300" s="216"/>
      <c r="B300" s="217"/>
      <c r="C300" s="47"/>
      <c r="D300" s="47"/>
      <c r="E300" s="121"/>
      <c r="F300" s="47"/>
      <c r="G300" s="63"/>
      <c r="H300" s="47"/>
      <c r="I300" s="47"/>
      <c r="J300" s="63"/>
      <c r="K300" s="63"/>
      <c r="L300" s="63"/>
      <c r="M300" s="63"/>
      <c r="N300" s="63"/>
      <c r="O300" s="63"/>
      <c r="P300" s="63"/>
      <c r="Q300" s="63"/>
      <c r="R300" s="63"/>
      <c r="S300" s="63"/>
      <c r="T300" s="63"/>
      <c r="U300" s="63"/>
      <c r="V300" s="63"/>
      <c r="W300" s="63"/>
    </row>
    <row r="301" spans="1:23" ht="12.75">
      <c r="A301" s="216"/>
      <c r="B301" s="217"/>
      <c r="C301" s="47"/>
      <c r="D301" s="47"/>
      <c r="E301" s="121"/>
      <c r="F301" s="47"/>
      <c r="G301" s="63"/>
      <c r="H301" s="47"/>
      <c r="I301" s="47"/>
      <c r="J301" s="63"/>
      <c r="K301" s="63"/>
      <c r="L301" s="63"/>
      <c r="M301" s="63"/>
      <c r="N301" s="63"/>
      <c r="O301" s="63"/>
      <c r="P301" s="63"/>
      <c r="Q301" s="63"/>
      <c r="R301" s="63"/>
      <c r="S301" s="63"/>
      <c r="T301" s="63"/>
      <c r="U301" s="63"/>
      <c r="V301" s="63"/>
      <c r="W301" s="63"/>
    </row>
    <row r="302" spans="1:23" ht="12.75">
      <c r="A302" s="216"/>
      <c r="B302" s="217"/>
      <c r="C302" s="47"/>
      <c r="D302" s="47"/>
      <c r="E302" s="121"/>
      <c r="F302" s="47"/>
      <c r="G302" s="63"/>
      <c r="H302" s="47"/>
      <c r="I302" s="47"/>
      <c r="J302" s="63"/>
      <c r="K302" s="63"/>
      <c r="L302" s="63"/>
      <c r="M302" s="63"/>
      <c r="N302" s="63"/>
      <c r="O302" s="63"/>
      <c r="P302" s="63"/>
      <c r="Q302" s="63"/>
      <c r="R302" s="63"/>
      <c r="S302" s="63"/>
      <c r="T302" s="63"/>
      <c r="U302" s="63"/>
      <c r="V302" s="63"/>
      <c r="W302" s="63"/>
    </row>
    <row r="303" spans="1:23" ht="12.75">
      <c r="A303" s="216"/>
      <c r="B303" s="217"/>
      <c r="C303" s="47"/>
      <c r="D303" s="47"/>
      <c r="E303" s="121"/>
      <c r="F303" s="47"/>
      <c r="G303" s="63"/>
      <c r="H303" s="47"/>
      <c r="I303" s="47"/>
      <c r="J303" s="63"/>
      <c r="K303" s="63"/>
      <c r="L303" s="63"/>
      <c r="M303" s="63"/>
      <c r="N303" s="63"/>
      <c r="O303" s="63"/>
      <c r="P303" s="63"/>
      <c r="Q303" s="63"/>
      <c r="R303" s="63"/>
      <c r="S303" s="63"/>
      <c r="T303" s="63"/>
      <c r="U303" s="63"/>
      <c r="V303" s="63"/>
      <c r="W303" s="63"/>
    </row>
    <row r="304" spans="1:23" ht="12.75">
      <c r="A304" s="216"/>
      <c r="B304" s="217"/>
      <c r="C304" s="47"/>
      <c r="D304" s="47"/>
      <c r="E304" s="121"/>
      <c r="F304" s="47"/>
      <c r="G304" s="63"/>
      <c r="H304" s="47"/>
      <c r="I304" s="47"/>
      <c r="J304" s="63"/>
      <c r="K304" s="63"/>
      <c r="L304" s="63"/>
      <c r="M304" s="63"/>
      <c r="N304" s="63"/>
      <c r="O304" s="63"/>
      <c r="P304" s="63"/>
      <c r="Q304" s="63"/>
      <c r="R304" s="63"/>
      <c r="S304" s="63"/>
      <c r="T304" s="63"/>
      <c r="U304" s="63"/>
      <c r="V304" s="63"/>
      <c r="W304" s="63"/>
    </row>
    <row r="305" spans="1:23" ht="12.75">
      <c r="A305" s="216"/>
      <c r="B305" s="217"/>
      <c r="C305" s="47"/>
      <c r="D305" s="47"/>
      <c r="E305" s="121"/>
      <c r="F305" s="47"/>
      <c r="G305" s="63"/>
      <c r="H305" s="47"/>
      <c r="I305" s="47"/>
      <c r="J305" s="63"/>
      <c r="K305" s="63"/>
      <c r="L305" s="63"/>
      <c r="M305" s="63"/>
      <c r="N305" s="63"/>
      <c r="O305" s="63"/>
      <c r="P305" s="63"/>
      <c r="Q305" s="63"/>
      <c r="R305" s="63"/>
      <c r="S305" s="63"/>
      <c r="T305" s="63"/>
      <c r="U305" s="63"/>
      <c r="V305" s="63"/>
      <c r="W305" s="63"/>
    </row>
    <row r="306" spans="1:23" ht="12.75">
      <c r="A306" s="216"/>
      <c r="B306" s="217"/>
      <c r="C306" s="47"/>
      <c r="D306" s="47"/>
      <c r="E306" s="121"/>
      <c r="F306" s="47"/>
      <c r="G306" s="63"/>
      <c r="H306" s="47"/>
      <c r="I306" s="47"/>
      <c r="J306" s="63"/>
      <c r="K306" s="63"/>
      <c r="L306" s="63"/>
      <c r="M306" s="63"/>
      <c r="N306" s="63"/>
      <c r="O306" s="63"/>
      <c r="P306" s="63"/>
      <c r="Q306" s="63"/>
      <c r="R306" s="63"/>
      <c r="S306" s="63"/>
      <c r="T306" s="63"/>
      <c r="U306" s="63"/>
      <c r="V306" s="63"/>
      <c r="W306" s="63"/>
    </row>
    <row r="307" spans="1:23" ht="12.75">
      <c r="A307" s="216"/>
      <c r="B307" s="217"/>
      <c r="C307" s="47"/>
      <c r="D307" s="47"/>
      <c r="E307" s="121"/>
      <c r="F307" s="47"/>
      <c r="G307" s="63"/>
      <c r="H307" s="47"/>
      <c r="I307" s="47"/>
      <c r="J307" s="63"/>
      <c r="K307" s="63"/>
      <c r="L307" s="63"/>
      <c r="M307" s="63"/>
      <c r="N307" s="63"/>
      <c r="O307" s="63"/>
      <c r="P307" s="63"/>
      <c r="Q307" s="63"/>
      <c r="R307" s="63"/>
      <c r="S307" s="63"/>
      <c r="T307" s="63"/>
      <c r="U307" s="63"/>
      <c r="V307" s="63"/>
      <c r="W307" s="63"/>
    </row>
    <row r="308" spans="1:23" ht="12.75">
      <c r="A308" s="216"/>
      <c r="B308" s="217"/>
      <c r="C308" s="47"/>
      <c r="D308" s="47"/>
      <c r="E308" s="121"/>
      <c r="F308" s="47"/>
      <c r="G308" s="63"/>
      <c r="H308" s="47"/>
      <c r="I308" s="47"/>
      <c r="J308" s="63"/>
      <c r="K308" s="63"/>
      <c r="L308" s="63"/>
      <c r="M308" s="63"/>
      <c r="N308" s="63"/>
      <c r="O308" s="63"/>
      <c r="P308" s="63"/>
      <c r="Q308" s="63"/>
      <c r="R308" s="63"/>
      <c r="S308" s="63"/>
      <c r="T308" s="63"/>
      <c r="U308" s="63"/>
      <c r="V308" s="63"/>
      <c r="W308" s="63"/>
    </row>
    <row r="309" spans="1:23" ht="12.75">
      <c r="A309" s="216"/>
      <c r="B309" s="217"/>
      <c r="C309" s="47"/>
      <c r="D309" s="47"/>
      <c r="E309" s="121"/>
      <c r="F309" s="47"/>
      <c r="G309" s="63"/>
      <c r="H309" s="47"/>
      <c r="I309" s="47"/>
      <c r="J309" s="63"/>
      <c r="K309" s="63"/>
      <c r="L309" s="63"/>
      <c r="M309" s="63"/>
      <c r="N309" s="63"/>
      <c r="O309" s="63"/>
      <c r="P309" s="63"/>
      <c r="Q309" s="63"/>
      <c r="R309" s="63"/>
      <c r="S309" s="63"/>
      <c r="T309" s="63"/>
      <c r="U309" s="63"/>
      <c r="V309" s="63"/>
      <c r="W309" s="63"/>
    </row>
    <row r="310" spans="1:23" ht="12.75">
      <c r="A310" s="216"/>
      <c r="B310" s="217"/>
      <c r="C310" s="47"/>
      <c r="D310" s="47"/>
      <c r="E310" s="121"/>
      <c r="F310" s="47"/>
      <c r="G310" s="63"/>
      <c r="H310" s="47"/>
      <c r="I310" s="47"/>
      <c r="J310" s="63"/>
      <c r="K310" s="63"/>
      <c r="L310" s="63"/>
      <c r="M310" s="63"/>
      <c r="N310" s="63"/>
      <c r="O310" s="63"/>
      <c r="P310" s="63"/>
      <c r="Q310" s="63"/>
      <c r="R310" s="63"/>
      <c r="S310" s="63"/>
      <c r="T310" s="63"/>
      <c r="U310" s="63"/>
      <c r="V310" s="63"/>
      <c r="W310" s="63"/>
    </row>
    <row r="311" spans="1:23" ht="12.75">
      <c r="A311" s="216"/>
      <c r="B311" s="217"/>
      <c r="C311" s="47"/>
      <c r="D311" s="47"/>
      <c r="E311" s="121"/>
      <c r="F311" s="47"/>
      <c r="G311" s="63"/>
      <c r="H311" s="47"/>
      <c r="I311" s="47"/>
      <c r="J311" s="63"/>
      <c r="K311" s="63"/>
      <c r="L311" s="63"/>
      <c r="M311" s="63"/>
      <c r="N311" s="63"/>
      <c r="O311" s="63"/>
      <c r="P311" s="63"/>
      <c r="Q311" s="63"/>
      <c r="R311" s="63"/>
      <c r="S311" s="63"/>
      <c r="T311" s="63"/>
      <c r="U311" s="63"/>
      <c r="V311" s="63"/>
      <c r="W311" s="63"/>
    </row>
    <row r="312" spans="1:23" ht="12.75">
      <c r="A312" s="216"/>
      <c r="B312" s="217"/>
      <c r="C312" s="47"/>
      <c r="D312" s="47"/>
      <c r="E312" s="121"/>
      <c r="F312" s="47"/>
      <c r="G312" s="63"/>
      <c r="H312" s="47"/>
      <c r="I312" s="47"/>
      <c r="J312" s="63"/>
      <c r="K312" s="63"/>
      <c r="L312" s="63"/>
      <c r="M312" s="63"/>
      <c r="N312" s="63"/>
      <c r="O312" s="63"/>
      <c r="P312" s="63"/>
      <c r="Q312" s="63"/>
      <c r="R312" s="63"/>
      <c r="S312" s="63"/>
      <c r="T312" s="63"/>
      <c r="U312" s="63"/>
      <c r="V312" s="63"/>
      <c r="W312" s="63"/>
    </row>
    <row r="313" spans="1:23" ht="12.75">
      <c r="A313" s="216"/>
      <c r="B313" s="217"/>
      <c r="C313" s="47"/>
      <c r="D313" s="47"/>
      <c r="E313" s="121"/>
      <c r="F313" s="47"/>
      <c r="G313" s="63"/>
      <c r="H313" s="47"/>
      <c r="I313" s="47"/>
      <c r="J313" s="63"/>
      <c r="K313" s="63"/>
      <c r="L313" s="63"/>
      <c r="M313" s="63"/>
      <c r="N313" s="63"/>
      <c r="O313" s="63"/>
      <c r="P313" s="63"/>
      <c r="Q313" s="63"/>
      <c r="R313" s="63"/>
      <c r="S313" s="63"/>
      <c r="T313" s="63"/>
      <c r="U313" s="63"/>
      <c r="V313" s="63"/>
      <c r="W313" s="63"/>
    </row>
    <row r="314" spans="1:23" ht="12.75">
      <c r="A314" s="216"/>
      <c r="B314" s="217"/>
      <c r="C314" s="47"/>
      <c r="D314" s="47"/>
      <c r="E314" s="121"/>
      <c r="F314" s="47"/>
      <c r="G314" s="63"/>
      <c r="H314" s="47"/>
      <c r="I314" s="47"/>
      <c r="J314" s="63"/>
      <c r="K314" s="63"/>
      <c r="L314" s="63"/>
      <c r="M314" s="63"/>
      <c r="N314" s="63"/>
      <c r="O314" s="63"/>
      <c r="P314" s="63"/>
      <c r="Q314" s="63"/>
      <c r="R314" s="63"/>
      <c r="S314" s="63"/>
      <c r="T314" s="63"/>
      <c r="U314" s="63"/>
      <c r="V314" s="63"/>
      <c r="W314" s="63"/>
    </row>
    <row r="315" spans="1:23" ht="12.75">
      <c r="A315" s="216"/>
      <c r="B315" s="217"/>
      <c r="C315" s="47"/>
      <c r="D315" s="47"/>
      <c r="E315" s="121"/>
      <c r="F315" s="47"/>
      <c r="G315" s="63"/>
      <c r="H315" s="47"/>
      <c r="I315" s="47"/>
      <c r="J315" s="63"/>
      <c r="K315" s="63"/>
      <c r="L315" s="63"/>
      <c r="M315" s="63"/>
      <c r="N315" s="63"/>
      <c r="O315" s="63"/>
      <c r="P315" s="63"/>
      <c r="Q315" s="63"/>
      <c r="R315" s="63"/>
      <c r="S315" s="63"/>
      <c r="T315" s="63"/>
      <c r="U315" s="63"/>
      <c r="V315" s="63"/>
      <c r="W315" s="63"/>
    </row>
    <row r="316" spans="1:23" ht="12.75">
      <c r="A316" s="216"/>
      <c r="B316" s="217"/>
      <c r="C316" s="47"/>
      <c r="D316" s="47"/>
      <c r="E316" s="121"/>
      <c r="F316" s="47"/>
      <c r="G316" s="63"/>
      <c r="H316" s="47"/>
      <c r="I316" s="47"/>
      <c r="J316" s="63"/>
      <c r="K316" s="63"/>
      <c r="L316" s="63"/>
      <c r="M316" s="63"/>
      <c r="N316" s="63"/>
      <c r="O316" s="63"/>
      <c r="P316" s="63"/>
      <c r="Q316" s="63"/>
      <c r="R316" s="63"/>
      <c r="S316" s="63"/>
      <c r="T316" s="63"/>
      <c r="U316" s="63"/>
      <c r="V316" s="63"/>
      <c r="W316" s="63"/>
    </row>
    <row r="317" spans="1:23" ht="12.75">
      <c r="A317" s="216"/>
      <c r="B317" s="217"/>
      <c r="C317" s="47"/>
      <c r="D317" s="47"/>
      <c r="E317" s="121"/>
      <c r="F317" s="47"/>
      <c r="G317" s="63"/>
      <c r="H317" s="47"/>
      <c r="I317" s="47"/>
      <c r="J317" s="63"/>
      <c r="K317" s="63"/>
      <c r="L317" s="63"/>
      <c r="M317" s="63"/>
      <c r="N317" s="63"/>
      <c r="O317" s="63"/>
      <c r="P317" s="63"/>
      <c r="Q317" s="63"/>
      <c r="R317" s="63"/>
      <c r="S317" s="63"/>
      <c r="T317" s="63"/>
      <c r="U317" s="63"/>
      <c r="V317" s="63"/>
      <c r="W317" s="63"/>
    </row>
    <row r="318" spans="1:23" ht="12.75">
      <c r="A318" s="216"/>
      <c r="B318" s="217"/>
      <c r="C318" s="47"/>
      <c r="D318" s="47"/>
      <c r="E318" s="121"/>
      <c r="F318" s="47"/>
      <c r="G318" s="63"/>
      <c r="H318" s="47"/>
      <c r="I318" s="47"/>
      <c r="J318" s="63"/>
      <c r="K318" s="63"/>
      <c r="L318" s="63"/>
      <c r="M318" s="63"/>
      <c r="N318" s="63"/>
      <c r="O318" s="63"/>
      <c r="P318" s="63"/>
      <c r="Q318" s="63"/>
      <c r="R318" s="63"/>
      <c r="S318" s="63"/>
      <c r="T318" s="63"/>
      <c r="U318" s="63"/>
      <c r="V318" s="63"/>
      <c r="W318" s="63"/>
    </row>
    <row r="319" spans="1:23" ht="12.75">
      <c r="A319" s="216"/>
      <c r="B319" s="217"/>
      <c r="C319" s="47"/>
      <c r="D319" s="47"/>
      <c r="E319" s="121"/>
      <c r="F319" s="47"/>
      <c r="G319" s="63"/>
      <c r="H319" s="47"/>
      <c r="I319" s="47"/>
      <c r="J319" s="63"/>
      <c r="K319" s="63"/>
      <c r="L319" s="63"/>
      <c r="M319" s="63"/>
      <c r="N319" s="63"/>
      <c r="O319" s="63"/>
      <c r="P319" s="63"/>
      <c r="Q319" s="63"/>
      <c r="R319" s="63"/>
      <c r="S319" s="63"/>
      <c r="T319" s="63"/>
      <c r="U319" s="63"/>
      <c r="V319" s="63"/>
      <c r="W319" s="63"/>
    </row>
    <row r="320" spans="1:23" ht="12.75">
      <c r="A320" s="216"/>
      <c r="B320" s="217"/>
      <c r="C320" s="47"/>
      <c r="D320" s="47"/>
      <c r="E320" s="121"/>
      <c r="F320" s="47"/>
      <c r="G320" s="63"/>
      <c r="H320" s="47"/>
      <c r="I320" s="47"/>
      <c r="J320" s="63"/>
      <c r="K320" s="63"/>
      <c r="L320" s="63"/>
      <c r="M320" s="63"/>
      <c r="N320" s="63"/>
      <c r="O320" s="63"/>
      <c r="P320" s="63"/>
      <c r="Q320" s="63"/>
      <c r="R320" s="63"/>
      <c r="S320" s="63"/>
      <c r="T320" s="63"/>
      <c r="U320" s="63"/>
      <c r="V320" s="63"/>
      <c r="W320" s="63"/>
    </row>
    <row r="321" spans="1:23" ht="12.75">
      <c r="A321" s="216"/>
      <c r="B321" s="217"/>
      <c r="C321" s="47"/>
      <c r="D321" s="47"/>
      <c r="E321" s="121"/>
      <c r="F321" s="47"/>
      <c r="G321" s="63"/>
      <c r="H321" s="47"/>
      <c r="I321" s="47"/>
      <c r="J321" s="63"/>
      <c r="K321" s="63"/>
      <c r="L321" s="63"/>
      <c r="M321" s="63"/>
      <c r="N321" s="63"/>
      <c r="O321" s="63"/>
      <c r="P321" s="63"/>
      <c r="Q321" s="63"/>
      <c r="R321" s="63"/>
      <c r="S321" s="63"/>
      <c r="T321" s="63"/>
      <c r="U321" s="63"/>
      <c r="V321" s="63"/>
      <c r="W321" s="63"/>
    </row>
    <row r="322" spans="1:23" ht="12.75">
      <c r="A322" s="216"/>
      <c r="B322" s="217"/>
      <c r="C322" s="47"/>
      <c r="D322" s="47"/>
      <c r="E322" s="121"/>
      <c r="F322" s="47"/>
      <c r="G322" s="63"/>
      <c r="H322" s="47"/>
      <c r="I322" s="47"/>
      <c r="J322" s="63"/>
      <c r="K322" s="63"/>
      <c r="L322" s="63"/>
      <c r="M322" s="63"/>
      <c r="N322" s="63"/>
      <c r="O322" s="63"/>
      <c r="P322" s="63"/>
      <c r="Q322" s="63"/>
      <c r="R322" s="63"/>
      <c r="S322" s="63"/>
      <c r="T322" s="63"/>
      <c r="U322" s="63"/>
      <c r="V322" s="63"/>
      <c r="W322" s="63"/>
    </row>
    <row r="323" spans="1:23" ht="12.75">
      <c r="A323" s="216"/>
      <c r="B323" s="217"/>
      <c r="C323" s="47"/>
      <c r="D323" s="47"/>
      <c r="E323" s="121"/>
      <c r="F323" s="47"/>
      <c r="G323" s="63"/>
      <c r="H323" s="47"/>
      <c r="I323" s="47"/>
      <c r="J323" s="63"/>
      <c r="K323" s="63"/>
      <c r="L323" s="63"/>
      <c r="M323" s="63"/>
      <c r="N323" s="63"/>
      <c r="O323" s="63"/>
      <c r="P323" s="63"/>
      <c r="Q323" s="63"/>
      <c r="R323" s="63"/>
      <c r="S323" s="63"/>
      <c r="T323" s="63"/>
      <c r="U323" s="63"/>
      <c r="V323" s="63"/>
      <c r="W323" s="63"/>
    </row>
    <row r="324" spans="1:23" ht="12.75">
      <c r="A324" s="216"/>
      <c r="B324" s="217"/>
      <c r="C324" s="47"/>
      <c r="D324" s="47"/>
      <c r="E324" s="121"/>
      <c r="F324" s="47"/>
      <c r="G324" s="63"/>
      <c r="H324" s="47"/>
      <c r="I324" s="47"/>
      <c r="J324" s="63"/>
      <c r="K324" s="63"/>
      <c r="L324" s="63"/>
      <c r="M324" s="63"/>
      <c r="N324" s="63"/>
      <c r="O324" s="63"/>
      <c r="P324" s="63"/>
      <c r="Q324" s="63"/>
      <c r="R324" s="63"/>
      <c r="S324" s="63"/>
      <c r="T324" s="63"/>
      <c r="U324" s="63"/>
      <c r="V324" s="63"/>
      <c r="W324" s="63"/>
    </row>
    <row r="325" spans="1:23" ht="12.75">
      <c r="A325" s="216"/>
      <c r="B325" s="217"/>
      <c r="C325" s="47"/>
      <c r="D325" s="47"/>
      <c r="E325" s="121"/>
      <c r="F325" s="47"/>
      <c r="G325" s="63"/>
      <c r="H325" s="47"/>
      <c r="I325" s="47"/>
      <c r="J325" s="63"/>
      <c r="K325" s="63"/>
      <c r="L325" s="63"/>
      <c r="M325" s="63"/>
      <c r="N325" s="63"/>
      <c r="O325" s="63"/>
      <c r="P325" s="63"/>
      <c r="Q325" s="63"/>
      <c r="R325" s="63"/>
      <c r="S325" s="63"/>
      <c r="T325" s="63"/>
      <c r="U325" s="63"/>
      <c r="V325" s="63"/>
      <c r="W325" s="63"/>
    </row>
    <row r="326" spans="1:23" ht="12.75">
      <c r="A326" s="216"/>
      <c r="B326" s="217"/>
      <c r="C326" s="47"/>
      <c r="D326" s="47"/>
      <c r="E326" s="121"/>
      <c r="F326" s="47"/>
      <c r="G326" s="63"/>
      <c r="H326" s="47"/>
      <c r="I326" s="47"/>
      <c r="J326" s="63"/>
      <c r="K326" s="63"/>
      <c r="L326" s="63"/>
      <c r="M326" s="63"/>
      <c r="N326" s="63"/>
      <c r="O326" s="63"/>
      <c r="P326" s="63"/>
      <c r="Q326" s="63"/>
      <c r="R326" s="63"/>
      <c r="S326" s="63"/>
      <c r="T326" s="63"/>
      <c r="U326" s="63"/>
      <c r="V326" s="63"/>
      <c r="W326" s="63"/>
    </row>
    <row r="327" spans="1:23" ht="12.75">
      <c r="A327" s="216"/>
      <c r="B327" s="217"/>
      <c r="C327" s="47"/>
      <c r="D327" s="47"/>
      <c r="E327" s="121"/>
      <c r="F327" s="47"/>
      <c r="G327" s="63"/>
      <c r="H327" s="47"/>
      <c r="I327" s="47"/>
      <c r="J327" s="63"/>
      <c r="K327" s="63"/>
      <c r="L327" s="63"/>
      <c r="M327" s="63"/>
      <c r="N327" s="63"/>
      <c r="O327" s="63"/>
      <c r="P327" s="63"/>
      <c r="Q327" s="63"/>
      <c r="R327" s="63"/>
      <c r="S327" s="63"/>
      <c r="T327" s="63"/>
      <c r="U327" s="63"/>
      <c r="V327" s="63"/>
      <c r="W327" s="63"/>
    </row>
    <row r="328" spans="1:23" ht="12.75">
      <c r="A328" s="216"/>
      <c r="B328" s="217"/>
      <c r="C328" s="47"/>
      <c r="D328" s="47"/>
      <c r="E328" s="121"/>
      <c r="F328" s="47"/>
      <c r="G328" s="63"/>
      <c r="H328" s="47"/>
      <c r="I328" s="47"/>
      <c r="J328" s="63"/>
      <c r="K328" s="63"/>
      <c r="L328" s="63"/>
      <c r="M328" s="63"/>
      <c r="N328" s="63"/>
      <c r="O328" s="63"/>
      <c r="P328" s="63"/>
      <c r="Q328" s="63"/>
      <c r="R328" s="63"/>
      <c r="S328" s="63"/>
      <c r="T328" s="63"/>
      <c r="U328" s="63"/>
      <c r="V328" s="63"/>
      <c r="W328" s="63"/>
    </row>
    <row r="329" spans="1:23" ht="12.75">
      <c r="A329" s="216"/>
      <c r="B329" s="217"/>
      <c r="C329" s="47"/>
      <c r="D329" s="47"/>
      <c r="E329" s="121"/>
      <c r="F329" s="47"/>
      <c r="G329" s="63"/>
      <c r="H329" s="47"/>
      <c r="I329" s="47"/>
      <c r="J329" s="63"/>
      <c r="K329" s="63"/>
      <c r="L329" s="63"/>
      <c r="M329" s="63"/>
      <c r="N329" s="63"/>
      <c r="O329" s="63"/>
      <c r="P329" s="63"/>
      <c r="Q329" s="63"/>
      <c r="R329" s="63"/>
      <c r="S329" s="63"/>
      <c r="T329" s="63"/>
      <c r="U329" s="63"/>
      <c r="V329" s="63"/>
      <c r="W329" s="63"/>
    </row>
    <row r="330" spans="1:23" ht="12.75">
      <c r="A330" s="216"/>
      <c r="B330" s="217"/>
      <c r="C330" s="47"/>
      <c r="D330" s="47"/>
      <c r="E330" s="121"/>
      <c r="F330" s="47"/>
      <c r="G330" s="63"/>
      <c r="H330" s="47"/>
      <c r="I330" s="47"/>
      <c r="J330" s="63"/>
      <c r="K330" s="63"/>
      <c r="L330" s="63"/>
      <c r="M330" s="63"/>
      <c r="N330" s="63"/>
      <c r="O330" s="63"/>
      <c r="P330" s="63"/>
      <c r="Q330" s="63"/>
      <c r="R330" s="63"/>
      <c r="S330" s="63"/>
      <c r="T330" s="63"/>
      <c r="U330" s="63"/>
      <c r="V330" s="63"/>
      <c r="W330" s="63"/>
    </row>
    <row r="331" spans="1:23" ht="12.75">
      <c r="A331" s="216"/>
      <c r="B331" s="217"/>
      <c r="C331" s="47"/>
      <c r="D331" s="47"/>
      <c r="E331" s="121"/>
      <c r="F331" s="47"/>
      <c r="G331" s="63"/>
      <c r="H331" s="47"/>
      <c r="I331" s="47"/>
      <c r="J331" s="63"/>
      <c r="K331" s="63"/>
      <c r="L331" s="63"/>
      <c r="M331" s="63"/>
      <c r="N331" s="63"/>
      <c r="O331" s="63"/>
      <c r="P331" s="63"/>
      <c r="Q331" s="63"/>
      <c r="R331" s="63"/>
      <c r="S331" s="63"/>
      <c r="T331" s="63"/>
      <c r="U331" s="63"/>
      <c r="V331" s="63"/>
      <c r="W331" s="63"/>
    </row>
    <row r="332" spans="1:23" ht="12.75">
      <c r="A332" s="216"/>
      <c r="B332" s="217"/>
      <c r="C332" s="47"/>
      <c r="D332" s="47"/>
      <c r="E332" s="121"/>
      <c r="F332" s="47"/>
      <c r="G332" s="63"/>
      <c r="H332" s="47"/>
      <c r="I332" s="47"/>
      <c r="J332" s="63"/>
      <c r="K332" s="63"/>
      <c r="L332" s="63"/>
      <c r="M332" s="63"/>
      <c r="N332" s="63"/>
      <c r="O332" s="63"/>
      <c r="P332" s="63"/>
      <c r="Q332" s="63"/>
      <c r="R332" s="63"/>
      <c r="S332" s="63"/>
      <c r="T332" s="63"/>
      <c r="U332" s="63"/>
      <c r="V332" s="63"/>
      <c r="W332" s="63"/>
    </row>
    <row r="333" spans="1:23" ht="12.75">
      <c r="A333" s="216"/>
      <c r="B333" s="217"/>
      <c r="C333" s="47"/>
      <c r="D333" s="47"/>
      <c r="E333" s="121"/>
      <c r="F333" s="47"/>
      <c r="G333" s="63"/>
      <c r="H333" s="47"/>
      <c r="I333" s="47"/>
      <c r="J333" s="63"/>
      <c r="K333" s="63"/>
      <c r="L333" s="63"/>
      <c r="M333" s="63"/>
      <c r="N333" s="63"/>
      <c r="O333" s="63"/>
      <c r="P333" s="63"/>
      <c r="Q333" s="63"/>
      <c r="R333" s="63"/>
      <c r="S333" s="63"/>
      <c r="T333" s="63"/>
      <c r="U333" s="63"/>
      <c r="V333" s="63"/>
      <c r="W333" s="63"/>
    </row>
    <row r="334" spans="1:23" ht="12.75">
      <c r="A334" s="216"/>
      <c r="B334" s="217"/>
      <c r="C334" s="47"/>
      <c r="D334" s="47"/>
      <c r="E334" s="121"/>
      <c r="F334" s="47"/>
      <c r="G334" s="63"/>
      <c r="H334" s="47"/>
      <c r="I334" s="47"/>
      <c r="J334" s="63"/>
      <c r="K334" s="63"/>
      <c r="L334" s="63"/>
      <c r="M334" s="63"/>
      <c r="N334" s="63"/>
      <c r="O334" s="63"/>
      <c r="P334" s="63"/>
      <c r="Q334" s="63"/>
      <c r="R334" s="63"/>
      <c r="S334" s="63"/>
      <c r="T334" s="63"/>
      <c r="U334" s="63"/>
      <c r="V334" s="63"/>
      <c r="W334" s="63"/>
    </row>
    <row r="335" spans="1:23" ht="12.75">
      <c r="A335" s="216"/>
      <c r="B335" s="217"/>
      <c r="C335" s="47"/>
      <c r="D335" s="47"/>
      <c r="E335" s="121"/>
      <c r="F335" s="47"/>
      <c r="G335" s="63"/>
      <c r="H335" s="47"/>
      <c r="I335" s="47"/>
      <c r="J335" s="63"/>
      <c r="K335" s="63"/>
      <c r="L335" s="63"/>
      <c r="M335" s="63"/>
      <c r="N335" s="63"/>
      <c r="O335" s="63"/>
      <c r="P335" s="63"/>
      <c r="Q335" s="63"/>
      <c r="R335" s="63"/>
      <c r="S335" s="63"/>
      <c r="T335" s="63"/>
      <c r="U335" s="63"/>
      <c r="V335" s="63"/>
      <c r="W335" s="63"/>
    </row>
    <row r="336" spans="1:23" ht="12.75">
      <c r="A336" s="216"/>
      <c r="B336" s="217"/>
      <c r="C336" s="47"/>
      <c r="D336" s="47"/>
      <c r="E336" s="121"/>
      <c r="F336" s="47"/>
      <c r="G336" s="63"/>
      <c r="H336" s="47"/>
      <c r="I336" s="47"/>
      <c r="J336" s="63"/>
      <c r="K336" s="63"/>
      <c r="L336" s="63"/>
      <c r="M336" s="63"/>
      <c r="N336" s="63"/>
      <c r="O336" s="63"/>
      <c r="P336" s="63"/>
      <c r="Q336" s="63"/>
      <c r="R336" s="63"/>
      <c r="S336" s="63"/>
      <c r="T336" s="63"/>
      <c r="U336" s="63"/>
      <c r="V336" s="63"/>
      <c r="W336" s="63"/>
    </row>
    <row r="337" spans="1:23" ht="12.75">
      <c r="A337" s="216"/>
      <c r="B337" s="217"/>
      <c r="C337" s="47"/>
      <c r="D337" s="47"/>
      <c r="E337" s="121"/>
      <c r="F337" s="47"/>
      <c r="G337" s="63"/>
      <c r="H337" s="47"/>
      <c r="I337" s="47"/>
      <c r="J337" s="63"/>
      <c r="K337" s="63"/>
      <c r="L337" s="63"/>
      <c r="M337" s="63"/>
      <c r="N337" s="63"/>
      <c r="O337" s="63"/>
      <c r="P337" s="63"/>
      <c r="Q337" s="63"/>
      <c r="R337" s="63"/>
      <c r="S337" s="63"/>
      <c r="T337" s="63"/>
      <c r="U337" s="63"/>
      <c r="V337" s="63"/>
      <c r="W337" s="63"/>
    </row>
    <row r="338" spans="1:23" ht="12.75">
      <c r="A338" s="216"/>
      <c r="B338" s="217"/>
      <c r="C338" s="47"/>
      <c r="D338" s="47"/>
      <c r="E338" s="121"/>
      <c r="F338" s="47"/>
      <c r="G338" s="63"/>
      <c r="H338" s="47"/>
      <c r="I338" s="47"/>
      <c r="J338" s="63"/>
      <c r="K338" s="63"/>
      <c r="L338" s="63"/>
      <c r="M338" s="63"/>
      <c r="N338" s="63"/>
      <c r="O338" s="63"/>
      <c r="P338" s="63"/>
      <c r="Q338" s="63"/>
      <c r="R338" s="63"/>
      <c r="S338" s="63"/>
      <c r="T338" s="63"/>
      <c r="U338" s="63"/>
      <c r="V338" s="63"/>
      <c r="W338" s="63"/>
    </row>
    <row r="339" spans="1:23" ht="12.75">
      <c r="A339" s="216"/>
      <c r="B339" s="217"/>
      <c r="C339" s="47"/>
      <c r="D339" s="47"/>
      <c r="E339" s="121"/>
      <c r="F339" s="47"/>
      <c r="G339" s="63"/>
      <c r="H339" s="47"/>
      <c r="I339" s="47"/>
      <c r="J339" s="63"/>
      <c r="K339" s="63"/>
      <c r="L339" s="63"/>
      <c r="M339" s="63"/>
      <c r="N339" s="63"/>
      <c r="O339" s="63"/>
      <c r="P339" s="63"/>
      <c r="Q339" s="63"/>
      <c r="R339" s="63"/>
      <c r="S339" s="63"/>
      <c r="T339" s="63"/>
      <c r="U339" s="63"/>
      <c r="V339" s="63"/>
      <c r="W339" s="63"/>
    </row>
    <row r="340" spans="1:23" ht="12.75">
      <c r="A340" s="216"/>
      <c r="B340" s="217"/>
      <c r="C340" s="47"/>
      <c r="D340" s="47"/>
      <c r="E340" s="121"/>
      <c r="F340" s="47"/>
      <c r="G340" s="63"/>
      <c r="H340" s="47"/>
      <c r="I340" s="47"/>
      <c r="J340" s="63"/>
      <c r="K340" s="63"/>
      <c r="L340" s="63"/>
      <c r="M340" s="63"/>
      <c r="N340" s="63"/>
      <c r="O340" s="63"/>
      <c r="P340" s="63"/>
      <c r="Q340" s="63"/>
      <c r="R340" s="63"/>
      <c r="S340" s="63"/>
      <c r="T340" s="63"/>
      <c r="U340" s="63"/>
      <c r="V340" s="63"/>
      <c r="W340" s="63"/>
    </row>
    <row r="341" spans="1:23" ht="12.75">
      <c r="A341" s="216"/>
      <c r="B341" s="217"/>
      <c r="C341" s="47"/>
      <c r="D341" s="47"/>
      <c r="E341" s="121"/>
      <c r="F341" s="47"/>
      <c r="G341" s="63"/>
      <c r="H341" s="47"/>
      <c r="I341" s="47"/>
      <c r="J341" s="63"/>
      <c r="K341" s="63"/>
      <c r="L341" s="63"/>
      <c r="M341" s="63"/>
      <c r="N341" s="63"/>
      <c r="O341" s="63"/>
      <c r="P341" s="63"/>
      <c r="Q341" s="63"/>
      <c r="R341" s="63"/>
      <c r="S341" s="63"/>
      <c r="T341" s="63"/>
      <c r="U341" s="63"/>
      <c r="V341" s="63"/>
      <c r="W341" s="63"/>
    </row>
    <row r="342" spans="1:23" ht="12.75">
      <c r="A342" s="216"/>
      <c r="B342" s="217"/>
      <c r="C342" s="47"/>
      <c r="D342" s="47"/>
      <c r="E342" s="121"/>
      <c r="F342" s="47"/>
      <c r="G342" s="63"/>
      <c r="H342" s="47"/>
      <c r="I342" s="47"/>
      <c r="J342" s="63"/>
      <c r="K342" s="63"/>
      <c r="L342" s="63"/>
      <c r="M342" s="63"/>
      <c r="N342" s="63"/>
      <c r="O342" s="63"/>
      <c r="P342" s="63"/>
      <c r="Q342" s="63"/>
      <c r="R342" s="63"/>
      <c r="S342" s="63"/>
      <c r="T342" s="63"/>
      <c r="U342" s="63"/>
      <c r="V342" s="63"/>
      <c r="W342" s="63"/>
    </row>
    <row r="343" spans="1:23" ht="12.75">
      <c r="A343" s="216"/>
      <c r="B343" s="217"/>
      <c r="C343" s="47"/>
      <c r="D343" s="47"/>
      <c r="E343" s="121"/>
      <c r="F343" s="47"/>
      <c r="G343" s="63"/>
      <c r="H343" s="47"/>
      <c r="I343" s="47"/>
      <c r="J343" s="63"/>
      <c r="K343" s="63"/>
      <c r="L343" s="63"/>
      <c r="M343" s="63"/>
      <c r="N343" s="63"/>
      <c r="O343" s="63"/>
      <c r="P343" s="63"/>
      <c r="Q343" s="63"/>
      <c r="R343" s="63"/>
      <c r="S343" s="63"/>
      <c r="T343" s="63"/>
      <c r="U343" s="63"/>
      <c r="V343" s="63"/>
      <c r="W343" s="63"/>
    </row>
    <row r="344" spans="1:23" ht="12.75">
      <c r="A344" s="216"/>
      <c r="B344" s="217"/>
      <c r="C344" s="47"/>
      <c r="D344" s="47"/>
      <c r="E344" s="121"/>
      <c r="F344" s="47"/>
      <c r="G344" s="63"/>
      <c r="H344" s="47"/>
      <c r="I344" s="47"/>
      <c r="J344" s="63"/>
      <c r="K344" s="63"/>
      <c r="L344" s="63"/>
      <c r="M344" s="63"/>
      <c r="N344" s="63"/>
      <c r="O344" s="63"/>
      <c r="P344" s="63"/>
      <c r="Q344" s="63"/>
      <c r="R344" s="63"/>
      <c r="S344" s="63"/>
      <c r="T344" s="63"/>
      <c r="U344" s="63"/>
      <c r="V344" s="63"/>
      <c r="W344" s="63"/>
    </row>
    <row r="345" spans="1:23" ht="12.75">
      <c r="A345" s="216"/>
      <c r="B345" s="217"/>
      <c r="C345" s="47"/>
      <c r="D345" s="47"/>
      <c r="E345" s="121"/>
      <c r="F345" s="47"/>
      <c r="G345" s="63"/>
      <c r="H345" s="47"/>
      <c r="I345" s="47"/>
      <c r="J345" s="63"/>
      <c r="K345" s="63"/>
      <c r="L345" s="63"/>
      <c r="M345" s="63"/>
      <c r="N345" s="63"/>
      <c r="O345" s="63"/>
      <c r="P345" s="63"/>
      <c r="Q345" s="63"/>
      <c r="R345" s="63"/>
      <c r="S345" s="63"/>
      <c r="T345" s="63"/>
      <c r="U345" s="63"/>
      <c r="V345" s="63"/>
      <c r="W345" s="63"/>
    </row>
    <row r="346" spans="1:23" ht="12.75">
      <c r="A346" s="216"/>
      <c r="B346" s="217"/>
      <c r="C346" s="47"/>
      <c r="D346" s="47"/>
      <c r="E346" s="121"/>
      <c r="F346" s="47"/>
      <c r="G346" s="63"/>
      <c r="H346" s="47"/>
      <c r="I346" s="47"/>
      <c r="J346" s="63"/>
      <c r="K346" s="63"/>
      <c r="L346" s="63"/>
      <c r="M346" s="63"/>
      <c r="N346" s="63"/>
      <c r="O346" s="63"/>
      <c r="P346" s="63"/>
      <c r="Q346" s="63"/>
      <c r="R346" s="63"/>
      <c r="S346" s="63"/>
      <c r="T346" s="63"/>
      <c r="U346" s="63"/>
      <c r="V346" s="63"/>
      <c r="W346" s="63"/>
    </row>
    <row r="347" spans="1:23" ht="12.75">
      <c r="A347" s="216"/>
      <c r="B347" s="217"/>
      <c r="C347" s="47"/>
      <c r="D347" s="47"/>
      <c r="E347" s="121"/>
      <c r="F347" s="47"/>
      <c r="G347" s="63"/>
      <c r="H347" s="47"/>
      <c r="I347" s="47"/>
      <c r="J347" s="63"/>
      <c r="K347" s="63"/>
      <c r="L347" s="63"/>
      <c r="M347" s="63"/>
      <c r="N347" s="63"/>
      <c r="O347" s="63"/>
      <c r="P347" s="63"/>
      <c r="Q347" s="63"/>
      <c r="R347" s="63"/>
      <c r="S347" s="63"/>
      <c r="T347" s="63"/>
      <c r="U347" s="63"/>
      <c r="V347" s="63"/>
      <c r="W347" s="63"/>
    </row>
    <row r="348" spans="1:23" ht="12.75">
      <c r="A348" s="216"/>
      <c r="B348" s="217"/>
      <c r="C348" s="47"/>
      <c r="D348" s="47"/>
      <c r="E348" s="121"/>
      <c r="F348" s="47"/>
      <c r="G348" s="63"/>
      <c r="H348" s="47"/>
      <c r="I348" s="47"/>
      <c r="J348" s="63"/>
      <c r="K348" s="63"/>
      <c r="L348" s="63"/>
      <c r="M348" s="63"/>
      <c r="N348" s="63"/>
      <c r="O348" s="63"/>
      <c r="P348" s="63"/>
      <c r="Q348" s="63"/>
      <c r="R348" s="63"/>
      <c r="S348" s="63"/>
      <c r="T348" s="63"/>
      <c r="U348" s="63"/>
      <c r="V348" s="63"/>
      <c r="W348" s="63"/>
    </row>
    <row r="349" spans="1:23" ht="12.75">
      <c r="A349" s="216"/>
      <c r="B349" s="217"/>
      <c r="C349" s="47"/>
      <c r="D349" s="47"/>
      <c r="E349" s="121"/>
      <c r="F349" s="47"/>
      <c r="G349" s="63"/>
      <c r="H349" s="47"/>
      <c r="I349" s="47"/>
      <c r="J349" s="63"/>
      <c r="K349" s="63"/>
      <c r="L349" s="63"/>
      <c r="M349" s="63"/>
      <c r="N349" s="63"/>
      <c r="O349" s="63"/>
      <c r="P349" s="63"/>
      <c r="Q349" s="63"/>
      <c r="R349" s="63"/>
      <c r="S349" s="63"/>
      <c r="T349" s="63"/>
      <c r="U349" s="63"/>
      <c r="V349" s="63"/>
      <c r="W349" s="63"/>
    </row>
    <row r="350" spans="1:23" ht="12.75">
      <c r="A350" s="216"/>
      <c r="B350" s="217"/>
      <c r="C350" s="47"/>
      <c r="D350" s="47"/>
      <c r="E350" s="121"/>
      <c r="F350" s="47"/>
      <c r="G350" s="63"/>
      <c r="H350" s="47"/>
      <c r="I350" s="47"/>
      <c r="J350" s="63"/>
      <c r="K350" s="63"/>
      <c r="L350" s="63"/>
      <c r="M350" s="63"/>
      <c r="N350" s="63"/>
      <c r="O350" s="63"/>
      <c r="P350" s="63"/>
      <c r="Q350" s="63"/>
      <c r="R350" s="63"/>
      <c r="S350" s="63"/>
      <c r="T350" s="63"/>
      <c r="U350" s="63"/>
      <c r="V350" s="63"/>
      <c r="W350" s="63"/>
    </row>
    <row r="351" spans="1:23" ht="12.75">
      <c r="A351" s="216"/>
      <c r="B351" s="217"/>
      <c r="C351" s="47"/>
      <c r="D351" s="47"/>
      <c r="E351" s="121"/>
      <c r="F351" s="47"/>
      <c r="G351" s="63"/>
      <c r="H351" s="47"/>
      <c r="I351" s="47"/>
      <c r="J351" s="63"/>
      <c r="K351" s="63"/>
      <c r="L351" s="63"/>
      <c r="M351" s="63"/>
      <c r="N351" s="63"/>
      <c r="O351" s="63"/>
      <c r="P351" s="63"/>
      <c r="Q351" s="63"/>
      <c r="R351" s="63"/>
      <c r="S351" s="63"/>
      <c r="T351" s="63"/>
      <c r="U351" s="63"/>
      <c r="V351" s="63"/>
      <c r="W351" s="63"/>
    </row>
    <row r="352" spans="1:23" ht="12.75">
      <c r="A352" s="216"/>
      <c r="B352" s="217"/>
      <c r="C352" s="47"/>
      <c r="D352" s="47"/>
      <c r="E352" s="121"/>
      <c r="F352" s="47"/>
      <c r="G352" s="63"/>
      <c r="H352" s="47"/>
      <c r="I352" s="47"/>
      <c r="J352" s="63"/>
      <c r="K352" s="63"/>
      <c r="L352" s="63"/>
      <c r="M352" s="63"/>
      <c r="N352" s="63"/>
      <c r="O352" s="63"/>
      <c r="P352" s="63"/>
      <c r="Q352" s="63"/>
      <c r="R352" s="63"/>
      <c r="S352" s="63"/>
      <c r="T352" s="63"/>
      <c r="U352" s="63"/>
      <c r="V352" s="63"/>
      <c r="W352" s="63"/>
    </row>
    <row r="353" spans="1:23" ht="12.75">
      <c r="A353" s="216"/>
      <c r="B353" s="217"/>
      <c r="C353" s="47"/>
      <c r="D353" s="47"/>
      <c r="E353" s="121"/>
      <c r="F353" s="47"/>
      <c r="G353" s="63"/>
      <c r="H353" s="47"/>
      <c r="I353" s="47"/>
      <c r="J353" s="63"/>
      <c r="K353" s="63"/>
      <c r="L353" s="63"/>
      <c r="M353" s="63"/>
      <c r="N353" s="63"/>
      <c r="O353" s="63"/>
      <c r="P353" s="63"/>
      <c r="Q353" s="63"/>
      <c r="R353" s="63"/>
      <c r="S353" s="63"/>
      <c r="T353" s="63"/>
      <c r="U353" s="63"/>
      <c r="V353" s="63"/>
      <c r="W353" s="63"/>
    </row>
    <row r="354" spans="1:23" ht="12.75">
      <c r="A354" s="216"/>
      <c r="B354" s="217"/>
      <c r="C354" s="47"/>
      <c r="D354" s="47"/>
      <c r="E354" s="121"/>
      <c r="F354" s="47"/>
      <c r="G354" s="63"/>
      <c r="H354" s="47"/>
      <c r="I354" s="47"/>
      <c r="J354" s="63"/>
      <c r="K354" s="63"/>
      <c r="L354" s="63"/>
      <c r="M354" s="63"/>
      <c r="N354" s="63"/>
      <c r="O354" s="63"/>
      <c r="P354" s="63"/>
      <c r="Q354" s="63"/>
      <c r="R354" s="63"/>
      <c r="S354" s="63"/>
      <c r="T354" s="63"/>
      <c r="U354" s="63"/>
      <c r="V354" s="63"/>
      <c r="W354" s="63"/>
    </row>
    <row r="355" spans="1:23" ht="12.75">
      <c r="A355" s="216"/>
      <c r="B355" s="217"/>
      <c r="C355" s="47"/>
      <c r="D355" s="47"/>
      <c r="E355" s="121"/>
      <c r="F355" s="47"/>
      <c r="G355" s="63"/>
      <c r="H355" s="47"/>
      <c r="I355" s="47"/>
      <c r="J355" s="63"/>
      <c r="K355" s="63"/>
      <c r="L355" s="63"/>
      <c r="M355" s="63"/>
      <c r="N355" s="63"/>
      <c r="O355" s="63"/>
      <c r="P355" s="63"/>
      <c r="Q355" s="63"/>
      <c r="R355" s="63"/>
      <c r="S355" s="63"/>
      <c r="T355" s="63"/>
      <c r="U355" s="63"/>
      <c r="V355" s="63"/>
      <c r="W355" s="63"/>
    </row>
    <row r="356" spans="1:23" ht="12.75">
      <c r="A356" s="216"/>
      <c r="B356" s="217"/>
      <c r="C356" s="47"/>
      <c r="D356" s="47"/>
      <c r="E356" s="121"/>
      <c r="F356" s="47"/>
      <c r="G356" s="63"/>
      <c r="H356" s="47"/>
      <c r="I356" s="47"/>
      <c r="J356" s="63"/>
      <c r="K356" s="63"/>
      <c r="L356" s="63"/>
      <c r="M356" s="63"/>
      <c r="N356" s="63"/>
      <c r="O356" s="63"/>
      <c r="P356" s="63"/>
      <c r="Q356" s="63"/>
      <c r="R356" s="63"/>
      <c r="S356" s="63"/>
      <c r="T356" s="63"/>
      <c r="U356" s="63"/>
      <c r="V356" s="63"/>
      <c r="W356" s="63"/>
    </row>
    <row r="357" spans="1:23" ht="12.75">
      <c r="A357" s="216"/>
      <c r="B357" s="217"/>
      <c r="C357" s="47"/>
      <c r="D357" s="47"/>
      <c r="E357" s="121"/>
      <c r="F357" s="47"/>
      <c r="G357" s="63"/>
      <c r="H357" s="47"/>
      <c r="I357" s="47"/>
      <c r="J357" s="63"/>
      <c r="K357" s="63"/>
      <c r="L357" s="63"/>
      <c r="M357" s="63"/>
      <c r="N357" s="63"/>
      <c r="O357" s="63"/>
      <c r="P357" s="63"/>
      <c r="Q357" s="63"/>
      <c r="R357" s="63"/>
      <c r="S357" s="63"/>
      <c r="T357" s="63"/>
      <c r="U357" s="63"/>
      <c r="V357" s="63"/>
      <c r="W357" s="63"/>
    </row>
    <row r="358" spans="1:23" ht="12.75">
      <c r="A358" s="216"/>
      <c r="B358" s="217"/>
      <c r="C358" s="47"/>
      <c r="D358" s="47"/>
      <c r="E358" s="121"/>
      <c r="F358" s="47"/>
      <c r="G358" s="63"/>
      <c r="H358" s="47"/>
      <c r="I358" s="47"/>
      <c r="J358" s="63"/>
      <c r="K358" s="63"/>
      <c r="L358" s="63"/>
      <c r="M358" s="63"/>
      <c r="N358" s="63"/>
      <c r="O358" s="63"/>
      <c r="P358" s="63"/>
      <c r="Q358" s="63"/>
      <c r="R358" s="63"/>
      <c r="S358" s="63"/>
      <c r="T358" s="63"/>
      <c r="U358" s="63"/>
      <c r="V358" s="63"/>
      <c r="W358" s="63"/>
    </row>
    <row r="359" spans="1:23" ht="12.75">
      <c r="A359" s="216"/>
      <c r="B359" s="217"/>
      <c r="C359" s="47"/>
      <c r="D359" s="47"/>
      <c r="E359" s="121"/>
      <c r="F359" s="47"/>
      <c r="G359" s="63"/>
      <c r="H359" s="47"/>
      <c r="I359" s="47"/>
      <c r="J359" s="63"/>
      <c r="K359" s="63"/>
      <c r="L359" s="63"/>
      <c r="M359" s="63"/>
      <c r="N359" s="63"/>
      <c r="O359" s="63"/>
      <c r="P359" s="63"/>
      <c r="Q359" s="63"/>
      <c r="R359" s="63"/>
      <c r="S359" s="63"/>
      <c r="T359" s="63"/>
      <c r="U359" s="63"/>
      <c r="V359" s="63"/>
      <c r="W359" s="63"/>
    </row>
    <row r="360" spans="1:23" ht="12.75">
      <c r="A360" s="216"/>
      <c r="B360" s="217"/>
      <c r="C360" s="47"/>
      <c r="D360" s="47"/>
      <c r="E360" s="121"/>
      <c r="F360" s="47"/>
      <c r="G360" s="63"/>
      <c r="H360" s="47"/>
      <c r="I360" s="47"/>
      <c r="J360" s="63"/>
      <c r="K360" s="63"/>
      <c r="L360" s="63"/>
      <c r="M360" s="63"/>
      <c r="N360" s="63"/>
      <c r="O360" s="63"/>
      <c r="P360" s="63"/>
      <c r="Q360" s="63"/>
      <c r="R360" s="63"/>
      <c r="S360" s="63"/>
      <c r="T360" s="63"/>
      <c r="U360" s="63"/>
      <c r="V360" s="63"/>
      <c r="W360" s="63"/>
    </row>
    <row r="361" spans="1:23" ht="12.75">
      <c r="A361" s="216"/>
      <c r="B361" s="217"/>
      <c r="C361" s="47"/>
      <c r="D361" s="47"/>
      <c r="E361" s="121"/>
      <c r="F361" s="47"/>
      <c r="G361" s="63"/>
      <c r="H361" s="47"/>
      <c r="I361" s="47"/>
      <c r="J361" s="63"/>
      <c r="K361" s="63"/>
      <c r="L361" s="63"/>
      <c r="M361" s="63"/>
      <c r="N361" s="63"/>
      <c r="O361" s="63"/>
      <c r="P361" s="63"/>
      <c r="Q361" s="63"/>
      <c r="R361" s="63"/>
      <c r="S361" s="63"/>
      <c r="T361" s="63"/>
      <c r="U361" s="63"/>
      <c r="V361" s="63"/>
      <c r="W361" s="63"/>
    </row>
    <row r="362" spans="1:23" ht="12.75">
      <c r="A362" s="216"/>
      <c r="B362" s="217"/>
      <c r="C362" s="47"/>
      <c r="D362" s="47"/>
      <c r="E362" s="121"/>
      <c r="F362" s="47"/>
      <c r="G362" s="63"/>
      <c r="H362" s="47"/>
      <c r="I362" s="47"/>
      <c r="J362" s="63"/>
      <c r="K362" s="63"/>
      <c r="L362" s="63"/>
      <c r="M362" s="63"/>
      <c r="N362" s="63"/>
      <c r="O362" s="63"/>
      <c r="P362" s="63"/>
      <c r="Q362" s="63"/>
      <c r="R362" s="63"/>
      <c r="S362" s="63"/>
      <c r="T362" s="63"/>
      <c r="U362" s="63"/>
      <c r="V362" s="63"/>
      <c r="W362" s="63"/>
    </row>
    <row r="363" spans="1:23" ht="12.75">
      <c r="A363" s="216"/>
      <c r="B363" s="217"/>
      <c r="C363" s="47"/>
      <c r="D363" s="47"/>
      <c r="E363" s="121"/>
      <c r="F363" s="47"/>
      <c r="G363" s="63"/>
      <c r="H363" s="47"/>
      <c r="I363" s="47"/>
      <c r="J363" s="63"/>
      <c r="K363" s="63"/>
      <c r="L363" s="63"/>
      <c r="M363" s="63"/>
      <c r="N363" s="63"/>
      <c r="O363" s="63"/>
      <c r="P363" s="63"/>
      <c r="Q363" s="63"/>
      <c r="R363" s="63"/>
      <c r="S363" s="63"/>
      <c r="T363" s="63"/>
      <c r="U363" s="63"/>
      <c r="V363" s="63"/>
      <c r="W363" s="63"/>
    </row>
    <row r="364" spans="1:23" ht="12.75">
      <c r="A364" s="216"/>
      <c r="B364" s="217"/>
      <c r="C364" s="47"/>
      <c r="D364" s="47"/>
      <c r="E364" s="121"/>
      <c r="F364" s="47"/>
      <c r="G364" s="63"/>
      <c r="H364" s="47"/>
      <c r="I364" s="47"/>
      <c r="J364" s="63"/>
      <c r="K364" s="63"/>
      <c r="L364" s="63"/>
      <c r="M364" s="63"/>
      <c r="N364" s="63"/>
      <c r="O364" s="63"/>
      <c r="P364" s="63"/>
      <c r="Q364" s="63"/>
      <c r="R364" s="63"/>
      <c r="S364" s="63"/>
      <c r="T364" s="63"/>
      <c r="U364" s="63"/>
      <c r="V364" s="63"/>
      <c r="W364" s="63"/>
    </row>
    <row r="365" spans="1:23" ht="12.75">
      <c r="A365" s="216"/>
      <c r="B365" s="217"/>
      <c r="C365" s="47"/>
      <c r="D365" s="47"/>
      <c r="E365" s="121"/>
      <c r="F365" s="47"/>
      <c r="G365" s="63"/>
      <c r="H365" s="47"/>
      <c r="I365" s="47"/>
      <c r="J365" s="63"/>
      <c r="K365" s="63"/>
      <c r="L365" s="63"/>
      <c r="M365" s="63"/>
      <c r="N365" s="63"/>
      <c r="O365" s="63"/>
      <c r="P365" s="63"/>
      <c r="Q365" s="63"/>
      <c r="R365" s="63"/>
      <c r="S365" s="63"/>
      <c r="T365" s="63"/>
      <c r="U365" s="63"/>
      <c r="V365" s="63"/>
      <c r="W365" s="63"/>
    </row>
    <row r="366" spans="1:23" ht="12.75">
      <c r="A366" s="216"/>
      <c r="B366" s="217"/>
      <c r="C366" s="47"/>
      <c r="D366" s="47"/>
      <c r="E366" s="121"/>
      <c r="F366" s="47"/>
      <c r="G366" s="63"/>
      <c r="H366" s="47"/>
      <c r="I366" s="47"/>
      <c r="J366" s="63"/>
      <c r="K366" s="63"/>
      <c r="L366" s="63"/>
      <c r="M366" s="63"/>
      <c r="N366" s="63"/>
      <c r="O366" s="63"/>
      <c r="P366" s="63"/>
      <c r="Q366" s="63"/>
      <c r="R366" s="63"/>
      <c r="S366" s="63"/>
      <c r="T366" s="63"/>
      <c r="U366" s="63"/>
      <c r="V366" s="63"/>
      <c r="W366" s="63"/>
    </row>
    <row r="367" spans="1:23" ht="12.75">
      <c r="A367" s="216"/>
      <c r="B367" s="217"/>
      <c r="C367" s="47"/>
      <c r="D367" s="47"/>
      <c r="E367" s="121"/>
      <c r="F367" s="47"/>
      <c r="G367" s="63"/>
      <c r="H367" s="47"/>
      <c r="I367" s="47"/>
      <c r="J367" s="63"/>
      <c r="K367" s="63"/>
      <c r="L367" s="63"/>
      <c r="M367" s="63"/>
      <c r="N367" s="63"/>
      <c r="O367" s="63"/>
      <c r="P367" s="63"/>
      <c r="Q367" s="63"/>
      <c r="R367" s="63"/>
      <c r="S367" s="63"/>
      <c r="T367" s="63"/>
      <c r="U367" s="63"/>
      <c r="V367" s="63"/>
      <c r="W367" s="63"/>
    </row>
    <row r="368" spans="1:23" ht="12.75">
      <c r="A368" s="216"/>
      <c r="B368" s="217"/>
      <c r="C368" s="47"/>
      <c r="D368" s="47"/>
      <c r="E368" s="121"/>
      <c r="F368" s="47"/>
      <c r="G368" s="63"/>
      <c r="H368" s="47"/>
      <c r="I368" s="47"/>
      <c r="J368" s="63"/>
      <c r="K368" s="63"/>
      <c r="L368" s="63"/>
      <c r="M368" s="63"/>
      <c r="N368" s="63"/>
      <c r="O368" s="63"/>
      <c r="P368" s="63"/>
      <c r="Q368" s="63"/>
      <c r="R368" s="63"/>
      <c r="S368" s="63"/>
      <c r="T368" s="63"/>
      <c r="U368" s="63"/>
      <c r="V368" s="63"/>
      <c r="W368" s="63"/>
    </row>
    <row r="369" spans="1:23" ht="12.75">
      <c r="A369" s="216"/>
      <c r="B369" s="217"/>
      <c r="C369" s="47"/>
      <c r="D369" s="47"/>
      <c r="E369" s="121"/>
      <c r="F369" s="47"/>
      <c r="G369" s="63"/>
      <c r="H369" s="47"/>
      <c r="I369" s="47"/>
      <c r="J369" s="63"/>
      <c r="K369" s="63"/>
      <c r="L369" s="63"/>
      <c r="M369" s="63"/>
      <c r="N369" s="63"/>
      <c r="O369" s="63"/>
      <c r="P369" s="63"/>
      <c r="Q369" s="63"/>
      <c r="R369" s="63"/>
      <c r="S369" s="63"/>
      <c r="T369" s="63"/>
      <c r="U369" s="63"/>
      <c r="V369" s="63"/>
      <c r="W369" s="63"/>
    </row>
    <row r="370" spans="1:23" ht="12.75">
      <c r="A370" s="216"/>
      <c r="B370" s="217"/>
      <c r="C370" s="47"/>
      <c r="D370" s="47"/>
      <c r="E370" s="121"/>
      <c r="F370" s="47"/>
      <c r="G370" s="63"/>
      <c r="H370" s="47"/>
      <c r="I370" s="47"/>
      <c r="J370" s="63"/>
      <c r="K370" s="63"/>
      <c r="L370" s="63"/>
      <c r="M370" s="63"/>
      <c r="N370" s="63"/>
      <c r="O370" s="63"/>
      <c r="P370" s="63"/>
      <c r="Q370" s="63"/>
      <c r="R370" s="63"/>
      <c r="S370" s="63"/>
      <c r="T370" s="63"/>
      <c r="U370" s="63"/>
      <c r="V370" s="63"/>
      <c r="W370" s="63"/>
    </row>
    <row r="371" spans="1:23" ht="12.75">
      <c r="A371" s="216"/>
      <c r="B371" s="217"/>
      <c r="C371" s="47"/>
      <c r="D371" s="47"/>
      <c r="E371" s="121"/>
      <c r="F371" s="47"/>
      <c r="G371" s="63"/>
      <c r="H371" s="47"/>
      <c r="I371" s="47"/>
      <c r="J371" s="63"/>
      <c r="K371" s="63"/>
      <c r="L371" s="63"/>
      <c r="M371" s="63"/>
      <c r="N371" s="63"/>
      <c r="O371" s="63"/>
      <c r="P371" s="63"/>
      <c r="Q371" s="63"/>
      <c r="R371" s="63"/>
      <c r="S371" s="63"/>
      <c r="T371" s="63"/>
      <c r="U371" s="63"/>
      <c r="V371" s="63"/>
      <c r="W371" s="63"/>
    </row>
    <row r="372" spans="1:23" ht="12.75">
      <c r="A372" s="216"/>
      <c r="B372" s="217"/>
      <c r="C372" s="47"/>
      <c r="D372" s="47"/>
      <c r="E372" s="121"/>
      <c r="F372" s="47"/>
      <c r="G372" s="63"/>
      <c r="H372" s="47"/>
      <c r="I372" s="47"/>
      <c r="J372" s="63"/>
      <c r="K372" s="63"/>
      <c r="L372" s="63"/>
      <c r="M372" s="63"/>
      <c r="N372" s="63"/>
      <c r="O372" s="63"/>
      <c r="P372" s="63"/>
      <c r="Q372" s="63"/>
      <c r="R372" s="63"/>
      <c r="S372" s="63"/>
      <c r="T372" s="63"/>
      <c r="U372" s="63"/>
      <c r="V372" s="63"/>
      <c r="W372" s="63"/>
    </row>
    <row r="373" spans="1:23" ht="12.75">
      <c r="A373" s="216"/>
      <c r="B373" s="217"/>
      <c r="C373" s="47"/>
      <c r="D373" s="47"/>
      <c r="E373" s="121"/>
      <c r="F373" s="47"/>
      <c r="G373" s="63"/>
      <c r="H373" s="47"/>
      <c r="I373" s="47"/>
      <c r="J373" s="63"/>
      <c r="K373" s="63"/>
      <c r="L373" s="63"/>
      <c r="M373" s="63"/>
      <c r="N373" s="63"/>
      <c r="O373" s="63"/>
      <c r="P373" s="63"/>
      <c r="Q373" s="63"/>
      <c r="R373" s="63"/>
      <c r="S373" s="63"/>
      <c r="T373" s="63"/>
      <c r="U373" s="63"/>
      <c r="V373" s="63"/>
      <c r="W373" s="63"/>
    </row>
    <row r="374" spans="1:23" ht="12.75">
      <c r="A374" s="216"/>
      <c r="B374" s="217"/>
      <c r="C374" s="47"/>
      <c r="D374" s="47"/>
      <c r="E374" s="121"/>
      <c r="F374" s="47"/>
      <c r="G374" s="63"/>
      <c r="H374" s="47"/>
      <c r="I374" s="47"/>
      <c r="J374" s="63"/>
      <c r="K374" s="63"/>
      <c r="L374" s="63"/>
      <c r="M374" s="63"/>
      <c r="N374" s="63"/>
      <c r="O374" s="63"/>
      <c r="P374" s="63"/>
      <c r="Q374" s="63"/>
      <c r="R374" s="63"/>
      <c r="S374" s="63"/>
      <c r="T374" s="63"/>
      <c r="U374" s="63"/>
      <c r="V374" s="63"/>
      <c r="W374" s="63"/>
    </row>
    <row r="375" spans="1:23" ht="12.75">
      <c r="A375" s="216"/>
      <c r="B375" s="217"/>
      <c r="C375" s="47"/>
      <c r="D375" s="47"/>
      <c r="E375" s="121"/>
      <c r="F375" s="47"/>
      <c r="G375" s="63"/>
      <c r="H375" s="47"/>
      <c r="I375" s="47"/>
      <c r="J375" s="63"/>
      <c r="K375" s="63"/>
      <c r="L375" s="63"/>
      <c r="M375" s="63"/>
      <c r="N375" s="63"/>
      <c r="O375" s="63"/>
      <c r="P375" s="63"/>
      <c r="Q375" s="63"/>
      <c r="R375" s="63"/>
      <c r="S375" s="63"/>
      <c r="T375" s="63"/>
      <c r="U375" s="63"/>
      <c r="V375" s="63"/>
      <c r="W375" s="63"/>
    </row>
    <row r="376" spans="1:23" ht="12.75">
      <c r="A376" s="216"/>
      <c r="B376" s="217"/>
      <c r="C376" s="47"/>
      <c r="D376" s="47"/>
      <c r="E376" s="121"/>
      <c r="F376" s="47"/>
      <c r="G376" s="63"/>
      <c r="H376" s="47"/>
      <c r="I376" s="47"/>
      <c r="J376" s="63"/>
      <c r="K376" s="63"/>
      <c r="L376" s="63"/>
      <c r="M376" s="63"/>
      <c r="N376" s="63"/>
      <c r="O376" s="63"/>
      <c r="P376" s="63"/>
      <c r="Q376" s="63"/>
      <c r="R376" s="63"/>
      <c r="S376" s="63"/>
      <c r="T376" s="63"/>
      <c r="U376" s="63"/>
      <c r="V376" s="63"/>
      <c r="W376" s="63"/>
    </row>
    <row r="377" spans="1:23" ht="12.75">
      <c r="A377" s="216"/>
      <c r="B377" s="217"/>
      <c r="C377" s="47"/>
      <c r="D377" s="47"/>
      <c r="E377" s="121"/>
      <c r="F377" s="47"/>
      <c r="G377" s="63"/>
      <c r="H377" s="47"/>
      <c r="I377" s="47"/>
      <c r="J377" s="63"/>
      <c r="K377" s="63"/>
      <c r="L377" s="63"/>
      <c r="M377" s="63"/>
      <c r="N377" s="63"/>
      <c r="O377" s="63"/>
      <c r="P377" s="63"/>
      <c r="Q377" s="63"/>
      <c r="R377" s="63"/>
      <c r="S377" s="63"/>
      <c r="T377" s="63"/>
      <c r="U377" s="63"/>
      <c r="V377" s="63"/>
      <c r="W377" s="63"/>
    </row>
    <row r="378" spans="1:23" ht="12.75">
      <c r="A378" s="216"/>
      <c r="B378" s="217"/>
      <c r="C378" s="47"/>
      <c r="D378" s="47"/>
      <c r="E378" s="121"/>
      <c r="F378" s="47"/>
      <c r="G378" s="63"/>
      <c r="H378" s="47"/>
      <c r="I378" s="47"/>
      <c r="J378" s="63"/>
      <c r="K378" s="63"/>
      <c r="L378" s="63"/>
      <c r="M378" s="63"/>
      <c r="N378" s="63"/>
      <c r="O378" s="63"/>
      <c r="P378" s="63"/>
      <c r="Q378" s="63"/>
      <c r="R378" s="63"/>
      <c r="S378" s="63"/>
      <c r="T378" s="63"/>
      <c r="U378" s="63"/>
      <c r="V378" s="63"/>
      <c r="W378" s="63"/>
    </row>
    <row r="379" spans="1:23" ht="12.75">
      <c r="A379" s="216"/>
      <c r="B379" s="217"/>
      <c r="C379" s="47"/>
      <c r="D379" s="47"/>
      <c r="E379" s="121"/>
      <c r="F379" s="47"/>
      <c r="G379" s="63"/>
      <c r="H379" s="47"/>
      <c r="I379" s="47"/>
      <c r="J379" s="63"/>
      <c r="K379" s="63"/>
      <c r="L379" s="63"/>
      <c r="M379" s="63"/>
      <c r="N379" s="63"/>
      <c r="O379" s="63"/>
      <c r="P379" s="63"/>
      <c r="Q379" s="63"/>
      <c r="R379" s="63"/>
      <c r="S379" s="63"/>
      <c r="T379" s="63"/>
      <c r="U379" s="63"/>
      <c r="V379" s="63"/>
      <c r="W379" s="63"/>
    </row>
    <row r="380" spans="1:23" ht="12.75">
      <c r="A380" s="216"/>
      <c r="B380" s="217"/>
      <c r="C380" s="47"/>
      <c r="D380" s="47"/>
      <c r="E380" s="121"/>
      <c r="F380" s="47"/>
      <c r="G380" s="63"/>
      <c r="H380" s="47"/>
      <c r="I380" s="47"/>
      <c r="J380" s="63"/>
      <c r="K380" s="63"/>
      <c r="L380" s="63"/>
      <c r="M380" s="63"/>
      <c r="N380" s="63"/>
      <c r="O380" s="63"/>
      <c r="P380" s="63"/>
      <c r="Q380" s="63"/>
      <c r="R380" s="63"/>
      <c r="S380" s="63"/>
      <c r="T380" s="63"/>
      <c r="U380" s="63"/>
      <c r="V380" s="63"/>
      <c r="W380" s="63"/>
    </row>
    <row r="381" spans="1:23" ht="12.75">
      <c r="A381" s="216"/>
      <c r="B381" s="217"/>
      <c r="C381" s="47"/>
      <c r="D381" s="47"/>
      <c r="E381" s="121"/>
      <c r="F381" s="47"/>
      <c r="G381" s="63"/>
      <c r="H381" s="47"/>
      <c r="I381" s="47"/>
      <c r="J381" s="63"/>
      <c r="K381" s="63"/>
      <c r="L381" s="63"/>
      <c r="M381" s="63"/>
      <c r="N381" s="63"/>
      <c r="O381" s="63"/>
      <c r="P381" s="63"/>
      <c r="Q381" s="63"/>
      <c r="R381" s="63"/>
      <c r="S381" s="63"/>
      <c r="T381" s="63"/>
      <c r="U381" s="63"/>
      <c r="V381" s="63"/>
      <c r="W381" s="63"/>
    </row>
    <row r="382" spans="1:23" ht="12.75">
      <c r="A382" s="216"/>
      <c r="B382" s="217"/>
      <c r="C382" s="47"/>
      <c r="D382" s="47"/>
      <c r="E382" s="121"/>
      <c r="F382" s="47"/>
      <c r="G382" s="63"/>
      <c r="H382" s="47"/>
      <c r="I382" s="47"/>
      <c r="J382" s="63"/>
      <c r="K382" s="63"/>
      <c r="L382" s="63"/>
      <c r="M382" s="63"/>
      <c r="N382" s="63"/>
      <c r="O382" s="63"/>
      <c r="P382" s="63"/>
      <c r="Q382" s="63"/>
      <c r="R382" s="63"/>
      <c r="S382" s="63"/>
      <c r="T382" s="63"/>
      <c r="U382" s="63"/>
      <c r="V382" s="63"/>
      <c r="W382" s="63"/>
    </row>
    <row r="383" spans="1:23" ht="12.75">
      <c r="A383" s="216"/>
      <c r="B383" s="217"/>
      <c r="C383" s="47"/>
      <c r="D383" s="47"/>
      <c r="E383" s="121"/>
      <c r="F383" s="47"/>
      <c r="G383" s="63"/>
      <c r="H383" s="47"/>
      <c r="I383" s="47"/>
      <c r="J383" s="63"/>
      <c r="K383" s="63"/>
      <c r="L383" s="63"/>
      <c r="M383" s="63"/>
      <c r="N383" s="63"/>
      <c r="O383" s="63"/>
      <c r="P383" s="63"/>
      <c r="Q383" s="63"/>
      <c r="R383" s="63"/>
      <c r="S383" s="63"/>
      <c r="T383" s="63"/>
      <c r="U383" s="63"/>
      <c r="V383" s="63"/>
      <c r="W383" s="63"/>
    </row>
    <row r="384" spans="1:23" ht="12.75">
      <c r="A384" s="216"/>
      <c r="B384" s="217"/>
      <c r="C384" s="47"/>
      <c r="D384" s="47"/>
      <c r="E384" s="121"/>
      <c r="F384" s="47"/>
      <c r="G384" s="63"/>
      <c r="H384" s="47"/>
      <c r="I384" s="47"/>
      <c r="J384" s="63"/>
      <c r="K384" s="63"/>
      <c r="L384" s="63"/>
      <c r="M384" s="63"/>
      <c r="N384" s="63"/>
      <c r="O384" s="63"/>
      <c r="P384" s="63"/>
      <c r="Q384" s="63"/>
      <c r="R384" s="63"/>
      <c r="S384" s="63"/>
      <c r="T384" s="63"/>
      <c r="U384" s="63"/>
      <c r="V384" s="63"/>
      <c r="W384" s="63"/>
    </row>
    <row r="385" spans="1:23" ht="12.75">
      <c r="A385" s="216"/>
      <c r="B385" s="217"/>
      <c r="C385" s="47"/>
      <c r="D385" s="47"/>
      <c r="E385" s="121"/>
      <c r="F385" s="47"/>
      <c r="G385" s="63"/>
      <c r="H385" s="47"/>
      <c r="I385" s="47"/>
      <c r="J385" s="63"/>
      <c r="K385" s="63"/>
      <c r="L385" s="63"/>
      <c r="M385" s="63"/>
      <c r="N385" s="63"/>
      <c r="O385" s="63"/>
      <c r="P385" s="63"/>
      <c r="Q385" s="63"/>
      <c r="R385" s="63"/>
      <c r="S385" s="63"/>
      <c r="T385" s="63"/>
      <c r="U385" s="63"/>
      <c r="V385" s="63"/>
      <c r="W385" s="63"/>
    </row>
    <row r="386" spans="1:23" ht="12.75">
      <c r="A386" s="216"/>
      <c r="B386" s="217"/>
      <c r="C386" s="47"/>
      <c r="D386" s="47"/>
      <c r="E386" s="121"/>
      <c r="F386" s="47"/>
      <c r="G386" s="63"/>
      <c r="H386" s="47"/>
      <c r="I386" s="47"/>
      <c r="J386" s="63"/>
      <c r="K386" s="63"/>
      <c r="L386" s="63"/>
      <c r="M386" s="63"/>
      <c r="N386" s="63"/>
      <c r="O386" s="63"/>
      <c r="P386" s="63"/>
      <c r="Q386" s="63"/>
      <c r="R386" s="63"/>
      <c r="S386" s="63"/>
      <c r="T386" s="63"/>
      <c r="U386" s="63"/>
      <c r="V386" s="63"/>
      <c r="W386" s="63"/>
    </row>
    <row r="387" spans="1:23" ht="12.75">
      <c r="A387" s="216"/>
      <c r="B387" s="217"/>
      <c r="C387" s="47"/>
      <c r="D387" s="47"/>
      <c r="E387" s="121"/>
      <c r="F387" s="47"/>
      <c r="G387" s="63"/>
      <c r="H387" s="47"/>
      <c r="I387" s="47"/>
      <c r="J387" s="63"/>
      <c r="K387" s="63"/>
      <c r="L387" s="63"/>
      <c r="M387" s="63"/>
      <c r="N387" s="63"/>
      <c r="O387" s="63"/>
      <c r="P387" s="63"/>
      <c r="Q387" s="63"/>
      <c r="R387" s="63"/>
      <c r="S387" s="63"/>
      <c r="T387" s="63"/>
      <c r="U387" s="63"/>
      <c r="V387" s="63"/>
      <c r="W387" s="63"/>
    </row>
    <row r="388" spans="1:23" ht="12.75">
      <c r="A388" s="216"/>
      <c r="B388" s="217"/>
      <c r="C388" s="47"/>
      <c r="D388" s="47"/>
      <c r="E388" s="121"/>
      <c r="F388" s="47"/>
      <c r="G388" s="63"/>
      <c r="H388" s="47"/>
      <c r="I388" s="47"/>
      <c r="J388" s="63"/>
      <c r="K388" s="63"/>
      <c r="L388" s="63"/>
      <c r="M388" s="63"/>
      <c r="N388" s="63"/>
      <c r="O388" s="63"/>
      <c r="P388" s="63"/>
      <c r="Q388" s="63"/>
      <c r="R388" s="63"/>
      <c r="S388" s="63"/>
      <c r="T388" s="63"/>
      <c r="U388" s="63"/>
      <c r="V388" s="63"/>
      <c r="W388" s="63"/>
    </row>
    <row r="389" spans="1:23" ht="12.75">
      <c r="A389" s="216"/>
      <c r="B389" s="217"/>
      <c r="C389" s="47"/>
      <c r="D389" s="47"/>
      <c r="E389" s="121"/>
      <c r="F389" s="47"/>
      <c r="G389" s="63"/>
      <c r="H389" s="47"/>
      <c r="I389" s="47"/>
      <c r="J389" s="63"/>
      <c r="K389" s="63"/>
      <c r="L389" s="63"/>
      <c r="M389" s="63"/>
      <c r="N389" s="63"/>
      <c r="O389" s="63"/>
      <c r="P389" s="63"/>
      <c r="Q389" s="63"/>
      <c r="R389" s="63"/>
      <c r="S389" s="63"/>
      <c r="T389" s="63"/>
      <c r="U389" s="63"/>
      <c r="V389" s="63"/>
      <c r="W389" s="63"/>
    </row>
    <row r="390" spans="1:23" ht="12.75">
      <c r="A390" s="216"/>
      <c r="B390" s="217"/>
      <c r="C390" s="47"/>
      <c r="D390" s="47"/>
      <c r="E390" s="121"/>
      <c r="F390" s="47"/>
      <c r="G390" s="63"/>
      <c r="H390" s="47"/>
      <c r="I390" s="47"/>
      <c r="J390" s="63"/>
      <c r="K390" s="63"/>
      <c r="L390" s="63"/>
      <c r="M390" s="63"/>
      <c r="N390" s="63"/>
      <c r="O390" s="63"/>
      <c r="P390" s="63"/>
      <c r="Q390" s="63"/>
      <c r="R390" s="63"/>
      <c r="S390" s="63"/>
      <c r="T390" s="63"/>
      <c r="U390" s="63"/>
      <c r="V390" s="63"/>
      <c r="W390" s="63"/>
    </row>
    <row r="391" spans="1:23" ht="12.75">
      <c r="A391" s="216"/>
      <c r="B391" s="217"/>
      <c r="C391" s="47"/>
      <c r="D391" s="47"/>
      <c r="E391" s="121"/>
      <c r="F391" s="47"/>
      <c r="G391" s="63"/>
      <c r="H391" s="47"/>
      <c r="I391" s="47"/>
      <c r="J391" s="63"/>
      <c r="K391" s="63"/>
      <c r="L391" s="63"/>
      <c r="M391" s="63"/>
      <c r="N391" s="63"/>
      <c r="O391" s="63"/>
      <c r="P391" s="63"/>
      <c r="Q391" s="63"/>
      <c r="R391" s="63"/>
      <c r="S391" s="63"/>
      <c r="T391" s="63"/>
      <c r="U391" s="63"/>
      <c r="V391" s="63"/>
      <c r="W391" s="63"/>
    </row>
    <row r="392" spans="1:23" ht="12.75">
      <c r="A392" s="216"/>
      <c r="B392" s="217"/>
      <c r="C392" s="47"/>
      <c r="D392" s="47"/>
      <c r="E392" s="121"/>
      <c r="F392" s="47"/>
      <c r="G392" s="63"/>
      <c r="H392" s="47"/>
      <c r="I392" s="47"/>
      <c r="J392" s="63"/>
      <c r="K392" s="63"/>
      <c r="L392" s="63"/>
      <c r="M392" s="63"/>
      <c r="N392" s="63"/>
      <c r="O392" s="63"/>
      <c r="P392" s="63"/>
      <c r="Q392" s="63"/>
      <c r="R392" s="63"/>
      <c r="S392" s="63"/>
      <c r="T392" s="63"/>
      <c r="U392" s="63"/>
      <c r="V392" s="63"/>
      <c r="W392" s="63"/>
    </row>
    <row r="393" spans="1:23" ht="12.75">
      <c r="A393" s="216"/>
      <c r="B393" s="217"/>
      <c r="C393" s="47"/>
      <c r="D393" s="47"/>
      <c r="E393" s="121"/>
      <c r="F393" s="47"/>
      <c r="G393" s="63"/>
      <c r="H393" s="47"/>
      <c r="I393" s="47"/>
      <c r="J393" s="63"/>
      <c r="K393" s="63"/>
      <c r="L393" s="63"/>
      <c r="M393" s="63"/>
      <c r="N393" s="63"/>
      <c r="O393" s="63"/>
      <c r="P393" s="63"/>
      <c r="Q393" s="63"/>
      <c r="R393" s="63"/>
      <c r="S393" s="63"/>
      <c r="T393" s="63"/>
      <c r="U393" s="63"/>
      <c r="V393" s="63"/>
      <c r="W393" s="63"/>
    </row>
    <row r="394" spans="1:23" ht="12.75">
      <c r="A394" s="216"/>
      <c r="B394" s="217"/>
      <c r="C394" s="47"/>
      <c r="D394" s="47"/>
      <c r="E394" s="121"/>
      <c r="F394" s="47"/>
      <c r="G394" s="63"/>
      <c r="H394" s="47"/>
      <c r="I394" s="47"/>
      <c r="J394" s="63"/>
      <c r="K394" s="63"/>
      <c r="L394" s="63"/>
      <c r="M394" s="63"/>
      <c r="N394" s="63"/>
      <c r="O394" s="63"/>
      <c r="P394" s="63"/>
      <c r="Q394" s="63"/>
      <c r="R394" s="63"/>
      <c r="S394" s="63"/>
      <c r="T394" s="63"/>
      <c r="U394" s="63"/>
      <c r="V394" s="63"/>
      <c r="W394" s="63"/>
    </row>
    <row r="395" spans="1:23" ht="12.75">
      <c r="A395" s="216"/>
      <c r="B395" s="217"/>
      <c r="C395" s="47"/>
      <c r="D395" s="47"/>
      <c r="E395" s="121"/>
      <c r="F395" s="47"/>
      <c r="G395" s="63"/>
      <c r="H395" s="47"/>
      <c r="I395" s="47"/>
      <c r="J395" s="63"/>
      <c r="K395" s="63"/>
      <c r="L395" s="63"/>
      <c r="M395" s="63"/>
      <c r="N395" s="63"/>
      <c r="O395" s="63"/>
      <c r="P395" s="63"/>
      <c r="Q395" s="63"/>
      <c r="R395" s="63"/>
      <c r="S395" s="63"/>
      <c r="T395" s="63"/>
      <c r="U395" s="63"/>
      <c r="V395" s="63"/>
      <c r="W395" s="63"/>
    </row>
    <row r="396" spans="1:23" ht="12.75">
      <c r="A396" s="216"/>
      <c r="B396" s="217"/>
      <c r="C396" s="47"/>
      <c r="D396" s="47"/>
      <c r="E396" s="121"/>
      <c r="F396" s="47"/>
      <c r="G396" s="63"/>
      <c r="H396" s="47"/>
      <c r="I396" s="47"/>
      <c r="J396" s="63"/>
      <c r="K396" s="63"/>
      <c r="L396" s="63"/>
      <c r="M396" s="63"/>
      <c r="N396" s="63"/>
      <c r="O396" s="63"/>
      <c r="P396" s="63"/>
      <c r="Q396" s="63"/>
      <c r="R396" s="63"/>
      <c r="S396" s="63"/>
      <c r="T396" s="63"/>
      <c r="U396" s="63"/>
      <c r="V396" s="63"/>
      <c r="W396" s="63"/>
    </row>
    <row r="397" spans="1:23" ht="12.75">
      <c r="A397" s="216"/>
      <c r="B397" s="217"/>
      <c r="C397" s="47"/>
      <c r="D397" s="47"/>
      <c r="E397" s="121"/>
      <c r="F397" s="47"/>
      <c r="G397" s="63"/>
      <c r="H397" s="47"/>
      <c r="I397" s="47"/>
      <c r="J397" s="63"/>
      <c r="K397" s="63"/>
      <c r="L397" s="63"/>
      <c r="M397" s="63"/>
      <c r="N397" s="63"/>
      <c r="O397" s="63"/>
      <c r="P397" s="63"/>
      <c r="Q397" s="63"/>
      <c r="R397" s="63"/>
      <c r="S397" s="63"/>
      <c r="T397" s="63"/>
      <c r="U397" s="63"/>
      <c r="V397" s="63"/>
      <c r="W397" s="63"/>
    </row>
    <row r="398" spans="1:23" ht="12.75">
      <c r="A398" s="216"/>
      <c r="B398" s="217"/>
      <c r="C398" s="47"/>
      <c r="D398" s="47"/>
      <c r="E398" s="121"/>
      <c r="F398" s="47"/>
      <c r="G398" s="63"/>
      <c r="H398" s="47"/>
      <c r="I398" s="47"/>
      <c r="J398" s="63"/>
      <c r="K398" s="63"/>
      <c r="L398" s="63"/>
      <c r="M398" s="63"/>
      <c r="N398" s="63"/>
      <c r="O398" s="63"/>
      <c r="P398" s="63"/>
      <c r="Q398" s="63"/>
      <c r="R398" s="63"/>
      <c r="S398" s="63"/>
      <c r="T398" s="63"/>
      <c r="U398" s="63"/>
      <c r="V398" s="63"/>
      <c r="W398" s="63"/>
    </row>
    <row r="399" spans="1:23" ht="12.75">
      <c r="A399" s="216"/>
      <c r="B399" s="217"/>
      <c r="C399" s="47"/>
      <c r="D399" s="47"/>
      <c r="E399" s="121"/>
      <c r="F399" s="47"/>
      <c r="G399" s="63"/>
      <c r="H399" s="47"/>
      <c r="I399" s="47"/>
      <c r="J399" s="63"/>
      <c r="K399" s="63"/>
      <c r="L399" s="63"/>
      <c r="M399" s="63"/>
      <c r="N399" s="63"/>
      <c r="O399" s="63"/>
      <c r="P399" s="63"/>
      <c r="Q399" s="63"/>
      <c r="R399" s="63"/>
      <c r="S399" s="63"/>
      <c r="T399" s="63"/>
      <c r="U399" s="63"/>
      <c r="V399" s="63"/>
      <c r="W399" s="63"/>
    </row>
    <row r="400" spans="1:23" ht="12.75">
      <c r="A400" s="216"/>
      <c r="B400" s="217"/>
      <c r="C400" s="47"/>
      <c r="D400" s="47"/>
      <c r="E400" s="121"/>
      <c r="F400" s="47"/>
      <c r="G400" s="63"/>
      <c r="H400" s="47"/>
      <c r="I400" s="47"/>
      <c r="J400" s="63"/>
      <c r="K400" s="63"/>
      <c r="L400" s="63"/>
      <c r="M400" s="63"/>
      <c r="N400" s="63"/>
      <c r="O400" s="63"/>
      <c r="P400" s="63"/>
      <c r="Q400" s="63"/>
      <c r="R400" s="63"/>
      <c r="S400" s="63"/>
      <c r="T400" s="63"/>
      <c r="U400" s="63"/>
      <c r="V400" s="63"/>
      <c r="W400" s="63"/>
    </row>
    <row r="401" spans="1:23" ht="12.75">
      <c r="A401" s="216"/>
      <c r="B401" s="217"/>
      <c r="C401" s="47"/>
      <c r="D401" s="47"/>
      <c r="E401" s="121"/>
      <c r="F401" s="47"/>
      <c r="G401" s="63"/>
      <c r="H401" s="47"/>
      <c r="I401" s="47"/>
      <c r="J401" s="63"/>
      <c r="K401" s="63"/>
      <c r="L401" s="63"/>
      <c r="M401" s="63"/>
      <c r="N401" s="63"/>
      <c r="O401" s="63"/>
      <c r="P401" s="63"/>
      <c r="Q401" s="63"/>
      <c r="R401" s="63"/>
      <c r="S401" s="63"/>
      <c r="T401" s="63"/>
      <c r="U401" s="63"/>
      <c r="V401" s="63"/>
      <c r="W401" s="63"/>
    </row>
    <row r="402" spans="1:23" ht="12.75">
      <c r="A402" s="216"/>
      <c r="B402" s="217"/>
      <c r="C402" s="47"/>
      <c r="D402" s="47"/>
      <c r="E402" s="121"/>
      <c r="F402" s="47"/>
      <c r="G402" s="63"/>
      <c r="H402" s="47"/>
      <c r="I402" s="47"/>
      <c r="J402" s="63"/>
      <c r="K402" s="63"/>
      <c r="L402" s="63"/>
      <c r="M402" s="63"/>
      <c r="N402" s="63"/>
      <c r="O402" s="63"/>
      <c r="P402" s="63"/>
      <c r="Q402" s="63"/>
      <c r="R402" s="63"/>
      <c r="S402" s="63"/>
      <c r="T402" s="63"/>
      <c r="U402" s="63"/>
      <c r="V402" s="63"/>
      <c r="W402" s="63"/>
    </row>
    <row r="403" spans="1:23" ht="12.75">
      <c r="A403" s="216"/>
      <c r="B403" s="217"/>
      <c r="C403" s="47"/>
      <c r="D403" s="47"/>
      <c r="E403" s="121"/>
      <c r="F403" s="47"/>
      <c r="G403" s="63"/>
      <c r="H403" s="47"/>
      <c r="I403" s="47"/>
      <c r="J403" s="63"/>
      <c r="K403" s="63"/>
      <c r="L403" s="63"/>
      <c r="M403" s="63"/>
      <c r="N403" s="63"/>
      <c r="O403" s="63"/>
      <c r="P403" s="63"/>
      <c r="Q403" s="63"/>
      <c r="R403" s="63"/>
      <c r="S403" s="63"/>
      <c r="T403" s="63"/>
      <c r="U403" s="63"/>
      <c r="V403" s="63"/>
      <c r="W403" s="63"/>
    </row>
    <row r="404" spans="1:23" ht="12.75">
      <c r="A404" s="216"/>
      <c r="B404" s="217"/>
      <c r="C404" s="47"/>
      <c r="D404" s="47"/>
      <c r="E404" s="121"/>
      <c r="F404" s="47"/>
      <c r="G404" s="63"/>
      <c r="H404" s="47"/>
      <c r="I404" s="47"/>
      <c r="J404" s="63"/>
      <c r="K404" s="63"/>
      <c r="L404" s="63"/>
      <c r="M404" s="63"/>
      <c r="N404" s="63"/>
      <c r="O404" s="63"/>
      <c r="P404" s="63"/>
      <c r="Q404" s="63"/>
      <c r="R404" s="63"/>
      <c r="S404" s="63"/>
      <c r="T404" s="63"/>
      <c r="U404" s="63"/>
      <c r="V404" s="63"/>
      <c r="W404" s="63"/>
    </row>
    <row r="405" spans="1:23" ht="12.75">
      <c r="A405" s="216"/>
      <c r="B405" s="217"/>
      <c r="C405" s="47"/>
      <c r="D405" s="47"/>
      <c r="E405" s="121"/>
      <c r="F405" s="47"/>
      <c r="G405" s="63"/>
      <c r="H405" s="47"/>
      <c r="I405" s="47"/>
      <c r="J405" s="63"/>
      <c r="K405" s="63"/>
      <c r="L405" s="63"/>
      <c r="M405" s="63"/>
      <c r="N405" s="63"/>
      <c r="O405" s="63"/>
      <c r="P405" s="63"/>
      <c r="Q405" s="63"/>
      <c r="R405" s="63"/>
      <c r="S405" s="63"/>
      <c r="T405" s="63"/>
      <c r="U405" s="63"/>
      <c r="V405" s="63"/>
      <c r="W405" s="63"/>
    </row>
    <row r="406" spans="1:23" ht="12.75">
      <c r="A406" s="216"/>
      <c r="B406" s="217"/>
      <c r="C406" s="47"/>
      <c r="D406" s="47"/>
      <c r="E406" s="121"/>
      <c r="F406" s="47"/>
      <c r="G406" s="63"/>
      <c r="H406" s="47"/>
      <c r="I406" s="47"/>
      <c r="J406" s="63"/>
      <c r="K406" s="63"/>
      <c r="L406" s="63"/>
      <c r="M406" s="63"/>
      <c r="N406" s="63"/>
      <c r="O406" s="63"/>
      <c r="P406" s="63"/>
      <c r="Q406" s="63"/>
      <c r="R406" s="63"/>
      <c r="S406" s="63"/>
      <c r="T406" s="63"/>
      <c r="U406" s="63"/>
      <c r="V406" s="63"/>
      <c r="W406" s="63"/>
    </row>
    <row r="407" spans="1:23" ht="12.75">
      <c r="A407" s="216"/>
      <c r="B407" s="217"/>
      <c r="C407" s="47"/>
      <c r="D407" s="47"/>
      <c r="E407" s="121"/>
      <c r="F407" s="47"/>
      <c r="G407" s="63"/>
      <c r="H407" s="47"/>
      <c r="I407" s="47"/>
      <c r="J407" s="63"/>
      <c r="K407" s="63"/>
      <c r="L407" s="63"/>
      <c r="M407" s="63"/>
      <c r="N407" s="63"/>
      <c r="O407" s="63"/>
      <c r="P407" s="63"/>
      <c r="Q407" s="63"/>
      <c r="R407" s="63"/>
      <c r="S407" s="63"/>
      <c r="T407" s="63"/>
      <c r="U407" s="63"/>
      <c r="V407" s="63"/>
      <c r="W407" s="63"/>
    </row>
    <row r="408" spans="1:23" ht="12.75">
      <c r="A408" s="216"/>
      <c r="B408" s="217"/>
      <c r="C408" s="47"/>
      <c r="D408" s="47"/>
      <c r="E408" s="121"/>
      <c r="F408" s="47"/>
      <c r="G408" s="63"/>
      <c r="H408" s="47"/>
      <c r="I408" s="47"/>
      <c r="J408" s="63"/>
      <c r="K408" s="63"/>
      <c r="L408" s="63"/>
      <c r="M408" s="63"/>
      <c r="N408" s="63"/>
      <c r="O408" s="63"/>
      <c r="P408" s="63"/>
      <c r="Q408" s="63"/>
      <c r="R408" s="63"/>
      <c r="S408" s="63"/>
      <c r="T408" s="63"/>
      <c r="U408" s="63"/>
      <c r="V408" s="63"/>
      <c r="W408" s="63"/>
    </row>
    <row r="409" spans="1:23" ht="12.75">
      <c r="A409" s="216"/>
      <c r="B409" s="217"/>
      <c r="C409" s="47"/>
      <c r="D409" s="47"/>
      <c r="E409" s="121"/>
      <c r="F409" s="47"/>
      <c r="G409" s="63"/>
      <c r="H409" s="47"/>
      <c r="I409" s="47"/>
      <c r="J409" s="63"/>
      <c r="K409" s="63"/>
      <c r="L409" s="63"/>
      <c r="M409" s="63"/>
      <c r="N409" s="63"/>
      <c r="O409" s="63"/>
      <c r="P409" s="63"/>
      <c r="Q409" s="63"/>
      <c r="R409" s="63"/>
      <c r="S409" s="63"/>
      <c r="T409" s="63"/>
      <c r="U409" s="63"/>
      <c r="V409" s="63"/>
      <c r="W409" s="63"/>
    </row>
    <row r="410" spans="1:23" ht="12.75">
      <c r="A410" s="216"/>
      <c r="B410" s="217"/>
      <c r="C410" s="47"/>
      <c r="D410" s="47"/>
      <c r="E410" s="121"/>
      <c r="F410" s="47"/>
      <c r="G410" s="63"/>
      <c r="H410" s="47"/>
      <c r="I410" s="47"/>
      <c r="J410" s="63"/>
      <c r="K410" s="63"/>
      <c r="L410" s="63"/>
      <c r="M410" s="63"/>
      <c r="N410" s="63"/>
      <c r="O410" s="63"/>
      <c r="P410" s="63"/>
      <c r="Q410" s="63"/>
      <c r="R410" s="63"/>
      <c r="S410" s="63"/>
      <c r="T410" s="63"/>
      <c r="U410" s="63"/>
      <c r="V410" s="63"/>
      <c r="W410" s="63"/>
    </row>
    <row r="411" spans="1:23" ht="12.75">
      <c r="A411" s="216"/>
      <c r="B411" s="217"/>
      <c r="C411" s="47"/>
      <c r="D411" s="47"/>
      <c r="E411" s="121"/>
      <c r="F411" s="47"/>
      <c r="G411" s="63"/>
      <c r="H411" s="47"/>
      <c r="I411" s="47"/>
      <c r="J411" s="63"/>
      <c r="K411" s="63"/>
      <c r="L411" s="63"/>
      <c r="M411" s="63"/>
      <c r="N411" s="63"/>
      <c r="O411" s="63"/>
      <c r="P411" s="63"/>
      <c r="Q411" s="63"/>
      <c r="R411" s="63"/>
      <c r="S411" s="63"/>
      <c r="T411" s="63"/>
      <c r="U411" s="63"/>
      <c r="V411" s="63"/>
      <c r="W411" s="63"/>
    </row>
    <row r="412" spans="1:23" ht="12.75">
      <c r="A412" s="216"/>
      <c r="B412" s="217"/>
      <c r="C412" s="47"/>
      <c r="D412" s="47"/>
      <c r="E412" s="121"/>
      <c r="F412" s="47"/>
      <c r="G412" s="63"/>
      <c r="H412" s="47"/>
      <c r="I412" s="47"/>
      <c r="J412" s="63"/>
      <c r="K412" s="63"/>
      <c r="L412" s="63"/>
      <c r="M412" s="63"/>
      <c r="N412" s="63"/>
      <c r="O412" s="63"/>
      <c r="P412" s="63"/>
      <c r="Q412" s="63"/>
      <c r="R412" s="63"/>
      <c r="S412" s="63"/>
      <c r="T412" s="63"/>
      <c r="U412" s="63"/>
      <c r="V412" s="63"/>
      <c r="W412" s="63"/>
    </row>
    <row r="413" spans="1:23" ht="12.75">
      <c r="A413" s="216"/>
      <c r="B413" s="217"/>
      <c r="C413" s="47"/>
      <c r="D413" s="47"/>
      <c r="E413" s="121"/>
      <c r="F413" s="47"/>
      <c r="G413" s="63"/>
      <c r="H413" s="47"/>
      <c r="I413" s="47"/>
      <c r="J413" s="63"/>
      <c r="K413" s="63"/>
      <c r="L413" s="63"/>
      <c r="M413" s="63"/>
      <c r="N413" s="63"/>
      <c r="O413" s="63"/>
      <c r="P413" s="63"/>
      <c r="Q413" s="63"/>
      <c r="R413" s="63"/>
      <c r="S413" s="63"/>
      <c r="T413" s="63"/>
      <c r="U413" s="63"/>
      <c r="V413" s="63"/>
      <c r="W413" s="63"/>
    </row>
    <row r="414" spans="1:23" ht="12.75">
      <c r="A414" s="216"/>
      <c r="B414" s="217"/>
      <c r="C414" s="47"/>
      <c r="D414" s="47"/>
      <c r="E414" s="121"/>
      <c r="F414" s="47"/>
      <c r="G414" s="63"/>
      <c r="H414" s="47"/>
      <c r="I414" s="47"/>
      <c r="J414" s="63"/>
      <c r="K414" s="63"/>
      <c r="L414" s="63"/>
      <c r="M414" s="63"/>
      <c r="N414" s="63"/>
      <c r="O414" s="63"/>
      <c r="P414" s="63"/>
      <c r="Q414" s="63"/>
      <c r="R414" s="63"/>
      <c r="S414" s="63"/>
      <c r="T414" s="63"/>
      <c r="U414" s="63"/>
      <c r="V414" s="63"/>
      <c r="W414" s="63"/>
    </row>
    <row r="415" spans="1:23" ht="12.75">
      <c r="A415" s="216"/>
      <c r="B415" s="217"/>
      <c r="C415" s="47"/>
      <c r="D415" s="47"/>
      <c r="E415" s="121"/>
      <c r="F415" s="47"/>
      <c r="G415" s="63"/>
      <c r="H415" s="47"/>
      <c r="I415" s="47"/>
      <c r="J415" s="63"/>
      <c r="K415" s="63"/>
      <c r="L415" s="63"/>
      <c r="M415" s="63"/>
      <c r="N415" s="63"/>
      <c r="O415" s="63"/>
      <c r="P415" s="63"/>
      <c r="Q415" s="63"/>
      <c r="R415" s="63"/>
      <c r="S415" s="63"/>
      <c r="T415" s="63"/>
      <c r="U415" s="63"/>
      <c r="V415" s="63"/>
      <c r="W415" s="63"/>
    </row>
    <row r="416" spans="1:23" ht="12.75">
      <c r="A416" s="216"/>
      <c r="B416" s="217"/>
      <c r="C416" s="47"/>
      <c r="D416" s="47"/>
      <c r="E416" s="121"/>
      <c r="F416" s="47"/>
      <c r="G416" s="63"/>
      <c r="H416" s="47"/>
      <c r="I416" s="47"/>
      <c r="J416" s="63"/>
      <c r="K416" s="63"/>
      <c r="L416" s="63"/>
      <c r="M416" s="63"/>
      <c r="N416" s="63"/>
      <c r="O416" s="63"/>
      <c r="P416" s="63"/>
      <c r="Q416" s="63"/>
      <c r="R416" s="63"/>
      <c r="S416" s="63"/>
      <c r="T416" s="63"/>
      <c r="U416" s="63"/>
      <c r="V416" s="63"/>
      <c r="W416" s="63"/>
    </row>
    <row r="417" spans="1:23" ht="12.75">
      <c r="A417" s="216"/>
      <c r="B417" s="217"/>
      <c r="C417" s="47"/>
      <c r="D417" s="47"/>
      <c r="E417" s="121"/>
      <c r="F417" s="47"/>
      <c r="G417" s="63"/>
      <c r="H417" s="47"/>
      <c r="I417" s="47"/>
      <c r="J417" s="63"/>
      <c r="K417" s="63"/>
      <c r="L417" s="63"/>
      <c r="M417" s="63"/>
      <c r="N417" s="63"/>
      <c r="O417" s="63"/>
      <c r="P417" s="63"/>
      <c r="Q417" s="63"/>
      <c r="R417" s="63"/>
      <c r="S417" s="63"/>
      <c r="T417" s="63"/>
      <c r="U417" s="63"/>
      <c r="V417" s="63"/>
      <c r="W417" s="63"/>
    </row>
    <row r="418" spans="1:23" ht="12.75">
      <c r="A418" s="216"/>
      <c r="B418" s="217"/>
      <c r="C418" s="47"/>
      <c r="D418" s="47"/>
      <c r="E418" s="121"/>
      <c r="F418" s="47"/>
      <c r="G418" s="63"/>
      <c r="H418" s="47"/>
      <c r="I418" s="47"/>
      <c r="J418" s="63"/>
      <c r="K418" s="63"/>
      <c r="L418" s="63"/>
      <c r="M418" s="63"/>
      <c r="N418" s="63"/>
      <c r="O418" s="63"/>
      <c r="P418" s="63"/>
      <c r="Q418" s="63"/>
      <c r="R418" s="63"/>
      <c r="S418" s="63"/>
      <c r="T418" s="63"/>
      <c r="U418" s="63"/>
      <c r="V418" s="63"/>
      <c r="W418" s="63"/>
    </row>
    <row r="419" spans="1:23" ht="12.75">
      <c r="A419" s="216"/>
      <c r="B419" s="217"/>
      <c r="C419" s="47"/>
      <c r="D419" s="47"/>
      <c r="E419" s="121"/>
      <c r="F419" s="47"/>
      <c r="G419" s="63"/>
      <c r="H419" s="47"/>
      <c r="I419" s="47"/>
      <c r="J419" s="63"/>
      <c r="K419" s="63"/>
      <c r="L419" s="63"/>
      <c r="M419" s="63"/>
      <c r="N419" s="63"/>
      <c r="O419" s="63"/>
      <c r="P419" s="63"/>
      <c r="Q419" s="63"/>
      <c r="R419" s="63"/>
      <c r="S419" s="63"/>
      <c r="T419" s="63"/>
      <c r="U419" s="63"/>
      <c r="V419" s="63"/>
      <c r="W419" s="63"/>
    </row>
    <row r="420" spans="1:23" ht="12.75">
      <c r="A420" s="216"/>
      <c r="B420" s="217"/>
      <c r="C420" s="47"/>
      <c r="D420" s="47"/>
      <c r="E420" s="121"/>
      <c r="F420" s="47"/>
      <c r="G420" s="63"/>
      <c r="H420" s="47"/>
      <c r="I420" s="47"/>
      <c r="J420" s="63"/>
      <c r="K420" s="63"/>
      <c r="L420" s="63"/>
      <c r="M420" s="63"/>
      <c r="N420" s="63"/>
      <c r="O420" s="63"/>
      <c r="P420" s="63"/>
      <c r="Q420" s="63"/>
      <c r="R420" s="63"/>
      <c r="S420" s="63"/>
      <c r="T420" s="63"/>
      <c r="U420" s="63"/>
      <c r="V420" s="63"/>
      <c r="W420" s="63"/>
    </row>
    <row r="421" spans="1:23" ht="12.75">
      <c r="A421" s="216"/>
      <c r="B421" s="217"/>
      <c r="C421" s="47"/>
      <c r="D421" s="47"/>
      <c r="E421" s="121"/>
      <c r="F421" s="47"/>
      <c r="G421" s="63"/>
      <c r="H421" s="47"/>
      <c r="I421" s="47"/>
      <c r="J421" s="63"/>
      <c r="K421" s="63"/>
      <c r="L421" s="63"/>
      <c r="M421" s="63"/>
      <c r="N421" s="63"/>
      <c r="O421" s="63"/>
      <c r="P421" s="63"/>
      <c r="Q421" s="63"/>
      <c r="R421" s="63"/>
      <c r="S421" s="63"/>
      <c r="T421" s="63"/>
      <c r="U421" s="63"/>
      <c r="V421" s="63"/>
      <c r="W421" s="63"/>
    </row>
    <row r="422" spans="1:23" ht="12.75">
      <c r="A422" s="216"/>
      <c r="B422" s="217"/>
      <c r="C422" s="47"/>
      <c r="D422" s="47"/>
      <c r="E422" s="121"/>
      <c r="F422" s="47"/>
      <c r="G422" s="63"/>
      <c r="H422" s="47"/>
      <c r="I422" s="47"/>
      <c r="J422" s="63"/>
      <c r="K422" s="63"/>
      <c r="L422" s="63"/>
      <c r="M422" s="63"/>
      <c r="N422" s="63"/>
      <c r="O422" s="63"/>
      <c r="P422" s="63"/>
      <c r="Q422" s="63"/>
      <c r="R422" s="63"/>
      <c r="S422" s="63"/>
      <c r="T422" s="63"/>
      <c r="U422" s="63"/>
      <c r="V422" s="63"/>
      <c r="W422" s="63"/>
    </row>
    <row r="423" spans="1:23" ht="12.75">
      <c r="A423" s="216"/>
      <c r="B423" s="217"/>
      <c r="C423" s="47"/>
      <c r="D423" s="47"/>
      <c r="E423" s="121"/>
      <c r="F423" s="47"/>
      <c r="G423" s="63"/>
      <c r="H423" s="47"/>
      <c r="I423" s="47"/>
      <c r="J423" s="63"/>
      <c r="K423" s="63"/>
      <c r="L423" s="63"/>
      <c r="M423" s="63"/>
      <c r="N423" s="63"/>
      <c r="O423" s="63"/>
      <c r="P423" s="63"/>
      <c r="Q423" s="63"/>
      <c r="R423" s="63"/>
      <c r="S423" s="63"/>
      <c r="T423" s="63"/>
      <c r="U423" s="63"/>
      <c r="V423" s="63"/>
      <c r="W423" s="63"/>
    </row>
    <row r="424" spans="1:23" ht="12.75">
      <c r="A424" s="216"/>
      <c r="B424" s="217"/>
      <c r="C424" s="47"/>
      <c r="D424" s="47"/>
      <c r="E424" s="121"/>
      <c r="F424" s="47"/>
      <c r="G424" s="63"/>
      <c r="H424" s="47"/>
      <c r="I424" s="47"/>
      <c r="J424" s="63"/>
      <c r="K424" s="63"/>
      <c r="L424" s="63"/>
      <c r="M424" s="63"/>
      <c r="N424" s="63"/>
      <c r="O424" s="63"/>
      <c r="P424" s="63"/>
      <c r="Q424" s="63"/>
      <c r="R424" s="63"/>
      <c r="S424" s="63"/>
      <c r="T424" s="63"/>
      <c r="U424" s="63"/>
      <c r="V424" s="63"/>
      <c r="W424" s="63"/>
    </row>
    <row r="425" spans="1:23" ht="12.75">
      <c r="A425" s="216"/>
      <c r="B425" s="217"/>
      <c r="C425" s="47"/>
      <c r="D425" s="47"/>
      <c r="E425" s="121"/>
      <c r="F425" s="47"/>
      <c r="G425" s="63"/>
      <c r="H425" s="47"/>
      <c r="I425" s="47"/>
      <c r="J425" s="63"/>
      <c r="K425" s="63"/>
      <c r="L425" s="63"/>
      <c r="M425" s="63"/>
      <c r="N425" s="63"/>
      <c r="O425" s="63"/>
      <c r="P425" s="63"/>
      <c r="Q425" s="63"/>
      <c r="R425" s="63"/>
      <c r="S425" s="63"/>
      <c r="T425" s="63"/>
      <c r="U425" s="63"/>
      <c r="V425" s="63"/>
      <c r="W425" s="63"/>
    </row>
    <row r="426" spans="1:23" ht="12.75">
      <c r="A426" s="216"/>
      <c r="B426" s="217"/>
      <c r="C426" s="47"/>
      <c r="D426" s="47"/>
      <c r="E426" s="121"/>
      <c r="F426" s="47"/>
      <c r="G426" s="63"/>
      <c r="H426" s="47"/>
      <c r="I426" s="47"/>
      <c r="J426" s="63"/>
      <c r="K426" s="63"/>
      <c r="L426" s="63"/>
      <c r="M426" s="63"/>
      <c r="N426" s="63"/>
      <c r="O426" s="63"/>
      <c r="P426" s="63"/>
      <c r="Q426" s="63"/>
      <c r="R426" s="63"/>
      <c r="S426" s="63"/>
      <c r="T426" s="63"/>
      <c r="U426" s="63"/>
      <c r="V426" s="63"/>
      <c r="W426" s="63"/>
    </row>
    <row r="427" spans="1:23" ht="12.75">
      <c r="A427" s="216"/>
      <c r="B427" s="217"/>
      <c r="C427" s="47"/>
      <c r="D427" s="47"/>
      <c r="E427" s="121"/>
      <c r="F427" s="47"/>
      <c r="G427" s="63"/>
      <c r="H427" s="47"/>
      <c r="I427" s="47"/>
      <c r="J427" s="63"/>
      <c r="K427" s="63"/>
      <c r="L427" s="63"/>
      <c r="M427" s="63"/>
      <c r="N427" s="63"/>
      <c r="O427" s="63"/>
      <c r="P427" s="63"/>
      <c r="Q427" s="63"/>
      <c r="R427" s="63"/>
      <c r="S427" s="63"/>
      <c r="T427" s="63"/>
      <c r="U427" s="63"/>
      <c r="V427" s="63"/>
      <c r="W427" s="63"/>
    </row>
    <row r="428" spans="1:23" ht="12.75">
      <c r="A428" s="216"/>
      <c r="B428" s="217"/>
      <c r="C428" s="47"/>
      <c r="D428" s="47"/>
      <c r="E428" s="121"/>
      <c r="F428" s="47"/>
      <c r="G428" s="63"/>
      <c r="H428" s="47"/>
      <c r="I428" s="47"/>
      <c r="J428" s="63"/>
      <c r="K428" s="63"/>
      <c r="L428" s="63"/>
      <c r="M428" s="63"/>
      <c r="N428" s="63"/>
      <c r="O428" s="63"/>
      <c r="P428" s="63"/>
      <c r="Q428" s="63"/>
      <c r="R428" s="63"/>
      <c r="S428" s="63"/>
      <c r="T428" s="63"/>
      <c r="U428" s="63"/>
      <c r="V428" s="63"/>
      <c r="W428" s="63"/>
    </row>
    <row r="429" spans="1:23" ht="12.75">
      <c r="A429" s="216"/>
      <c r="B429" s="217"/>
      <c r="C429" s="47"/>
      <c r="D429" s="47"/>
      <c r="E429" s="121"/>
      <c r="F429" s="47"/>
      <c r="G429" s="63"/>
      <c r="H429" s="47"/>
      <c r="I429" s="47"/>
      <c r="J429" s="63"/>
      <c r="K429" s="63"/>
      <c r="L429" s="63"/>
      <c r="M429" s="63"/>
      <c r="N429" s="63"/>
      <c r="O429" s="63"/>
      <c r="P429" s="63"/>
      <c r="Q429" s="63"/>
      <c r="R429" s="63"/>
      <c r="S429" s="63"/>
      <c r="T429" s="63"/>
      <c r="U429" s="63"/>
      <c r="V429" s="63"/>
      <c r="W429" s="63"/>
    </row>
    <row r="430" spans="1:23" ht="12.75">
      <c r="A430" s="216"/>
      <c r="B430" s="217"/>
      <c r="C430" s="47"/>
      <c r="D430" s="47"/>
      <c r="E430" s="121"/>
      <c r="F430" s="47"/>
      <c r="G430" s="63"/>
      <c r="H430" s="47"/>
      <c r="I430" s="47"/>
      <c r="J430" s="63"/>
      <c r="K430" s="63"/>
      <c r="L430" s="63"/>
      <c r="M430" s="63"/>
      <c r="N430" s="63"/>
      <c r="O430" s="63"/>
      <c r="P430" s="63"/>
      <c r="Q430" s="63"/>
      <c r="R430" s="63"/>
      <c r="S430" s="63"/>
      <c r="T430" s="63"/>
      <c r="U430" s="63"/>
      <c r="V430" s="63"/>
      <c r="W430" s="63"/>
    </row>
    <row r="431" spans="1:23" ht="12.75">
      <c r="A431" s="216"/>
      <c r="B431" s="217"/>
      <c r="C431" s="47"/>
      <c r="D431" s="47"/>
      <c r="E431" s="121"/>
      <c r="F431" s="47"/>
      <c r="G431" s="63"/>
      <c r="H431" s="47"/>
      <c r="I431" s="47"/>
      <c r="J431" s="63"/>
      <c r="K431" s="63"/>
      <c r="L431" s="63"/>
      <c r="M431" s="63"/>
      <c r="N431" s="63"/>
      <c r="O431" s="63"/>
      <c r="P431" s="63"/>
      <c r="Q431" s="63"/>
      <c r="R431" s="63"/>
      <c r="S431" s="63"/>
      <c r="T431" s="63"/>
      <c r="U431" s="63"/>
      <c r="V431" s="63"/>
      <c r="W431" s="63"/>
    </row>
    <row r="432" spans="1:23" ht="12.75">
      <c r="A432" s="216"/>
      <c r="B432" s="217"/>
      <c r="C432" s="47"/>
      <c r="D432" s="47"/>
      <c r="E432" s="121"/>
      <c r="F432" s="47"/>
      <c r="G432" s="63"/>
      <c r="H432" s="47"/>
      <c r="I432" s="47"/>
      <c r="J432" s="63"/>
      <c r="K432" s="63"/>
      <c r="L432" s="63"/>
      <c r="M432" s="63"/>
      <c r="N432" s="63"/>
      <c r="O432" s="63"/>
      <c r="P432" s="63"/>
      <c r="Q432" s="63"/>
      <c r="R432" s="63"/>
      <c r="S432" s="63"/>
      <c r="T432" s="63"/>
      <c r="U432" s="63"/>
      <c r="V432" s="63"/>
      <c r="W432" s="63"/>
    </row>
    <row r="433" spans="1:23" ht="12.75">
      <c r="A433" s="216"/>
      <c r="B433" s="217"/>
      <c r="C433" s="47"/>
      <c r="D433" s="47"/>
      <c r="E433" s="121"/>
      <c r="F433" s="47"/>
      <c r="G433" s="63"/>
      <c r="H433" s="47"/>
      <c r="I433" s="47"/>
      <c r="J433" s="63"/>
      <c r="K433" s="63"/>
      <c r="L433" s="63"/>
      <c r="M433" s="63"/>
      <c r="N433" s="63"/>
      <c r="O433" s="63"/>
      <c r="P433" s="63"/>
      <c r="Q433" s="63"/>
      <c r="R433" s="63"/>
      <c r="S433" s="63"/>
      <c r="T433" s="63"/>
      <c r="U433" s="63"/>
      <c r="V433" s="63"/>
      <c r="W433" s="63"/>
    </row>
    <row r="434" spans="1:23" ht="12.75">
      <c r="A434" s="216"/>
      <c r="B434" s="217"/>
      <c r="C434" s="47"/>
      <c r="D434" s="47"/>
      <c r="E434" s="121"/>
      <c r="F434" s="47"/>
      <c r="G434" s="63"/>
      <c r="H434" s="47"/>
      <c r="I434" s="47"/>
      <c r="J434" s="63"/>
      <c r="K434" s="63"/>
      <c r="L434" s="63"/>
      <c r="M434" s="63"/>
      <c r="N434" s="63"/>
      <c r="O434" s="63"/>
      <c r="P434" s="63"/>
      <c r="Q434" s="63"/>
      <c r="R434" s="63"/>
      <c r="S434" s="63"/>
      <c r="T434" s="63"/>
      <c r="U434" s="63"/>
      <c r="V434" s="63"/>
      <c r="W434" s="63"/>
    </row>
    <row r="435" spans="1:23" ht="12.75">
      <c r="A435" s="216"/>
      <c r="B435" s="217"/>
      <c r="C435" s="47"/>
      <c r="D435" s="47"/>
      <c r="E435" s="121"/>
      <c r="F435" s="47"/>
      <c r="G435" s="63"/>
      <c r="H435" s="47"/>
      <c r="I435" s="47"/>
      <c r="J435" s="63"/>
      <c r="K435" s="63"/>
      <c r="L435" s="63"/>
      <c r="M435" s="63"/>
      <c r="N435" s="63"/>
      <c r="O435" s="63"/>
      <c r="P435" s="63"/>
      <c r="Q435" s="63"/>
      <c r="R435" s="63"/>
      <c r="S435" s="63"/>
      <c r="T435" s="63"/>
      <c r="U435" s="63"/>
      <c r="V435" s="63"/>
      <c r="W435" s="63"/>
    </row>
    <row r="436" spans="1:23" ht="12.75">
      <c r="A436" s="216"/>
      <c r="B436" s="217"/>
      <c r="C436" s="47"/>
      <c r="D436" s="47"/>
      <c r="E436" s="121"/>
      <c r="F436" s="47"/>
      <c r="G436" s="63"/>
      <c r="H436" s="47"/>
      <c r="I436" s="47"/>
      <c r="J436" s="63"/>
      <c r="K436" s="63"/>
      <c r="L436" s="63"/>
      <c r="M436" s="63"/>
      <c r="N436" s="63"/>
      <c r="O436" s="63"/>
      <c r="P436" s="63"/>
      <c r="Q436" s="63"/>
      <c r="R436" s="63"/>
      <c r="S436" s="63"/>
      <c r="T436" s="63"/>
      <c r="U436" s="63"/>
      <c r="V436" s="63"/>
      <c r="W436" s="63"/>
    </row>
    <row r="437" spans="1:23" ht="12.75">
      <c r="A437" s="216"/>
      <c r="B437" s="217"/>
      <c r="C437" s="47"/>
      <c r="D437" s="47"/>
      <c r="E437" s="121"/>
      <c r="F437" s="47"/>
      <c r="G437" s="63"/>
      <c r="H437" s="47"/>
      <c r="I437" s="47"/>
      <c r="J437" s="63"/>
      <c r="K437" s="63"/>
      <c r="L437" s="63"/>
      <c r="M437" s="63"/>
      <c r="N437" s="63"/>
      <c r="O437" s="63"/>
      <c r="P437" s="63"/>
      <c r="Q437" s="63"/>
      <c r="R437" s="63"/>
      <c r="S437" s="63"/>
      <c r="T437" s="63"/>
      <c r="U437" s="63"/>
      <c r="V437" s="63"/>
      <c r="W437" s="63"/>
    </row>
    <row r="438" spans="1:23" ht="12.75">
      <c r="A438" s="216"/>
      <c r="B438" s="217"/>
      <c r="C438" s="47"/>
      <c r="D438" s="47"/>
      <c r="E438" s="121"/>
      <c r="F438" s="47"/>
      <c r="G438" s="63"/>
      <c r="H438" s="47"/>
      <c r="I438" s="47"/>
      <c r="J438" s="63"/>
      <c r="K438" s="63"/>
      <c r="L438" s="63"/>
      <c r="M438" s="63"/>
      <c r="N438" s="63"/>
      <c r="O438" s="63"/>
      <c r="P438" s="63"/>
      <c r="Q438" s="63"/>
      <c r="R438" s="63"/>
      <c r="S438" s="63"/>
      <c r="T438" s="63"/>
      <c r="U438" s="63"/>
      <c r="V438" s="63"/>
      <c r="W438" s="63"/>
    </row>
    <row r="439" spans="1:23" ht="12.75">
      <c r="A439" s="216"/>
      <c r="B439" s="217"/>
      <c r="C439" s="47"/>
      <c r="D439" s="47"/>
      <c r="E439" s="121"/>
      <c r="F439" s="47"/>
      <c r="G439" s="63"/>
      <c r="H439" s="47"/>
      <c r="I439" s="47"/>
      <c r="J439" s="63"/>
      <c r="K439" s="63"/>
      <c r="L439" s="63"/>
      <c r="M439" s="63"/>
      <c r="N439" s="63"/>
      <c r="O439" s="63"/>
      <c r="P439" s="63"/>
      <c r="Q439" s="63"/>
      <c r="R439" s="63"/>
      <c r="S439" s="63"/>
      <c r="T439" s="63"/>
      <c r="U439" s="63"/>
      <c r="V439" s="63"/>
      <c r="W439" s="63"/>
    </row>
    <row r="440" spans="1:23" ht="12.75">
      <c r="A440" s="216"/>
      <c r="B440" s="217"/>
      <c r="C440" s="47"/>
      <c r="D440" s="47"/>
      <c r="E440" s="121"/>
      <c r="F440" s="47"/>
      <c r="G440" s="63"/>
      <c r="H440" s="47"/>
      <c r="I440" s="47"/>
      <c r="J440" s="63"/>
      <c r="K440" s="63"/>
      <c r="L440" s="63"/>
      <c r="M440" s="63"/>
      <c r="N440" s="63"/>
      <c r="O440" s="63"/>
      <c r="P440" s="63"/>
      <c r="Q440" s="63"/>
      <c r="R440" s="63"/>
      <c r="S440" s="63"/>
      <c r="T440" s="63"/>
      <c r="U440" s="63"/>
      <c r="V440" s="63"/>
      <c r="W440" s="63"/>
    </row>
    <row r="441" spans="1:23" ht="12.75">
      <c r="A441" s="216"/>
      <c r="B441" s="217"/>
      <c r="C441" s="47"/>
      <c r="D441" s="47"/>
      <c r="E441" s="121"/>
      <c r="F441" s="47"/>
      <c r="G441" s="63"/>
      <c r="H441" s="47"/>
      <c r="I441" s="47"/>
      <c r="J441" s="63"/>
      <c r="K441" s="63"/>
      <c r="L441" s="63"/>
      <c r="M441" s="63"/>
      <c r="N441" s="63"/>
      <c r="O441" s="63"/>
      <c r="P441" s="63"/>
      <c r="Q441" s="63"/>
      <c r="R441" s="63"/>
      <c r="S441" s="63"/>
      <c r="T441" s="63"/>
      <c r="U441" s="63"/>
      <c r="V441" s="63"/>
      <c r="W441" s="63"/>
    </row>
    <row r="442" spans="1:23" ht="12.75">
      <c r="A442" s="216"/>
      <c r="B442" s="217"/>
      <c r="C442" s="47"/>
      <c r="D442" s="47"/>
      <c r="E442" s="121"/>
      <c r="F442" s="47"/>
      <c r="G442" s="63"/>
      <c r="H442" s="47"/>
      <c r="I442" s="47"/>
      <c r="J442" s="63"/>
      <c r="K442" s="63"/>
      <c r="L442" s="63"/>
      <c r="M442" s="63"/>
      <c r="N442" s="63"/>
      <c r="O442" s="63"/>
      <c r="P442" s="63"/>
      <c r="Q442" s="63"/>
      <c r="R442" s="63"/>
      <c r="S442" s="63"/>
      <c r="T442" s="63"/>
      <c r="U442" s="63"/>
      <c r="V442" s="63"/>
      <c r="W442" s="63"/>
    </row>
    <row r="443" spans="1:23" ht="12.75">
      <c r="A443" s="216"/>
      <c r="B443" s="217"/>
      <c r="C443" s="47"/>
      <c r="D443" s="47"/>
      <c r="E443" s="121"/>
      <c r="F443" s="47"/>
      <c r="G443" s="63"/>
      <c r="H443" s="47"/>
      <c r="I443" s="47"/>
      <c r="J443" s="63"/>
      <c r="K443" s="63"/>
      <c r="L443" s="63"/>
      <c r="M443" s="63"/>
      <c r="N443" s="63"/>
      <c r="O443" s="63"/>
      <c r="P443" s="63"/>
      <c r="Q443" s="63"/>
      <c r="R443" s="63"/>
      <c r="S443" s="63"/>
      <c r="T443" s="63"/>
      <c r="U443" s="63"/>
      <c r="V443" s="63"/>
      <c r="W443" s="63"/>
    </row>
    <row r="444" spans="1:23" ht="12.75">
      <c r="A444" s="216"/>
      <c r="B444" s="217"/>
      <c r="C444" s="47"/>
      <c r="D444" s="47"/>
      <c r="E444" s="121"/>
      <c r="F444" s="47"/>
      <c r="G444" s="63"/>
      <c r="H444" s="47"/>
      <c r="I444" s="47"/>
      <c r="J444" s="63"/>
      <c r="K444" s="63"/>
      <c r="L444" s="63"/>
      <c r="M444" s="63"/>
      <c r="N444" s="63"/>
      <c r="O444" s="63"/>
      <c r="P444" s="63"/>
      <c r="Q444" s="63"/>
      <c r="R444" s="63"/>
      <c r="S444" s="63"/>
      <c r="T444" s="63"/>
      <c r="U444" s="63"/>
      <c r="V444" s="63"/>
      <c r="W444" s="63"/>
    </row>
    <row r="445" spans="1:23" ht="12.75">
      <c r="A445" s="216"/>
      <c r="B445" s="217"/>
      <c r="C445" s="47"/>
      <c r="D445" s="47"/>
      <c r="E445" s="121"/>
      <c r="F445" s="47"/>
      <c r="G445" s="63"/>
      <c r="H445" s="47"/>
      <c r="I445" s="47"/>
      <c r="J445" s="63"/>
      <c r="K445" s="63"/>
      <c r="L445" s="63"/>
      <c r="M445" s="63"/>
      <c r="N445" s="63"/>
      <c r="O445" s="63"/>
      <c r="P445" s="63"/>
      <c r="Q445" s="63"/>
      <c r="R445" s="63"/>
      <c r="S445" s="63"/>
      <c r="T445" s="63"/>
      <c r="U445" s="63"/>
      <c r="V445" s="63"/>
      <c r="W445" s="63"/>
    </row>
    <row r="446" spans="1:23" ht="12.75">
      <c r="A446" s="216"/>
      <c r="B446" s="217"/>
      <c r="C446" s="47"/>
      <c r="D446" s="47"/>
      <c r="E446" s="121"/>
      <c r="F446" s="47"/>
      <c r="G446" s="63"/>
      <c r="H446" s="47"/>
      <c r="I446" s="47"/>
      <c r="J446" s="63"/>
      <c r="K446" s="63"/>
      <c r="L446" s="63"/>
      <c r="M446" s="63"/>
      <c r="N446" s="63"/>
      <c r="O446" s="63"/>
      <c r="P446" s="63"/>
      <c r="Q446" s="63"/>
      <c r="R446" s="63"/>
      <c r="S446" s="63"/>
      <c r="T446" s="63"/>
      <c r="U446" s="63"/>
      <c r="V446" s="63"/>
      <c r="W446" s="63"/>
    </row>
    <row r="447" spans="1:23" ht="12.75">
      <c r="A447" s="216"/>
      <c r="B447" s="217"/>
      <c r="C447" s="47"/>
      <c r="D447" s="47"/>
      <c r="E447" s="121"/>
      <c r="F447" s="47"/>
      <c r="G447" s="63"/>
      <c r="H447" s="47"/>
      <c r="I447" s="47"/>
      <c r="J447" s="63"/>
      <c r="K447" s="63"/>
      <c r="L447" s="63"/>
      <c r="M447" s="63"/>
      <c r="N447" s="63"/>
      <c r="O447" s="63"/>
      <c r="P447" s="63"/>
      <c r="Q447" s="63"/>
      <c r="R447" s="63"/>
      <c r="S447" s="63"/>
      <c r="T447" s="63"/>
      <c r="U447" s="63"/>
      <c r="V447" s="63"/>
      <c r="W447" s="63"/>
    </row>
    <row r="448" spans="1:23" ht="12.75">
      <c r="A448" s="216"/>
      <c r="B448" s="217"/>
      <c r="C448" s="47"/>
      <c r="D448" s="47"/>
      <c r="E448" s="121"/>
      <c r="F448" s="47"/>
      <c r="G448" s="63"/>
      <c r="H448" s="47"/>
      <c r="I448" s="47"/>
      <c r="J448" s="63"/>
      <c r="K448" s="63"/>
      <c r="L448" s="63"/>
      <c r="M448" s="63"/>
      <c r="N448" s="63"/>
      <c r="O448" s="63"/>
      <c r="P448" s="63"/>
      <c r="Q448" s="63"/>
      <c r="R448" s="63"/>
      <c r="S448" s="63"/>
      <c r="T448" s="63"/>
      <c r="U448" s="63"/>
      <c r="V448" s="63"/>
      <c r="W448" s="63"/>
    </row>
    <row r="449" spans="1:23" ht="12.75">
      <c r="A449" s="216"/>
      <c r="B449" s="217"/>
      <c r="C449" s="47"/>
      <c r="D449" s="47"/>
      <c r="E449" s="121"/>
      <c r="F449" s="47"/>
      <c r="G449" s="63"/>
      <c r="H449" s="47"/>
      <c r="I449" s="47"/>
      <c r="J449" s="63"/>
      <c r="K449" s="63"/>
      <c r="L449" s="63"/>
      <c r="M449" s="63"/>
      <c r="N449" s="63"/>
      <c r="O449" s="63"/>
      <c r="P449" s="63"/>
      <c r="Q449" s="63"/>
      <c r="R449" s="63"/>
      <c r="S449" s="63"/>
      <c r="T449" s="63"/>
      <c r="U449" s="63"/>
      <c r="V449" s="63"/>
      <c r="W449" s="63"/>
    </row>
    <row r="450" spans="1:23" ht="12.75">
      <c r="A450" s="216"/>
      <c r="B450" s="217"/>
      <c r="C450" s="47"/>
      <c r="D450" s="47"/>
      <c r="E450" s="121"/>
      <c r="F450" s="47"/>
      <c r="G450" s="63"/>
      <c r="H450" s="47"/>
      <c r="I450" s="47"/>
      <c r="J450" s="63"/>
      <c r="K450" s="63"/>
      <c r="L450" s="63"/>
      <c r="M450" s="63"/>
      <c r="N450" s="63"/>
      <c r="O450" s="63"/>
      <c r="P450" s="63"/>
      <c r="Q450" s="63"/>
      <c r="R450" s="63"/>
      <c r="S450" s="63"/>
      <c r="T450" s="63"/>
      <c r="U450" s="63"/>
      <c r="V450" s="63"/>
      <c r="W450" s="63"/>
    </row>
    <row r="451" spans="1:23" ht="12.75">
      <c r="A451" s="216"/>
      <c r="B451" s="217"/>
      <c r="C451" s="47"/>
      <c r="D451" s="47"/>
      <c r="E451" s="121"/>
      <c r="F451" s="47"/>
      <c r="G451" s="63"/>
      <c r="H451" s="47"/>
      <c r="I451" s="47"/>
      <c r="J451" s="63"/>
      <c r="K451" s="63"/>
      <c r="L451" s="63"/>
      <c r="M451" s="63"/>
      <c r="N451" s="63"/>
      <c r="O451" s="63"/>
      <c r="P451" s="63"/>
      <c r="Q451" s="63"/>
      <c r="R451" s="63"/>
      <c r="S451" s="63"/>
      <c r="T451" s="63"/>
      <c r="U451" s="63"/>
      <c r="V451" s="63"/>
      <c r="W451" s="63"/>
    </row>
    <row r="452" spans="1:23" ht="12.75">
      <c r="A452" s="216"/>
      <c r="B452" s="217"/>
      <c r="C452" s="47"/>
      <c r="D452" s="47"/>
      <c r="E452" s="121"/>
      <c r="F452" s="47"/>
      <c r="G452" s="63"/>
      <c r="H452" s="47"/>
      <c r="I452" s="47"/>
      <c r="J452" s="63"/>
      <c r="K452" s="63"/>
      <c r="L452" s="63"/>
      <c r="M452" s="63"/>
      <c r="N452" s="63"/>
      <c r="O452" s="63"/>
      <c r="P452" s="63"/>
      <c r="Q452" s="63"/>
      <c r="R452" s="63"/>
      <c r="S452" s="63"/>
      <c r="T452" s="63"/>
      <c r="U452" s="63"/>
      <c r="V452" s="63"/>
      <c r="W452" s="63"/>
    </row>
    <row r="453" spans="1:23" ht="12.75">
      <c r="A453" s="216"/>
      <c r="B453" s="217"/>
      <c r="C453" s="47"/>
      <c r="D453" s="47"/>
      <c r="E453" s="121"/>
      <c r="F453" s="47"/>
      <c r="G453" s="63"/>
      <c r="H453" s="47"/>
      <c r="I453" s="47"/>
      <c r="J453" s="63"/>
      <c r="K453" s="63"/>
      <c r="L453" s="63"/>
      <c r="M453" s="63"/>
      <c r="N453" s="63"/>
      <c r="O453" s="63"/>
      <c r="P453" s="63"/>
      <c r="Q453" s="63"/>
      <c r="R453" s="63"/>
      <c r="S453" s="63"/>
      <c r="T453" s="63"/>
      <c r="U453" s="63"/>
      <c r="V453" s="63"/>
      <c r="W453" s="63"/>
    </row>
    <row r="454" spans="1:23" ht="12.75">
      <c r="A454" s="216"/>
      <c r="B454" s="217"/>
      <c r="C454" s="47"/>
      <c r="D454" s="47"/>
      <c r="E454" s="121"/>
      <c r="F454" s="47"/>
      <c r="G454" s="63"/>
      <c r="H454" s="47"/>
      <c r="I454" s="47"/>
      <c r="J454" s="63"/>
      <c r="K454" s="63"/>
      <c r="L454" s="63"/>
      <c r="M454" s="63"/>
      <c r="N454" s="63"/>
      <c r="O454" s="63"/>
      <c r="P454" s="63"/>
      <c r="Q454" s="63"/>
      <c r="R454" s="63"/>
      <c r="S454" s="63"/>
      <c r="T454" s="63"/>
      <c r="U454" s="63"/>
      <c r="V454" s="63"/>
      <c r="W454" s="63"/>
    </row>
    <row r="455" spans="1:23" ht="12.75">
      <c r="A455" s="216"/>
      <c r="B455" s="217"/>
      <c r="C455" s="47"/>
      <c r="D455" s="47"/>
      <c r="E455" s="121"/>
      <c r="F455" s="47"/>
      <c r="G455" s="63"/>
      <c r="H455" s="47"/>
      <c r="I455" s="47"/>
      <c r="J455" s="63"/>
      <c r="K455" s="63"/>
      <c r="L455" s="63"/>
      <c r="M455" s="63"/>
      <c r="N455" s="63"/>
      <c r="O455" s="63"/>
      <c r="P455" s="63"/>
      <c r="Q455" s="63"/>
      <c r="R455" s="63"/>
      <c r="S455" s="63"/>
      <c r="T455" s="63"/>
      <c r="U455" s="63"/>
      <c r="V455" s="63"/>
      <c r="W455" s="63"/>
    </row>
    <row r="456" spans="1:23" ht="12.75">
      <c r="A456" s="216"/>
      <c r="B456" s="217"/>
      <c r="C456" s="47"/>
      <c r="D456" s="47"/>
      <c r="E456" s="121"/>
      <c r="F456" s="47"/>
      <c r="G456" s="63"/>
      <c r="H456" s="47"/>
      <c r="I456" s="47"/>
      <c r="J456" s="63"/>
      <c r="K456" s="63"/>
      <c r="L456" s="63"/>
      <c r="M456" s="63"/>
      <c r="N456" s="63"/>
      <c r="O456" s="63"/>
      <c r="P456" s="63"/>
      <c r="Q456" s="63"/>
      <c r="R456" s="63"/>
      <c r="S456" s="63"/>
      <c r="T456" s="63"/>
      <c r="U456" s="63"/>
      <c r="V456" s="63"/>
      <c r="W456" s="63"/>
    </row>
    <row r="457" spans="1:23" ht="12.75">
      <c r="A457" s="216"/>
      <c r="B457" s="217"/>
      <c r="C457" s="47"/>
      <c r="D457" s="47"/>
      <c r="E457" s="121"/>
      <c r="F457" s="47"/>
      <c r="G457" s="63"/>
      <c r="H457" s="47"/>
      <c r="I457" s="47"/>
      <c r="J457" s="63"/>
      <c r="K457" s="63"/>
      <c r="L457" s="63"/>
      <c r="M457" s="63"/>
      <c r="N457" s="63"/>
      <c r="O457" s="63"/>
      <c r="P457" s="63"/>
      <c r="Q457" s="63"/>
      <c r="R457" s="63"/>
      <c r="S457" s="63"/>
      <c r="T457" s="63"/>
      <c r="U457" s="63"/>
      <c r="V457" s="63"/>
      <c r="W457" s="63"/>
    </row>
    <row r="458" spans="1:23" ht="12.75">
      <c r="A458" s="216"/>
      <c r="B458" s="217"/>
      <c r="C458" s="47"/>
      <c r="D458" s="47"/>
      <c r="E458" s="121"/>
      <c r="F458" s="47"/>
      <c r="G458" s="63"/>
      <c r="H458" s="47"/>
      <c r="I458" s="47"/>
      <c r="J458" s="63"/>
      <c r="K458" s="63"/>
      <c r="L458" s="63"/>
      <c r="M458" s="63"/>
      <c r="N458" s="63"/>
      <c r="O458" s="63"/>
      <c r="P458" s="63"/>
      <c r="Q458" s="63"/>
      <c r="R458" s="63"/>
      <c r="S458" s="63"/>
      <c r="T458" s="63"/>
      <c r="U458" s="63"/>
      <c r="V458" s="63"/>
      <c r="W458" s="63"/>
    </row>
    <row r="459" spans="1:23" ht="12.75">
      <c r="A459" s="216"/>
      <c r="B459" s="217"/>
      <c r="C459" s="47"/>
      <c r="D459" s="47"/>
      <c r="E459" s="121"/>
      <c r="F459" s="47"/>
      <c r="G459" s="63"/>
      <c r="H459" s="47"/>
      <c r="I459" s="47"/>
      <c r="J459" s="63"/>
      <c r="K459" s="63"/>
      <c r="L459" s="63"/>
      <c r="M459" s="63"/>
      <c r="N459" s="63"/>
      <c r="O459" s="63"/>
      <c r="P459" s="63"/>
      <c r="Q459" s="63"/>
      <c r="R459" s="63"/>
      <c r="S459" s="63"/>
      <c r="T459" s="63"/>
      <c r="U459" s="63"/>
      <c r="V459" s="63"/>
      <c r="W459" s="63"/>
    </row>
    <row r="460" spans="1:23" ht="12.75">
      <c r="A460" s="216"/>
      <c r="B460" s="217"/>
      <c r="C460" s="47"/>
      <c r="D460" s="47"/>
      <c r="E460" s="121"/>
      <c r="F460" s="47"/>
      <c r="G460" s="63"/>
      <c r="H460" s="47"/>
      <c r="I460" s="47"/>
      <c r="J460" s="63"/>
      <c r="K460" s="63"/>
      <c r="L460" s="63"/>
      <c r="M460" s="63"/>
      <c r="N460" s="63"/>
      <c r="O460" s="63"/>
      <c r="P460" s="63"/>
      <c r="Q460" s="63"/>
      <c r="R460" s="63"/>
      <c r="S460" s="63"/>
      <c r="T460" s="63"/>
      <c r="U460" s="63"/>
      <c r="V460" s="63"/>
      <c r="W460" s="63"/>
    </row>
    <row r="461" spans="1:23" ht="12.75">
      <c r="A461" s="216"/>
      <c r="B461" s="217"/>
      <c r="C461" s="47"/>
      <c r="D461" s="47"/>
      <c r="E461" s="121"/>
      <c r="F461" s="47"/>
      <c r="G461" s="63"/>
      <c r="H461" s="47"/>
      <c r="I461" s="47"/>
      <c r="J461" s="63"/>
      <c r="K461" s="63"/>
      <c r="L461" s="63"/>
      <c r="M461" s="63"/>
      <c r="N461" s="63"/>
      <c r="O461" s="63"/>
      <c r="P461" s="63"/>
      <c r="Q461" s="63"/>
      <c r="R461" s="63"/>
      <c r="S461" s="63"/>
      <c r="T461" s="63"/>
      <c r="U461" s="63"/>
      <c r="V461" s="63"/>
      <c r="W461" s="63"/>
    </row>
    <row r="462" spans="1:23" ht="12.75">
      <c r="A462" s="216"/>
      <c r="B462" s="217"/>
      <c r="C462" s="47"/>
      <c r="D462" s="47"/>
      <c r="E462" s="121"/>
      <c r="F462" s="47"/>
      <c r="G462" s="63"/>
      <c r="H462" s="47"/>
      <c r="I462" s="47"/>
      <c r="J462" s="63"/>
      <c r="K462" s="63"/>
      <c r="L462" s="63"/>
      <c r="M462" s="63"/>
      <c r="N462" s="63"/>
      <c r="O462" s="63"/>
      <c r="P462" s="63"/>
      <c r="Q462" s="63"/>
      <c r="R462" s="63"/>
      <c r="S462" s="63"/>
      <c r="T462" s="63"/>
      <c r="U462" s="63"/>
      <c r="V462" s="63"/>
      <c r="W462" s="63"/>
    </row>
    <row r="463" spans="1:23" ht="12.75">
      <c r="A463" s="216"/>
      <c r="B463" s="217"/>
      <c r="C463" s="47"/>
      <c r="D463" s="47"/>
      <c r="E463" s="121"/>
      <c r="F463" s="47"/>
      <c r="G463" s="63"/>
      <c r="H463" s="47"/>
      <c r="I463" s="47"/>
      <c r="J463" s="63"/>
      <c r="K463" s="63"/>
      <c r="L463" s="63"/>
      <c r="M463" s="63"/>
      <c r="N463" s="63"/>
      <c r="O463" s="63"/>
      <c r="P463" s="63"/>
      <c r="Q463" s="63"/>
      <c r="R463" s="63"/>
      <c r="S463" s="63"/>
      <c r="T463" s="63"/>
      <c r="U463" s="63"/>
      <c r="V463" s="63"/>
      <c r="W463" s="63"/>
    </row>
    <row r="464" spans="1:23" ht="12.75">
      <c r="A464" s="216"/>
      <c r="B464" s="217"/>
      <c r="C464" s="47"/>
      <c r="D464" s="47"/>
      <c r="E464" s="121"/>
      <c r="F464" s="47"/>
      <c r="G464" s="63"/>
      <c r="H464" s="47"/>
      <c r="I464" s="47"/>
      <c r="J464" s="63"/>
      <c r="K464" s="63"/>
      <c r="L464" s="63"/>
      <c r="M464" s="63"/>
      <c r="N464" s="63"/>
      <c r="O464" s="63"/>
      <c r="P464" s="63"/>
      <c r="Q464" s="63"/>
      <c r="R464" s="63"/>
      <c r="S464" s="63"/>
      <c r="T464" s="63"/>
      <c r="U464" s="63"/>
      <c r="V464" s="63"/>
      <c r="W464" s="63"/>
    </row>
    <row r="465" spans="1:23" ht="12.75">
      <c r="A465" s="216"/>
      <c r="B465" s="217"/>
      <c r="C465" s="47"/>
      <c r="D465" s="47"/>
      <c r="E465" s="121"/>
      <c r="F465" s="47"/>
      <c r="G465" s="63"/>
      <c r="H465" s="47"/>
      <c r="I465" s="47"/>
      <c r="J465" s="63"/>
      <c r="K465" s="63"/>
      <c r="L465" s="63"/>
      <c r="M465" s="63"/>
      <c r="N465" s="63"/>
      <c r="O465" s="63"/>
      <c r="P465" s="63"/>
      <c r="Q465" s="63"/>
      <c r="R465" s="63"/>
      <c r="S465" s="63"/>
      <c r="T465" s="63"/>
      <c r="U465" s="63"/>
      <c r="V465" s="63"/>
      <c r="W465" s="63"/>
    </row>
    <row r="466" spans="1:23" ht="12.75">
      <c r="A466" s="216"/>
      <c r="B466" s="217"/>
      <c r="C466" s="47"/>
      <c r="D466" s="47"/>
      <c r="E466" s="121"/>
      <c r="F466" s="47"/>
      <c r="G466" s="63"/>
      <c r="H466" s="47"/>
      <c r="I466" s="47"/>
      <c r="J466" s="63"/>
      <c r="K466" s="63"/>
      <c r="L466" s="63"/>
      <c r="M466" s="63"/>
      <c r="N466" s="63"/>
      <c r="O466" s="63"/>
      <c r="P466" s="63"/>
      <c r="Q466" s="63"/>
      <c r="R466" s="63"/>
      <c r="S466" s="63"/>
      <c r="T466" s="63"/>
      <c r="U466" s="63"/>
      <c r="V466" s="63"/>
      <c r="W466" s="63"/>
    </row>
    <row r="467" spans="1:23" ht="12.75">
      <c r="A467" s="216"/>
      <c r="B467" s="217"/>
      <c r="C467" s="47"/>
      <c r="D467" s="47"/>
      <c r="E467" s="121"/>
      <c r="F467" s="47"/>
      <c r="G467" s="63"/>
      <c r="H467" s="47"/>
      <c r="I467" s="47"/>
      <c r="J467" s="63"/>
      <c r="K467" s="63"/>
      <c r="L467" s="63"/>
      <c r="M467" s="63"/>
      <c r="N467" s="63"/>
      <c r="O467" s="63"/>
      <c r="P467" s="63"/>
      <c r="Q467" s="63"/>
      <c r="R467" s="63"/>
      <c r="S467" s="63"/>
      <c r="T467" s="63"/>
      <c r="U467" s="63"/>
      <c r="V467" s="63"/>
      <c r="W467" s="63"/>
    </row>
    <row r="468" spans="1:23" ht="12.75">
      <c r="A468" s="216"/>
      <c r="B468" s="217"/>
      <c r="C468" s="47"/>
      <c r="D468" s="47"/>
      <c r="E468" s="121"/>
      <c r="F468" s="47"/>
      <c r="G468" s="63"/>
      <c r="H468" s="47"/>
      <c r="I468" s="47"/>
      <c r="J468" s="63"/>
      <c r="K468" s="63"/>
      <c r="L468" s="63"/>
      <c r="M468" s="63"/>
      <c r="N468" s="63"/>
      <c r="O468" s="63"/>
      <c r="P468" s="63"/>
      <c r="Q468" s="63"/>
      <c r="R468" s="63"/>
      <c r="S468" s="63"/>
      <c r="T468" s="63"/>
      <c r="U468" s="63"/>
      <c r="V468" s="63"/>
      <c r="W468" s="63"/>
    </row>
    <row r="469" spans="1:23" ht="12.75">
      <c r="A469" s="216"/>
      <c r="B469" s="217"/>
      <c r="C469" s="47"/>
      <c r="D469" s="47"/>
      <c r="E469" s="121"/>
      <c r="F469" s="47"/>
      <c r="G469" s="63"/>
      <c r="H469" s="47"/>
      <c r="I469" s="47"/>
      <c r="J469" s="63"/>
      <c r="K469" s="63"/>
      <c r="L469" s="63"/>
      <c r="M469" s="63"/>
      <c r="N469" s="63"/>
      <c r="O469" s="63"/>
      <c r="P469" s="63"/>
      <c r="Q469" s="63"/>
      <c r="R469" s="63"/>
      <c r="S469" s="63"/>
      <c r="T469" s="63"/>
      <c r="U469" s="63"/>
      <c r="V469" s="63"/>
      <c r="W469" s="63"/>
    </row>
    <row r="470" spans="1:23" ht="12.75">
      <c r="A470" s="216"/>
      <c r="B470" s="217"/>
      <c r="C470" s="47"/>
      <c r="D470" s="47"/>
      <c r="E470" s="121"/>
      <c r="F470" s="47"/>
      <c r="G470" s="63"/>
      <c r="H470" s="47"/>
      <c r="I470" s="47"/>
      <c r="J470" s="63"/>
      <c r="K470" s="63"/>
      <c r="L470" s="63"/>
      <c r="M470" s="63"/>
      <c r="N470" s="63"/>
      <c r="O470" s="63"/>
      <c r="P470" s="63"/>
      <c r="Q470" s="63"/>
      <c r="R470" s="63"/>
      <c r="S470" s="63"/>
      <c r="T470" s="63"/>
      <c r="U470" s="63"/>
      <c r="V470" s="63"/>
      <c r="W470" s="63"/>
    </row>
    <row r="471" spans="1:23" ht="12.75">
      <c r="A471" s="216"/>
      <c r="B471" s="217"/>
      <c r="C471" s="47"/>
      <c r="D471" s="47"/>
      <c r="E471" s="121"/>
      <c r="F471" s="47"/>
      <c r="G471" s="63"/>
      <c r="H471" s="47"/>
      <c r="I471" s="47"/>
      <c r="J471" s="63"/>
      <c r="K471" s="63"/>
      <c r="L471" s="63"/>
      <c r="M471" s="63"/>
      <c r="N471" s="63"/>
      <c r="O471" s="63"/>
      <c r="P471" s="63"/>
      <c r="Q471" s="63"/>
      <c r="R471" s="63"/>
      <c r="S471" s="63"/>
      <c r="T471" s="63"/>
      <c r="U471" s="63"/>
      <c r="V471" s="63"/>
      <c r="W471" s="63"/>
    </row>
    <row r="472" spans="1:23" ht="12.75">
      <c r="A472" s="216"/>
      <c r="B472" s="217"/>
      <c r="C472" s="47"/>
      <c r="D472" s="47"/>
      <c r="E472" s="121"/>
      <c r="F472" s="47"/>
      <c r="G472" s="63"/>
      <c r="H472" s="47"/>
      <c r="I472" s="47"/>
      <c r="J472" s="63"/>
      <c r="K472" s="63"/>
      <c r="L472" s="63"/>
      <c r="M472" s="63"/>
      <c r="N472" s="63"/>
      <c r="O472" s="63"/>
      <c r="P472" s="63"/>
      <c r="Q472" s="63"/>
      <c r="R472" s="63"/>
      <c r="S472" s="63"/>
      <c r="T472" s="63"/>
      <c r="U472" s="63"/>
      <c r="V472" s="63"/>
      <c r="W472" s="63"/>
    </row>
    <row r="473" spans="1:23" ht="12.75">
      <c r="A473" s="216"/>
      <c r="B473" s="217"/>
      <c r="C473" s="47"/>
      <c r="D473" s="47"/>
      <c r="E473" s="121"/>
      <c r="F473" s="47"/>
      <c r="G473" s="63"/>
      <c r="H473" s="47"/>
      <c r="I473" s="47"/>
      <c r="J473" s="63"/>
      <c r="K473" s="63"/>
      <c r="L473" s="63"/>
      <c r="M473" s="63"/>
      <c r="N473" s="63"/>
      <c r="O473" s="63"/>
      <c r="P473" s="63"/>
      <c r="Q473" s="63"/>
      <c r="R473" s="63"/>
      <c r="S473" s="63"/>
      <c r="T473" s="63"/>
      <c r="U473" s="63"/>
      <c r="V473" s="63"/>
      <c r="W473" s="63"/>
    </row>
    <row r="474" spans="1:23" ht="12.75">
      <c r="A474" s="216"/>
      <c r="B474" s="217"/>
      <c r="C474" s="47"/>
      <c r="D474" s="47"/>
      <c r="E474" s="121"/>
      <c r="F474" s="47"/>
      <c r="G474" s="63"/>
      <c r="H474" s="47"/>
      <c r="I474" s="47"/>
      <c r="J474" s="63"/>
      <c r="K474" s="63"/>
      <c r="L474" s="63"/>
      <c r="M474" s="63"/>
      <c r="N474" s="63"/>
      <c r="O474" s="63"/>
      <c r="P474" s="63"/>
      <c r="Q474" s="63"/>
      <c r="R474" s="63"/>
      <c r="S474" s="63"/>
      <c r="T474" s="63"/>
      <c r="U474" s="63"/>
      <c r="V474" s="63"/>
      <c r="W474" s="63"/>
    </row>
    <row r="475" spans="1:23" ht="12.75">
      <c r="A475" s="216"/>
      <c r="B475" s="217"/>
      <c r="C475" s="47"/>
      <c r="D475" s="47"/>
      <c r="E475" s="121"/>
      <c r="F475" s="47"/>
      <c r="G475" s="63"/>
      <c r="H475" s="47"/>
      <c r="I475" s="47"/>
      <c r="J475" s="63"/>
      <c r="K475" s="63"/>
      <c r="L475" s="63"/>
      <c r="M475" s="63"/>
      <c r="N475" s="63"/>
      <c r="O475" s="63"/>
      <c r="P475" s="63"/>
      <c r="Q475" s="63"/>
      <c r="R475" s="63"/>
      <c r="S475" s="63"/>
      <c r="T475" s="63"/>
      <c r="U475" s="63"/>
      <c r="V475" s="63"/>
      <c r="W475" s="63"/>
    </row>
    <row r="476" spans="1:23" ht="12.75">
      <c r="A476" s="216"/>
      <c r="B476" s="217"/>
      <c r="C476" s="47"/>
      <c r="D476" s="47"/>
      <c r="E476" s="121"/>
      <c r="F476" s="47"/>
      <c r="G476" s="63"/>
      <c r="H476" s="47"/>
      <c r="I476" s="47"/>
      <c r="J476" s="63"/>
      <c r="K476" s="63"/>
      <c r="L476" s="63"/>
      <c r="M476" s="63"/>
      <c r="N476" s="63"/>
      <c r="O476" s="63"/>
      <c r="P476" s="63"/>
      <c r="Q476" s="63"/>
      <c r="R476" s="63"/>
      <c r="S476" s="63"/>
      <c r="T476" s="63"/>
      <c r="U476" s="63"/>
      <c r="V476" s="63"/>
      <c r="W476" s="63"/>
    </row>
    <row r="477" spans="1:23" ht="12.75">
      <c r="A477" s="216"/>
      <c r="B477" s="217"/>
      <c r="C477" s="47"/>
      <c r="D477" s="47"/>
      <c r="E477" s="121"/>
      <c r="F477" s="47"/>
      <c r="G477" s="63"/>
      <c r="H477" s="47"/>
      <c r="I477" s="47"/>
      <c r="J477" s="63"/>
      <c r="K477" s="63"/>
      <c r="L477" s="63"/>
      <c r="M477" s="63"/>
      <c r="N477" s="63"/>
      <c r="O477" s="63"/>
      <c r="P477" s="63"/>
      <c r="Q477" s="63"/>
      <c r="R477" s="63"/>
      <c r="S477" s="63"/>
      <c r="T477" s="63"/>
      <c r="U477" s="63"/>
      <c r="V477" s="63"/>
      <c r="W477" s="63"/>
    </row>
    <row r="478" spans="1:23" ht="12.75">
      <c r="A478" s="216"/>
      <c r="B478" s="217"/>
      <c r="C478" s="47"/>
      <c r="D478" s="47"/>
      <c r="E478" s="121"/>
      <c r="F478" s="47"/>
      <c r="G478" s="63"/>
      <c r="H478" s="47"/>
      <c r="I478" s="47"/>
      <c r="J478" s="63"/>
      <c r="K478" s="63"/>
      <c r="L478" s="63"/>
      <c r="M478" s="63"/>
      <c r="N478" s="63"/>
      <c r="O478" s="63"/>
      <c r="P478" s="63"/>
      <c r="Q478" s="63"/>
      <c r="R478" s="63"/>
      <c r="S478" s="63"/>
      <c r="T478" s="63"/>
      <c r="U478" s="63"/>
      <c r="V478" s="63"/>
      <c r="W478" s="63"/>
    </row>
    <row r="479" spans="1:23" ht="12.75">
      <c r="A479" s="216"/>
      <c r="B479" s="217"/>
      <c r="C479" s="47"/>
      <c r="D479" s="47"/>
      <c r="E479" s="121"/>
      <c r="F479" s="47"/>
      <c r="G479" s="63"/>
      <c r="H479" s="47"/>
      <c r="I479" s="47"/>
      <c r="J479" s="63"/>
      <c r="K479" s="63"/>
      <c r="L479" s="63"/>
      <c r="M479" s="63"/>
      <c r="N479" s="63"/>
      <c r="O479" s="63"/>
      <c r="P479" s="63"/>
      <c r="Q479" s="63"/>
      <c r="R479" s="63"/>
      <c r="S479" s="63"/>
      <c r="T479" s="63"/>
      <c r="U479" s="63"/>
      <c r="V479" s="63"/>
      <c r="W479" s="63"/>
    </row>
    <row r="480" spans="1:23" ht="12.75">
      <c r="A480" s="216"/>
      <c r="B480" s="217"/>
      <c r="C480" s="47"/>
      <c r="D480" s="47"/>
      <c r="E480" s="121"/>
      <c r="F480" s="47"/>
      <c r="G480" s="63"/>
      <c r="H480" s="47"/>
      <c r="I480" s="47"/>
      <c r="J480" s="63"/>
      <c r="K480" s="63"/>
      <c r="L480" s="63"/>
      <c r="M480" s="63"/>
      <c r="N480" s="63"/>
      <c r="O480" s="63"/>
      <c r="P480" s="63"/>
      <c r="Q480" s="63"/>
      <c r="R480" s="63"/>
      <c r="S480" s="63"/>
      <c r="T480" s="63"/>
      <c r="U480" s="63"/>
      <c r="V480" s="63"/>
      <c r="W480" s="63"/>
    </row>
    <row r="481" spans="1:23" ht="12.75">
      <c r="A481" s="216"/>
      <c r="B481" s="217"/>
      <c r="C481" s="47"/>
      <c r="D481" s="47"/>
      <c r="E481" s="121"/>
      <c r="F481" s="47"/>
      <c r="G481" s="63"/>
      <c r="H481" s="47"/>
      <c r="I481" s="47"/>
      <c r="J481" s="63"/>
      <c r="K481" s="63"/>
      <c r="L481" s="63"/>
      <c r="M481" s="63"/>
      <c r="N481" s="63"/>
      <c r="O481" s="63"/>
      <c r="P481" s="63"/>
      <c r="Q481" s="63"/>
      <c r="R481" s="63"/>
      <c r="S481" s="63"/>
      <c r="T481" s="63"/>
      <c r="U481" s="63"/>
      <c r="V481" s="63"/>
      <c r="W481" s="63"/>
    </row>
    <row r="482" spans="1:23" ht="12.75">
      <c r="A482" s="216"/>
      <c r="B482" s="217"/>
      <c r="C482" s="47"/>
      <c r="D482" s="47"/>
      <c r="E482" s="121"/>
      <c r="F482" s="47"/>
      <c r="G482" s="63"/>
      <c r="H482" s="47"/>
      <c r="I482" s="47"/>
      <c r="J482" s="63"/>
      <c r="K482" s="63"/>
      <c r="L482" s="63"/>
      <c r="M482" s="63"/>
      <c r="N482" s="63"/>
      <c r="O482" s="63"/>
      <c r="P482" s="63"/>
      <c r="Q482" s="63"/>
      <c r="R482" s="63"/>
      <c r="S482" s="63"/>
      <c r="T482" s="63"/>
      <c r="U482" s="63"/>
      <c r="V482" s="63"/>
      <c r="W482" s="63"/>
    </row>
    <row r="483" spans="1:23" ht="12.75">
      <c r="A483" s="216"/>
      <c r="B483" s="217"/>
      <c r="C483" s="47"/>
      <c r="D483" s="47"/>
      <c r="E483" s="121"/>
      <c r="F483" s="47"/>
      <c r="G483" s="63"/>
      <c r="H483" s="47"/>
      <c r="I483" s="47"/>
      <c r="J483" s="63"/>
      <c r="K483" s="63"/>
      <c r="L483" s="63"/>
      <c r="M483" s="63"/>
      <c r="N483" s="63"/>
      <c r="O483" s="63"/>
      <c r="P483" s="63"/>
      <c r="Q483" s="63"/>
      <c r="R483" s="63"/>
      <c r="S483" s="63"/>
      <c r="T483" s="63"/>
      <c r="U483" s="63"/>
      <c r="V483" s="63"/>
      <c r="W483" s="63"/>
    </row>
    <row r="484" spans="1:23" ht="12.75">
      <c r="A484" s="216"/>
      <c r="B484" s="217"/>
      <c r="C484" s="47"/>
      <c r="D484" s="47"/>
      <c r="E484" s="121"/>
      <c r="F484" s="47"/>
      <c r="G484" s="63"/>
      <c r="H484" s="47"/>
      <c r="I484" s="47"/>
      <c r="J484" s="63"/>
      <c r="K484" s="63"/>
      <c r="L484" s="63"/>
      <c r="M484" s="63"/>
      <c r="N484" s="63"/>
      <c r="O484" s="63"/>
      <c r="P484" s="63"/>
      <c r="Q484" s="63"/>
      <c r="R484" s="63"/>
      <c r="S484" s="63"/>
      <c r="T484" s="63"/>
      <c r="U484" s="63"/>
      <c r="V484" s="63"/>
      <c r="W484" s="63"/>
    </row>
    <row r="485" spans="1:23" ht="12.75">
      <c r="A485" s="216"/>
      <c r="B485" s="217"/>
      <c r="C485" s="47"/>
      <c r="D485" s="47"/>
      <c r="E485" s="121"/>
      <c r="F485" s="47"/>
      <c r="G485" s="63"/>
      <c r="H485" s="47"/>
      <c r="I485" s="47"/>
      <c r="J485" s="63"/>
      <c r="K485" s="63"/>
      <c r="L485" s="63"/>
      <c r="M485" s="63"/>
      <c r="N485" s="63"/>
      <c r="O485" s="63"/>
      <c r="P485" s="63"/>
      <c r="Q485" s="63"/>
      <c r="R485" s="63"/>
      <c r="S485" s="63"/>
      <c r="T485" s="63"/>
      <c r="U485" s="63"/>
      <c r="V485" s="63"/>
      <c r="W485" s="63"/>
    </row>
    <row r="486" spans="1:23" ht="12.75">
      <c r="A486" s="216"/>
      <c r="B486" s="217"/>
      <c r="C486" s="47"/>
      <c r="D486" s="47"/>
      <c r="E486" s="121"/>
      <c r="F486" s="47"/>
      <c r="G486" s="63"/>
      <c r="H486" s="47"/>
      <c r="I486" s="47"/>
      <c r="J486" s="63"/>
      <c r="K486" s="63"/>
      <c r="L486" s="63"/>
      <c r="M486" s="63"/>
      <c r="N486" s="63"/>
      <c r="O486" s="63"/>
      <c r="P486" s="63"/>
      <c r="Q486" s="63"/>
      <c r="R486" s="63"/>
      <c r="S486" s="63"/>
      <c r="T486" s="63"/>
      <c r="U486" s="63"/>
      <c r="V486" s="63"/>
      <c r="W486" s="63"/>
    </row>
    <row r="487" spans="1:23" ht="12.75">
      <c r="A487" s="216"/>
      <c r="B487" s="217"/>
      <c r="C487" s="47"/>
      <c r="D487" s="47"/>
      <c r="E487" s="121"/>
      <c r="F487" s="47"/>
      <c r="G487" s="63"/>
      <c r="H487" s="47"/>
      <c r="I487" s="47"/>
      <c r="J487" s="63"/>
      <c r="K487" s="63"/>
      <c r="L487" s="63"/>
      <c r="M487" s="63"/>
      <c r="N487" s="63"/>
      <c r="O487" s="63"/>
      <c r="P487" s="63"/>
      <c r="Q487" s="63"/>
      <c r="R487" s="63"/>
      <c r="S487" s="63"/>
      <c r="T487" s="63"/>
      <c r="U487" s="63"/>
      <c r="V487" s="63"/>
      <c r="W487" s="63"/>
    </row>
    <row r="488" spans="1:23" ht="12.75">
      <c r="A488" s="216"/>
      <c r="B488" s="217"/>
      <c r="C488" s="47"/>
      <c r="D488" s="47"/>
      <c r="E488" s="121"/>
      <c r="F488" s="47"/>
      <c r="G488" s="63"/>
      <c r="H488" s="47"/>
      <c r="I488" s="47"/>
      <c r="J488" s="63"/>
      <c r="K488" s="63"/>
      <c r="L488" s="63"/>
      <c r="M488" s="63"/>
      <c r="N488" s="63"/>
      <c r="O488" s="63"/>
      <c r="P488" s="63"/>
      <c r="Q488" s="63"/>
      <c r="R488" s="63"/>
      <c r="S488" s="63"/>
      <c r="T488" s="63"/>
      <c r="U488" s="63"/>
      <c r="V488" s="63"/>
      <c r="W488" s="63"/>
    </row>
    <row r="489" spans="1:23" ht="12.75">
      <c r="A489" s="216"/>
      <c r="B489" s="217"/>
      <c r="C489" s="47"/>
      <c r="D489" s="47"/>
      <c r="E489" s="121"/>
      <c r="F489" s="47"/>
      <c r="G489" s="63"/>
      <c r="H489" s="47"/>
      <c r="I489" s="47"/>
      <c r="J489" s="63"/>
      <c r="K489" s="63"/>
      <c r="L489" s="63"/>
      <c r="M489" s="63"/>
      <c r="N489" s="63"/>
      <c r="O489" s="63"/>
      <c r="P489" s="63"/>
      <c r="Q489" s="63"/>
      <c r="R489" s="63"/>
      <c r="S489" s="63"/>
      <c r="T489" s="63"/>
      <c r="U489" s="63"/>
      <c r="V489" s="63"/>
      <c r="W489" s="63"/>
    </row>
    <row r="490" spans="1:23" ht="12.75">
      <c r="A490" s="216"/>
      <c r="B490" s="217"/>
      <c r="C490" s="47"/>
      <c r="D490" s="47"/>
      <c r="E490" s="121"/>
      <c r="F490" s="47"/>
      <c r="G490" s="63"/>
      <c r="H490" s="47"/>
      <c r="I490" s="47"/>
      <c r="J490" s="63"/>
      <c r="K490" s="63"/>
      <c r="L490" s="63"/>
      <c r="M490" s="63"/>
      <c r="N490" s="63"/>
      <c r="O490" s="63"/>
      <c r="P490" s="63"/>
      <c r="Q490" s="63"/>
      <c r="R490" s="63"/>
      <c r="S490" s="63"/>
      <c r="T490" s="63"/>
      <c r="U490" s="63"/>
      <c r="V490" s="63"/>
      <c r="W490" s="63"/>
    </row>
    <row r="491" spans="1:23" ht="12.75">
      <c r="A491" s="216"/>
      <c r="B491" s="217"/>
      <c r="C491" s="47"/>
      <c r="D491" s="47"/>
      <c r="E491" s="121"/>
      <c r="F491" s="47"/>
      <c r="G491" s="63"/>
      <c r="H491" s="47"/>
      <c r="I491" s="47"/>
      <c r="J491" s="63"/>
      <c r="K491" s="63"/>
      <c r="L491" s="63"/>
      <c r="M491" s="63"/>
      <c r="N491" s="63"/>
      <c r="O491" s="63"/>
      <c r="P491" s="63"/>
      <c r="Q491" s="63"/>
      <c r="R491" s="63"/>
      <c r="S491" s="63"/>
      <c r="T491" s="63"/>
      <c r="U491" s="63"/>
      <c r="V491" s="63"/>
      <c r="W491" s="63"/>
    </row>
    <row r="492" spans="1:23" ht="12.75">
      <c r="A492" s="216"/>
      <c r="B492" s="217"/>
      <c r="C492" s="47"/>
      <c r="D492" s="47"/>
      <c r="E492" s="121"/>
      <c r="F492" s="47"/>
      <c r="G492" s="63"/>
      <c r="H492" s="47"/>
      <c r="I492" s="47"/>
      <c r="J492" s="63"/>
      <c r="K492" s="63"/>
      <c r="L492" s="63"/>
      <c r="M492" s="63"/>
      <c r="N492" s="63"/>
      <c r="O492" s="63"/>
      <c r="P492" s="63"/>
      <c r="Q492" s="63"/>
      <c r="R492" s="63"/>
      <c r="S492" s="63"/>
      <c r="T492" s="63"/>
      <c r="U492" s="63"/>
      <c r="V492" s="63"/>
      <c r="W492" s="63"/>
    </row>
    <row r="493" spans="1:23" ht="12.75">
      <c r="A493" s="216"/>
      <c r="B493" s="217"/>
      <c r="C493" s="47"/>
      <c r="D493" s="47"/>
      <c r="E493" s="121"/>
      <c r="F493" s="47"/>
      <c r="G493" s="63"/>
      <c r="H493" s="47"/>
      <c r="I493" s="47"/>
      <c r="J493" s="63"/>
      <c r="K493" s="63"/>
      <c r="L493" s="63"/>
      <c r="M493" s="63"/>
      <c r="N493" s="63"/>
      <c r="O493" s="63"/>
      <c r="P493" s="63"/>
      <c r="Q493" s="63"/>
      <c r="R493" s="63"/>
      <c r="S493" s="63"/>
      <c r="T493" s="63"/>
      <c r="U493" s="63"/>
      <c r="V493" s="63"/>
      <c r="W493" s="63"/>
    </row>
    <row r="494" spans="1:23" ht="12.75">
      <c r="A494" s="216"/>
      <c r="B494" s="217"/>
      <c r="C494" s="47"/>
      <c r="D494" s="47"/>
      <c r="E494" s="121"/>
      <c r="F494" s="47"/>
      <c r="G494" s="63"/>
      <c r="H494" s="47"/>
      <c r="I494" s="47"/>
      <c r="J494" s="63"/>
      <c r="K494" s="63"/>
      <c r="L494" s="63"/>
      <c r="M494" s="63"/>
      <c r="N494" s="63"/>
      <c r="O494" s="63"/>
      <c r="P494" s="63"/>
      <c r="Q494" s="63"/>
      <c r="R494" s="63"/>
      <c r="S494" s="63"/>
      <c r="T494" s="63"/>
      <c r="U494" s="63"/>
      <c r="V494" s="63"/>
      <c r="W494" s="63"/>
    </row>
    <row r="495" spans="1:23" ht="12.75">
      <c r="A495" s="216"/>
      <c r="B495" s="217"/>
      <c r="C495" s="47"/>
      <c r="D495" s="47"/>
      <c r="E495" s="121"/>
      <c r="F495" s="47"/>
      <c r="G495" s="63"/>
      <c r="H495" s="47"/>
      <c r="I495" s="47"/>
      <c r="J495" s="63"/>
      <c r="K495" s="63"/>
      <c r="L495" s="63"/>
      <c r="M495" s="63"/>
      <c r="N495" s="63"/>
      <c r="O495" s="63"/>
      <c r="P495" s="63"/>
      <c r="Q495" s="63"/>
      <c r="R495" s="63"/>
      <c r="S495" s="63"/>
      <c r="T495" s="63"/>
      <c r="U495" s="63"/>
      <c r="V495" s="63"/>
      <c r="W495" s="63"/>
    </row>
    <row r="496" spans="1:23" ht="12.75">
      <c r="A496" s="216"/>
      <c r="B496" s="217"/>
      <c r="C496" s="47"/>
      <c r="D496" s="47"/>
      <c r="E496" s="121"/>
      <c r="F496" s="47"/>
      <c r="G496" s="63"/>
      <c r="H496" s="47"/>
      <c r="I496" s="47"/>
      <c r="J496" s="63"/>
      <c r="K496" s="63"/>
      <c r="L496" s="63"/>
      <c r="M496" s="63"/>
      <c r="N496" s="63"/>
      <c r="O496" s="63"/>
      <c r="P496" s="63"/>
      <c r="Q496" s="63"/>
      <c r="R496" s="63"/>
      <c r="S496" s="63"/>
      <c r="T496" s="63"/>
      <c r="U496" s="63"/>
      <c r="V496" s="63"/>
      <c r="W496" s="63"/>
    </row>
    <row r="497" spans="1:23" ht="12.75">
      <c r="A497" s="216"/>
      <c r="B497" s="217"/>
      <c r="C497" s="47"/>
      <c r="D497" s="47"/>
      <c r="E497" s="121"/>
      <c r="F497" s="47"/>
      <c r="G497" s="63"/>
      <c r="H497" s="47"/>
      <c r="I497" s="47"/>
      <c r="J497" s="63"/>
      <c r="K497" s="63"/>
      <c r="L497" s="63"/>
      <c r="M497" s="63"/>
      <c r="N497" s="63"/>
      <c r="O497" s="63"/>
      <c r="P497" s="63"/>
      <c r="Q497" s="63"/>
      <c r="R497" s="63"/>
      <c r="S497" s="63"/>
      <c r="T497" s="63"/>
      <c r="U497" s="63"/>
      <c r="V497" s="63"/>
      <c r="W497" s="63"/>
    </row>
    <row r="498" spans="1:23" ht="12.75">
      <c r="A498" s="216"/>
      <c r="B498" s="217"/>
      <c r="C498" s="47"/>
      <c r="D498" s="47"/>
      <c r="E498" s="121"/>
      <c r="F498" s="47"/>
      <c r="G498" s="63"/>
      <c r="H498" s="47"/>
      <c r="I498" s="47"/>
      <c r="J498" s="63"/>
      <c r="K498" s="63"/>
      <c r="L498" s="63"/>
      <c r="M498" s="63"/>
      <c r="N498" s="63"/>
      <c r="O498" s="63"/>
      <c r="P498" s="63"/>
      <c r="Q498" s="63"/>
      <c r="R498" s="63"/>
      <c r="S498" s="63"/>
      <c r="T498" s="63"/>
      <c r="U498" s="63"/>
      <c r="V498" s="63"/>
      <c r="W498" s="63"/>
    </row>
    <row r="499" spans="1:23" ht="12.75">
      <c r="A499" s="216"/>
      <c r="B499" s="217"/>
      <c r="C499" s="47"/>
      <c r="D499" s="47"/>
      <c r="E499" s="121"/>
      <c r="F499" s="47"/>
      <c r="G499" s="63"/>
      <c r="H499" s="47"/>
      <c r="I499" s="47"/>
      <c r="J499" s="63"/>
      <c r="K499" s="63"/>
      <c r="L499" s="63"/>
      <c r="M499" s="63"/>
      <c r="N499" s="63"/>
      <c r="O499" s="63"/>
      <c r="P499" s="63"/>
      <c r="Q499" s="63"/>
      <c r="R499" s="63"/>
      <c r="S499" s="63"/>
      <c r="T499" s="63"/>
      <c r="U499" s="63"/>
      <c r="V499" s="63"/>
      <c r="W499" s="63"/>
    </row>
    <row r="500" spans="1:23" ht="12.75">
      <c r="A500" s="216"/>
      <c r="B500" s="217"/>
      <c r="C500" s="47"/>
      <c r="D500" s="47"/>
      <c r="E500" s="121"/>
      <c r="F500" s="47"/>
      <c r="G500" s="63"/>
      <c r="H500" s="47"/>
      <c r="I500" s="47"/>
      <c r="J500" s="63"/>
      <c r="K500" s="63"/>
      <c r="L500" s="63"/>
      <c r="M500" s="63"/>
      <c r="N500" s="63"/>
      <c r="O500" s="63"/>
      <c r="P500" s="63"/>
      <c r="Q500" s="63"/>
      <c r="R500" s="63"/>
      <c r="S500" s="63"/>
      <c r="T500" s="63"/>
      <c r="U500" s="63"/>
      <c r="V500" s="63"/>
      <c r="W500" s="63"/>
    </row>
    <row r="501" spans="1:23" ht="12.75">
      <c r="A501" s="216"/>
      <c r="B501" s="217"/>
      <c r="C501" s="47"/>
      <c r="D501" s="47"/>
      <c r="E501" s="121"/>
      <c r="F501" s="47"/>
      <c r="G501" s="63"/>
      <c r="H501" s="47"/>
      <c r="I501" s="47"/>
      <c r="J501" s="63"/>
      <c r="K501" s="63"/>
      <c r="L501" s="63"/>
      <c r="M501" s="63"/>
      <c r="N501" s="63"/>
      <c r="O501" s="63"/>
      <c r="P501" s="63"/>
      <c r="Q501" s="63"/>
      <c r="R501" s="63"/>
      <c r="S501" s="63"/>
      <c r="T501" s="63"/>
      <c r="U501" s="63"/>
      <c r="V501" s="63"/>
      <c r="W501" s="63"/>
    </row>
    <row r="502" spans="1:23" ht="12.75">
      <c r="A502" s="216"/>
      <c r="B502" s="217"/>
      <c r="C502" s="47"/>
      <c r="D502" s="47"/>
      <c r="E502" s="121"/>
      <c r="F502" s="47"/>
      <c r="G502" s="63"/>
      <c r="H502" s="47"/>
      <c r="I502" s="47"/>
      <c r="J502" s="63"/>
      <c r="K502" s="63"/>
      <c r="L502" s="63"/>
      <c r="M502" s="63"/>
      <c r="N502" s="63"/>
      <c r="O502" s="63"/>
      <c r="P502" s="63"/>
      <c r="Q502" s="63"/>
      <c r="R502" s="63"/>
      <c r="S502" s="63"/>
      <c r="T502" s="63"/>
      <c r="U502" s="63"/>
      <c r="V502" s="63"/>
      <c r="W502" s="63"/>
    </row>
    <row r="503" spans="1:23" ht="12.75">
      <c r="A503" s="216"/>
      <c r="B503" s="217"/>
      <c r="C503" s="47"/>
      <c r="D503" s="47"/>
      <c r="E503" s="121"/>
      <c r="F503" s="47"/>
      <c r="G503" s="63"/>
      <c r="H503" s="47"/>
      <c r="I503" s="47"/>
      <c r="J503" s="63"/>
      <c r="K503" s="63"/>
      <c r="L503" s="63"/>
      <c r="M503" s="63"/>
      <c r="N503" s="63"/>
      <c r="O503" s="63"/>
      <c r="P503" s="63"/>
      <c r="Q503" s="63"/>
      <c r="R503" s="63"/>
      <c r="S503" s="63"/>
      <c r="T503" s="63"/>
      <c r="U503" s="63"/>
      <c r="V503" s="63"/>
      <c r="W503" s="63"/>
    </row>
    <row r="504" spans="1:23" ht="12.75">
      <c r="A504" s="216"/>
      <c r="B504" s="217"/>
      <c r="C504" s="47"/>
      <c r="D504" s="47"/>
      <c r="E504" s="121"/>
      <c r="F504" s="47"/>
      <c r="G504" s="63"/>
      <c r="H504" s="47"/>
      <c r="I504" s="47"/>
      <c r="J504" s="63"/>
      <c r="K504" s="63"/>
      <c r="L504" s="63"/>
      <c r="M504" s="63"/>
      <c r="N504" s="63"/>
      <c r="O504" s="63"/>
      <c r="P504" s="63"/>
      <c r="Q504" s="63"/>
      <c r="R504" s="63"/>
      <c r="S504" s="63"/>
      <c r="T504" s="63"/>
      <c r="U504" s="63"/>
      <c r="V504" s="63"/>
      <c r="W504" s="63"/>
    </row>
    <row r="505" spans="1:23" ht="12.75">
      <c r="A505" s="216"/>
      <c r="B505" s="217"/>
      <c r="C505" s="47"/>
      <c r="D505" s="47"/>
      <c r="E505" s="121"/>
      <c r="F505" s="47"/>
      <c r="G505" s="63"/>
      <c r="H505" s="47"/>
      <c r="I505" s="47"/>
      <c r="J505" s="63"/>
      <c r="K505" s="63"/>
      <c r="L505" s="63"/>
      <c r="M505" s="63"/>
      <c r="N505" s="63"/>
      <c r="O505" s="63"/>
      <c r="P505" s="63"/>
      <c r="Q505" s="63"/>
      <c r="R505" s="63"/>
      <c r="S505" s="63"/>
      <c r="T505" s="63"/>
      <c r="U505" s="63"/>
      <c r="V505" s="63"/>
      <c r="W505" s="63"/>
    </row>
    <row r="506" spans="1:23" ht="12.75">
      <c r="A506" s="216"/>
      <c r="B506" s="217"/>
      <c r="C506" s="47"/>
      <c r="D506" s="47"/>
      <c r="E506" s="121"/>
      <c r="F506" s="47"/>
      <c r="G506" s="63"/>
      <c r="H506" s="47"/>
      <c r="I506" s="47"/>
      <c r="J506" s="63"/>
      <c r="K506" s="63"/>
      <c r="L506" s="63"/>
      <c r="M506" s="63"/>
      <c r="N506" s="63"/>
      <c r="O506" s="63"/>
      <c r="P506" s="63"/>
      <c r="Q506" s="63"/>
      <c r="R506" s="63"/>
      <c r="S506" s="63"/>
      <c r="T506" s="63"/>
      <c r="U506" s="63"/>
      <c r="V506" s="63"/>
      <c r="W506" s="63"/>
    </row>
    <row r="507" spans="1:23" ht="12.75">
      <c r="A507" s="216"/>
      <c r="B507" s="217"/>
      <c r="C507" s="47"/>
      <c r="D507" s="47"/>
      <c r="E507" s="121"/>
      <c r="F507" s="47"/>
      <c r="G507" s="63"/>
      <c r="H507" s="47"/>
      <c r="I507" s="47"/>
      <c r="J507" s="63"/>
      <c r="K507" s="63"/>
      <c r="L507" s="63"/>
      <c r="M507" s="63"/>
      <c r="N507" s="63"/>
      <c r="O507" s="63"/>
      <c r="P507" s="63"/>
      <c r="Q507" s="63"/>
      <c r="R507" s="63"/>
      <c r="S507" s="63"/>
      <c r="T507" s="63"/>
      <c r="U507" s="63"/>
      <c r="V507" s="63"/>
      <c r="W507" s="63"/>
    </row>
    <row r="508" spans="1:23" ht="12.75">
      <c r="A508" s="216"/>
      <c r="B508" s="217"/>
      <c r="C508" s="47"/>
      <c r="D508" s="47"/>
      <c r="E508" s="121"/>
      <c r="F508" s="47"/>
      <c r="G508" s="63"/>
      <c r="H508" s="47"/>
      <c r="I508" s="47"/>
      <c r="J508" s="63"/>
      <c r="K508" s="63"/>
      <c r="L508" s="63"/>
      <c r="M508" s="63"/>
      <c r="N508" s="63"/>
      <c r="O508" s="63"/>
      <c r="P508" s="63"/>
      <c r="Q508" s="63"/>
      <c r="R508" s="63"/>
      <c r="S508" s="63"/>
      <c r="T508" s="63"/>
      <c r="U508" s="63"/>
      <c r="V508" s="63"/>
      <c r="W508" s="63"/>
    </row>
    <row r="509" spans="1:23" ht="12.75">
      <c r="A509" s="216"/>
      <c r="B509" s="217"/>
      <c r="C509" s="47"/>
      <c r="D509" s="47"/>
      <c r="E509" s="121"/>
      <c r="F509" s="47"/>
      <c r="G509" s="63"/>
      <c r="H509" s="47"/>
      <c r="I509" s="47"/>
      <c r="J509" s="63"/>
      <c r="K509" s="63"/>
      <c r="L509" s="63"/>
      <c r="M509" s="63"/>
      <c r="N509" s="63"/>
      <c r="O509" s="63"/>
      <c r="P509" s="63"/>
      <c r="Q509" s="63"/>
      <c r="R509" s="63"/>
      <c r="S509" s="63"/>
      <c r="T509" s="63"/>
      <c r="U509" s="63"/>
      <c r="V509" s="63"/>
      <c r="W509" s="63"/>
    </row>
    <row r="510" spans="1:23" ht="12.75">
      <c r="A510" s="216"/>
      <c r="B510" s="217"/>
      <c r="C510" s="47"/>
      <c r="D510" s="47"/>
      <c r="E510" s="121"/>
      <c r="F510" s="47"/>
      <c r="G510" s="63"/>
      <c r="H510" s="47"/>
      <c r="I510" s="47"/>
      <c r="J510" s="63"/>
      <c r="K510" s="63"/>
      <c r="L510" s="63"/>
      <c r="M510" s="63"/>
      <c r="N510" s="63"/>
      <c r="O510" s="63"/>
      <c r="P510" s="63"/>
      <c r="Q510" s="63"/>
      <c r="R510" s="63"/>
      <c r="S510" s="63"/>
      <c r="T510" s="63"/>
      <c r="U510" s="63"/>
      <c r="V510" s="63"/>
      <c r="W510" s="63"/>
    </row>
    <row r="511" spans="1:23" ht="12.75">
      <c r="A511" s="216"/>
      <c r="B511" s="217"/>
      <c r="C511" s="47"/>
      <c r="D511" s="47"/>
      <c r="E511" s="121"/>
      <c r="F511" s="47"/>
      <c r="G511" s="63"/>
      <c r="H511" s="47"/>
      <c r="I511" s="47"/>
      <c r="J511" s="63"/>
      <c r="K511" s="63"/>
      <c r="L511" s="63"/>
      <c r="M511" s="63"/>
      <c r="N511" s="63"/>
      <c r="O511" s="63"/>
      <c r="P511" s="63"/>
      <c r="Q511" s="63"/>
      <c r="R511" s="63"/>
      <c r="S511" s="63"/>
      <c r="T511" s="63"/>
      <c r="U511" s="63"/>
      <c r="V511" s="63"/>
      <c r="W511" s="63"/>
    </row>
    <row r="512" spans="1:23" ht="12.75">
      <c r="A512" s="216"/>
      <c r="B512" s="217"/>
      <c r="C512" s="47"/>
      <c r="D512" s="47"/>
      <c r="E512" s="121"/>
      <c r="F512" s="47"/>
      <c r="G512" s="63"/>
      <c r="H512" s="47"/>
      <c r="I512" s="47"/>
      <c r="J512" s="63"/>
      <c r="K512" s="63"/>
      <c r="L512" s="63"/>
      <c r="M512" s="63"/>
      <c r="N512" s="63"/>
      <c r="O512" s="63"/>
      <c r="P512" s="63"/>
      <c r="Q512" s="63"/>
      <c r="R512" s="63"/>
      <c r="S512" s="63"/>
      <c r="T512" s="63"/>
      <c r="U512" s="63"/>
      <c r="V512" s="63"/>
      <c r="W512" s="63"/>
    </row>
    <row r="513" spans="1:23" ht="12.75">
      <c r="A513" s="216"/>
      <c r="B513" s="217"/>
      <c r="C513" s="47"/>
      <c r="D513" s="47"/>
      <c r="E513" s="121"/>
      <c r="F513" s="47"/>
      <c r="G513" s="63"/>
      <c r="H513" s="47"/>
      <c r="I513" s="47"/>
      <c r="J513" s="63"/>
      <c r="K513" s="63"/>
      <c r="L513" s="63"/>
      <c r="M513" s="63"/>
      <c r="N513" s="63"/>
      <c r="O513" s="63"/>
      <c r="P513" s="63"/>
      <c r="Q513" s="63"/>
      <c r="R513" s="63"/>
      <c r="S513" s="63"/>
      <c r="T513" s="63"/>
      <c r="U513" s="63"/>
      <c r="V513" s="63"/>
      <c r="W513" s="63"/>
    </row>
    <row r="514" spans="1:23" ht="12.75">
      <c r="A514" s="216"/>
      <c r="B514" s="217"/>
      <c r="C514" s="47"/>
      <c r="D514" s="47"/>
      <c r="E514" s="121"/>
      <c r="F514" s="47"/>
      <c r="G514" s="63"/>
      <c r="H514" s="47"/>
      <c r="I514" s="47"/>
      <c r="J514" s="63"/>
      <c r="K514" s="63"/>
      <c r="L514" s="63"/>
      <c r="M514" s="63"/>
      <c r="N514" s="63"/>
      <c r="O514" s="63"/>
      <c r="P514" s="63"/>
      <c r="Q514" s="63"/>
      <c r="R514" s="63"/>
      <c r="S514" s="63"/>
      <c r="T514" s="63"/>
      <c r="U514" s="63"/>
      <c r="V514" s="63"/>
      <c r="W514" s="63"/>
    </row>
    <row r="515" spans="1:23" ht="12.75">
      <c r="A515" s="216"/>
      <c r="B515" s="217"/>
      <c r="C515" s="47"/>
      <c r="D515" s="47"/>
      <c r="E515" s="121"/>
      <c r="F515" s="47"/>
      <c r="G515" s="63"/>
      <c r="H515" s="47"/>
      <c r="I515" s="47"/>
      <c r="J515" s="63"/>
      <c r="K515" s="63"/>
      <c r="L515" s="63"/>
      <c r="M515" s="63"/>
      <c r="N515" s="63"/>
      <c r="O515" s="63"/>
      <c r="P515" s="63"/>
      <c r="Q515" s="63"/>
      <c r="R515" s="63"/>
      <c r="S515" s="63"/>
      <c r="T515" s="63"/>
      <c r="U515" s="63"/>
      <c r="V515" s="63"/>
      <c r="W515" s="63"/>
    </row>
    <row r="516" spans="1:23" ht="12.75">
      <c r="A516" s="216"/>
      <c r="B516" s="217"/>
      <c r="C516" s="47"/>
      <c r="D516" s="47"/>
      <c r="E516" s="121"/>
      <c r="F516" s="47"/>
      <c r="G516" s="63"/>
      <c r="H516" s="47"/>
      <c r="I516" s="47"/>
      <c r="J516" s="63"/>
      <c r="K516" s="63"/>
      <c r="L516" s="63"/>
      <c r="M516" s="63"/>
      <c r="N516" s="63"/>
      <c r="O516" s="63"/>
      <c r="P516" s="63"/>
      <c r="Q516" s="63"/>
      <c r="R516" s="63"/>
      <c r="S516" s="63"/>
      <c r="T516" s="63"/>
      <c r="U516" s="63"/>
      <c r="V516" s="63"/>
      <c r="W516" s="63"/>
    </row>
    <row r="517" spans="1:23" ht="12.75">
      <c r="A517" s="216"/>
      <c r="B517" s="217"/>
      <c r="C517" s="47"/>
      <c r="D517" s="47"/>
      <c r="E517" s="121"/>
      <c r="F517" s="47"/>
      <c r="G517" s="63"/>
      <c r="H517" s="47"/>
      <c r="I517" s="47"/>
      <c r="J517" s="63"/>
      <c r="K517" s="63"/>
      <c r="L517" s="63"/>
      <c r="M517" s="63"/>
      <c r="N517" s="63"/>
      <c r="O517" s="63"/>
      <c r="P517" s="63"/>
      <c r="Q517" s="63"/>
      <c r="R517" s="63"/>
      <c r="S517" s="63"/>
      <c r="T517" s="63"/>
      <c r="U517" s="63"/>
      <c r="V517" s="63"/>
      <c r="W517" s="63"/>
    </row>
    <row r="518" spans="1:23" ht="12.75">
      <c r="A518" s="216"/>
      <c r="B518" s="217"/>
      <c r="C518" s="47"/>
      <c r="D518" s="47"/>
      <c r="E518" s="121"/>
      <c r="F518" s="47"/>
      <c r="G518" s="63"/>
      <c r="H518" s="47"/>
      <c r="I518" s="47"/>
      <c r="J518" s="63"/>
      <c r="K518" s="63"/>
      <c r="L518" s="63"/>
      <c r="M518" s="63"/>
      <c r="N518" s="63"/>
      <c r="O518" s="63"/>
      <c r="P518" s="63"/>
      <c r="Q518" s="63"/>
      <c r="R518" s="63"/>
      <c r="S518" s="63"/>
      <c r="T518" s="63"/>
      <c r="U518" s="63"/>
      <c r="V518" s="63"/>
      <c r="W518" s="63"/>
    </row>
    <row r="519" spans="1:23" ht="12.75">
      <c r="A519" s="216"/>
      <c r="B519" s="217"/>
      <c r="C519" s="47"/>
      <c r="D519" s="47"/>
      <c r="E519" s="121"/>
      <c r="F519" s="47"/>
      <c r="G519" s="63"/>
      <c r="H519" s="47"/>
      <c r="I519" s="47"/>
      <c r="J519" s="63"/>
      <c r="K519" s="63"/>
      <c r="L519" s="63"/>
      <c r="M519" s="63"/>
      <c r="N519" s="63"/>
      <c r="O519" s="63"/>
      <c r="P519" s="63"/>
      <c r="Q519" s="63"/>
      <c r="R519" s="63"/>
      <c r="S519" s="63"/>
      <c r="T519" s="63"/>
      <c r="U519" s="63"/>
      <c r="V519" s="63"/>
      <c r="W519" s="63"/>
    </row>
    <row r="520" spans="1:23" ht="12.75">
      <c r="A520" s="216"/>
      <c r="B520" s="217"/>
      <c r="C520" s="47"/>
      <c r="D520" s="47"/>
      <c r="E520" s="121"/>
      <c r="F520" s="47"/>
      <c r="G520" s="63"/>
      <c r="H520" s="47"/>
      <c r="I520" s="47"/>
      <c r="J520" s="63"/>
      <c r="K520" s="63"/>
      <c r="L520" s="63"/>
      <c r="M520" s="63"/>
      <c r="N520" s="63"/>
      <c r="O520" s="63"/>
      <c r="P520" s="63"/>
      <c r="Q520" s="63"/>
      <c r="R520" s="63"/>
      <c r="S520" s="63"/>
      <c r="T520" s="63"/>
      <c r="U520" s="63"/>
      <c r="V520" s="63"/>
      <c r="W520" s="63"/>
    </row>
    <row r="521" spans="1:23" ht="12.75">
      <c r="A521" s="216"/>
      <c r="B521" s="217"/>
      <c r="C521" s="47"/>
      <c r="D521" s="47"/>
      <c r="E521" s="121"/>
      <c r="F521" s="47"/>
      <c r="G521" s="63"/>
      <c r="H521" s="47"/>
      <c r="I521" s="47"/>
      <c r="J521" s="63"/>
      <c r="K521" s="63"/>
      <c r="L521" s="63"/>
      <c r="M521" s="63"/>
      <c r="N521" s="63"/>
      <c r="O521" s="63"/>
      <c r="P521" s="63"/>
      <c r="Q521" s="63"/>
      <c r="R521" s="63"/>
      <c r="S521" s="63"/>
      <c r="T521" s="63"/>
      <c r="U521" s="63"/>
      <c r="V521" s="63"/>
      <c r="W521" s="63"/>
    </row>
    <row r="522" spans="1:23" ht="12.75">
      <c r="A522" s="216"/>
      <c r="B522" s="217"/>
      <c r="C522" s="47"/>
      <c r="D522" s="47"/>
      <c r="E522" s="121"/>
      <c r="F522" s="47"/>
      <c r="G522" s="63"/>
      <c r="H522" s="47"/>
      <c r="I522" s="47"/>
      <c r="J522" s="63"/>
      <c r="K522" s="63"/>
      <c r="L522" s="63"/>
      <c r="M522" s="63"/>
      <c r="N522" s="63"/>
      <c r="O522" s="63"/>
      <c r="P522" s="63"/>
      <c r="Q522" s="63"/>
      <c r="R522" s="63"/>
      <c r="S522" s="63"/>
      <c r="T522" s="63"/>
      <c r="U522" s="63"/>
      <c r="V522" s="63"/>
      <c r="W522" s="63"/>
    </row>
    <row r="523" spans="1:23" ht="12.75">
      <c r="A523" s="216"/>
      <c r="B523" s="217"/>
      <c r="C523" s="47"/>
      <c r="D523" s="47"/>
      <c r="E523" s="121"/>
      <c r="F523" s="47"/>
      <c r="G523" s="63"/>
      <c r="H523" s="47"/>
      <c r="I523" s="47"/>
      <c r="J523" s="63"/>
      <c r="K523" s="63"/>
      <c r="L523" s="63"/>
      <c r="M523" s="63"/>
      <c r="N523" s="63"/>
      <c r="O523" s="63"/>
      <c r="P523" s="63"/>
      <c r="Q523" s="63"/>
      <c r="R523" s="63"/>
      <c r="S523" s="63"/>
      <c r="T523" s="63"/>
      <c r="U523" s="63"/>
      <c r="V523" s="63"/>
      <c r="W523" s="63"/>
    </row>
    <row r="524" spans="1:23" ht="12.75">
      <c r="A524" s="216"/>
      <c r="B524" s="217"/>
      <c r="C524" s="47"/>
      <c r="D524" s="47"/>
      <c r="E524" s="121"/>
      <c r="F524" s="47"/>
      <c r="G524" s="63"/>
      <c r="H524" s="47"/>
      <c r="I524" s="47"/>
      <c r="J524" s="63"/>
      <c r="K524" s="63"/>
      <c r="L524" s="63"/>
      <c r="M524" s="63"/>
      <c r="N524" s="63"/>
      <c r="O524" s="63"/>
      <c r="P524" s="63"/>
      <c r="Q524" s="63"/>
      <c r="R524" s="63"/>
      <c r="S524" s="63"/>
      <c r="T524" s="63"/>
      <c r="U524" s="63"/>
      <c r="V524" s="63"/>
      <c r="W524" s="63"/>
    </row>
    <row r="525" spans="1:23" ht="12.75">
      <c r="A525" s="216"/>
      <c r="B525" s="217"/>
      <c r="C525" s="47"/>
      <c r="D525" s="47"/>
      <c r="E525" s="121"/>
      <c r="F525" s="47"/>
      <c r="G525" s="63"/>
      <c r="H525" s="47"/>
      <c r="I525" s="47"/>
      <c r="J525" s="63"/>
      <c r="K525" s="63"/>
      <c r="L525" s="63"/>
      <c r="M525" s="63"/>
      <c r="N525" s="63"/>
      <c r="O525" s="63"/>
      <c r="P525" s="63"/>
      <c r="Q525" s="63"/>
      <c r="R525" s="63"/>
      <c r="S525" s="63"/>
      <c r="T525" s="63"/>
      <c r="U525" s="63"/>
      <c r="V525" s="63"/>
      <c r="W525" s="63"/>
    </row>
    <row r="526" spans="1:23" ht="12.75">
      <c r="A526" s="216"/>
      <c r="B526" s="217"/>
      <c r="C526" s="47"/>
      <c r="D526" s="47"/>
      <c r="E526" s="121"/>
      <c r="F526" s="47"/>
      <c r="G526" s="63"/>
      <c r="H526" s="47"/>
      <c r="I526" s="47"/>
      <c r="J526" s="63"/>
      <c r="K526" s="63"/>
      <c r="L526" s="63"/>
      <c r="M526" s="63"/>
      <c r="N526" s="63"/>
      <c r="O526" s="63"/>
      <c r="P526" s="63"/>
      <c r="Q526" s="63"/>
      <c r="R526" s="63"/>
      <c r="S526" s="63"/>
      <c r="T526" s="63"/>
      <c r="U526" s="63"/>
      <c r="V526" s="63"/>
      <c r="W526" s="63"/>
    </row>
    <row r="527" spans="1:23" ht="12.75">
      <c r="A527" s="216"/>
      <c r="B527" s="217"/>
      <c r="C527" s="47"/>
      <c r="D527" s="47"/>
      <c r="E527" s="121"/>
      <c r="F527" s="47"/>
      <c r="G527" s="63"/>
      <c r="H527" s="47"/>
      <c r="I527" s="47"/>
      <c r="J527" s="63"/>
      <c r="K527" s="63"/>
      <c r="L527" s="63"/>
      <c r="M527" s="63"/>
      <c r="N527" s="63"/>
      <c r="O527" s="63"/>
      <c r="P527" s="63"/>
      <c r="Q527" s="63"/>
      <c r="R527" s="63"/>
      <c r="S527" s="63"/>
      <c r="T527" s="63"/>
      <c r="U527" s="63"/>
      <c r="V527" s="63"/>
      <c r="W527" s="63"/>
    </row>
    <row r="528" spans="1:23" ht="12.75">
      <c r="A528" s="216"/>
      <c r="B528" s="217"/>
      <c r="C528" s="47"/>
      <c r="D528" s="47"/>
      <c r="E528" s="121"/>
      <c r="F528" s="47"/>
      <c r="G528" s="63"/>
      <c r="H528" s="47"/>
      <c r="I528" s="47"/>
      <c r="J528" s="63"/>
      <c r="K528" s="63"/>
      <c r="L528" s="63"/>
      <c r="M528" s="63"/>
      <c r="N528" s="63"/>
      <c r="O528" s="63"/>
      <c r="P528" s="63"/>
      <c r="Q528" s="63"/>
      <c r="R528" s="63"/>
      <c r="S528" s="63"/>
      <c r="T528" s="63"/>
      <c r="U528" s="63"/>
      <c r="V528" s="63"/>
      <c r="W528" s="63"/>
    </row>
    <row r="529" spans="1:23" ht="12.75">
      <c r="A529" s="216"/>
      <c r="B529" s="217"/>
      <c r="C529" s="47"/>
      <c r="D529" s="47"/>
      <c r="E529" s="121"/>
      <c r="F529" s="47"/>
      <c r="G529" s="63"/>
      <c r="H529" s="47"/>
      <c r="I529" s="47"/>
      <c r="J529" s="63"/>
      <c r="K529" s="63"/>
      <c r="L529" s="63"/>
      <c r="M529" s="63"/>
      <c r="N529" s="63"/>
      <c r="O529" s="63"/>
      <c r="P529" s="63"/>
      <c r="Q529" s="63"/>
      <c r="R529" s="63"/>
      <c r="S529" s="63"/>
      <c r="T529" s="63"/>
      <c r="U529" s="63"/>
      <c r="V529" s="63"/>
      <c r="W529" s="63"/>
    </row>
    <row r="530" spans="1:23" ht="12.75">
      <c r="A530" s="216"/>
      <c r="B530" s="217"/>
      <c r="C530" s="47"/>
      <c r="D530" s="47"/>
      <c r="E530" s="121"/>
      <c r="F530" s="47"/>
      <c r="G530" s="63"/>
      <c r="H530" s="47"/>
      <c r="I530" s="47"/>
      <c r="J530" s="63"/>
      <c r="K530" s="63"/>
      <c r="L530" s="63"/>
      <c r="M530" s="63"/>
      <c r="N530" s="63"/>
      <c r="O530" s="63"/>
      <c r="P530" s="63"/>
      <c r="Q530" s="63"/>
      <c r="R530" s="63"/>
      <c r="S530" s="63"/>
      <c r="T530" s="63"/>
      <c r="U530" s="63"/>
      <c r="V530" s="63"/>
      <c r="W530" s="63"/>
    </row>
    <row r="531" spans="1:23" ht="12.75">
      <c r="A531" s="216"/>
      <c r="B531" s="217"/>
      <c r="C531" s="47"/>
      <c r="D531" s="47"/>
      <c r="E531" s="121"/>
      <c r="F531" s="47"/>
      <c r="G531" s="63"/>
      <c r="H531" s="47"/>
      <c r="I531" s="47"/>
      <c r="J531" s="63"/>
      <c r="K531" s="63"/>
      <c r="L531" s="63"/>
      <c r="M531" s="63"/>
      <c r="N531" s="63"/>
      <c r="O531" s="63"/>
      <c r="P531" s="63"/>
      <c r="Q531" s="63"/>
      <c r="R531" s="63"/>
      <c r="S531" s="63"/>
      <c r="T531" s="63"/>
      <c r="U531" s="63"/>
      <c r="V531" s="63"/>
      <c r="W531" s="63"/>
    </row>
    <row r="532" spans="1:23" ht="12.75">
      <c r="A532" s="216"/>
      <c r="B532" s="217"/>
      <c r="C532" s="47"/>
      <c r="D532" s="47"/>
      <c r="E532" s="121"/>
      <c r="F532" s="47"/>
      <c r="G532" s="63"/>
      <c r="H532" s="47"/>
      <c r="I532" s="47"/>
      <c r="J532" s="63"/>
      <c r="K532" s="63"/>
      <c r="L532" s="63"/>
      <c r="M532" s="63"/>
      <c r="N532" s="63"/>
      <c r="O532" s="63"/>
      <c r="P532" s="63"/>
      <c r="Q532" s="63"/>
      <c r="R532" s="63"/>
      <c r="S532" s="63"/>
      <c r="T532" s="63"/>
      <c r="U532" s="63"/>
      <c r="V532" s="63"/>
      <c r="W532" s="63"/>
    </row>
    <row r="533" spans="1:23" ht="12.75">
      <c r="A533" s="216"/>
      <c r="B533" s="217"/>
      <c r="C533" s="47"/>
      <c r="D533" s="47"/>
      <c r="E533" s="121"/>
      <c r="F533" s="47"/>
      <c r="G533" s="63"/>
      <c r="H533" s="47"/>
      <c r="I533" s="47"/>
      <c r="J533" s="63"/>
      <c r="K533" s="63"/>
      <c r="L533" s="63"/>
      <c r="M533" s="63"/>
      <c r="N533" s="63"/>
      <c r="O533" s="63"/>
      <c r="P533" s="63"/>
      <c r="Q533" s="63"/>
      <c r="R533" s="63"/>
      <c r="S533" s="63"/>
      <c r="T533" s="63"/>
      <c r="U533" s="63"/>
      <c r="V533" s="63"/>
      <c r="W533" s="63"/>
    </row>
    <row r="534" spans="1:23" ht="12.75">
      <c r="A534" s="216"/>
      <c r="B534" s="217"/>
      <c r="C534" s="47"/>
      <c r="D534" s="47"/>
      <c r="E534" s="121"/>
      <c r="F534" s="47"/>
      <c r="G534" s="63"/>
      <c r="H534" s="47"/>
      <c r="I534" s="47"/>
      <c r="J534" s="63"/>
      <c r="K534" s="63"/>
      <c r="L534" s="63"/>
      <c r="M534" s="63"/>
      <c r="N534" s="63"/>
      <c r="O534" s="63"/>
      <c r="P534" s="63"/>
      <c r="Q534" s="63"/>
      <c r="R534" s="63"/>
      <c r="S534" s="63"/>
      <c r="T534" s="63"/>
      <c r="U534" s="63"/>
      <c r="V534" s="63"/>
      <c r="W534" s="63"/>
    </row>
    <row r="535" spans="1:23" ht="12.75">
      <c r="A535" s="216"/>
      <c r="B535" s="217"/>
      <c r="C535" s="47"/>
      <c r="D535" s="47"/>
      <c r="E535" s="121"/>
      <c r="F535" s="47"/>
      <c r="G535" s="63"/>
      <c r="H535" s="47"/>
      <c r="I535" s="47"/>
      <c r="J535" s="63"/>
      <c r="K535" s="63"/>
      <c r="L535" s="63"/>
      <c r="M535" s="63"/>
      <c r="N535" s="63"/>
      <c r="O535" s="63"/>
      <c r="P535" s="63"/>
      <c r="Q535" s="63"/>
      <c r="R535" s="63"/>
      <c r="S535" s="63"/>
      <c r="T535" s="63"/>
      <c r="U535" s="63"/>
      <c r="V535" s="63"/>
      <c r="W535" s="63"/>
    </row>
    <row r="536" spans="1:23" ht="12.75">
      <c r="A536" s="216"/>
      <c r="B536" s="217"/>
      <c r="C536" s="47"/>
      <c r="D536" s="47"/>
      <c r="E536" s="121"/>
      <c r="F536" s="47"/>
      <c r="G536" s="63"/>
      <c r="H536" s="47"/>
      <c r="I536" s="47"/>
      <c r="J536" s="63"/>
      <c r="K536" s="63"/>
      <c r="L536" s="63"/>
      <c r="M536" s="63"/>
      <c r="N536" s="63"/>
      <c r="O536" s="63"/>
      <c r="P536" s="63"/>
      <c r="Q536" s="63"/>
      <c r="R536" s="63"/>
      <c r="S536" s="63"/>
      <c r="T536" s="63"/>
      <c r="U536" s="63"/>
      <c r="V536" s="63"/>
      <c r="W536" s="63"/>
    </row>
    <row r="537" spans="1:23" ht="12.75">
      <c r="A537" s="216"/>
      <c r="B537" s="217"/>
      <c r="C537" s="47"/>
      <c r="D537" s="47"/>
      <c r="E537" s="121"/>
      <c r="F537" s="47"/>
      <c r="G537" s="63"/>
      <c r="H537" s="47"/>
      <c r="I537" s="47"/>
      <c r="J537" s="63"/>
      <c r="K537" s="63"/>
      <c r="L537" s="63"/>
      <c r="M537" s="63"/>
      <c r="N537" s="63"/>
      <c r="O537" s="63"/>
      <c r="P537" s="63"/>
      <c r="Q537" s="63"/>
      <c r="R537" s="63"/>
      <c r="S537" s="63"/>
      <c r="T537" s="63"/>
      <c r="U537" s="63"/>
      <c r="V537" s="63"/>
      <c r="W537" s="63"/>
    </row>
    <row r="538" spans="1:23" ht="12.75">
      <c r="A538" s="216"/>
      <c r="B538" s="217"/>
      <c r="C538" s="47"/>
      <c r="D538" s="47"/>
      <c r="E538" s="121"/>
      <c r="F538" s="47"/>
      <c r="G538" s="63"/>
      <c r="H538" s="47"/>
      <c r="I538" s="47"/>
      <c r="J538" s="63"/>
      <c r="K538" s="63"/>
      <c r="L538" s="63"/>
      <c r="M538" s="63"/>
      <c r="N538" s="63"/>
      <c r="O538" s="63"/>
      <c r="P538" s="63"/>
      <c r="Q538" s="63"/>
      <c r="R538" s="63"/>
      <c r="S538" s="63"/>
      <c r="T538" s="63"/>
      <c r="U538" s="63"/>
      <c r="V538" s="63"/>
      <c r="W538" s="63"/>
    </row>
    <row r="539" spans="1:23" ht="12.75">
      <c r="A539" s="216"/>
      <c r="B539" s="217"/>
      <c r="C539" s="47"/>
      <c r="D539" s="47"/>
      <c r="E539" s="121"/>
      <c r="F539" s="47"/>
      <c r="G539" s="63"/>
      <c r="H539" s="47"/>
      <c r="I539" s="47"/>
      <c r="J539" s="63"/>
      <c r="K539" s="63"/>
      <c r="L539" s="63"/>
      <c r="M539" s="63"/>
      <c r="N539" s="63"/>
      <c r="O539" s="63"/>
      <c r="P539" s="63"/>
      <c r="Q539" s="63"/>
      <c r="R539" s="63"/>
      <c r="S539" s="63"/>
      <c r="T539" s="63"/>
      <c r="U539" s="63"/>
      <c r="V539" s="63"/>
      <c r="W539" s="63"/>
    </row>
    <row r="540" spans="1:23" ht="12.75">
      <c r="A540" s="216"/>
      <c r="B540" s="217"/>
      <c r="C540" s="47"/>
      <c r="D540" s="47"/>
      <c r="E540" s="121"/>
      <c r="F540" s="47"/>
      <c r="G540" s="63"/>
      <c r="H540" s="47"/>
      <c r="I540" s="47"/>
      <c r="J540" s="63"/>
      <c r="K540" s="63"/>
      <c r="L540" s="63"/>
      <c r="M540" s="63"/>
      <c r="N540" s="63"/>
      <c r="O540" s="63"/>
      <c r="P540" s="63"/>
      <c r="Q540" s="63"/>
      <c r="R540" s="63"/>
      <c r="S540" s="63"/>
      <c r="T540" s="63"/>
      <c r="U540" s="63"/>
      <c r="V540" s="63"/>
      <c r="W540" s="63"/>
    </row>
    <row r="541" spans="1:23" ht="12.75">
      <c r="A541" s="216"/>
      <c r="B541" s="217"/>
      <c r="C541" s="47"/>
      <c r="D541" s="47"/>
      <c r="E541" s="121"/>
      <c r="F541" s="47"/>
      <c r="G541" s="63"/>
      <c r="H541" s="47"/>
      <c r="I541" s="47"/>
      <c r="J541" s="63"/>
      <c r="K541" s="63"/>
      <c r="L541" s="63"/>
      <c r="M541" s="63"/>
      <c r="N541" s="63"/>
      <c r="O541" s="63"/>
      <c r="P541" s="63"/>
      <c r="Q541" s="63"/>
      <c r="R541" s="63"/>
      <c r="S541" s="63"/>
      <c r="T541" s="63"/>
      <c r="U541" s="63"/>
      <c r="V541" s="63"/>
      <c r="W541" s="63"/>
    </row>
    <row r="542" spans="1:23" ht="12.75">
      <c r="A542" s="216"/>
      <c r="B542" s="217"/>
      <c r="C542" s="47"/>
      <c r="D542" s="47"/>
      <c r="E542" s="121"/>
      <c r="F542" s="47"/>
      <c r="G542" s="63"/>
      <c r="H542" s="47"/>
      <c r="I542" s="47"/>
      <c r="J542" s="63"/>
      <c r="K542" s="63"/>
      <c r="L542" s="63"/>
      <c r="M542" s="63"/>
      <c r="N542" s="63"/>
      <c r="O542" s="63"/>
      <c r="P542" s="63"/>
      <c r="Q542" s="63"/>
      <c r="R542" s="63"/>
      <c r="S542" s="63"/>
      <c r="T542" s="63"/>
      <c r="U542" s="63"/>
      <c r="V542" s="63"/>
      <c r="W542" s="63"/>
    </row>
    <row r="543" spans="1:23" ht="12.75">
      <c r="A543" s="216"/>
      <c r="B543" s="217"/>
      <c r="C543" s="47"/>
      <c r="D543" s="47"/>
      <c r="E543" s="121"/>
      <c r="F543" s="47"/>
      <c r="G543" s="63"/>
      <c r="H543" s="47"/>
      <c r="I543" s="47"/>
      <c r="J543" s="63"/>
      <c r="K543" s="63"/>
      <c r="L543" s="63"/>
      <c r="M543" s="63"/>
      <c r="N543" s="63"/>
      <c r="O543" s="63"/>
      <c r="P543" s="63"/>
      <c r="Q543" s="63"/>
      <c r="R543" s="63"/>
      <c r="S543" s="63"/>
      <c r="T543" s="63"/>
      <c r="U543" s="63"/>
      <c r="V543" s="63"/>
      <c r="W543" s="63"/>
    </row>
    <row r="544" spans="1:23" ht="12.75">
      <c r="A544" s="216"/>
      <c r="B544" s="217"/>
      <c r="C544" s="47"/>
      <c r="D544" s="47"/>
      <c r="E544" s="121"/>
      <c r="F544" s="47"/>
      <c r="G544" s="63"/>
      <c r="H544" s="47"/>
      <c r="I544" s="47"/>
      <c r="J544" s="63"/>
      <c r="K544" s="63"/>
      <c r="L544" s="63"/>
      <c r="M544" s="63"/>
      <c r="N544" s="63"/>
      <c r="O544" s="63"/>
      <c r="P544" s="63"/>
      <c r="Q544" s="63"/>
      <c r="R544" s="63"/>
      <c r="S544" s="63"/>
      <c r="T544" s="63"/>
      <c r="U544" s="63"/>
      <c r="V544" s="63"/>
      <c r="W544" s="63"/>
    </row>
    <row r="545" spans="1:23" ht="12.75">
      <c r="A545" s="216"/>
      <c r="B545" s="217"/>
      <c r="C545" s="47"/>
      <c r="D545" s="47"/>
      <c r="E545" s="121"/>
      <c r="F545" s="47"/>
      <c r="G545" s="63"/>
      <c r="H545" s="47"/>
      <c r="I545" s="47"/>
      <c r="J545" s="63"/>
      <c r="K545" s="63"/>
      <c r="L545" s="63"/>
      <c r="M545" s="63"/>
      <c r="N545" s="63"/>
      <c r="O545" s="63"/>
      <c r="P545" s="63"/>
      <c r="Q545" s="63"/>
      <c r="R545" s="63"/>
      <c r="S545" s="63"/>
      <c r="T545" s="63"/>
      <c r="U545" s="63"/>
      <c r="V545" s="63"/>
      <c r="W545" s="63"/>
    </row>
    <row r="546" spans="1:23" ht="12.75">
      <c r="A546" s="216"/>
      <c r="B546" s="217"/>
      <c r="C546" s="47"/>
      <c r="D546" s="47"/>
      <c r="E546" s="121"/>
      <c r="F546" s="47"/>
      <c r="G546" s="63"/>
      <c r="H546" s="47"/>
      <c r="I546" s="47"/>
      <c r="J546" s="63"/>
      <c r="K546" s="63"/>
      <c r="L546" s="63"/>
      <c r="M546" s="63"/>
      <c r="N546" s="63"/>
      <c r="O546" s="63"/>
      <c r="P546" s="63"/>
      <c r="Q546" s="63"/>
      <c r="R546" s="63"/>
      <c r="S546" s="63"/>
      <c r="T546" s="63"/>
      <c r="U546" s="63"/>
      <c r="V546" s="63"/>
      <c r="W546" s="63"/>
    </row>
    <row r="547" spans="1:23" ht="12.75">
      <c r="A547" s="216"/>
      <c r="B547" s="217"/>
      <c r="C547" s="47"/>
      <c r="D547" s="47"/>
      <c r="E547" s="121"/>
      <c r="F547" s="47"/>
      <c r="G547" s="63"/>
      <c r="H547" s="47"/>
      <c r="I547" s="47"/>
      <c r="J547" s="63"/>
      <c r="K547" s="63"/>
      <c r="L547" s="63"/>
      <c r="M547" s="63"/>
      <c r="N547" s="63"/>
      <c r="O547" s="63"/>
      <c r="P547" s="63"/>
      <c r="Q547" s="63"/>
      <c r="R547" s="63"/>
      <c r="S547" s="63"/>
      <c r="T547" s="63"/>
      <c r="U547" s="63"/>
      <c r="V547" s="63"/>
      <c r="W547" s="63"/>
    </row>
    <row r="548" spans="1:23" ht="12.75">
      <c r="A548" s="216"/>
      <c r="B548" s="217"/>
      <c r="C548" s="47"/>
      <c r="D548" s="47"/>
      <c r="E548" s="121"/>
      <c r="F548" s="47"/>
      <c r="G548" s="63"/>
      <c r="H548" s="47"/>
      <c r="I548" s="47"/>
      <c r="J548" s="63"/>
      <c r="K548" s="63"/>
      <c r="L548" s="63"/>
      <c r="M548" s="63"/>
      <c r="N548" s="63"/>
      <c r="O548" s="63"/>
      <c r="P548" s="63"/>
      <c r="Q548" s="63"/>
      <c r="R548" s="63"/>
      <c r="S548" s="63"/>
      <c r="T548" s="63"/>
      <c r="U548" s="63"/>
      <c r="V548" s="63"/>
      <c r="W548" s="63"/>
    </row>
    <row r="549" spans="1:23" ht="12.75">
      <c r="A549" s="216"/>
      <c r="B549" s="217"/>
      <c r="C549" s="47"/>
      <c r="D549" s="47"/>
      <c r="E549" s="121"/>
      <c r="F549" s="47"/>
      <c r="G549" s="63"/>
      <c r="H549" s="47"/>
      <c r="I549" s="47"/>
      <c r="J549" s="63"/>
      <c r="K549" s="63"/>
      <c r="L549" s="63"/>
      <c r="M549" s="63"/>
      <c r="N549" s="63"/>
      <c r="O549" s="63"/>
      <c r="P549" s="63"/>
      <c r="Q549" s="63"/>
      <c r="R549" s="63"/>
      <c r="S549" s="63"/>
      <c r="T549" s="63"/>
      <c r="U549" s="63"/>
      <c r="V549" s="63"/>
      <c r="W549" s="63"/>
    </row>
    <row r="550" spans="1:23" ht="12.75">
      <c r="A550" s="216"/>
      <c r="B550" s="217"/>
      <c r="C550" s="47"/>
      <c r="D550" s="47"/>
      <c r="E550" s="121"/>
      <c r="F550" s="47"/>
      <c r="G550" s="63"/>
      <c r="H550" s="47"/>
      <c r="I550" s="47"/>
      <c r="J550" s="63"/>
      <c r="K550" s="63"/>
      <c r="L550" s="63"/>
      <c r="M550" s="63"/>
      <c r="N550" s="63"/>
      <c r="O550" s="63"/>
      <c r="P550" s="63"/>
      <c r="Q550" s="63"/>
      <c r="R550" s="63"/>
      <c r="S550" s="63"/>
      <c r="T550" s="63"/>
      <c r="U550" s="63"/>
      <c r="V550" s="63"/>
      <c r="W550" s="63"/>
    </row>
    <row r="551" spans="1:23" ht="12.75">
      <c r="A551" s="216"/>
      <c r="B551" s="217"/>
      <c r="C551" s="47"/>
      <c r="D551" s="47"/>
      <c r="E551" s="121"/>
      <c r="F551" s="47"/>
      <c r="G551" s="63"/>
      <c r="H551" s="47"/>
      <c r="I551" s="47"/>
      <c r="J551" s="63"/>
      <c r="K551" s="63"/>
      <c r="L551" s="63"/>
      <c r="M551" s="63"/>
      <c r="N551" s="63"/>
      <c r="O551" s="63"/>
      <c r="P551" s="63"/>
      <c r="Q551" s="63"/>
      <c r="R551" s="63"/>
      <c r="S551" s="63"/>
      <c r="T551" s="63"/>
      <c r="U551" s="63"/>
      <c r="V551" s="63"/>
      <c r="W551" s="63"/>
    </row>
    <row r="552" spans="1:23" ht="12.75">
      <c r="A552" s="216"/>
      <c r="B552" s="217"/>
      <c r="C552" s="47"/>
      <c r="D552" s="47"/>
      <c r="E552" s="121"/>
      <c r="F552" s="47"/>
      <c r="G552" s="63"/>
      <c r="H552" s="47"/>
      <c r="I552" s="47"/>
      <c r="J552" s="63"/>
      <c r="K552" s="63"/>
      <c r="L552" s="63"/>
      <c r="M552" s="63"/>
      <c r="N552" s="63"/>
      <c r="O552" s="63"/>
      <c r="P552" s="63"/>
      <c r="Q552" s="63"/>
      <c r="R552" s="63"/>
      <c r="S552" s="63"/>
      <c r="T552" s="63"/>
      <c r="U552" s="63"/>
      <c r="V552" s="63"/>
      <c r="W552" s="63"/>
    </row>
    <row r="553" spans="1:23" ht="12.75">
      <c r="A553" s="216"/>
      <c r="B553" s="217"/>
      <c r="C553" s="47"/>
      <c r="D553" s="47"/>
      <c r="E553" s="121"/>
      <c r="F553" s="47"/>
      <c r="G553" s="63"/>
      <c r="H553" s="47"/>
      <c r="I553" s="47"/>
      <c r="J553" s="63"/>
      <c r="K553" s="63"/>
      <c r="L553" s="63"/>
      <c r="M553" s="63"/>
      <c r="N553" s="63"/>
      <c r="O553" s="63"/>
      <c r="P553" s="63"/>
      <c r="Q553" s="63"/>
      <c r="R553" s="63"/>
      <c r="S553" s="63"/>
      <c r="T553" s="63"/>
      <c r="U553" s="63"/>
      <c r="V553" s="63"/>
      <c r="W553" s="63"/>
    </row>
    <row r="554" spans="1:23" ht="12.75">
      <c r="A554" s="216"/>
      <c r="B554" s="217"/>
      <c r="C554" s="47"/>
      <c r="D554" s="47"/>
      <c r="E554" s="121"/>
      <c r="F554" s="47"/>
      <c r="G554" s="63"/>
      <c r="H554" s="47"/>
      <c r="I554" s="47"/>
      <c r="J554" s="63"/>
      <c r="K554" s="63"/>
      <c r="L554" s="63"/>
      <c r="M554" s="63"/>
      <c r="N554" s="63"/>
      <c r="O554" s="63"/>
      <c r="P554" s="63"/>
      <c r="Q554" s="63"/>
      <c r="R554" s="63"/>
      <c r="S554" s="63"/>
      <c r="T554" s="63"/>
      <c r="U554" s="63"/>
      <c r="V554" s="63"/>
      <c r="W554" s="63"/>
    </row>
    <row r="555" spans="1:23" ht="12.75">
      <c r="A555" s="216"/>
      <c r="B555" s="217"/>
      <c r="C555" s="47"/>
      <c r="D555" s="47"/>
      <c r="E555" s="121"/>
      <c r="F555" s="47"/>
      <c r="G555" s="63"/>
      <c r="H555" s="47"/>
      <c r="I555" s="47"/>
      <c r="J555" s="63"/>
      <c r="K555" s="63"/>
      <c r="L555" s="63"/>
      <c r="M555" s="63"/>
      <c r="N555" s="63"/>
      <c r="O555" s="63"/>
      <c r="P555" s="63"/>
      <c r="Q555" s="63"/>
      <c r="R555" s="63"/>
      <c r="S555" s="63"/>
      <c r="T555" s="63"/>
      <c r="U555" s="63"/>
      <c r="V555" s="63"/>
      <c r="W555" s="63"/>
    </row>
    <row r="556" spans="1:23" ht="12.75">
      <c r="A556" s="216"/>
      <c r="B556" s="217"/>
      <c r="C556" s="47"/>
      <c r="D556" s="47"/>
      <c r="E556" s="121"/>
      <c r="F556" s="47"/>
      <c r="G556" s="63"/>
      <c r="H556" s="47"/>
      <c r="I556" s="47"/>
      <c r="J556" s="63"/>
      <c r="K556" s="63"/>
      <c r="L556" s="63"/>
      <c r="M556" s="63"/>
      <c r="N556" s="63"/>
      <c r="O556" s="63"/>
      <c r="P556" s="63"/>
      <c r="Q556" s="63"/>
      <c r="R556" s="63"/>
      <c r="S556" s="63"/>
      <c r="T556" s="63"/>
      <c r="U556" s="63"/>
      <c r="V556" s="63"/>
      <c r="W556" s="63"/>
    </row>
    <row r="557" spans="1:23" ht="12.75">
      <c r="A557" s="216"/>
      <c r="B557" s="217"/>
      <c r="C557" s="47"/>
      <c r="D557" s="47"/>
      <c r="E557" s="121"/>
      <c r="F557" s="47"/>
      <c r="G557" s="63"/>
      <c r="H557" s="47"/>
      <c r="I557" s="47"/>
      <c r="J557" s="63"/>
      <c r="K557" s="63"/>
      <c r="L557" s="63"/>
      <c r="M557" s="63"/>
      <c r="N557" s="63"/>
      <c r="O557" s="63"/>
      <c r="P557" s="63"/>
      <c r="Q557" s="63"/>
      <c r="R557" s="63"/>
      <c r="S557" s="63"/>
      <c r="T557" s="63"/>
      <c r="U557" s="63"/>
      <c r="V557" s="63"/>
      <c r="W557" s="63"/>
    </row>
    <row r="558" spans="1:23" ht="12.75">
      <c r="A558" s="216"/>
      <c r="B558" s="217"/>
      <c r="C558" s="47"/>
      <c r="D558" s="47"/>
      <c r="E558" s="121"/>
      <c r="F558" s="47"/>
      <c r="G558" s="63"/>
      <c r="H558" s="47"/>
      <c r="I558" s="47"/>
      <c r="J558" s="63"/>
      <c r="K558" s="63"/>
      <c r="L558" s="63"/>
      <c r="M558" s="63"/>
      <c r="N558" s="63"/>
      <c r="O558" s="63"/>
      <c r="P558" s="63"/>
      <c r="Q558" s="63"/>
      <c r="R558" s="63"/>
      <c r="S558" s="63"/>
      <c r="T558" s="63"/>
      <c r="U558" s="63"/>
      <c r="V558" s="63"/>
      <c r="W558" s="63"/>
    </row>
    <row r="559" spans="1:23" ht="12.75">
      <c r="A559" s="216"/>
      <c r="B559" s="217"/>
      <c r="C559" s="47"/>
      <c r="D559" s="47"/>
      <c r="E559" s="121"/>
      <c r="F559" s="47"/>
      <c r="G559" s="63"/>
      <c r="H559" s="47"/>
      <c r="I559" s="47"/>
      <c r="J559" s="63"/>
      <c r="K559" s="63"/>
      <c r="L559" s="63"/>
      <c r="M559" s="63"/>
      <c r="N559" s="63"/>
      <c r="O559" s="63"/>
      <c r="P559" s="63"/>
      <c r="Q559" s="63"/>
      <c r="R559" s="63"/>
      <c r="S559" s="63"/>
      <c r="T559" s="63"/>
      <c r="U559" s="63"/>
      <c r="V559" s="63"/>
      <c r="W559" s="63"/>
    </row>
    <row r="560" spans="1:23" ht="12.75">
      <c r="A560" s="216"/>
      <c r="B560" s="217"/>
      <c r="C560" s="47"/>
      <c r="D560" s="47"/>
      <c r="E560" s="121"/>
      <c r="F560" s="47"/>
      <c r="G560" s="63"/>
      <c r="H560" s="47"/>
      <c r="I560" s="47"/>
      <c r="J560" s="63"/>
      <c r="K560" s="63"/>
      <c r="L560" s="63"/>
      <c r="M560" s="63"/>
      <c r="N560" s="63"/>
      <c r="O560" s="63"/>
      <c r="P560" s="63"/>
      <c r="Q560" s="63"/>
      <c r="R560" s="63"/>
      <c r="S560" s="63"/>
      <c r="T560" s="63"/>
      <c r="U560" s="63"/>
      <c r="V560" s="63"/>
      <c r="W560" s="63"/>
    </row>
    <row r="561" spans="1:23" ht="12.75">
      <c r="A561" s="216"/>
      <c r="B561" s="217"/>
      <c r="C561" s="47"/>
      <c r="D561" s="47"/>
      <c r="E561" s="121"/>
      <c r="F561" s="47"/>
      <c r="G561" s="63"/>
      <c r="H561" s="47"/>
      <c r="I561" s="47"/>
      <c r="J561" s="63"/>
      <c r="K561" s="63"/>
      <c r="L561" s="63"/>
      <c r="M561" s="63"/>
      <c r="N561" s="63"/>
      <c r="O561" s="63"/>
      <c r="P561" s="63"/>
      <c r="Q561" s="63"/>
      <c r="R561" s="63"/>
      <c r="S561" s="63"/>
      <c r="T561" s="63"/>
      <c r="U561" s="63"/>
      <c r="V561" s="63"/>
      <c r="W561" s="63"/>
    </row>
    <row r="562" spans="1:23" ht="12.75">
      <c r="A562" s="216"/>
      <c r="B562" s="217"/>
      <c r="C562" s="47"/>
      <c r="D562" s="47"/>
      <c r="E562" s="121"/>
      <c r="F562" s="47"/>
      <c r="G562" s="63"/>
      <c r="H562" s="47"/>
      <c r="I562" s="47"/>
      <c r="J562" s="63"/>
      <c r="K562" s="63"/>
      <c r="L562" s="63"/>
      <c r="M562" s="63"/>
      <c r="N562" s="63"/>
      <c r="O562" s="63"/>
      <c r="P562" s="63"/>
      <c r="Q562" s="63"/>
      <c r="R562" s="63"/>
      <c r="S562" s="63"/>
      <c r="T562" s="63"/>
      <c r="U562" s="63"/>
      <c r="V562" s="63"/>
      <c r="W562" s="63"/>
    </row>
    <row r="563" spans="1:23" ht="12.75">
      <c r="A563" s="216"/>
      <c r="B563" s="217"/>
      <c r="C563" s="47"/>
      <c r="D563" s="47"/>
      <c r="E563" s="121"/>
      <c r="F563" s="47"/>
      <c r="G563" s="63"/>
      <c r="H563" s="47"/>
      <c r="I563" s="47"/>
      <c r="J563" s="63"/>
      <c r="K563" s="63"/>
      <c r="L563" s="63"/>
      <c r="M563" s="63"/>
      <c r="N563" s="63"/>
      <c r="O563" s="63"/>
      <c r="P563" s="63"/>
      <c r="Q563" s="63"/>
      <c r="R563" s="63"/>
      <c r="S563" s="63"/>
      <c r="T563" s="63"/>
      <c r="U563" s="63"/>
      <c r="V563" s="63"/>
      <c r="W563" s="63"/>
    </row>
    <row r="564" spans="1:23" ht="12.75">
      <c r="A564" s="216"/>
      <c r="B564" s="217"/>
      <c r="C564" s="47"/>
      <c r="D564" s="47"/>
      <c r="E564" s="121"/>
      <c r="F564" s="47"/>
      <c r="G564" s="63"/>
      <c r="H564" s="47"/>
      <c r="I564" s="47"/>
      <c r="J564" s="63"/>
      <c r="K564" s="63"/>
      <c r="L564" s="63"/>
      <c r="M564" s="63"/>
      <c r="N564" s="63"/>
      <c r="O564" s="63"/>
      <c r="P564" s="63"/>
      <c r="Q564" s="63"/>
      <c r="R564" s="63"/>
      <c r="S564" s="63"/>
      <c r="T564" s="63"/>
      <c r="U564" s="63"/>
      <c r="V564" s="63"/>
      <c r="W564" s="63"/>
    </row>
    <row r="565" spans="1:23" ht="12.75">
      <c r="A565" s="216"/>
      <c r="B565" s="217"/>
      <c r="C565" s="47"/>
      <c r="D565" s="47"/>
      <c r="E565" s="121"/>
      <c r="F565" s="47"/>
      <c r="G565" s="63"/>
      <c r="H565" s="47"/>
      <c r="I565" s="47"/>
      <c r="J565" s="63"/>
      <c r="K565" s="63"/>
      <c r="L565" s="63"/>
      <c r="M565" s="63"/>
      <c r="N565" s="63"/>
      <c r="O565" s="63"/>
      <c r="P565" s="63"/>
      <c r="Q565" s="63"/>
      <c r="R565" s="63"/>
      <c r="S565" s="63"/>
      <c r="T565" s="63"/>
      <c r="U565" s="63"/>
      <c r="V565" s="63"/>
      <c r="W565" s="63"/>
    </row>
    <row r="566" spans="1:23" ht="12.75">
      <c r="A566" s="216"/>
      <c r="B566" s="217"/>
      <c r="C566" s="47"/>
      <c r="D566" s="47"/>
      <c r="E566" s="121"/>
      <c r="F566" s="47"/>
      <c r="G566" s="63"/>
      <c r="H566" s="47"/>
      <c r="I566" s="47"/>
      <c r="J566" s="63"/>
      <c r="K566" s="63"/>
      <c r="L566" s="63"/>
      <c r="M566" s="63"/>
      <c r="N566" s="63"/>
      <c r="O566" s="63"/>
      <c r="P566" s="63"/>
      <c r="Q566" s="63"/>
      <c r="R566" s="63"/>
      <c r="S566" s="63"/>
      <c r="T566" s="63"/>
      <c r="U566" s="63"/>
      <c r="V566" s="63"/>
      <c r="W566" s="63"/>
    </row>
    <row r="567" spans="1:23" ht="12.75">
      <c r="A567" s="216"/>
      <c r="B567" s="217"/>
      <c r="C567" s="47"/>
      <c r="D567" s="47"/>
      <c r="E567" s="121"/>
      <c r="F567" s="47"/>
      <c r="G567" s="63"/>
      <c r="H567" s="47"/>
      <c r="I567" s="47"/>
      <c r="J567" s="63"/>
      <c r="K567" s="63"/>
      <c r="L567" s="63"/>
      <c r="M567" s="63"/>
      <c r="N567" s="63"/>
      <c r="O567" s="63"/>
      <c r="P567" s="63"/>
      <c r="Q567" s="63"/>
      <c r="R567" s="63"/>
      <c r="S567" s="63"/>
      <c r="T567" s="63"/>
      <c r="U567" s="63"/>
      <c r="V567" s="63"/>
      <c r="W567" s="63"/>
    </row>
    <row r="568" spans="1:23" ht="12.75">
      <c r="A568" s="216"/>
      <c r="B568" s="217"/>
      <c r="C568" s="47"/>
      <c r="D568" s="47"/>
      <c r="E568" s="121"/>
      <c r="F568" s="47"/>
      <c r="G568" s="63"/>
      <c r="H568" s="47"/>
      <c r="I568" s="47"/>
      <c r="J568" s="63"/>
      <c r="K568" s="63"/>
      <c r="L568" s="63"/>
      <c r="M568" s="63"/>
      <c r="N568" s="63"/>
      <c r="O568" s="63"/>
      <c r="P568" s="63"/>
      <c r="Q568" s="63"/>
      <c r="R568" s="63"/>
      <c r="S568" s="63"/>
      <c r="T568" s="63"/>
      <c r="U568" s="63"/>
      <c r="V568" s="63"/>
      <c r="W568" s="63"/>
    </row>
    <row r="569" spans="1:23" ht="12.75">
      <c r="A569" s="216"/>
      <c r="B569" s="217"/>
      <c r="C569" s="47"/>
      <c r="D569" s="47"/>
      <c r="E569" s="121"/>
      <c r="F569" s="47"/>
      <c r="G569" s="63"/>
      <c r="H569" s="47"/>
      <c r="I569" s="47"/>
      <c r="J569" s="63"/>
      <c r="K569" s="63"/>
      <c r="L569" s="63"/>
      <c r="M569" s="63"/>
      <c r="N569" s="63"/>
      <c r="O569" s="63"/>
      <c r="P569" s="63"/>
      <c r="Q569" s="63"/>
      <c r="R569" s="63"/>
      <c r="S569" s="63"/>
      <c r="T569" s="63"/>
      <c r="U569" s="63"/>
      <c r="V569" s="63"/>
      <c r="W569" s="63"/>
    </row>
    <row r="570" spans="1:23" ht="12.75">
      <c r="A570" s="216"/>
      <c r="B570" s="217"/>
      <c r="C570" s="47"/>
      <c r="D570" s="47"/>
      <c r="E570" s="121"/>
      <c r="F570" s="47"/>
      <c r="G570" s="63"/>
      <c r="H570" s="47"/>
      <c r="I570" s="47"/>
      <c r="J570" s="63"/>
      <c r="K570" s="63"/>
      <c r="L570" s="63"/>
      <c r="M570" s="63"/>
      <c r="N570" s="63"/>
      <c r="O570" s="63"/>
      <c r="P570" s="63"/>
      <c r="Q570" s="63"/>
      <c r="R570" s="63"/>
      <c r="S570" s="63"/>
      <c r="T570" s="63"/>
      <c r="U570" s="63"/>
      <c r="V570" s="63"/>
      <c r="W570" s="63"/>
    </row>
    <row r="571" spans="1:23" ht="12.75">
      <c r="A571" s="216"/>
      <c r="B571" s="217"/>
      <c r="C571" s="47"/>
      <c r="D571" s="47"/>
      <c r="E571" s="121"/>
      <c r="F571" s="47"/>
      <c r="G571" s="63"/>
      <c r="H571" s="47"/>
      <c r="I571" s="47"/>
      <c r="J571" s="63"/>
      <c r="K571" s="63"/>
      <c r="L571" s="63"/>
      <c r="M571" s="63"/>
      <c r="N571" s="63"/>
      <c r="O571" s="63"/>
      <c r="P571" s="63"/>
      <c r="Q571" s="63"/>
      <c r="R571" s="63"/>
      <c r="S571" s="63"/>
      <c r="T571" s="63"/>
      <c r="U571" s="63"/>
      <c r="V571" s="63"/>
      <c r="W571" s="63"/>
    </row>
    <row r="572" spans="1:23" ht="12.75">
      <c r="A572" s="216"/>
      <c r="B572" s="217"/>
      <c r="C572" s="47"/>
      <c r="D572" s="47"/>
      <c r="E572" s="121"/>
      <c r="F572" s="47"/>
      <c r="G572" s="63"/>
      <c r="H572" s="47"/>
      <c r="I572" s="47"/>
      <c r="J572" s="63"/>
      <c r="K572" s="63"/>
      <c r="L572" s="63"/>
      <c r="M572" s="63"/>
      <c r="N572" s="63"/>
      <c r="O572" s="63"/>
      <c r="P572" s="63"/>
      <c r="Q572" s="63"/>
      <c r="R572" s="63"/>
      <c r="S572" s="63"/>
      <c r="T572" s="63"/>
      <c r="U572" s="63"/>
      <c r="V572" s="63"/>
      <c r="W572" s="63"/>
    </row>
    <row r="573" spans="1:23" ht="12.75">
      <c r="A573" s="216"/>
      <c r="B573" s="217"/>
      <c r="C573" s="47"/>
      <c r="D573" s="47"/>
      <c r="E573" s="121"/>
      <c r="F573" s="47"/>
      <c r="G573" s="63"/>
      <c r="H573" s="47"/>
      <c r="I573" s="47"/>
      <c r="J573" s="63"/>
      <c r="K573" s="63"/>
      <c r="L573" s="63"/>
      <c r="M573" s="63"/>
      <c r="N573" s="63"/>
      <c r="O573" s="63"/>
      <c r="P573" s="63"/>
      <c r="Q573" s="63"/>
      <c r="R573" s="63"/>
      <c r="S573" s="63"/>
      <c r="T573" s="63"/>
      <c r="U573" s="63"/>
      <c r="V573" s="63"/>
      <c r="W573" s="63"/>
    </row>
    <row r="574" spans="1:23" ht="12.75">
      <c r="A574" s="216"/>
      <c r="B574" s="217"/>
      <c r="C574" s="47"/>
      <c r="D574" s="47"/>
      <c r="E574" s="121"/>
      <c r="F574" s="47"/>
      <c r="G574" s="63"/>
      <c r="H574" s="47"/>
      <c r="I574" s="47"/>
      <c r="J574" s="63"/>
      <c r="K574" s="63"/>
      <c r="L574" s="63"/>
      <c r="M574" s="63"/>
      <c r="N574" s="63"/>
      <c r="O574" s="63"/>
      <c r="P574" s="63"/>
      <c r="Q574" s="63"/>
      <c r="R574" s="63"/>
      <c r="S574" s="63"/>
      <c r="T574" s="63"/>
      <c r="U574" s="63"/>
      <c r="V574" s="63"/>
      <c r="W574" s="63"/>
    </row>
    <row r="575" spans="1:23" ht="12.75">
      <c r="A575" s="216"/>
      <c r="B575" s="217"/>
      <c r="C575" s="47"/>
      <c r="D575" s="47"/>
      <c r="E575" s="121"/>
      <c r="F575" s="47"/>
      <c r="G575" s="63"/>
      <c r="H575" s="47"/>
      <c r="I575" s="47"/>
      <c r="J575" s="63"/>
      <c r="K575" s="63"/>
      <c r="L575" s="63"/>
      <c r="M575" s="63"/>
      <c r="N575" s="63"/>
      <c r="O575" s="63"/>
      <c r="P575" s="63"/>
      <c r="Q575" s="63"/>
      <c r="R575" s="63"/>
      <c r="S575" s="63"/>
      <c r="T575" s="63"/>
      <c r="U575" s="63"/>
      <c r="V575" s="63"/>
      <c r="W575" s="63"/>
    </row>
    <row r="576" spans="1:23" ht="12.75">
      <c r="A576" s="216"/>
      <c r="B576" s="217"/>
      <c r="C576" s="47"/>
      <c r="D576" s="47"/>
      <c r="E576" s="121"/>
      <c r="F576" s="47"/>
      <c r="G576" s="63"/>
      <c r="H576" s="47"/>
      <c r="I576" s="47"/>
      <c r="J576" s="63"/>
      <c r="K576" s="63"/>
      <c r="L576" s="63"/>
      <c r="M576" s="63"/>
      <c r="N576" s="63"/>
      <c r="O576" s="63"/>
      <c r="P576" s="63"/>
      <c r="Q576" s="63"/>
      <c r="R576" s="63"/>
      <c r="S576" s="63"/>
      <c r="T576" s="63"/>
      <c r="U576" s="63"/>
      <c r="V576" s="63"/>
      <c r="W576" s="63"/>
    </row>
    <row r="577" spans="1:23" ht="12.75">
      <c r="A577" s="216"/>
      <c r="B577" s="217"/>
      <c r="C577" s="47"/>
      <c r="D577" s="47"/>
      <c r="E577" s="121"/>
      <c r="F577" s="47"/>
      <c r="G577" s="63"/>
      <c r="H577" s="47"/>
      <c r="I577" s="47"/>
      <c r="J577" s="63"/>
      <c r="K577" s="63"/>
      <c r="L577" s="63"/>
      <c r="M577" s="63"/>
      <c r="N577" s="63"/>
      <c r="O577" s="63"/>
      <c r="P577" s="63"/>
      <c r="Q577" s="63"/>
      <c r="R577" s="63"/>
      <c r="S577" s="63"/>
      <c r="T577" s="63"/>
      <c r="U577" s="63"/>
      <c r="V577" s="63"/>
      <c r="W577" s="63"/>
    </row>
    <row r="578" spans="1:23" ht="12.75">
      <c r="A578" s="216"/>
      <c r="B578" s="217"/>
      <c r="C578" s="47"/>
      <c r="D578" s="47"/>
      <c r="E578" s="121"/>
      <c r="F578" s="47"/>
      <c r="G578" s="63"/>
      <c r="H578" s="47"/>
      <c r="I578" s="47"/>
      <c r="J578" s="63"/>
      <c r="K578" s="63"/>
      <c r="L578" s="63"/>
      <c r="M578" s="63"/>
      <c r="N578" s="63"/>
      <c r="O578" s="63"/>
      <c r="P578" s="63"/>
      <c r="Q578" s="63"/>
      <c r="R578" s="63"/>
      <c r="S578" s="63"/>
      <c r="T578" s="63"/>
      <c r="U578" s="63"/>
      <c r="V578" s="63"/>
      <c r="W578" s="63"/>
    </row>
    <row r="579" spans="1:23" ht="12.75">
      <c r="A579" s="216"/>
      <c r="B579" s="217"/>
      <c r="C579" s="47"/>
      <c r="D579" s="47"/>
      <c r="E579" s="121"/>
      <c r="F579" s="47"/>
      <c r="G579" s="63"/>
      <c r="H579" s="47"/>
      <c r="I579" s="47"/>
      <c r="J579" s="63"/>
      <c r="K579" s="63"/>
      <c r="L579" s="63"/>
      <c r="M579" s="63"/>
      <c r="N579" s="63"/>
      <c r="O579" s="63"/>
      <c r="P579" s="63"/>
      <c r="Q579" s="63"/>
      <c r="R579" s="63"/>
      <c r="S579" s="63"/>
      <c r="T579" s="63"/>
      <c r="U579" s="63"/>
      <c r="V579" s="63"/>
      <c r="W579" s="63"/>
    </row>
    <row r="580" spans="1:23" ht="12.75">
      <c r="A580" s="216"/>
      <c r="B580" s="217"/>
      <c r="C580" s="47"/>
      <c r="D580" s="47"/>
      <c r="E580" s="121"/>
      <c r="F580" s="47"/>
      <c r="G580" s="63"/>
      <c r="H580" s="47"/>
      <c r="I580" s="47"/>
      <c r="J580" s="63"/>
      <c r="K580" s="63"/>
      <c r="L580" s="63"/>
      <c r="M580" s="63"/>
      <c r="N580" s="63"/>
      <c r="O580" s="63"/>
      <c r="P580" s="63"/>
      <c r="Q580" s="63"/>
      <c r="R580" s="63"/>
      <c r="S580" s="63"/>
      <c r="T580" s="63"/>
      <c r="U580" s="63"/>
      <c r="V580" s="63"/>
      <c r="W580" s="63"/>
    </row>
    <row r="581" spans="1:23" ht="12.75">
      <c r="A581" s="216"/>
      <c r="B581" s="217"/>
      <c r="C581" s="47"/>
      <c r="D581" s="47"/>
      <c r="E581" s="121"/>
      <c r="F581" s="47"/>
      <c r="G581" s="63"/>
      <c r="H581" s="47"/>
      <c r="I581" s="47"/>
      <c r="J581" s="63"/>
      <c r="K581" s="63"/>
      <c r="L581" s="63"/>
      <c r="M581" s="63"/>
      <c r="N581" s="63"/>
      <c r="O581" s="63"/>
      <c r="P581" s="63"/>
      <c r="Q581" s="63"/>
      <c r="R581" s="63"/>
      <c r="S581" s="63"/>
      <c r="T581" s="63"/>
      <c r="U581" s="63"/>
      <c r="V581" s="63"/>
      <c r="W581" s="63"/>
    </row>
    <row r="582" spans="1:23" ht="12.75">
      <c r="A582" s="216"/>
      <c r="B582" s="217"/>
      <c r="C582" s="47"/>
      <c r="D582" s="47"/>
      <c r="E582" s="121"/>
      <c r="F582" s="47"/>
      <c r="G582" s="63"/>
      <c r="H582" s="47"/>
      <c r="I582" s="47"/>
      <c r="J582" s="63"/>
      <c r="K582" s="63"/>
      <c r="L582" s="63"/>
      <c r="M582" s="63"/>
      <c r="N582" s="63"/>
      <c r="O582" s="63"/>
      <c r="P582" s="63"/>
      <c r="Q582" s="63"/>
      <c r="R582" s="63"/>
      <c r="S582" s="63"/>
      <c r="T582" s="63"/>
      <c r="U582" s="63"/>
      <c r="V582" s="63"/>
      <c r="W582" s="63"/>
    </row>
    <row r="583" spans="1:23" ht="12.75">
      <c r="A583" s="216"/>
      <c r="B583" s="217"/>
      <c r="C583" s="47"/>
      <c r="D583" s="47"/>
      <c r="E583" s="121"/>
      <c r="F583" s="47"/>
      <c r="G583" s="63"/>
      <c r="H583" s="47"/>
      <c r="I583" s="47"/>
      <c r="J583" s="63"/>
      <c r="K583" s="63"/>
      <c r="L583" s="63"/>
      <c r="M583" s="63"/>
      <c r="N583" s="63"/>
      <c r="O583" s="63"/>
      <c r="P583" s="63"/>
      <c r="Q583" s="63"/>
      <c r="R583" s="63"/>
      <c r="S583" s="63"/>
      <c r="T583" s="63"/>
      <c r="U583" s="63"/>
      <c r="V583" s="63"/>
      <c r="W583" s="63"/>
    </row>
    <row r="584" spans="1:23" ht="12.75">
      <c r="A584" s="216"/>
      <c r="B584" s="217"/>
      <c r="C584" s="47"/>
      <c r="D584" s="47"/>
      <c r="E584" s="121"/>
      <c r="F584" s="47"/>
      <c r="G584" s="63"/>
      <c r="H584" s="47"/>
      <c r="I584" s="47"/>
      <c r="J584" s="63"/>
      <c r="K584" s="63"/>
      <c r="L584" s="63"/>
      <c r="M584" s="63"/>
      <c r="N584" s="63"/>
      <c r="O584" s="63"/>
      <c r="P584" s="63"/>
      <c r="Q584" s="63"/>
      <c r="R584" s="63"/>
      <c r="S584" s="63"/>
      <c r="T584" s="63"/>
      <c r="U584" s="63"/>
      <c r="V584" s="63"/>
      <c r="W584" s="63"/>
    </row>
    <row r="585" spans="1:23" ht="12.75">
      <c r="A585" s="216"/>
      <c r="B585" s="217"/>
      <c r="C585" s="47"/>
      <c r="D585" s="47"/>
      <c r="E585" s="121"/>
      <c r="F585" s="47"/>
      <c r="G585" s="63"/>
      <c r="H585" s="47"/>
      <c r="I585" s="47"/>
      <c r="J585" s="63"/>
      <c r="K585" s="63"/>
      <c r="L585" s="63"/>
      <c r="M585" s="63"/>
      <c r="N585" s="63"/>
      <c r="O585" s="63"/>
      <c r="P585" s="63"/>
      <c r="Q585" s="63"/>
      <c r="R585" s="63"/>
      <c r="S585" s="63"/>
      <c r="T585" s="63"/>
      <c r="U585" s="63"/>
      <c r="V585" s="63"/>
      <c r="W585" s="63"/>
    </row>
    <row r="586" spans="1:23" ht="12.75">
      <c r="A586" s="216"/>
      <c r="B586" s="217"/>
      <c r="C586" s="47"/>
      <c r="D586" s="47"/>
      <c r="E586" s="121"/>
      <c r="F586" s="47"/>
      <c r="G586" s="63"/>
      <c r="H586" s="47"/>
      <c r="I586" s="47"/>
      <c r="J586" s="63"/>
      <c r="K586" s="63"/>
      <c r="L586" s="63"/>
      <c r="M586" s="63"/>
      <c r="N586" s="63"/>
      <c r="O586" s="63"/>
      <c r="P586" s="63"/>
      <c r="Q586" s="63"/>
      <c r="R586" s="63"/>
      <c r="S586" s="63"/>
      <c r="T586" s="63"/>
      <c r="U586" s="63"/>
      <c r="V586" s="63"/>
      <c r="W586" s="63"/>
    </row>
    <row r="587" spans="1:23" ht="12.75">
      <c r="A587" s="216"/>
      <c r="B587" s="217"/>
      <c r="C587" s="47"/>
      <c r="D587" s="47"/>
      <c r="E587" s="121"/>
      <c r="F587" s="47"/>
      <c r="G587" s="63"/>
      <c r="H587" s="47"/>
      <c r="I587" s="47"/>
      <c r="J587" s="63"/>
      <c r="K587" s="63"/>
      <c r="L587" s="63"/>
      <c r="M587" s="63"/>
      <c r="N587" s="63"/>
      <c r="O587" s="63"/>
      <c r="P587" s="63"/>
      <c r="Q587" s="63"/>
      <c r="R587" s="63"/>
      <c r="S587" s="63"/>
      <c r="T587" s="63"/>
      <c r="U587" s="63"/>
      <c r="V587" s="63"/>
      <c r="W587" s="63"/>
    </row>
    <row r="588" spans="1:23" ht="12.75">
      <c r="A588" s="216"/>
      <c r="B588" s="217"/>
      <c r="C588" s="47"/>
      <c r="D588" s="47"/>
      <c r="E588" s="121"/>
      <c r="F588" s="47"/>
      <c r="G588" s="63"/>
      <c r="H588" s="47"/>
      <c r="I588" s="47"/>
      <c r="J588" s="63"/>
      <c r="K588" s="63"/>
      <c r="L588" s="63"/>
      <c r="M588" s="63"/>
      <c r="N588" s="63"/>
      <c r="O588" s="63"/>
      <c r="P588" s="63"/>
      <c r="Q588" s="63"/>
      <c r="R588" s="63"/>
      <c r="S588" s="63"/>
      <c r="T588" s="63"/>
      <c r="U588" s="63"/>
      <c r="V588" s="63"/>
      <c r="W588" s="63"/>
    </row>
    <row r="589" spans="1:23" ht="12.75">
      <c r="A589" s="216"/>
      <c r="B589" s="217"/>
      <c r="C589" s="47"/>
      <c r="D589" s="47"/>
      <c r="E589" s="121"/>
      <c r="F589" s="47"/>
      <c r="G589" s="63"/>
      <c r="H589" s="47"/>
      <c r="I589" s="47"/>
      <c r="J589" s="63"/>
      <c r="K589" s="63"/>
      <c r="L589" s="63"/>
      <c r="M589" s="63"/>
      <c r="N589" s="63"/>
      <c r="O589" s="63"/>
      <c r="P589" s="63"/>
      <c r="Q589" s="63"/>
      <c r="R589" s="63"/>
      <c r="S589" s="63"/>
      <c r="T589" s="63"/>
      <c r="U589" s="63"/>
      <c r="V589" s="63"/>
      <c r="W589" s="63"/>
    </row>
    <row r="590" spans="1:23" ht="12.75">
      <c r="A590" s="216"/>
      <c r="B590" s="217"/>
      <c r="C590" s="47"/>
      <c r="D590" s="47"/>
      <c r="E590" s="121"/>
      <c r="F590" s="47"/>
      <c r="G590" s="63"/>
      <c r="H590" s="47"/>
      <c r="I590" s="47"/>
      <c r="J590" s="63"/>
      <c r="K590" s="63"/>
      <c r="L590" s="63"/>
      <c r="M590" s="63"/>
      <c r="N590" s="63"/>
      <c r="O590" s="63"/>
      <c r="P590" s="63"/>
      <c r="Q590" s="63"/>
      <c r="R590" s="63"/>
      <c r="S590" s="63"/>
      <c r="T590" s="63"/>
      <c r="U590" s="63"/>
      <c r="V590" s="63"/>
      <c r="W590" s="63"/>
    </row>
    <row r="591" spans="1:23" ht="12.75">
      <c r="A591" s="216"/>
      <c r="B591" s="217"/>
      <c r="C591" s="47"/>
      <c r="D591" s="47"/>
      <c r="E591" s="121"/>
      <c r="F591" s="47"/>
      <c r="G591" s="63"/>
      <c r="H591" s="47"/>
      <c r="I591" s="47"/>
      <c r="J591" s="63"/>
      <c r="K591" s="63"/>
      <c r="L591" s="63"/>
      <c r="M591" s="63"/>
      <c r="N591" s="63"/>
      <c r="O591" s="63"/>
      <c r="P591" s="63"/>
      <c r="Q591" s="63"/>
      <c r="R591" s="63"/>
      <c r="S591" s="63"/>
      <c r="T591" s="63"/>
      <c r="U591" s="63"/>
      <c r="V591" s="63"/>
      <c r="W591" s="63"/>
    </row>
    <row r="592" spans="1:23" ht="12.75">
      <c r="A592" s="216"/>
      <c r="B592" s="217"/>
      <c r="C592" s="47"/>
      <c r="D592" s="47"/>
      <c r="E592" s="121"/>
      <c r="F592" s="47"/>
      <c r="G592" s="63"/>
      <c r="H592" s="47"/>
      <c r="I592" s="47"/>
      <c r="J592" s="63"/>
      <c r="K592" s="63"/>
      <c r="L592" s="63"/>
      <c r="M592" s="63"/>
      <c r="N592" s="63"/>
      <c r="O592" s="63"/>
      <c r="P592" s="63"/>
      <c r="Q592" s="63"/>
      <c r="R592" s="63"/>
      <c r="S592" s="63"/>
      <c r="T592" s="63"/>
      <c r="U592" s="63"/>
      <c r="V592" s="63"/>
      <c r="W592" s="63"/>
    </row>
    <row r="593" spans="1:23" ht="12.75">
      <c r="A593" s="216"/>
      <c r="B593" s="217"/>
      <c r="C593" s="47"/>
      <c r="D593" s="47"/>
      <c r="E593" s="121"/>
      <c r="F593" s="47"/>
      <c r="G593" s="63"/>
      <c r="H593" s="47"/>
      <c r="I593" s="47"/>
      <c r="J593" s="63"/>
      <c r="K593" s="63"/>
      <c r="L593" s="63"/>
      <c r="M593" s="63"/>
      <c r="N593" s="63"/>
      <c r="O593" s="63"/>
      <c r="P593" s="63"/>
      <c r="Q593" s="63"/>
      <c r="R593" s="63"/>
      <c r="S593" s="63"/>
      <c r="T593" s="63"/>
      <c r="U593" s="63"/>
      <c r="V593" s="63"/>
      <c r="W593" s="63"/>
    </row>
    <row r="594" spans="1:23" ht="12.75">
      <c r="A594" s="216"/>
      <c r="B594" s="217"/>
      <c r="C594" s="47"/>
      <c r="D594" s="47"/>
      <c r="E594" s="121"/>
      <c r="F594" s="47"/>
      <c r="G594" s="63"/>
      <c r="H594" s="47"/>
      <c r="I594" s="47"/>
      <c r="J594" s="63"/>
      <c r="K594" s="63"/>
      <c r="L594" s="63"/>
      <c r="M594" s="63"/>
      <c r="N594" s="63"/>
      <c r="O594" s="63"/>
      <c r="P594" s="63"/>
      <c r="Q594" s="63"/>
      <c r="R594" s="63"/>
      <c r="S594" s="63"/>
      <c r="T594" s="63"/>
      <c r="U594" s="63"/>
      <c r="V594" s="63"/>
      <c r="W594" s="63"/>
    </row>
    <row r="595" spans="1:23" ht="12.75">
      <c r="A595" s="216"/>
      <c r="B595" s="217"/>
      <c r="C595" s="47"/>
      <c r="D595" s="47"/>
      <c r="E595" s="121"/>
      <c r="F595" s="47"/>
      <c r="G595" s="63"/>
      <c r="H595" s="47"/>
      <c r="I595" s="47"/>
      <c r="J595" s="63"/>
      <c r="K595" s="63"/>
      <c r="L595" s="63"/>
      <c r="M595" s="63"/>
      <c r="N595" s="63"/>
      <c r="O595" s="63"/>
      <c r="P595" s="63"/>
      <c r="Q595" s="63"/>
      <c r="R595" s="63"/>
      <c r="S595" s="63"/>
      <c r="T595" s="63"/>
      <c r="U595" s="63"/>
      <c r="V595" s="63"/>
      <c r="W595" s="63"/>
    </row>
    <row r="596" spans="1:23" ht="12.75">
      <c r="A596" s="216"/>
      <c r="B596" s="217"/>
      <c r="C596" s="47"/>
      <c r="D596" s="47"/>
      <c r="E596" s="121"/>
      <c r="F596" s="47"/>
      <c r="G596" s="63"/>
      <c r="H596" s="47"/>
      <c r="I596" s="47"/>
      <c r="J596" s="63"/>
      <c r="K596" s="63"/>
      <c r="L596" s="63"/>
      <c r="M596" s="63"/>
      <c r="N596" s="63"/>
      <c r="O596" s="63"/>
      <c r="P596" s="63"/>
      <c r="Q596" s="63"/>
      <c r="R596" s="63"/>
      <c r="S596" s="63"/>
      <c r="T596" s="63"/>
      <c r="U596" s="63"/>
      <c r="V596" s="63"/>
      <c r="W596" s="63"/>
    </row>
    <row r="597" spans="1:23" ht="12.75">
      <c r="A597" s="216"/>
      <c r="B597" s="217"/>
      <c r="C597" s="47"/>
      <c r="D597" s="47"/>
      <c r="E597" s="121"/>
      <c r="F597" s="47"/>
      <c r="G597" s="63"/>
      <c r="H597" s="47"/>
      <c r="I597" s="47"/>
      <c r="J597" s="63"/>
      <c r="K597" s="63"/>
      <c r="L597" s="63"/>
      <c r="M597" s="63"/>
      <c r="N597" s="63"/>
      <c r="O597" s="63"/>
      <c r="P597" s="63"/>
      <c r="Q597" s="63"/>
      <c r="R597" s="63"/>
      <c r="S597" s="63"/>
      <c r="T597" s="63"/>
      <c r="U597" s="63"/>
      <c r="V597" s="63"/>
      <c r="W597" s="63"/>
    </row>
    <row r="598" spans="1:23" ht="12.75">
      <c r="A598" s="216"/>
      <c r="B598" s="217"/>
      <c r="C598" s="47"/>
      <c r="D598" s="47"/>
      <c r="E598" s="121"/>
      <c r="F598" s="47"/>
      <c r="G598" s="63"/>
      <c r="H598" s="47"/>
      <c r="I598" s="47"/>
      <c r="J598" s="63"/>
      <c r="K598" s="63"/>
      <c r="L598" s="63"/>
      <c r="M598" s="63"/>
      <c r="N598" s="63"/>
      <c r="O598" s="63"/>
      <c r="P598" s="63"/>
      <c r="Q598" s="63"/>
      <c r="R598" s="63"/>
      <c r="S598" s="63"/>
      <c r="T598" s="63"/>
      <c r="U598" s="63"/>
      <c r="V598" s="63"/>
      <c r="W598" s="63"/>
    </row>
    <row r="599" spans="1:23" ht="12.75">
      <c r="A599" s="216"/>
      <c r="B599" s="217"/>
      <c r="C599" s="47"/>
      <c r="D599" s="47"/>
      <c r="E599" s="121"/>
      <c r="F599" s="47"/>
      <c r="G599" s="63"/>
      <c r="H599" s="47"/>
      <c r="I599" s="47"/>
      <c r="J599" s="63"/>
      <c r="K599" s="63"/>
      <c r="L599" s="63"/>
      <c r="M599" s="63"/>
      <c r="N599" s="63"/>
      <c r="O599" s="63"/>
      <c r="P599" s="63"/>
      <c r="Q599" s="63"/>
      <c r="R599" s="63"/>
      <c r="S599" s="63"/>
      <c r="T599" s="63"/>
      <c r="U599" s="63"/>
      <c r="V599" s="63"/>
      <c r="W599" s="63"/>
    </row>
    <row r="600" spans="1:23" ht="12.75">
      <c r="A600" s="216"/>
      <c r="B600" s="217"/>
      <c r="C600" s="47"/>
      <c r="D600" s="47"/>
      <c r="E600" s="121"/>
      <c r="F600" s="47"/>
      <c r="G600" s="63"/>
      <c r="H600" s="47"/>
      <c r="I600" s="47"/>
      <c r="J600" s="63"/>
      <c r="K600" s="63"/>
      <c r="L600" s="63"/>
      <c r="M600" s="63"/>
      <c r="N600" s="63"/>
      <c r="O600" s="63"/>
      <c r="P600" s="63"/>
      <c r="Q600" s="63"/>
      <c r="R600" s="63"/>
      <c r="S600" s="63"/>
      <c r="T600" s="63"/>
      <c r="U600" s="63"/>
      <c r="V600" s="63"/>
      <c r="W600" s="63"/>
    </row>
    <row r="601" spans="1:23" ht="12.75">
      <c r="A601" s="216"/>
      <c r="B601" s="217"/>
      <c r="C601" s="47"/>
      <c r="D601" s="47"/>
      <c r="E601" s="121"/>
      <c r="F601" s="47"/>
      <c r="G601" s="63"/>
      <c r="H601" s="47"/>
      <c r="I601" s="47"/>
      <c r="J601" s="63"/>
      <c r="K601" s="63"/>
      <c r="L601" s="63"/>
      <c r="M601" s="63"/>
      <c r="N601" s="63"/>
      <c r="O601" s="63"/>
      <c r="P601" s="63"/>
      <c r="Q601" s="63"/>
      <c r="R601" s="63"/>
      <c r="S601" s="63"/>
      <c r="T601" s="63"/>
      <c r="U601" s="63"/>
      <c r="V601" s="63"/>
      <c r="W601" s="63"/>
    </row>
    <row r="602" spans="1:23" ht="12.75">
      <c r="A602" s="216"/>
      <c r="B602" s="217"/>
      <c r="C602" s="47"/>
      <c r="D602" s="47"/>
      <c r="E602" s="121"/>
      <c r="F602" s="47"/>
      <c r="G602" s="63"/>
      <c r="H602" s="47"/>
      <c r="I602" s="47"/>
      <c r="J602" s="63"/>
      <c r="K602" s="63"/>
      <c r="L602" s="63"/>
      <c r="M602" s="63"/>
      <c r="N602" s="63"/>
      <c r="O602" s="63"/>
      <c r="P602" s="63"/>
      <c r="Q602" s="63"/>
      <c r="R602" s="63"/>
      <c r="S602" s="63"/>
      <c r="T602" s="63"/>
      <c r="U602" s="63"/>
      <c r="V602" s="63"/>
      <c r="W602" s="63"/>
    </row>
    <row r="603" spans="1:23" ht="12.75">
      <c r="A603" s="216"/>
      <c r="B603" s="217"/>
      <c r="C603" s="47"/>
      <c r="D603" s="47"/>
      <c r="E603" s="121"/>
      <c r="F603" s="47"/>
      <c r="G603" s="63"/>
      <c r="H603" s="47"/>
      <c r="I603" s="47"/>
      <c r="J603" s="63"/>
      <c r="K603" s="63"/>
      <c r="L603" s="63"/>
      <c r="M603" s="63"/>
      <c r="N603" s="63"/>
      <c r="O603" s="63"/>
      <c r="P603" s="63"/>
      <c r="Q603" s="63"/>
      <c r="R603" s="63"/>
      <c r="S603" s="63"/>
      <c r="T603" s="63"/>
      <c r="U603" s="63"/>
      <c r="V603" s="63"/>
      <c r="W603" s="63"/>
    </row>
    <row r="604" spans="1:23" ht="12.75">
      <c r="A604" s="216"/>
      <c r="B604" s="217"/>
      <c r="C604" s="47"/>
      <c r="D604" s="47"/>
      <c r="E604" s="121"/>
      <c r="F604" s="47"/>
      <c r="G604" s="63"/>
      <c r="H604" s="47"/>
      <c r="I604" s="47"/>
      <c r="J604" s="63"/>
      <c r="K604" s="63"/>
      <c r="L604" s="63"/>
      <c r="M604" s="63"/>
      <c r="N604" s="63"/>
      <c r="O604" s="63"/>
      <c r="P604" s="63"/>
      <c r="Q604" s="63"/>
      <c r="R604" s="63"/>
      <c r="S604" s="63"/>
      <c r="T604" s="63"/>
      <c r="U604" s="63"/>
      <c r="V604" s="63"/>
      <c r="W604" s="63"/>
    </row>
    <row r="605" spans="1:23" ht="12.75">
      <c r="A605" s="216"/>
      <c r="B605" s="217"/>
      <c r="C605" s="47"/>
      <c r="D605" s="47"/>
      <c r="E605" s="121"/>
      <c r="F605" s="47"/>
      <c r="G605" s="63"/>
      <c r="H605" s="47"/>
      <c r="I605" s="47"/>
      <c r="J605" s="63"/>
      <c r="K605" s="63"/>
      <c r="L605" s="63"/>
      <c r="M605" s="63"/>
      <c r="N605" s="63"/>
      <c r="O605" s="63"/>
      <c r="P605" s="63"/>
      <c r="Q605" s="63"/>
      <c r="R605" s="63"/>
      <c r="S605" s="63"/>
      <c r="T605" s="63"/>
      <c r="U605" s="63"/>
      <c r="V605" s="63"/>
      <c r="W605" s="63"/>
    </row>
    <row r="606" spans="1:23" ht="12.75">
      <c r="A606" s="216"/>
      <c r="B606" s="217"/>
      <c r="C606" s="47"/>
      <c r="D606" s="47"/>
      <c r="E606" s="121"/>
      <c r="F606" s="47"/>
      <c r="G606" s="63"/>
      <c r="H606" s="47"/>
      <c r="I606" s="47"/>
      <c r="J606" s="63"/>
      <c r="K606" s="63"/>
      <c r="L606" s="63"/>
      <c r="M606" s="63"/>
      <c r="N606" s="63"/>
      <c r="O606" s="63"/>
      <c r="P606" s="63"/>
      <c r="Q606" s="63"/>
      <c r="R606" s="63"/>
      <c r="S606" s="63"/>
      <c r="T606" s="63"/>
      <c r="U606" s="63"/>
      <c r="V606" s="63"/>
      <c r="W606" s="63"/>
    </row>
    <row r="607" spans="1:23" ht="12.75">
      <c r="A607" s="216"/>
      <c r="B607" s="217"/>
      <c r="C607" s="47"/>
      <c r="D607" s="47"/>
      <c r="E607" s="121"/>
      <c r="F607" s="47"/>
      <c r="G607" s="63"/>
      <c r="H607" s="47"/>
      <c r="I607" s="47"/>
      <c r="J607" s="63"/>
      <c r="K607" s="63"/>
      <c r="L607" s="63"/>
      <c r="M607" s="63"/>
      <c r="N607" s="63"/>
      <c r="O607" s="63"/>
      <c r="P607" s="63"/>
      <c r="Q607" s="63"/>
      <c r="R607" s="63"/>
      <c r="S607" s="63"/>
      <c r="T607" s="63"/>
      <c r="U607" s="63"/>
      <c r="V607" s="63"/>
      <c r="W607" s="63"/>
    </row>
    <row r="608" spans="1:23" ht="12.75">
      <c r="A608" s="216"/>
      <c r="B608" s="217"/>
      <c r="C608" s="47"/>
      <c r="D608" s="47"/>
      <c r="E608" s="121"/>
      <c r="F608" s="47"/>
      <c r="G608" s="63"/>
      <c r="H608" s="47"/>
      <c r="I608" s="47"/>
      <c r="J608" s="63"/>
      <c r="K608" s="63"/>
      <c r="L608" s="63"/>
      <c r="M608" s="63"/>
      <c r="N608" s="63"/>
      <c r="O608" s="63"/>
      <c r="P608" s="63"/>
      <c r="Q608" s="63"/>
      <c r="R608" s="63"/>
      <c r="S608" s="63"/>
      <c r="T608" s="63"/>
      <c r="U608" s="63"/>
      <c r="V608" s="63"/>
      <c r="W608" s="63"/>
    </row>
    <row r="609" spans="1:23" ht="12.75">
      <c r="A609" s="216"/>
      <c r="B609" s="217"/>
      <c r="C609" s="47"/>
      <c r="D609" s="47"/>
      <c r="E609" s="121"/>
      <c r="F609" s="47"/>
      <c r="G609" s="63"/>
      <c r="H609" s="47"/>
      <c r="I609" s="47"/>
      <c r="J609" s="63"/>
      <c r="K609" s="63"/>
      <c r="L609" s="63"/>
      <c r="M609" s="63"/>
      <c r="N609" s="63"/>
      <c r="O609" s="63"/>
      <c r="P609" s="63"/>
      <c r="Q609" s="63"/>
      <c r="R609" s="63"/>
      <c r="S609" s="63"/>
      <c r="T609" s="63"/>
      <c r="U609" s="63"/>
      <c r="V609" s="63"/>
      <c r="W609" s="63"/>
    </row>
    <row r="610" spans="1:23" ht="12.75">
      <c r="A610" s="216"/>
      <c r="B610" s="217"/>
      <c r="C610" s="47"/>
      <c r="D610" s="47"/>
      <c r="E610" s="121"/>
      <c r="F610" s="47"/>
      <c r="G610" s="63"/>
      <c r="H610" s="47"/>
      <c r="I610" s="47"/>
      <c r="J610" s="63"/>
      <c r="K610" s="63"/>
      <c r="L610" s="63"/>
      <c r="M610" s="63"/>
      <c r="N610" s="63"/>
      <c r="O610" s="63"/>
      <c r="P610" s="63"/>
      <c r="Q610" s="63"/>
      <c r="R610" s="63"/>
      <c r="S610" s="63"/>
      <c r="T610" s="63"/>
      <c r="U610" s="63"/>
      <c r="V610" s="63"/>
      <c r="W610" s="63"/>
    </row>
    <row r="611" spans="1:23" ht="12.75">
      <c r="A611" s="216"/>
      <c r="B611" s="217"/>
      <c r="C611" s="47"/>
      <c r="D611" s="47"/>
      <c r="E611" s="121"/>
      <c r="F611" s="47"/>
      <c r="G611" s="63"/>
      <c r="H611" s="47"/>
      <c r="I611" s="47"/>
      <c r="J611" s="63"/>
      <c r="K611" s="63"/>
      <c r="L611" s="63"/>
      <c r="M611" s="63"/>
      <c r="N611" s="63"/>
      <c r="O611" s="63"/>
      <c r="P611" s="63"/>
      <c r="Q611" s="63"/>
      <c r="R611" s="63"/>
      <c r="S611" s="63"/>
      <c r="T611" s="63"/>
      <c r="U611" s="63"/>
      <c r="V611" s="63"/>
      <c r="W611" s="63"/>
    </row>
    <row r="612" spans="1:23" ht="12.75">
      <c r="A612" s="216"/>
      <c r="B612" s="217"/>
      <c r="C612" s="47"/>
      <c r="D612" s="47"/>
      <c r="E612" s="121"/>
      <c r="F612" s="47"/>
      <c r="G612" s="63"/>
      <c r="H612" s="47"/>
      <c r="I612" s="47"/>
      <c r="J612" s="63"/>
      <c r="K612" s="63"/>
      <c r="L612" s="63"/>
      <c r="M612" s="63"/>
      <c r="N612" s="63"/>
      <c r="O612" s="63"/>
      <c r="P612" s="63"/>
      <c r="Q612" s="63"/>
      <c r="R612" s="63"/>
      <c r="S612" s="63"/>
      <c r="T612" s="63"/>
      <c r="U612" s="63"/>
      <c r="V612" s="63"/>
      <c r="W612" s="63"/>
    </row>
    <row r="613" spans="1:23" ht="12.75">
      <c r="A613" s="216"/>
      <c r="B613" s="217"/>
      <c r="C613" s="47"/>
      <c r="D613" s="47"/>
      <c r="E613" s="121"/>
      <c r="F613" s="47"/>
      <c r="G613" s="63"/>
      <c r="H613" s="47"/>
      <c r="I613" s="47"/>
      <c r="J613" s="63"/>
      <c r="K613" s="63"/>
      <c r="L613" s="63"/>
      <c r="M613" s="63"/>
      <c r="N613" s="63"/>
      <c r="O613" s="63"/>
      <c r="P613" s="63"/>
      <c r="Q613" s="63"/>
      <c r="R613" s="63"/>
      <c r="S613" s="63"/>
      <c r="T613" s="63"/>
      <c r="U613" s="63"/>
      <c r="V613" s="63"/>
      <c r="W613" s="63"/>
    </row>
    <row r="614" spans="1:23" ht="12.75">
      <c r="A614" s="216"/>
      <c r="B614" s="217"/>
      <c r="C614" s="47"/>
      <c r="D614" s="47"/>
      <c r="E614" s="121"/>
      <c r="F614" s="47"/>
      <c r="G614" s="63"/>
      <c r="H614" s="47"/>
      <c r="I614" s="47"/>
      <c r="J614" s="63"/>
      <c r="K614" s="63"/>
      <c r="L614" s="63"/>
      <c r="M614" s="63"/>
      <c r="N614" s="63"/>
      <c r="O614" s="63"/>
      <c r="P614" s="63"/>
      <c r="Q614" s="63"/>
      <c r="R614" s="63"/>
      <c r="S614" s="63"/>
      <c r="T614" s="63"/>
      <c r="U614" s="63"/>
      <c r="V614" s="63"/>
      <c r="W614" s="63"/>
    </row>
    <row r="615" spans="1:23" ht="12.75">
      <c r="A615" s="216"/>
      <c r="B615" s="217"/>
      <c r="C615" s="47"/>
      <c r="D615" s="47"/>
      <c r="E615" s="121"/>
      <c r="F615" s="47"/>
      <c r="G615" s="63"/>
      <c r="H615" s="47"/>
      <c r="I615" s="47"/>
      <c r="J615" s="63"/>
      <c r="K615" s="63"/>
      <c r="L615" s="63"/>
      <c r="M615" s="63"/>
      <c r="N615" s="63"/>
      <c r="O615" s="63"/>
      <c r="P615" s="63"/>
      <c r="Q615" s="63"/>
      <c r="R615" s="63"/>
      <c r="S615" s="63"/>
      <c r="T615" s="63"/>
      <c r="U615" s="63"/>
      <c r="V615" s="63"/>
      <c r="W615" s="63"/>
    </row>
    <row r="616" spans="1:23" ht="12.75">
      <c r="A616" s="216"/>
      <c r="B616" s="217"/>
      <c r="C616" s="47"/>
      <c r="D616" s="47"/>
      <c r="E616" s="121"/>
      <c r="F616" s="47"/>
      <c r="G616" s="63"/>
      <c r="H616" s="47"/>
      <c r="I616" s="47"/>
      <c r="J616" s="63"/>
      <c r="K616" s="63"/>
      <c r="L616" s="63"/>
      <c r="M616" s="63"/>
      <c r="N616" s="63"/>
      <c r="O616" s="63"/>
      <c r="P616" s="63"/>
      <c r="Q616" s="63"/>
      <c r="R616" s="63"/>
      <c r="S616" s="63"/>
      <c r="T616" s="63"/>
      <c r="U616" s="63"/>
      <c r="V616" s="63"/>
      <c r="W616" s="63"/>
    </row>
    <row r="617" spans="1:23" ht="12.75">
      <c r="A617" s="216"/>
      <c r="B617" s="217"/>
      <c r="C617" s="47"/>
      <c r="D617" s="47"/>
      <c r="E617" s="121"/>
      <c r="F617" s="47"/>
      <c r="G617" s="63"/>
      <c r="H617" s="47"/>
      <c r="I617" s="47"/>
      <c r="J617" s="63"/>
      <c r="K617" s="63"/>
      <c r="L617" s="63"/>
      <c r="M617" s="63"/>
      <c r="N617" s="63"/>
      <c r="O617" s="63"/>
      <c r="P617" s="63"/>
      <c r="Q617" s="63"/>
      <c r="R617" s="63"/>
      <c r="S617" s="63"/>
      <c r="T617" s="63"/>
      <c r="U617" s="63"/>
      <c r="V617" s="63"/>
      <c r="W617" s="63"/>
    </row>
    <row r="618" spans="1:23" ht="12.75">
      <c r="A618" s="216"/>
      <c r="B618" s="217"/>
      <c r="C618" s="47"/>
      <c r="D618" s="47"/>
      <c r="E618" s="121"/>
      <c r="F618" s="47"/>
      <c r="G618" s="63"/>
      <c r="H618" s="47"/>
      <c r="I618" s="47"/>
      <c r="J618" s="63"/>
      <c r="K618" s="63"/>
      <c r="L618" s="63"/>
      <c r="M618" s="63"/>
      <c r="N618" s="63"/>
      <c r="O618" s="63"/>
      <c r="P618" s="63"/>
      <c r="Q618" s="63"/>
      <c r="R618" s="63"/>
      <c r="S618" s="63"/>
      <c r="T618" s="63"/>
      <c r="U618" s="63"/>
      <c r="V618" s="63"/>
      <c r="W618" s="63"/>
    </row>
    <row r="619" spans="1:23" ht="12.75">
      <c r="A619" s="216"/>
      <c r="B619" s="217"/>
      <c r="C619" s="47"/>
      <c r="D619" s="47"/>
      <c r="E619" s="121"/>
      <c r="F619" s="47"/>
      <c r="G619" s="63"/>
      <c r="H619" s="47"/>
      <c r="I619" s="47"/>
      <c r="J619" s="63"/>
      <c r="K619" s="63"/>
      <c r="L619" s="63"/>
      <c r="M619" s="63"/>
      <c r="N619" s="63"/>
      <c r="O619" s="63"/>
      <c r="P619" s="63"/>
      <c r="Q619" s="63"/>
      <c r="R619" s="63"/>
      <c r="S619" s="63"/>
      <c r="T619" s="63"/>
      <c r="U619" s="63"/>
      <c r="V619" s="63"/>
      <c r="W619" s="63"/>
    </row>
    <row r="620" spans="1:23" ht="12.75">
      <c r="A620" s="216"/>
      <c r="B620" s="217"/>
      <c r="C620" s="47"/>
      <c r="D620" s="47"/>
      <c r="E620" s="121"/>
      <c r="F620" s="47"/>
      <c r="G620" s="63"/>
      <c r="H620" s="47"/>
      <c r="I620" s="47"/>
      <c r="J620" s="63"/>
      <c r="K620" s="63"/>
      <c r="L620" s="63"/>
      <c r="M620" s="63"/>
      <c r="N620" s="63"/>
      <c r="O620" s="63"/>
      <c r="P620" s="63"/>
      <c r="Q620" s="63"/>
      <c r="R620" s="63"/>
      <c r="S620" s="63"/>
      <c r="T620" s="63"/>
      <c r="U620" s="63"/>
      <c r="V620" s="63"/>
      <c r="W620" s="63"/>
    </row>
    <row r="621" spans="1:23" ht="12.75">
      <c r="A621" s="216"/>
      <c r="B621" s="217"/>
      <c r="C621" s="47"/>
      <c r="D621" s="47"/>
      <c r="E621" s="121"/>
      <c r="F621" s="47"/>
      <c r="G621" s="63"/>
      <c r="H621" s="47"/>
      <c r="I621" s="47"/>
      <c r="J621" s="63"/>
      <c r="K621" s="63"/>
      <c r="L621" s="63"/>
      <c r="M621" s="63"/>
      <c r="N621" s="63"/>
      <c r="O621" s="63"/>
      <c r="P621" s="63"/>
      <c r="Q621" s="63"/>
      <c r="R621" s="63"/>
      <c r="S621" s="63"/>
      <c r="T621" s="63"/>
      <c r="U621" s="63"/>
      <c r="V621" s="63"/>
      <c r="W621" s="63"/>
    </row>
    <row r="622" spans="1:23" ht="12.75">
      <c r="A622" s="216"/>
      <c r="B622" s="217"/>
      <c r="C622" s="47"/>
      <c r="D622" s="47"/>
      <c r="E622" s="121"/>
      <c r="F622" s="47"/>
      <c r="G622" s="63"/>
      <c r="H622" s="47"/>
      <c r="I622" s="47"/>
      <c r="J622" s="63"/>
      <c r="K622" s="63"/>
      <c r="L622" s="63"/>
      <c r="M622" s="63"/>
      <c r="N622" s="63"/>
      <c r="O622" s="63"/>
      <c r="P622" s="63"/>
      <c r="Q622" s="63"/>
      <c r="R622" s="63"/>
      <c r="S622" s="63"/>
      <c r="T622" s="63"/>
      <c r="U622" s="63"/>
      <c r="V622" s="63"/>
      <c r="W622" s="63"/>
    </row>
    <row r="623" spans="1:23" ht="12.75">
      <c r="A623" s="216"/>
      <c r="B623" s="217"/>
      <c r="C623" s="47"/>
      <c r="D623" s="47"/>
      <c r="E623" s="121"/>
      <c r="F623" s="47"/>
      <c r="G623" s="63"/>
      <c r="H623" s="47"/>
      <c r="I623" s="47"/>
      <c r="J623" s="63"/>
      <c r="K623" s="63"/>
      <c r="L623" s="63"/>
      <c r="M623" s="63"/>
      <c r="N623" s="63"/>
      <c r="O623" s="63"/>
      <c r="P623" s="63"/>
      <c r="Q623" s="63"/>
      <c r="R623" s="63"/>
      <c r="S623" s="63"/>
      <c r="T623" s="63"/>
      <c r="U623" s="63"/>
      <c r="V623" s="63"/>
      <c r="W623" s="63"/>
    </row>
    <row r="624" spans="1:23" ht="12.75">
      <c r="A624" s="216"/>
      <c r="B624" s="217"/>
      <c r="C624" s="47"/>
      <c r="D624" s="47"/>
      <c r="E624" s="121"/>
      <c r="F624" s="47"/>
      <c r="G624" s="63"/>
      <c r="H624" s="47"/>
      <c r="I624" s="47"/>
      <c r="J624" s="63"/>
      <c r="K624" s="63"/>
      <c r="L624" s="63"/>
      <c r="M624" s="63"/>
      <c r="N624" s="63"/>
      <c r="O624" s="63"/>
      <c r="P624" s="63"/>
      <c r="Q624" s="63"/>
      <c r="R624" s="63"/>
      <c r="S624" s="63"/>
      <c r="T624" s="63"/>
      <c r="U624" s="63"/>
      <c r="V624" s="63"/>
      <c r="W624" s="63"/>
    </row>
    <row r="625" spans="1:23" ht="12.75">
      <c r="A625" s="216"/>
      <c r="B625" s="217"/>
      <c r="C625" s="47"/>
      <c r="D625" s="47"/>
      <c r="E625" s="121"/>
      <c r="F625" s="47"/>
      <c r="G625" s="63"/>
      <c r="H625" s="47"/>
      <c r="I625" s="47"/>
      <c r="J625" s="63"/>
      <c r="K625" s="63"/>
      <c r="L625" s="63"/>
      <c r="M625" s="63"/>
      <c r="N625" s="63"/>
      <c r="O625" s="63"/>
      <c r="P625" s="63"/>
      <c r="Q625" s="63"/>
      <c r="R625" s="63"/>
      <c r="S625" s="63"/>
      <c r="T625" s="63"/>
      <c r="U625" s="63"/>
      <c r="V625" s="63"/>
      <c r="W625" s="63"/>
    </row>
    <row r="626" spans="1:23" ht="12.75">
      <c r="A626" s="216"/>
      <c r="B626" s="217"/>
      <c r="C626" s="47"/>
      <c r="D626" s="47"/>
      <c r="E626" s="121"/>
      <c r="F626" s="47"/>
      <c r="G626" s="63"/>
      <c r="H626" s="47"/>
      <c r="I626" s="47"/>
      <c r="J626" s="63"/>
      <c r="K626" s="63"/>
      <c r="L626" s="63"/>
      <c r="M626" s="63"/>
      <c r="N626" s="63"/>
      <c r="O626" s="63"/>
      <c r="P626" s="63"/>
      <c r="Q626" s="63"/>
      <c r="R626" s="63"/>
      <c r="S626" s="63"/>
      <c r="T626" s="63"/>
      <c r="U626" s="63"/>
      <c r="V626" s="63"/>
      <c r="W626" s="63"/>
    </row>
    <row r="627" spans="1:23" ht="12.75">
      <c r="A627" s="216"/>
      <c r="B627" s="217"/>
      <c r="C627" s="47"/>
      <c r="D627" s="47"/>
      <c r="E627" s="121"/>
      <c r="F627" s="47"/>
      <c r="G627" s="63"/>
      <c r="H627" s="47"/>
      <c r="I627" s="47"/>
      <c r="J627" s="63"/>
      <c r="K627" s="63"/>
      <c r="L627" s="63"/>
      <c r="M627" s="63"/>
      <c r="N627" s="63"/>
      <c r="O627" s="63"/>
      <c r="P627" s="63"/>
      <c r="Q627" s="63"/>
      <c r="R627" s="63"/>
      <c r="S627" s="63"/>
      <c r="T627" s="63"/>
      <c r="U627" s="63"/>
      <c r="V627" s="63"/>
      <c r="W627" s="63"/>
    </row>
    <row r="628" spans="1:23" ht="12.75">
      <c r="A628" s="216"/>
      <c r="B628" s="217"/>
      <c r="C628" s="47"/>
      <c r="D628" s="47"/>
      <c r="E628" s="121"/>
      <c r="F628" s="47"/>
      <c r="G628" s="63"/>
      <c r="H628" s="47"/>
      <c r="I628" s="47"/>
      <c r="J628" s="63"/>
      <c r="K628" s="63"/>
      <c r="L628" s="63"/>
      <c r="M628" s="63"/>
      <c r="N628" s="63"/>
      <c r="O628" s="63"/>
      <c r="P628" s="63"/>
      <c r="Q628" s="63"/>
      <c r="R628" s="63"/>
      <c r="S628" s="63"/>
      <c r="T628" s="63"/>
      <c r="U628" s="63"/>
      <c r="V628" s="63"/>
      <c r="W628" s="63"/>
    </row>
    <row r="629" spans="1:23" ht="12.75">
      <c r="A629" s="216"/>
      <c r="B629" s="217"/>
      <c r="C629" s="47"/>
      <c r="D629" s="47"/>
      <c r="E629" s="121"/>
      <c r="F629" s="47"/>
      <c r="G629" s="63"/>
      <c r="H629" s="47"/>
      <c r="I629" s="47"/>
      <c r="J629" s="63"/>
      <c r="K629" s="63"/>
      <c r="L629" s="63"/>
      <c r="M629" s="63"/>
      <c r="N629" s="63"/>
      <c r="O629" s="63"/>
      <c r="P629" s="63"/>
      <c r="Q629" s="63"/>
      <c r="R629" s="63"/>
      <c r="S629" s="63"/>
      <c r="T629" s="63"/>
      <c r="U629" s="63"/>
      <c r="V629" s="63"/>
      <c r="W629" s="63"/>
    </row>
    <row r="630" spans="1:23" ht="12.75">
      <c r="A630" s="216"/>
      <c r="B630" s="217"/>
      <c r="C630" s="47"/>
      <c r="D630" s="47"/>
      <c r="E630" s="121"/>
      <c r="F630" s="47"/>
      <c r="G630" s="63"/>
      <c r="H630" s="47"/>
      <c r="I630" s="47"/>
      <c r="J630" s="63"/>
      <c r="K630" s="63"/>
      <c r="L630" s="63"/>
      <c r="M630" s="63"/>
      <c r="N630" s="63"/>
      <c r="O630" s="63"/>
      <c r="P630" s="63"/>
      <c r="Q630" s="63"/>
      <c r="R630" s="63"/>
      <c r="S630" s="63"/>
      <c r="T630" s="63"/>
      <c r="U630" s="63"/>
      <c r="V630" s="63"/>
      <c r="W630" s="63"/>
    </row>
    <row r="631" spans="1:23" ht="12.75">
      <c r="A631" s="216"/>
      <c r="B631" s="217"/>
      <c r="C631" s="47"/>
      <c r="D631" s="47"/>
      <c r="E631" s="121"/>
      <c r="F631" s="47"/>
      <c r="G631" s="63"/>
      <c r="H631" s="47"/>
      <c r="I631" s="47"/>
      <c r="J631" s="63"/>
      <c r="K631" s="63"/>
      <c r="L631" s="63"/>
      <c r="M631" s="63"/>
      <c r="N631" s="63"/>
      <c r="O631" s="63"/>
      <c r="P631" s="63"/>
      <c r="Q631" s="63"/>
      <c r="R631" s="63"/>
      <c r="S631" s="63"/>
      <c r="T631" s="63"/>
      <c r="U631" s="63"/>
      <c r="V631" s="63"/>
      <c r="W631" s="63"/>
    </row>
    <row r="632" spans="1:23" ht="12.75">
      <c r="A632" s="216"/>
      <c r="B632" s="217"/>
      <c r="C632" s="47"/>
      <c r="D632" s="47"/>
      <c r="E632" s="121"/>
      <c r="F632" s="47"/>
      <c r="G632" s="63"/>
      <c r="H632" s="47"/>
      <c r="I632" s="47"/>
      <c r="J632" s="63"/>
      <c r="K632" s="63"/>
      <c r="L632" s="63"/>
      <c r="M632" s="63"/>
      <c r="N632" s="63"/>
      <c r="O632" s="63"/>
      <c r="P632" s="63"/>
      <c r="Q632" s="63"/>
      <c r="R632" s="63"/>
      <c r="S632" s="63"/>
      <c r="T632" s="63"/>
      <c r="U632" s="63"/>
      <c r="V632" s="63"/>
      <c r="W632" s="63"/>
    </row>
    <row r="633" spans="1:23" ht="12.75">
      <c r="A633" s="216"/>
      <c r="B633" s="217"/>
      <c r="C633" s="47"/>
      <c r="D633" s="47"/>
      <c r="E633" s="121"/>
      <c r="F633" s="47"/>
      <c r="G633" s="63"/>
      <c r="H633" s="47"/>
      <c r="I633" s="47"/>
      <c r="J633" s="63"/>
      <c r="K633" s="63"/>
      <c r="L633" s="63"/>
      <c r="M633" s="63"/>
      <c r="N633" s="63"/>
      <c r="O633" s="63"/>
      <c r="P633" s="63"/>
      <c r="Q633" s="63"/>
      <c r="R633" s="63"/>
      <c r="S633" s="63"/>
      <c r="T633" s="63"/>
      <c r="U633" s="63"/>
      <c r="V633" s="63"/>
      <c r="W633" s="63"/>
    </row>
    <row r="634" spans="1:23" ht="12.75">
      <c r="A634" s="216"/>
      <c r="B634" s="217"/>
      <c r="C634" s="47"/>
      <c r="D634" s="47"/>
      <c r="E634" s="121"/>
      <c r="F634" s="47"/>
      <c r="G634" s="63"/>
      <c r="H634" s="47"/>
      <c r="I634" s="47"/>
      <c r="J634" s="63"/>
      <c r="K634" s="63"/>
      <c r="L634" s="63"/>
      <c r="M634" s="63"/>
      <c r="N634" s="63"/>
      <c r="O634" s="63"/>
      <c r="P634" s="63"/>
      <c r="Q634" s="63"/>
      <c r="R634" s="63"/>
      <c r="S634" s="63"/>
      <c r="T634" s="63"/>
      <c r="U634" s="63"/>
      <c r="V634" s="63"/>
      <c r="W634" s="63"/>
    </row>
    <row r="635" spans="1:23" ht="12.75">
      <c r="A635" s="216"/>
      <c r="B635" s="217"/>
      <c r="C635" s="47"/>
      <c r="D635" s="47"/>
      <c r="E635" s="121"/>
      <c r="F635" s="47"/>
      <c r="G635" s="63"/>
      <c r="H635" s="47"/>
      <c r="I635" s="47"/>
      <c r="J635" s="63"/>
      <c r="K635" s="63"/>
      <c r="L635" s="63"/>
      <c r="M635" s="63"/>
      <c r="N635" s="63"/>
      <c r="O635" s="63"/>
      <c r="P635" s="63"/>
      <c r="Q635" s="63"/>
      <c r="R635" s="63"/>
      <c r="S635" s="63"/>
      <c r="T635" s="63"/>
      <c r="U635" s="63"/>
      <c r="V635" s="63"/>
      <c r="W635" s="63"/>
    </row>
    <row r="636" spans="1:23" ht="12.75">
      <c r="A636" s="216"/>
      <c r="B636" s="217"/>
      <c r="C636" s="47"/>
      <c r="D636" s="47"/>
      <c r="E636" s="121"/>
      <c r="F636" s="47"/>
      <c r="G636" s="63"/>
      <c r="H636" s="47"/>
      <c r="I636" s="47"/>
      <c r="J636" s="63"/>
      <c r="K636" s="63"/>
      <c r="L636" s="63"/>
      <c r="M636" s="63"/>
      <c r="N636" s="63"/>
      <c r="O636" s="63"/>
      <c r="P636" s="63"/>
      <c r="Q636" s="63"/>
      <c r="R636" s="63"/>
      <c r="S636" s="63"/>
      <c r="T636" s="63"/>
      <c r="U636" s="63"/>
      <c r="V636" s="63"/>
      <c r="W636" s="63"/>
    </row>
    <row r="637" spans="1:23" ht="12.75">
      <c r="A637" s="216"/>
      <c r="B637" s="217"/>
      <c r="C637" s="47"/>
      <c r="D637" s="47"/>
      <c r="E637" s="121"/>
      <c r="F637" s="47"/>
      <c r="G637" s="63"/>
      <c r="H637" s="47"/>
      <c r="I637" s="47"/>
      <c r="J637" s="63"/>
      <c r="K637" s="63"/>
      <c r="L637" s="63"/>
      <c r="M637" s="63"/>
      <c r="N637" s="63"/>
      <c r="O637" s="63"/>
      <c r="P637" s="63"/>
      <c r="Q637" s="63"/>
      <c r="R637" s="63"/>
      <c r="S637" s="63"/>
      <c r="T637" s="63"/>
      <c r="U637" s="63"/>
      <c r="V637" s="63"/>
      <c r="W637" s="63"/>
    </row>
    <row r="638" spans="1:23" ht="12.75">
      <c r="A638" s="216"/>
      <c r="B638" s="217"/>
      <c r="C638" s="47"/>
      <c r="D638" s="47"/>
      <c r="E638" s="121"/>
      <c r="F638" s="47"/>
      <c r="G638" s="63"/>
      <c r="H638" s="47"/>
      <c r="I638" s="47"/>
      <c r="J638" s="63"/>
      <c r="K638" s="63"/>
      <c r="L638" s="63"/>
      <c r="M638" s="63"/>
      <c r="N638" s="63"/>
      <c r="O638" s="63"/>
      <c r="P638" s="63"/>
      <c r="Q638" s="63"/>
      <c r="R638" s="63"/>
      <c r="S638" s="63"/>
      <c r="T638" s="63"/>
      <c r="U638" s="63"/>
      <c r="V638" s="63"/>
      <c r="W638" s="63"/>
    </row>
    <row r="639" spans="1:23" ht="12.75">
      <c r="A639" s="216"/>
      <c r="B639" s="217"/>
      <c r="C639" s="47"/>
      <c r="D639" s="47"/>
      <c r="E639" s="121"/>
      <c r="F639" s="47"/>
      <c r="G639" s="63"/>
      <c r="H639" s="47"/>
      <c r="I639" s="47"/>
      <c r="J639" s="63"/>
      <c r="K639" s="63"/>
      <c r="L639" s="63"/>
      <c r="M639" s="63"/>
      <c r="N639" s="63"/>
      <c r="O639" s="63"/>
      <c r="P639" s="63"/>
      <c r="Q639" s="63"/>
      <c r="R639" s="63"/>
      <c r="S639" s="63"/>
      <c r="T639" s="63"/>
      <c r="U639" s="63"/>
      <c r="V639" s="63"/>
      <c r="W639" s="63"/>
    </row>
    <row r="640" spans="1:23" ht="12.75">
      <c r="A640" s="216"/>
      <c r="B640" s="217"/>
      <c r="C640" s="47"/>
      <c r="D640" s="47"/>
      <c r="E640" s="121"/>
      <c r="F640" s="47"/>
      <c r="G640" s="63"/>
      <c r="H640" s="47"/>
      <c r="I640" s="47"/>
      <c r="J640" s="63"/>
      <c r="K640" s="63"/>
      <c r="L640" s="63"/>
      <c r="M640" s="63"/>
      <c r="N640" s="63"/>
      <c r="O640" s="63"/>
      <c r="P640" s="63"/>
      <c r="Q640" s="63"/>
      <c r="R640" s="63"/>
      <c r="S640" s="63"/>
      <c r="T640" s="63"/>
      <c r="U640" s="63"/>
      <c r="V640" s="63"/>
      <c r="W640" s="63"/>
    </row>
    <row r="641" spans="1:23" ht="12.75">
      <c r="A641" s="216"/>
      <c r="B641" s="217"/>
      <c r="C641" s="47"/>
      <c r="D641" s="47"/>
      <c r="E641" s="121"/>
      <c r="F641" s="47"/>
      <c r="G641" s="63"/>
      <c r="H641" s="47"/>
      <c r="I641" s="47"/>
      <c r="J641" s="63"/>
      <c r="K641" s="63"/>
      <c r="L641" s="63"/>
      <c r="M641" s="63"/>
      <c r="N641" s="63"/>
      <c r="O641" s="63"/>
      <c r="P641" s="63"/>
      <c r="Q641" s="63"/>
      <c r="R641" s="63"/>
      <c r="S641" s="63"/>
      <c r="T641" s="63"/>
      <c r="U641" s="63"/>
      <c r="V641" s="63"/>
      <c r="W641" s="63"/>
    </row>
    <row r="642" spans="1:23" ht="12.75">
      <c r="A642" s="216"/>
      <c r="B642" s="217"/>
      <c r="C642" s="47"/>
      <c r="D642" s="47"/>
      <c r="E642" s="121"/>
      <c r="F642" s="47"/>
      <c r="G642" s="63"/>
      <c r="H642" s="47"/>
      <c r="I642" s="47"/>
      <c r="J642" s="63"/>
      <c r="K642" s="63"/>
      <c r="L642" s="63"/>
      <c r="M642" s="63"/>
      <c r="N642" s="63"/>
      <c r="O642" s="63"/>
      <c r="P642" s="63"/>
      <c r="Q642" s="63"/>
      <c r="R642" s="63"/>
      <c r="S642" s="63"/>
      <c r="T642" s="63"/>
      <c r="U642" s="63"/>
      <c r="V642" s="63"/>
      <c r="W642" s="63"/>
    </row>
    <row r="643" spans="1:23" ht="12.75">
      <c r="A643" s="216"/>
      <c r="B643" s="217"/>
      <c r="C643" s="47"/>
      <c r="D643" s="47"/>
      <c r="E643" s="121"/>
      <c r="F643" s="47"/>
      <c r="G643" s="63"/>
      <c r="H643" s="47"/>
      <c r="I643" s="47"/>
      <c r="J643" s="63"/>
      <c r="K643" s="63"/>
      <c r="L643" s="63"/>
      <c r="M643" s="63"/>
      <c r="N643" s="63"/>
      <c r="O643" s="63"/>
      <c r="P643" s="63"/>
      <c r="Q643" s="63"/>
      <c r="R643" s="63"/>
      <c r="S643" s="63"/>
      <c r="T643" s="63"/>
      <c r="U643" s="63"/>
      <c r="V643" s="63"/>
      <c r="W643" s="63"/>
    </row>
    <row r="644" spans="1:23" ht="12.75">
      <c r="A644" s="216"/>
      <c r="B644" s="217"/>
      <c r="C644" s="47"/>
      <c r="D644" s="47"/>
      <c r="E644" s="121"/>
      <c r="F644" s="47"/>
      <c r="G644" s="63"/>
      <c r="H644" s="47"/>
      <c r="I644" s="47"/>
      <c r="J644" s="63"/>
      <c r="K644" s="63"/>
      <c r="L644" s="63"/>
      <c r="M644" s="63"/>
      <c r="N644" s="63"/>
      <c r="O644" s="63"/>
      <c r="P644" s="63"/>
      <c r="Q644" s="63"/>
      <c r="R644" s="63"/>
      <c r="S644" s="63"/>
      <c r="T644" s="63"/>
      <c r="U644" s="63"/>
      <c r="V644" s="63"/>
      <c r="W644" s="63"/>
    </row>
    <row r="645" spans="1:23" ht="12.75">
      <c r="A645" s="216"/>
      <c r="B645" s="217"/>
      <c r="C645" s="47"/>
      <c r="D645" s="47"/>
      <c r="E645" s="121"/>
      <c r="F645" s="47"/>
      <c r="G645" s="63"/>
      <c r="H645" s="47"/>
      <c r="I645" s="47"/>
      <c r="J645" s="63"/>
      <c r="K645" s="63"/>
      <c r="L645" s="63"/>
      <c r="M645" s="63"/>
      <c r="N645" s="63"/>
      <c r="O645" s="63"/>
      <c r="P645" s="63"/>
      <c r="Q645" s="63"/>
      <c r="R645" s="63"/>
      <c r="S645" s="63"/>
      <c r="T645" s="63"/>
      <c r="U645" s="63"/>
      <c r="V645" s="63"/>
      <c r="W645" s="63"/>
    </row>
    <row r="646" spans="1:23" ht="12.75">
      <c r="A646" s="216"/>
      <c r="B646" s="217"/>
      <c r="C646" s="47"/>
      <c r="D646" s="47"/>
      <c r="E646" s="121"/>
      <c r="F646" s="47"/>
      <c r="G646" s="63"/>
      <c r="H646" s="47"/>
      <c r="I646" s="47"/>
      <c r="J646" s="63"/>
      <c r="K646" s="63"/>
      <c r="L646" s="63"/>
      <c r="M646" s="63"/>
      <c r="N646" s="63"/>
      <c r="O646" s="63"/>
      <c r="P646" s="63"/>
      <c r="Q646" s="63"/>
      <c r="R646" s="63"/>
      <c r="S646" s="63"/>
      <c r="T646" s="63"/>
      <c r="U646" s="63"/>
      <c r="V646" s="63"/>
      <c r="W646" s="63"/>
    </row>
    <row r="647" spans="1:23" ht="12.75">
      <c r="A647" s="216"/>
      <c r="B647" s="217"/>
      <c r="C647" s="47"/>
      <c r="D647" s="47"/>
      <c r="E647" s="121"/>
      <c r="F647" s="47"/>
      <c r="G647" s="63"/>
      <c r="H647" s="47"/>
      <c r="I647" s="47"/>
      <c r="J647" s="63"/>
      <c r="K647" s="63"/>
      <c r="L647" s="63"/>
      <c r="M647" s="63"/>
      <c r="N647" s="63"/>
      <c r="O647" s="63"/>
      <c r="P647" s="63"/>
      <c r="Q647" s="63"/>
      <c r="R647" s="63"/>
      <c r="S647" s="63"/>
      <c r="T647" s="63"/>
      <c r="U647" s="63"/>
      <c r="V647" s="63"/>
      <c r="W647" s="63"/>
    </row>
    <row r="648" spans="1:23" ht="12.75">
      <c r="A648" s="216"/>
      <c r="B648" s="217"/>
      <c r="C648" s="47"/>
      <c r="D648" s="47"/>
      <c r="E648" s="121"/>
      <c r="F648" s="47"/>
      <c r="G648" s="63"/>
      <c r="H648" s="47"/>
      <c r="I648" s="47"/>
      <c r="J648" s="63"/>
      <c r="K648" s="63"/>
      <c r="L648" s="63"/>
      <c r="M648" s="63"/>
      <c r="N648" s="63"/>
      <c r="O648" s="63"/>
      <c r="P648" s="63"/>
      <c r="Q648" s="63"/>
      <c r="R648" s="63"/>
      <c r="S648" s="63"/>
      <c r="T648" s="63"/>
      <c r="U648" s="63"/>
      <c r="V648" s="63"/>
      <c r="W648" s="63"/>
    </row>
    <row r="649" spans="1:23" ht="12.75">
      <c r="A649" s="216"/>
      <c r="B649" s="217"/>
      <c r="C649" s="47"/>
      <c r="D649" s="47"/>
      <c r="E649" s="121"/>
      <c r="F649" s="47"/>
      <c r="G649" s="63"/>
      <c r="H649" s="47"/>
      <c r="I649" s="47"/>
      <c r="J649" s="63"/>
      <c r="K649" s="63"/>
      <c r="L649" s="63"/>
      <c r="M649" s="63"/>
      <c r="N649" s="63"/>
      <c r="O649" s="63"/>
      <c r="P649" s="63"/>
      <c r="Q649" s="63"/>
      <c r="R649" s="63"/>
      <c r="S649" s="63"/>
      <c r="T649" s="63"/>
      <c r="U649" s="63"/>
      <c r="V649" s="63"/>
      <c r="W649" s="63"/>
    </row>
    <row r="650" spans="1:23" ht="12.75">
      <c r="A650" s="216"/>
      <c r="B650" s="217"/>
      <c r="C650" s="47"/>
      <c r="D650" s="47"/>
      <c r="E650" s="121"/>
      <c r="F650" s="47"/>
      <c r="G650" s="63"/>
      <c r="H650" s="47"/>
      <c r="I650" s="47"/>
      <c r="J650" s="63"/>
      <c r="K650" s="63"/>
      <c r="L650" s="63"/>
      <c r="M650" s="63"/>
      <c r="N650" s="63"/>
      <c r="O650" s="63"/>
      <c r="P650" s="63"/>
      <c r="Q650" s="63"/>
      <c r="R650" s="63"/>
      <c r="S650" s="63"/>
      <c r="T650" s="63"/>
      <c r="U650" s="63"/>
      <c r="V650" s="63"/>
      <c r="W650" s="63"/>
    </row>
    <row r="651" spans="1:23" ht="12.75">
      <c r="A651" s="216"/>
      <c r="B651" s="217"/>
      <c r="C651" s="47"/>
      <c r="D651" s="47"/>
      <c r="E651" s="121"/>
      <c r="F651" s="47"/>
      <c r="G651" s="63"/>
      <c r="H651" s="47"/>
      <c r="I651" s="47"/>
      <c r="J651" s="63"/>
      <c r="K651" s="63"/>
      <c r="L651" s="63"/>
      <c r="M651" s="63"/>
      <c r="N651" s="63"/>
      <c r="O651" s="63"/>
      <c r="P651" s="63"/>
      <c r="Q651" s="63"/>
      <c r="R651" s="63"/>
      <c r="S651" s="63"/>
      <c r="T651" s="63"/>
      <c r="U651" s="63"/>
      <c r="V651" s="63"/>
      <c r="W651" s="63"/>
    </row>
    <row r="652" spans="1:23" ht="12.75">
      <c r="A652" s="216"/>
      <c r="B652" s="217"/>
      <c r="C652" s="47"/>
      <c r="D652" s="47"/>
      <c r="E652" s="121"/>
      <c r="F652" s="47"/>
      <c r="G652" s="63"/>
      <c r="H652" s="47"/>
      <c r="I652" s="47"/>
      <c r="J652" s="63"/>
      <c r="K652" s="63"/>
      <c r="L652" s="63"/>
      <c r="M652" s="63"/>
      <c r="N652" s="63"/>
      <c r="O652" s="63"/>
      <c r="P652" s="63"/>
      <c r="Q652" s="63"/>
      <c r="R652" s="63"/>
      <c r="S652" s="63"/>
      <c r="T652" s="63"/>
      <c r="U652" s="63"/>
      <c r="V652" s="63"/>
      <c r="W652" s="63"/>
    </row>
    <row r="653" spans="1:23" ht="12.75">
      <c r="A653" s="216"/>
      <c r="B653" s="217"/>
      <c r="C653" s="47"/>
      <c r="D653" s="47"/>
      <c r="E653" s="121"/>
      <c r="F653" s="47"/>
      <c r="G653" s="63"/>
      <c r="H653" s="47"/>
      <c r="I653" s="47"/>
      <c r="J653" s="63"/>
      <c r="K653" s="63"/>
      <c r="L653" s="63"/>
      <c r="M653" s="63"/>
      <c r="N653" s="63"/>
      <c r="O653" s="63"/>
      <c r="P653" s="63"/>
      <c r="Q653" s="63"/>
      <c r="R653" s="63"/>
      <c r="S653" s="63"/>
      <c r="T653" s="63"/>
      <c r="U653" s="63"/>
      <c r="V653" s="63"/>
      <c r="W653" s="63"/>
    </row>
    <row r="654" spans="1:23" ht="12.75">
      <c r="A654" s="216"/>
      <c r="B654" s="217"/>
      <c r="C654" s="47"/>
      <c r="D654" s="47"/>
      <c r="E654" s="121"/>
      <c r="F654" s="47"/>
      <c r="G654" s="63"/>
      <c r="H654" s="47"/>
      <c r="I654" s="47"/>
      <c r="J654" s="63"/>
      <c r="K654" s="63"/>
      <c r="L654" s="63"/>
      <c r="M654" s="63"/>
      <c r="N654" s="63"/>
      <c r="O654" s="63"/>
      <c r="P654" s="63"/>
      <c r="Q654" s="63"/>
      <c r="R654" s="63"/>
      <c r="S654" s="63"/>
      <c r="T654" s="63"/>
      <c r="U654" s="63"/>
      <c r="V654" s="63"/>
      <c r="W654" s="63"/>
    </row>
    <row r="655" spans="1:23" ht="12.75">
      <c r="A655" s="216"/>
      <c r="B655" s="217"/>
      <c r="C655" s="47"/>
      <c r="D655" s="47"/>
      <c r="E655" s="121"/>
      <c r="F655" s="47"/>
      <c r="G655" s="63"/>
      <c r="H655" s="47"/>
      <c r="I655" s="47"/>
      <c r="J655" s="63"/>
      <c r="K655" s="63"/>
      <c r="L655" s="63"/>
      <c r="M655" s="63"/>
      <c r="N655" s="63"/>
      <c r="O655" s="63"/>
      <c r="P655" s="63"/>
      <c r="Q655" s="63"/>
      <c r="R655" s="63"/>
      <c r="S655" s="63"/>
      <c r="T655" s="63"/>
      <c r="U655" s="63"/>
      <c r="V655" s="63"/>
      <c r="W655" s="63"/>
    </row>
    <row r="656" spans="1:23" ht="12.75">
      <c r="A656" s="216"/>
      <c r="B656" s="217"/>
      <c r="C656" s="47"/>
      <c r="D656" s="47"/>
      <c r="E656" s="121"/>
      <c r="F656" s="47"/>
      <c r="G656" s="63"/>
      <c r="H656" s="47"/>
      <c r="I656" s="47"/>
      <c r="J656" s="63"/>
      <c r="K656" s="63"/>
      <c r="L656" s="63"/>
      <c r="M656" s="63"/>
      <c r="N656" s="63"/>
      <c r="O656" s="63"/>
      <c r="P656" s="63"/>
      <c r="Q656" s="63"/>
      <c r="R656" s="63"/>
      <c r="S656" s="63"/>
      <c r="T656" s="63"/>
      <c r="U656" s="63"/>
      <c r="V656" s="63"/>
      <c r="W656" s="63"/>
    </row>
    <row r="657" spans="1:23" ht="12.75">
      <c r="A657" s="216"/>
      <c r="B657" s="217"/>
      <c r="C657" s="47"/>
      <c r="D657" s="47"/>
      <c r="E657" s="121"/>
      <c r="F657" s="47"/>
      <c r="G657" s="63"/>
      <c r="H657" s="47"/>
      <c r="I657" s="47"/>
      <c r="J657" s="63"/>
      <c r="K657" s="63"/>
      <c r="L657" s="63"/>
      <c r="M657" s="63"/>
      <c r="N657" s="63"/>
      <c r="O657" s="63"/>
      <c r="P657" s="63"/>
      <c r="Q657" s="63"/>
      <c r="R657" s="63"/>
      <c r="S657" s="63"/>
      <c r="T657" s="63"/>
      <c r="U657" s="63"/>
      <c r="V657" s="63"/>
      <c r="W657" s="63"/>
    </row>
    <row r="658" spans="1:23" ht="12.75">
      <c r="A658" s="216"/>
      <c r="B658" s="217"/>
      <c r="C658" s="47"/>
      <c r="D658" s="47"/>
      <c r="E658" s="121"/>
      <c r="F658" s="47"/>
      <c r="G658" s="63"/>
      <c r="H658" s="47"/>
      <c r="I658" s="47"/>
      <c r="J658" s="63"/>
      <c r="K658" s="63"/>
      <c r="L658" s="63"/>
      <c r="M658" s="63"/>
      <c r="N658" s="63"/>
      <c r="O658" s="63"/>
      <c r="P658" s="63"/>
      <c r="Q658" s="63"/>
      <c r="R658" s="63"/>
      <c r="S658" s="63"/>
      <c r="T658" s="63"/>
      <c r="U658" s="63"/>
      <c r="V658" s="63"/>
      <c r="W658" s="63"/>
    </row>
    <row r="659" spans="1:23" ht="12.75">
      <c r="A659" s="216"/>
      <c r="B659" s="217"/>
      <c r="C659" s="47"/>
      <c r="D659" s="47"/>
      <c r="E659" s="121"/>
      <c r="F659" s="47"/>
      <c r="G659" s="63"/>
      <c r="H659" s="47"/>
      <c r="I659" s="47"/>
      <c r="J659" s="63"/>
      <c r="K659" s="63"/>
      <c r="L659" s="63"/>
      <c r="M659" s="63"/>
      <c r="N659" s="63"/>
      <c r="O659" s="63"/>
      <c r="P659" s="63"/>
      <c r="Q659" s="63"/>
      <c r="R659" s="63"/>
      <c r="S659" s="63"/>
      <c r="T659" s="63"/>
      <c r="U659" s="63"/>
      <c r="V659" s="63"/>
      <c r="W659" s="63"/>
    </row>
    <row r="660" spans="1:23" ht="12.75">
      <c r="A660" s="216"/>
      <c r="B660" s="217"/>
      <c r="C660" s="47"/>
      <c r="D660" s="47"/>
      <c r="E660" s="121"/>
      <c r="F660" s="47"/>
      <c r="G660" s="63"/>
      <c r="H660" s="47"/>
      <c r="I660" s="47"/>
      <c r="J660" s="63"/>
      <c r="K660" s="63"/>
      <c r="L660" s="63"/>
      <c r="M660" s="63"/>
      <c r="N660" s="63"/>
      <c r="O660" s="63"/>
      <c r="P660" s="63"/>
      <c r="Q660" s="63"/>
      <c r="R660" s="63"/>
      <c r="S660" s="63"/>
      <c r="T660" s="63"/>
      <c r="U660" s="63"/>
      <c r="V660" s="63"/>
      <c r="W660" s="63"/>
    </row>
    <row r="661" spans="1:23" ht="12.75">
      <c r="A661" s="216"/>
      <c r="B661" s="217"/>
      <c r="C661" s="47"/>
      <c r="D661" s="47"/>
      <c r="E661" s="121"/>
      <c r="F661" s="47"/>
      <c r="G661" s="63"/>
      <c r="H661" s="47"/>
      <c r="I661" s="47"/>
      <c r="J661" s="63"/>
      <c r="K661" s="63"/>
      <c r="L661" s="63"/>
      <c r="M661" s="63"/>
      <c r="N661" s="63"/>
      <c r="O661" s="63"/>
      <c r="P661" s="63"/>
      <c r="Q661" s="63"/>
      <c r="R661" s="63"/>
      <c r="S661" s="63"/>
      <c r="T661" s="63"/>
      <c r="U661" s="63"/>
      <c r="V661" s="63"/>
      <c r="W661" s="63"/>
    </row>
    <row r="662" spans="1:23" ht="12.75">
      <c r="A662" s="216"/>
      <c r="B662" s="217"/>
      <c r="C662" s="47"/>
      <c r="D662" s="47"/>
      <c r="E662" s="121"/>
      <c r="F662" s="47"/>
      <c r="G662" s="63"/>
      <c r="H662" s="47"/>
      <c r="I662" s="47"/>
      <c r="J662" s="63"/>
      <c r="K662" s="63"/>
      <c r="L662" s="63"/>
      <c r="M662" s="63"/>
      <c r="N662" s="63"/>
      <c r="O662" s="63"/>
      <c r="P662" s="63"/>
      <c r="Q662" s="63"/>
      <c r="R662" s="63"/>
      <c r="S662" s="63"/>
      <c r="T662" s="63"/>
      <c r="U662" s="63"/>
      <c r="V662" s="63"/>
      <c r="W662" s="63"/>
    </row>
    <row r="663" spans="1:23" ht="12.75">
      <c r="A663" s="216"/>
      <c r="B663" s="217"/>
      <c r="C663" s="47"/>
      <c r="D663" s="47"/>
      <c r="E663" s="121"/>
      <c r="F663" s="47"/>
      <c r="G663" s="63"/>
      <c r="H663" s="47"/>
      <c r="I663" s="47"/>
      <c r="J663" s="63"/>
      <c r="K663" s="63"/>
      <c r="L663" s="63"/>
      <c r="M663" s="63"/>
      <c r="N663" s="63"/>
      <c r="O663" s="63"/>
      <c r="P663" s="63"/>
      <c r="Q663" s="63"/>
      <c r="R663" s="63"/>
      <c r="S663" s="63"/>
      <c r="T663" s="63"/>
      <c r="U663" s="63"/>
      <c r="V663" s="63"/>
      <c r="W663" s="63"/>
    </row>
    <row r="664" spans="1:23" ht="12.75">
      <c r="A664" s="216"/>
      <c r="B664" s="217"/>
      <c r="C664" s="47"/>
      <c r="D664" s="47"/>
      <c r="E664" s="121"/>
      <c r="F664" s="47"/>
      <c r="G664" s="63"/>
      <c r="H664" s="47"/>
      <c r="I664" s="47"/>
      <c r="J664" s="63"/>
      <c r="K664" s="63"/>
      <c r="L664" s="63"/>
      <c r="M664" s="63"/>
      <c r="N664" s="63"/>
      <c r="O664" s="63"/>
      <c r="P664" s="63"/>
      <c r="Q664" s="63"/>
      <c r="R664" s="63"/>
      <c r="S664" s="63"/>
      <c r="T664" s="63"/>
      <c r="U664" s="63"/>
      <c r="V664" s="63"/>
      <c r="W664" s="63"/>
    </row>
    <row r="665" spans="1:23" ht="12.75">
      <c r="A665" s="216"/>
      <c r="B665" s="217"/>
      <c r="C665" s="47"/>
      <c r="D665" s="47"/>
      <c r="E665" s="121"/>
      <c r="F665" s="47"/>
      <c r="G665" s="63"/>
      <c r="H665" s="47"/>
      <c r="I665" s="47"/>
      <c r="J665" s="63"/>
      <c r="K665" s="63"/>
      <c r="L665" s="63"/>
      <c r="M665" s="63"/>
      <c r="N665" s="63"/>
      <c r="O665" s="63"/>
      <c r="P665" s="63"/>
      <c r="Q665" s="63"/>
      <c r="R665" s="63"/>
      <c r="S665" s="63"/>
      <c r="T665" s="63"/>
      <c r="U665" s="63"/>
      <c r="V665" s="63"/>
      <c r="W665" s="63"/>
    </row>
    <row r="666" spans="1:23" ht="12.75">
      <c r="A666" s="216"/>
      <c r="B666" s="217"/>
      <c r="C666" s="47"/>
      <c r="D666" s="47"/>
      <c r="E666" s="121"/>
      <c r="F666" s="47"/>
      <c r="G666" s="63"/>
      <c r="H666" s="47"/>
      <c r="I666" s="47"/>
      <c r="J666" s="63"/>
      <c r="K666" s="63"/>
      <c r="L666" s="63"/>
      <c r="M666" s="63"/>
      <c r="N666" s="63"/>
      <c r="O666" s="63"/>
      <c r="P666" s="63"/>
      <c r="Q666" s="63"/>
      <c r="R666" s="63"/>
      <c r="S666" s="63"/>
      <c r="T666" s="63"/>
      <c r="U666" s="63"/>
      <c r="V666" s="63"/>
      <c r="W666" s="63"/>
    </row>
    <row r="667" spans="1:23" ht="12.75">
      <c r="A667" s="216"/>
      <c r="B667" s="217"/>
      <c r="C667" s="47"/>
      <c r="D667" s="47"/>
      <c r="E667" s="121"/>
      <c r="F667" s="47"/>
      <c r="G667" s="63"/>
      <c r="H667" s="47"/>
      <c r="I667" s="47"/>
      <c r="J667" s="63"/>
      <c r="K667" s="63"/>
      <c r="L667" s="63"/>
      <c r="M667" s="63"/>
      <c r="N667" s="63"/>
      <c r="O667" s="63"/>
      <c r="P667" s="63"/>
      <c r="Q667" s="63"/>
      <c r="R667" s="63"/>
      <c r="S667" s="63"/>
      <c r="T667" s="63"/>
      <c r="U667" s="63"/>
      <c r="V667" s="63"/>
      <c r="W667" s="63"/>
    </row>
    <row r="668" spans="1:23" ht="12.75">
      <c r="A668" s="216"/>
      <c r="B668" s="217"/>
      <c r="C668" s="47"/>
      <c r="D668" s="47"/>
      <c r="E668" s="121"/>
      <c r="F668" s="47"/>
      <c r="G668" s="63"/>
      <c r="H668" s="47"/>
      <c r="I668" s="47"/>
      <c r="J668" s="63"/>
      <c r="K668" s="63"/>
      <c r="L668" s="63"/>
      <c r="M668" s="63"/>
      <c r="N668" s="63"/>
      <c r="O668" s="63"/>
      <c r="P668" s="63"/>
      <c r="Q668" s="63"/>
      <c r="R668" s="63"/>
      <c r="S668" s="63"/>
      <c r="T668" s="63"/>
      <c r="U668" s="63"/>
      <c r="V668" s="63"/>
      <c r="W668" s="63"/>
    </row>
    <row r="669" spans="1:23" ht="12.75">
      <c r="A669" s="216"/>
      <c r="B669" s="217"/>
      <c r="C669" s="47"/>
      <c r="D669" s="47"/>
      <c r="E669" s="121"/>
      <c r="F669" s="47"/>
      <c r="G669" s="63"/>
      <c r="H669" s="47"/>
      <c r="I669" s="47"/>
      <c r="J669" s="63"/>
      <c r="K669" s="63"/>
      <c r="L669" s="63"/>
      <c r="M669" s="63"/>
      <c r="N669" s="63"/>
      <c r="O669" s="63"/>
      <c r="P669" s="63"/>
      <c r="Q669" s="63"/>
      <c r="R669" s="63"/>
      <c r="S669" s="63"/>
      <c r="T669" s="63"/>
      <c r="U669" s="63"/>
      <c r="V669" s="63"/>
      <c r="W669" s="63"/>
    </row>
    <row r="670" spans="1:23" ht="12.75">
      <c r="A670" s="216"/>
      <c r="B670" s="217"/>
      <c r="C670" s="47"/>
      <c r="D670" s="47"/>
      <c r="E670" s="121"/>
      <c r="F670" s="47"/>
      <c r="G670" s="63"/>
      <c r="H670" s="47"/>
      <c r="I670" s="47"/>
      <c r="J670" s="63"/>
      <c r="K670" s="63"/>
      <c r="L670" s="63"/>
      <c r="M670" s="63"/>
      <c r="N670" s="63"/>
      <c r="O670" s="63"/>
      <c r="P670" s="63"/>
      <c r="Q670" s="63"/>
      <c r="R670" s="63"/>
      <c r="S670" s="63"/>
      <c r="T670" s="63"/>
      <c r="U670" s="63"/>
      <c r="V670" s="63"/>
      <c r="W670" s="63"/>
    </row>
    <row r="671" spans="1:23" ht="12.75">
      <c r="A671" s="216"/>
      <c r="B671" s="217"/>
      <c r="C671" s="47"/>
      <c r="D671" s="47"/>
      <c r="E671" s="121"/>
      <c r="F671" s="47"/>
      <c r="G671" s="63"/>
      <c r="H671" s="47"/>
      <c r="I671" s="47"/>
      <c r="J671" s="63"/>
      <c r="K671" s="63"/>
      <c r="L671" s="63"/>
      <c r="M671" s="63"/>
      <c r="N671" s="63"/>
      <c r="O671" s="63"/>
      <c r="P671" s="63"/>
      <c r="Q671" s="63"/>
      <c r="R671" s="63"/>
      <c r="S671" s="63"/>
      <c r="T671" s="63"/>
      <c r="U671" s="63"/>
      <c r="V671" s="63"/>
      <c r="W671" s="63"/>
    </row>
    <row r="672" spans="1:23" ht="12.75">
      <c r="A672" s="216"/>
      <c r="B672" s="217"/>
      <c r="C672" s="47"/>
      <c r="D672" s="47"/>
      <c r="E672" s="121"/>
      <c r="F672" s="47"/>
      <c r="G672" s="63"/>
      <c r="H672" s="47"/>
      <c r="I672" s="47"/>
      <c r="J672" s="63"/>
      <c r="K672" s="63"/>
      <c r="L672" s="63"/>
      <c r="M672" s="63"/>
      <c r="N672" s="63"/>
      <c r="O672" s="63"/>
      <c r="P672" s="63"/>
      <c r="Q672" s="63"/>
      <c r="R672" s="63"/>
      <c r="S672" s="63"/>
      <c r="T672" s="63"/>
      <c r="U672" s="63"/>
      <c r="V672" s="63"/>
      <c r="W672" s="63"/>
    </row>
    <row r="673" spans="1:23" ht="12.75">
      <c r="A673" s="216"/>
      <c r="B673" s="217"/>
      <c r="C673" s="47"/>
      <c r="D673" s="47"/>
      <c r="E673" s="121"/>
      <c r="F673" s="47"/>
      <c r="G673" s="63"/>
      <c r="H673" s="47"/>
      <c r="I673" s="47"/>
      <c r="J673" s="63"/>
      <c r="K673" s="63"/>
      <c r="L673" s="63"/>
      <c r="M673" s="63"/>
      <c r="N673" s="63"/>
      <c r="O673" s="63"/>
      <c r="P673" s="63"/>
      <c r="Q673" s="63"/>
      <c r="R673" s="63"/>
      <c r="S673" s="63"/>
      <c r="T673" s="63"/>
      <c r="U673" s="63"/>
      <c r="V673" s="63"/>
      <c r="W673" s="63"/>
    </row>
    <row r="674" spans="1:23" ht="12.75">
      <c r="A674" s="216"/>
      <c r="B674" s="217"/>
      <c r="C674" s="47"/>
      <c r="D674" s="47"/>
      <c r="E674" s="121"/>
      <c r="F674" s="47"/>
      <c r="G674" s="63"/>
      <c r="H674" s="47"/>
      <c r="I674" s="47"/>
      <c r="J674" s="63"/>
      <c r="K674" s="63"/>
      <c r="L674" s="63"/>
      <c r="M674" s="63"/>
      <c r="N674" s="63"/>
      <c r="O674" s="63"/>
      <c r="P674" s="63"/>
      <c r="Q674" s="63"/>
      <c r="R674" s="63"/>
      <c r="S674" s="63"/>
      <c r="T674" s="63"/>
      <c r="U674" s="63"/>
      <c r="V674" s="63"/>
      <c r="W674" s="63"/>
    </row>
    <row r="675" spans="1:23" ht="12.75">
      <c r="A675" s="216"/>
      <c r="B675" s="217"/>
      <c r="C675" s="47"/>
      <c r="D675" s="47"/>
      <c r="E675" s="121"/>
      <c r="F675" s="47"/>
      <c r="G675" s="63"/>
      <c r="H675" s="47"/>
      <c r="I675" s="47"/>
      <c r="J675" s="63"/>
      <c r="K675" s="63"/>
      <c r="L675" s="63"/>
      <c r="M675" s="63"/>
      <c r="N675" s="63"/>
      <c r="O675" s="63"/>
      <c r="P675" s="63"/>
      <c r="Q675" s="63"/>
      <c r="R675" s="63"/>
      <c r="S675" s="63"/>
      <c r="T675" s="63"/>
      <c r="U675" s="63"/>
      <c r="V675" s="63"/>
      <c r="W675" s="63"/>
    </row>
    <row r="676" spans="1:23" ht="12.75">
      <c r="A676" s="216"/>
      <c r="B676" s="217"/>
      <c r="C676" s="47"/>
      <c r="D676" s="47"/>
      <c r="E676" s="121"/>
      <c r="F676" s="47"/>
      <c r="G676" s="63"/>
      <c r="H676" s="47"/>
      <c r="I676" s="47"/>
      <c r="J676" s="63"/>
      <c r="K676" s="63"/>
      <c r="L676" s="63"/>
      <c r="M676" s="63"/>
      <c r="N676" s="63"/>
      <c r="O676" s="63"/>
      <c r="P676" s="63"/>
      <c r="Q676" s="63"/>
      <c r="R676" s="63"/>
      <c r="S676" s="63"/>
      <c r="T676" s="63"/>
      <c r="U676" s="63"/>
      <c r="V676" s="63"/>
      <c r="W676" s="63"/>
    </row>
    <row r="677" spans="1:23" ht="12.75">
      <c r="A677" s="216"/>
      <c r="B677" s="217"/>
      <c r="C677" s="47"/>
      <c r="D677" s="47"/>
      <c r="E677" s="121"/>
      <c r="F677" s="47"/>
      <c r="G677" s="63"/>
      <c r="H677" s="47"/>
      <c r="I677" s="47"/>
      <c r="J677" s="63"/>
      <c r="K677" s="63"/>
      <c r="L677" s="63"/>
      <c r="M677" s="63"/>
      <c r="N677" s="63"/>
      <c r="O677" s="63"/>
      <c r="P677" s="63"/>
      <c r="Q677" s="63"/>
      <c r="R677" s="63"/>
      <c r="S677" s="63"/>
      <c r="T677" s="63"/>
      <c r="U677" s="63"/>
      <c r="V677" s="63"/>
      <c r="W677" s="63"/>
    </row>
    <row r="678" spans="1:23" ht="12.75">
      <c r="A678" s="216"/>
      <c r="B678" s="217"/>
      <c r="C678" s="47"/>
      <c r="D678" s="47"/>
      <c r="E678" s="121"/>
      <c r="F678" s="47"/>
      <c r="G678" s="63"/>
      <c r="H678" s="47"/>
      <c r="I678" s="47"/>
      <c r="J678" s="63"/>
      <c r="K678" s="63"/>
      <c r="L678" s="63"/>
      <c r="M678" s="63"/>
      <c r="N678" s="63"/>
      <c r="O678" s="63"/>
      <c r="P678" s="63"/>
      <c r="Q678" s="63"/>
      <c r="R678" s="63"/>
      <c r="S678" s="63"/>
      <c r="T678" s="63"/>
      <c r="U678" s="63"/>
      <c r="V678" s="63"/>
      <c r="W678" s="63"/>
    </row>
    <row r="679" spans="1:23" ht="12.75">
      <c r="A679" s="216"/>
      <c r="B679" s="217"/>
      <c r="C679" s="47"/>
      <c r="D679" s="47"/>
      <c r="E679" s="121"/>
      <c r="F679" s="47"/>
      <c r="G679" s="63"/>
      <c r="H679" s="47"/>
      <c r="I679" s="47"/>
      <c r="J679" s="63"/>
      <c r="K679" s="63"/>
      <c r="L679" s="63"/>
      <c r="M679" s="63"/>
      <c r="N679" s="63"/>
      <c r="O679" s="63"/>
      <c r="P679" s="63"/>
      <c r="Q679" s="63"/>
      <c r="R679" s="63"/>
      <c r="S679" s="63"/>
      <c r="T679" s="63"/>
      <c r="U679" s="63"/>
      <c r="V679" s="63"/>
      <c r="W679" s="63"/>
    </row>
    <row r="680" spans="1:23" ht="12.75">
      <c r="A680" s="216"/>
      <c r="B680" s="217"/>
      <c r="C680" s="47"/>
      <c r="D680" s="47"/>
      <c r="E680" s="121"/>
      <c r="F680" s="47"/>
      <c r="G680" s="63"/>
      <c r="H680" s="47"/>
      <c r="I680" s="47"/>
      <c r="J680" s="63"/>
      <c r="K680" s="63"/>
      <c r="L680" s="63"/>
      <c r="M680" s="63"/>
      <c r="N680" s="63"/>
      <c r="O680" s="63"/>
      <c r="P680" s="63"/>
      <c r="Q680" s="63"/>
      <c r="R680" s="63"/>
      <c r="S680" s="63"/>
      <c r="T680" s="63"/>
      <c r="U680" s="63"/>
      <c r="V680" s="63"/>
      <c r="W680" s="63"/>
    </row>
    <row r="681" spans="1:23" ht="12.75">
      <c r="A681" s="216"/>
      <c r="B681" s="217"/>
      <c r="C681" s="47"/>
      <c r="D681" s="47"/>
      <c r="E681" s="121"/>
      <c r="F681" s="47"/>
      <c r="G681" s="63"/>
      <c r="H681" s="47"/>
      <c r="I681" s="47"/>
      <c r="J681" s="63"/>
      <c r="K681" s="63"/>
      <c r="L681" s="63"/>
      <c r="M681" s="63"/>
      <c r="N681" s="63"/>
      <c r="O681" s="63"/>
      <c r="P681" s="63"/>
      <c r="Q681" s="63"/>
      <c r="R681" s="63"/>
      <c r="S681" s="63"/>
      <c r="T681" s="63"/>
      <c r="U681" s="63"/>
      <c r="V681" s="63"/>
      <c r="W681" s="63"/>
    </row>
    <row r="682" spans="1:23" ht="12.75">
      <c r="A682" s="216"/>
      <c r="B682" s="217"/>
      <c r="C682" s="47"/>
      <c r="D682" s="47"/>
      <c r="E682" s="121"/>
      <c r="F682" s="47"/>
      <c r="G682" s="63"/>
      <c r="H682" s="47"/>
      <c r="I682" s="47"/>
      <c r="J682" s="63"/>
      <c r="K682" s="63"/>
      <c r="L682" s="63"/>
      <c r="M682" s="63"/>
      <c r="N682" s="63"/>
      <c r="O682" s="63"/>
      <c r="P682" s="63"/>
      <c r="Q682" s="63"/>
      <c r="R682" s="63"/>
      <c r="S682" s="63"/>
      <c r="T682" s="63"/>
      <c r="U682" s="63"/>
      <c r="V682" s="63"/>
      <c r="W682" s="63"/>
    </row>
    <row r="683" spans="1:23" ht="12.75">
      <c r="A683" s="216"/>
      <c r="B683" s="217"/>
      <c r="C683" s="47"/>
      <c r="D683" s="47"/>
      <c r="E683" s="121"/>
      <c r="F683" s="47"/>
      <c r="G683" s="63"/>
      <c r="H683" s="47"/>
      <c r="I683" s="47"/>
      <c r="J683" s="63"/>
      <c r="K683" s="63"/>
      <c r="L683" s="63"/>
      <c r="M683" s="63"/>
      <c r="N683" s="63"/>
      <c r="O683" s="63"/>
      <c r="P683" s="63"/>
      <c r="Q683" s="63"/>
      <c r="R683" s="63"/>
      <c r="S683" s="63"/>
      <c r="T683" s="63"/>
      <c r="U683" s="63"/>
      <c r="V683" s="63"/>
      <c r="W683" s="63"/>
    </row>
    <row r="684" spans="1:23" ht="12.75">
      <c r="A684" s="216"/>
      <c r="B684" s="217"/>
      <c r="C684" s="47"/>
      <c r="D684" s="47"/>
      <c r="E684" s="121"/>
      <c r="F684" s="47"/>
      <c r="G684" s="63"/>
      <c r="H684" s="47"/>
      <c r="I684" s="47"/>
      <c r="J684" s="63"/>
      <c r="K684" s="63"/>
      <c r="L684" s="63"/>
      <c r="M684" s="63"/>
      <c r="N684" s="63"/>
      <c r="O684" s="63"/>
      <c r="P684" s="63"/>
      <c r="Q684" s="63"/>
      <c r="R684" s="63"/>
      <c r="S684" s="63"/>
      <c r="T684" s="63"/>
      <c r="U684" s="63"/>
      <c r="V684" s="63"/>
      <c r="W684" s="63"/>
    </row>
    <row r="685" spans="1:23" ht="12.75">
      <c r="A685" s="216"/>
      <c r="B685" s="217"/>
      <c r="C685" s="47"/>
      <c r="D685" s="47"/>
      <c r="E685" s="121"/>
      <c r="F685" s="47"/>
      <c r="G685" s="63"/>
      <c r="H685" s="47"/>
      <c r="I685" s="47"/>
      <c r="J685" s="63"/>
      <c r="K685" s="63"/>
      <c r="L685" s="63"/>
      <c r="M685" s="63"/>
      <c r="N685" s="63"/>
      <c r="O685" s="63"/>
      <c r="P685" s="63"/>
      <c r="Q685" s="63"/>
      <c r="R685" s="63"/>
      <c r="S685" s="63"/>
      <c r="T685" s="63"/>
      <c r="U685" s="63"/>
      <c r="V685" s="63"/>
      <c r="W685" s="63"/>
    </row>
    <row r="686" spans="1:23" ht="12.75">
      <c r="A686" s="216"/>
      <c r="B686" s="217"/>
      <c r="C686" s="47"/>
      <c r="D686" s="47"/>
      <c r="E686" s="121"/>
      <c r="F686" s="47"/>
      <c r="G686" s="63"/>
      <c r="H686" s="47"/>
      <c r="I686" s="47"/>
      <c r="J686" s="63"/>
      <c r="K686" s="63"/>
      <c r="L686" s="63"/>
      <c r="M686" s="63"/>
      <c r="N686" s="63"/>
      <c r="O686" s="63"/>
      <c r="P686" s="63"/>
      <c r="Q686" s="63"/>
      <c r="R686" s="63"/>
      <c r="S686" s="63"/>
      <c r="T686" s="63"/>
      <c r="U686" s="63"/>
      <c r="V686" s="63"/>
      <c r="W686" s="63"/>
    </row>
    <row r="687" spans="1:23" ht="12.75">
      <c r="A687" s="216"/>
      <c r="B687" s="217"/>
      <c r="C687" s="47"/>
      <c r="D687" s="47"/>
      <c r="E687" s="121"/>
      <c r="F687" s="47"/>
      <c r="G687" s="63"/>
      <c r="H687" s="47"/>
      <c r="I687" s="47"/>
      <c r="J687" s="63"/>
      <c r="K687" s="63"/>
      <c r="L687" s="63"/>
      <c r="M687" s="63"/>
      <c r="N687" s="63"/>
      <c r="O687" s="63"/>
      <c r="P687" s="63"/>
      <c r="Q687" s="63"/>
      <c r="R687" s="63"/>
      <c r="S687" s="63"/>
      <c r="T687" s="63"/>
      <c r="U687" s="63"/>
      <c r="V687" s="63"/>
      <c r="W687" s="63"/>
    </row>
    <row r="688" spans="1:23" ht="12.75">
      <c r="A688" s="216"/>
      <c r="B688" s="217"/>
      <c r="C688" s="47"/>
      <c r="D688" s="47"/>
      <c r="E688" s="121"/>
      <c r="F688" s="47"/>
      <c r="G688" s="63"/>
      <c r="H688" s="47"/>
      <c r="I688" s="47"/>
      <c r="J688" s="63"/>
      <c r="K688" s="63"/>
      <c r="L688" s="63"/>
      <c r="M688" s="63"/>
      <c r="N688" s="63"/>
      <c r="O688" s="63"/>
      <c r="P688" s="63"/>
      <c r="Q688" s="63"/>
      <c r="R688" s="63"/>
      <c r="S688" s="63"/>
      <c r="T688" s="63"/>
      <c r="U688" s="63"/>
      <c r="V688" s="63"/>
      <c r="W688" s="63"/>
    </row>
    <row r="689" spans="1:23" ht="12.75">
      <c r="A689" s="216"/>
      <c r="B689" s="217"/>
      <c r="C689" s="47"/>
      <c r="D689" s="47"/>
      <c r="E689" s="121"/>
      <c r="F689" s="47"/>
      <c r="G689" s="63"/>
      <c r="H689" s="47"/>
      <c r="I689" s="47"/>
      <c r="J689" s="63"/>
      <c r="K689" s="63"/>
      <c r="L689" s="63"/>
      <c r="M689" s="63"/>
      <c r="N689" s="63"/>
      <c r="O689" s="63"/>
      <c r="P689" s="63"/>
      <c r="Q689" s="63"/>
      <c r="R689" s="63"/>
      <c r="S689" s="63"/>
      <c r="T689" s="63"/>
      <c r="U689" s="63"/>
      <c r="V689" s="63"/>
      <c r="W689" s="63"/>
    </row>
    <row r="690" spans="1:23" ht="12.75">
      <c r="A690" s="216"/>
      <c r="B690" s="217"/>
      <c r="C690" s="47"/>
      <c r="D690" s="47"/>
      <c r="E690" s="121"/>
      <c r="F690" s="47"/>
      <c r="G690" s="63"/>
      <c r="H690" s="47"/>
      <c r="I690" s="47"/>
      <c r="J690" s="63"/>
      <c r="K690" s="63"/>
      <c r="L690" s="63"/>
      <c r="M690" s="63"/>
      <c r="N690" s="63"/>
      <c r="O690" s="63"/>
      <c r="P690" s="63"/>
      <c r="Q690" s="63"/>
      <c r="R690" s="63"/>
      <c r="S690" s="63"/>
      <c r="T690" s="63"/>
      <c r="U690" s="63"/>
      <c r="V690" s="63"/>
      <c r="W690" s="63"/>
    </row>
    <row r="691" spans="1:23" ht="12.75">
      <c r="A691" s="216"/>
      <c r="B691" s="217"/>
      <c r="C691" s="47"/>
      <c r="D691" s="47"/>
      <c r="E691" s="121"/>
      <c r="F691" s="47"/>
      <c r="G691" s="63"/>
      <c r="H691" s="47"/>
      <c r="I691" s="47"/>
      <c r="J691" s="63"/>
      <c r="K691" s="63"/>
      <c r="L691" s="63"/>
      <c r="M691" s="63"/>
      <c r="N691" s="63"/>
      <c r="O691" s="63"/>
      <c r="P691" s="63"/>
      <c r="Q691" s="63"/>
      <c r="R691" s="63"/>
      <c r="S691" s="63"/>
      <c r="T691" s="63"/>
      <c r="U691" s="63"/>
      <c r="V691" s="63"/>
      <c r="W691" s="63"/>
    </row>
    <row r="692" spans="1:23" ht="12.75">
      <c r="A692" s="216"/>
      <c r="B692" s="217"/>
      <c r="C692" s="47"/>
      <c r="D692" s="47"/>
      <c r="E692" s="121"/>
      <c r="F692" s="47"/>
      <c r="G692" s="63"/>
      <c r="H692" s="47"/>
      <c r="I692" s="47"/>
      <c r="J692" s="63"/>
      <c r="K692" s="63"/>
      <c r="L692" s="63"/>
      <c r="M692" s="63"/>
      <c r="N692" s="63"/>
      <c r="O692" s="63"/>
      <c r="P692" s="63"/>
      <c r="Q692" s="63"/>
      <c r="R692" s="63"/>
      <c r="S692" s="63"/>
      <c r="T692" s="63"/>
      <c r="U692" s="63"/>
      <c r="V692" s="63"/>
      <c r="W692" s="63"/>
    </row>
    <row r="693" spans="1:23" ht="12.75">
      <c r="A693" s="216"/>
      <c r="B693" s="217"/>
      <c r="C693" s="47"/>
      <c r="D693" s="47"/>
      <c r="E693" s="121"/>
      <c r="F693" s="47"/>
      <c r="G693" s="63"/>
      <c r="H693" s="47"/>
      <c r="I693" s="47"/>
      <c r="J693" s="63"/>
      <c r="K693" s="63"/>
      <c r="L693" s="63"/>
      <c r="M693" s="63"/>
      <c r="N693" s="63"/>
      <c r="O693" s="63"/>
      <c r="P693" s="63"/>
      <c r="Q693" s="63"/>
      <c r="R693" s="63"/>
      <c r="S693" s="63"/>
      <c r="T693" s="63"/>
      <c r="U693" s="63"/>
      <c r="V693" s="63"/>
      <c r="W693" s="63"/>
    </row>
    <row r="694" spans="1:23" ht="12.75">
      <c r="A694" s="216"/>
      <c r="B694" s="217"/>
      <c r="C694" s="47"/>
      <c r="D694" s="47"/>
      <c r="E694" s="121"/>
      <c r="F694" s="47"/>
      <c r="G694" s="63"/>
      <c r="H694" s="47"/>
      <c r="I694" s="47"/>
      <c r="J694" s="63"/>
      <c r="K694" s="63"/>
      <c r="L694" s="63"/>
      <c r="M694" s="63"/>
      <c r="N694" s="63"/>
      <c r="O694" s="63"/>
      <c r="P694" s="63"/>
      <c r="Q694" s="63"/>
      <c r="R694" s="63"/>
      <c r="S694" s="63"/>
      <c r="T694" s="63"/>
      <c r="U694" s="63"/>
      <c r="V694" s="63"/>
      <c r="W694" s="63"/>
    </row>
    <row r="695" spans="1:23" ht="12.75">
      <c r="A695" s="216"/>
      <c r="B695" s="217"/>
      <c r="C695" s="47"/>
      <c r="D695" s="47"/>
      <c r="E695" s="121"/>
      <c r="F695" s="47"/>
      <c r="G695" s="63"/>
      <c r="H695" s="47"/>
      <c r="I695" s="47"/>
      <c r="J695" s="63"/>
      <c r="K695" s="63"/>
      <c r="L695" s="63"/>
      <c r="M695" s="63"/>
      <c r="N695" s="63"/>
      <c r="O695" s="63"/>
      <c r="P695" s="63"/>
      <c r="Q695" s="63"/>
      <c r="R695" s="63"/>
      <c r="S695" s="63"/>
      <c r="T695" s="63"/>
      <c r="U695" s="63"/>
      <c r="V695" s="63"/>
      <c r="W695" s="63"/>
    </row>
    <row r="696" spans="1:23" ht="12.75">
      <c r="A696" s="216"/>
      <c r="B696" s="217"/>
      <c r="C696" s="47"/>
      <c r="D696" s="47"/>
      <c r="E696" s="121"/>
      <c r="F696" s="47"/>
      <c r="G696" s="63"/>
      <c r="H696" s="47"/>
      <c r="I696" s="47"/>
      <c r="J696" s="63"/>
      <c r="K696" s="63"/>
      <c r="L696" s="63"/>
      <c r="M696" s="63"/>
      <c r="N696" s="63"/>
      <c r="O696" s="63"/>
      <c r="P696" s="63"/>
      <c r="Q696" s="63"/>
      <c r="R696" s="63"/>
      <c r="S696" s="63"/>
      <c r="T696" s="63"/>
      <c r="U696" s="63"/>
      <c r="V696" s="63"/>
      <c r="W696" s="63"/>
    </row>
    <row r="697" spans="1:23" ht="12.75">
      <c r="A697" s="216"/>
      <c r="B697" s="217"/>
      <c r="C697" s="47"/>
      <c r="D697" s="47"/>
      <c r="E697" s="121"/>
      <c r="F697" s="47"/>
      <c r="G697" s="63"/>
      <c r="H697" s="47"/>
      <c r="I697" s="47"/>
      <c r="J697" s="63"/>
      <c r="K697" s="63"/>
      <c r="L697" s="63"/>
      <c r="M697" s="63"/>
      <c r="N697" s="63"/>
      <c r="O697" s="63"/>
      <c r="P697" s="63"/>
      <c r="Q697" s="63"/>
      <c r="R697" s="63"/>
      <c r="S697" s="63"/>
      <c r="T697" s="63"/>
      <c r="U697" s="63"/>
      <c r="V697" s="63"/>
      <c r="W697" s="63"/>
    </row>
    <row r="698" spans="1:23" ht="12.75">
      <c r="A698" s="216"/>
      <c r="B698" s="217"/>
      <c r="C698" s="47"/>
      <c r="D698" s="47"/>
      <c r="E698" s="121"/>
      <c r="F698" s="47"/>
      <c r="G698" s="63"/>
      <c r="H698" s="47"/>
      <c r="I698" s="47"/>
      <c r="J698" s="63"/>
      <c r="K698" s="63"/>
      <c r="L698" s="63"/>
      <c r="M698" s="63"/>
      <c r="N698" s="63"/>
      <c r="O698" s="63"/>
      <c r="P698" s="63"/>
      <c r="Q698" s="63"/>
      <c r="R698" s="63"/>
      <c r="S698" s="63"/>
      <c r="T698" s="63"/>
      <c r="U698" s="63"/>
      <c r="V698" s="63"/>
      <c r="W698" s="63"/>
    </row>
    <row r="699" spans="1:23" ht="12.75">
      <c r="A699" s="216"/>
      <c r="B699" s="217"/>
      <c r="C699" s="47"/>
      <c r="D699" s="47"/>
      <c r="E699" s="121"/>
      <c r="F699" s="47"/>
      <c r="G699" s="63"/>
      <c r="H699" s="47"/>
      <c r="I699" s="47"/>
      <c r="J699" s="63"/>
      <c r="K699" s="63"/>
      <c r="L699" s="63"/>
      <c r="M699" s="63"/>
      <c r="N699" s="63"/>
      <c r="O699" s="63"/>
      <c r="P699" s="63"/>
      <c r="Q699" s="63"/>
      <c r="R699" s="63"/>
      <c r="S699" s="63"/>
      <c r="T699" s="63"/>
      <c r="U699" s="63"/>
      <c r="V699" s="63"/>
      <c r="W699" s="63"/>
    </row>
    <row r="700" spans="1:23" ht="12.75">
      <c r="A700" s="216"/>
      <c r="B700" s="217"/>
      <c r="C700" s="47"/>
      <c r="D700" s="47"/>
      <c r="E700" s="121"/>
      <c r="F700" s="47"/>
      <c r="G700" s="63"/>
      <c r="H700" s="47"/>
      <c r="I700" s="47"/>
      <c r="J700" s="63"/>
      <c r="K700" s="63"/>
      <c r="L700" s="63"/>
      <c r="M700" s="63"/>
      <c r="N700" s="63"/>
      <c r="O700" s="63"/>
      <c r="P700" s="63"/>
      <c r="Q700" s="63"/>
      <c r="R700" s="63"/>
      <c r="S700" s="63"/>
      <c r="T700" s="63"/>
      <c r="U700" s="63"/>
      <c r="V700" s="63"/>
      <c r="W700" s="63"/>
    </row>
    <row r="701" spans="1:23" ht="12.75">
      <c r="A701" s="216"/>
      <c r="B701" s="217"/>
      <c r="C701" s="47"/>
      <c r="D701" s="47"/>
      <c r="E701" s="121"/>
      <c r="F701" s="47"/>
      <c r="G701" s="63"/>
      <c r="H701" s="47"/>
      <c r="I701" s="47"/>
      <c r="J701" s="63"/>
      <c r="K701" s="63"/>
      <c r="L701" s="63"/>
      <c r="M701" s="63"/>
      <c r="N701" s="63"/>
      <c r="O701" s="63"/>
      <c r="P701" s="63"/>
      <c r="Q701" s="63"/>
      <c r="R701" s="63"/>
      <c r="S701" s="63"/>
      <c r="T701" s="63"/>
      <c r="U701" s="63"/>
      <c r="V701" s="63"/>
      <c r="W701" s="63"/>
    </row>
    <row r="702" spans="1:23" ht="12.75">
      <c r="A702" s="216"/>
      <c r="B702" s="217"/>
      <c r="C702" s="47"/>
      <c r="D702" s="47"/>
      <c r="E702" s="121"/>
      <c r="F702" s="47"/>
      <c r="G702" s="63"/>
      <c r="H702" s="47"/>
      <c r="I702" s="47"/>
      <c r="J702" s="63"/>
      <c r="K702" s="63"/>
      <c r="L702" s="63"/>
      <c r="M702" s="63"/>
      <c r="N702" s="63"/>
      <c r="O702" s="63"/>
      <c r="P702" s="63"/>
      <c r="Q702" s="63"/>
      <c r="R702" s="63"/>
      <c r="S702" s="63"/>
      <c r="T702" s="63"/>
      <c r="U702" s="63"/>
      <c r="V702" s="63"/>
      <c r="W702" s="63"/>
    </row>
    <row r="703" spans="1:23" ht="12.75">
      <c r="A703" s="216"/>
      <c r="B703" s="217"/>
      <c r="C703" s="47"/>
      <c r="D703" s="47"/>
      <c r="E703" s="121"/>
      <c r="F703" s="47"/>
      <c r="G703" s="63"/>
      <c r="H703" s="47"/>
      <c r="I703" s="47"/>
      <c r="J703" s="63"/>
      <c r="K703" s="63"/>
      <c r="L703" s="63"/>
      <c r="M703" s="63"/>
      <c r="N703" s="63"/>
      <c r="O703" s="63"/>
      <c r="P703" s="63"/>
      <c r="Q703" s="63"/>
      <c r="R703" s="63"/>
      <c r="S703" s="63"/>
      <c r="T703" s="63"/>
      <c r="U703" s="63"/>
      <c r="V703" s="63"/>
      <c r="W703" s="63"/>
    </row>
    <row r="704" spans="1:23" ht="12.75">
      <c r="A704" s="216"/>
      <c r="B704" s="217"/>
      <c r="C704" s="47"/>
      <c r="D704" s="47"/>
      <c r="E704" s="121"/>
      <c r="F704" s="47"/>
      <c r="G704" s="63"/>
      <c r="H704" s="47"/>
      <c r="I704" s="47"/>
      <c r="J704" s="63"/>
      <c r="K704" s="63"/>
      <c r="L704" s="63"/>
      <c r="M704" s="63"/>
      <c r="N704" s="63"/>
      <c r="O704" s="63"/>
      <c r="P704" s="63"/>
      <c r="Q704" s="63"/>
      <c r="R704" s="63"/>
      <c r="S704" s="63"/>
      <c r="T704" s="63"/>
      <c r="U704" s="63"/>
      <c r="V704" s="63"/>
      <c r="W704" s="63"/>
    </row>
    <row r="705" spans="1:23" ht="12.75">
      <c r="A705" s="216"/>
      <c r="B705" s="217"/>
      <c r="C705" s="47"/>
      <c r="D705" s="47"/>
      <c r="E705" s="121"/>
      <c r="F705" s="47"/>
      <c r="G705" s="63"/>
      <c r="H705" s="47"/>
      <c r="I705" s="47"/>
      <c r="J705" s="63"/>
      <c r="K705" s="63"/>
      <c r="L705" s="63"/>
      <c r="M705" s="63"/>
      <c r="N705" s="63"/>
      <c r="O705" s="63"/>
      <c r="P705" s="63"/>
      <c r="Q705" s="63"/>
      <c r="R705" s="63"/>
      <c r="S705" s="63"/>
      <c r="T705" s="63"/>
      <c r="U705" s="63"/>
      <c r="V705" s="63"/>
      <c r="W705" s="63"/>
    </row>
    <row r="706" spans="1:23" ht="12.75">
      <c r="A706" s="216"/>
      <c r="B706" s="217"/>
      <c r="C706" s="47"/>
      <c r="D706" s="47"/>
      <c r="E706" s="121"/>
      <c r="F706" s="47"/>
      <c r="G706" s="63"/>
      <c r="H706" s="47"/>
      <c r="I706" s="47"/>
      <c r="J706" s="63"/>
      <c r="K706" s="63"/>
      <c r="L706" s="63"/>
      <c r="M706" s="63"/>
      <c r="N706" s="63"/>
      <c r="O706" s="63"/>
      <c r="P706" s="63"/>
      <c r="Q706" s="63"/>
      <c r="R706" s="63"/>
      <c r="S706" s="63"/>
      <c r="T706" s="63"/>
      <c r="U706" s="63"/>
      <c r="V706" s="63"/>
      <c r="W706" s="63"/>
    </row>
    <row r="707" spans="1:23" ht="12.75">
      <c r="A707" s="216"/>
      <c r="B707" s="217"/>
      <c r="C707" s="47"/>
      <c r="D707" s="47"/>
      <c r="E707" s="121"/>
      <c r="F707" s="47"/>
      <c r="G707" s="63"/>
      <c r="H707" s="47"/>
      <c r="I707" s="47"/>
      <c r="J707" s="63"/>
      <c r="K707" s="63"/>
      <c r="L707" s="63"/>
      <c r="M707" s="63"/>
      <c r="N707" s="63"/>
      <c r="O707" s="63"/>
      <c r="P707" s="63"/>
      <c r="Q707" s="63"/>
      <c r="R707" s="63"/>
      <c r="S707" s="63"/>
      <c r="T707" s="63"/>
      <c r="U707" s="63"/>
      <c r="V707" s="63"/>
      <c r="W707" s="63"/>
    </row>
    <row r="708" spans="1:23" ht="12.75">
      <c r="A708" s="216"/>
      <c r="B708" s="217"/>
      <c r="C708" s="47"/>
      <c r="D708" s="47"/>
      <c r="E708" s="121"/>
      <c r="F708" s="47"/>
      <c r="G708" s="63"/>
      <c r="H708" s="47"/>
      <c r="I708" s="47"/>
      <c r="J708" s="63"/>
      <c r="K708" s="63"/>
      <c r="L708" s="63"/>
      <c r="M708" s="63"/>
      <c r="N708" s="63"/>
      <c r="O708" s="63"/>
      <c r="P708" s="63"/>
      <c r="Q708" s="63"/>
      <c r="R708" s="63"/>
      <c r="S708" s="63"/>
      <c r="T708" s="63"/>
      <c r="U708" s="63"/>
      <c r="V708" s="63"/>
      <c r="W708" s="63"/>
    </row>
    <row r="709" spans="1:23" ht="12.75">
      <c r="A709" s="216"/>
      <c r="B709" s="217"/>
      <c r="C709" s="47"/>
      <c r="D709" s="47"/>
      <c r="E709" s="121"/>
      <c r="F709" s="47"/>
      <c r="G709" s="63"/>
      <c r="H709" s="47"/>
      <c r="I709" s="47"/>
      <c r="J709" s="63"/>
      <c r="K709" s="63"/>
      <c r="L709" s="63"/>
      <c r="M709" s="63"/>
      <c r="N709" s="63"/>
      <c r="O709" s="63"/>
      <c r="P709" s="63"/>
      <c r="Q709" s="63"/>
      <c r="R709" s="63"/>
      <c r="S709" s="63"/>
      <c r="T709" s="63"/>
      <c r="U709" s="63"/>
      <c r="V709" s="63"/>
      <c r="W709" s="63"/>
    </row>
    <row r="710" spans="1:23" ht="12.75">
      <c r="A710" s="216"/>
      <c r="B710" s="217"/>
      <c r="C710" s="47"/>
      <c r="D710" s="47"/>
      <c r="E710" s="121"/>
      <c r="F710" s="47"/>
      <c r="G710" s="63"/>
      <c r="H710" s="47"/>
      <c r="I710" s="47"/>
      <c r="J710" s="63"/>
      <c r="K710" s="63"/>
      <c r="L710" s="63"/>
      <c r="M710" s="63"/>
      <c r="N710" s="63"/>
      <c r="O710" s="63"/>
      <c r="P710" s="63"/>
      <c r="Q710" s="63"/>
      <c r="R710" s="63"/>
      <c r="S710" s="63"/>
      <c r="T710" s="63"/>
      <c r="U710" s="63"/>
      <c r="V710" s="63"/>
      <c r="W710" s="63"/>
    </row>
    <row r="711" spans="1:23" ht="12.75">
      <c r="A711" s="216"/>
      <c r="B711" s="217"/>
      <c r="C711" s="47"/>
      <c r="D711" s="47"/>
      <c r="E711" s="121"/>
      <c r="F711" s="47"/>
      <c r="G711" s="63"/>
      <c r="H711" s="47"/>
      <c r="I711" s="47"/>
      <c r="J711" s="63"/>
      <c r="K711" s="63"/>
      <c r="L711" s="63"/>
      <c r="M711" s="63"/>
      <c r="N711" s="63"/>
      <c r="O711" s="63"/>
      <c r="P711" s="63"/>
      <c r="Q711" s="63"/>
      <c r="R711" s="63"/>
      <c r="S711" s="63"/>
      <c r="T711" s="63"/>
      <c r="U711" s="63"/>
      <c r="V711" s="63"/>
      <c r="W711" s="63"/>
    </row>
    <row r="712" spans="1:23" ht="12.75">
      <c r="A712" s="216"/>
      <c r="B712" s="217"/>
      <c r="C712" s="47"/>
      <c r="D712" s="47"/>
      <c r="E712" s="121"/>
      <c r="F712" s="47"/>
      <c r="G712" s="63"/>
      <c r="H712" s="47"/>
      <c r="I712" s="47"/>
      <c r="J712" s="63"/>
      <c r="K712" s="63"/>
      <c r="L712" s="63"/>
      <c r="M712" s="63"/>
      <c r="N712" s="63"/>
      <c r="O712" s="63"/>
      <c r="P712" s="63"/>
      <c r="Q712" s="63"/>
      <c r="R712" s="63"/>
      <c r="S712" s="63"/>
      <c r="T712" s="63"/>
      <c r="U712" s="63"/>
      <c r="V712" s="63"/>
      <c r="W712" s="63"/>
    </row>
    <row r="713" spans="1:23" ht="12.75">
      <c r="A713" s="216"/>
      <c r="B713" s="217"/>
      <c r="C713" s="47"/>
      <c r="D713" s="47"/>
      <c r="E713" s="121"/>
      <c r="F713" s="47"/>
      <c r="G713" s="63"/>
      <c r="H713" s="47"/>
      <c r="I713" s="47"/>
      <c r="J713" s="63"/>
      <c r="K713" s="63"/>
      <c r="L713" s="63"/>
      <c r="M713" s="63"/>
      <c r="N713" s="63"/>
      <c r="O713" s="63"/>
      <c r="P713" s="63"/>
      <c r="Q713" s="63"/>
      <c r="R713" s="63"/>
      <c r="S713" s="63"/>
      <c r="T713" s="63"/>
      <c r="U713" s="63"/>
      <c r="V713" s="63"/>
      <c r="W713" s="63"/>
    </row>
    <row r="714" spans="1:23" ht="12.75">
      <c r="A714" s="216"/>
      <c r="B714" s="217"/>
      <c r="C714" s="47"/>
      <c r="D714" s="47"/>
      <c r="E714" s="121"/>
      <c r="F714" s="47"/>
      <c r="G714" s="63"/>
      <c r="H714" s="47"/>
      <c r="I714" s="47"/>
      <c r="J714" s="63"/>
      <c r="K714" s="63"/>
      <c r="L714" s="63"/>
      <c r="M714" s="63"/>
      <c r="N714" s="63"/>
      <c r="O714" s="63"/>
      <c r="P714" s="63"/>
      <c r="Q714" s="63"/>
      <c r="R714" s="63"/>
      <c r="S714" s="63"/>
      <c r="T714" s="63"/>
      <c r="U714" s="63"/>
      <c r="V714" s="63"/>
      <c r="W714" s="63"/>
    </row>
    <row r="715" spans="1:23" ht="12.75">
      <c r="A715" s="216"/>
      <c r="B715" s="217"/>
      <c r="C715" s="47"/>
      <c r="D715" s="47"/>
      <c r="E715" s="121"/>
      <c r="F715" s="47"/>
      <c r="G715" s="63"/>
      <c r="H715" s="47"/>
      <c r="I715" s="47"/>
      <c r="J715" s="63"/>
      <c r="K715" s="63"/>
      <c r="L715" s="63"/>
      <c r="M715" s="63"/>
      <c r="N715" s="63"/>
      <c r="O715" s="63"/>
      <c r="P715" s="63"/>
      <c r="Q715" s="63"/>
      <c r="R715" s="63"/>
      <c r="S715" s="63"/>
      <c r="T715" s="63"/>
      <c r="U715" s="63"/>
      <c r="V715" s="63"/>
      <c r="W715" s="63"/>
    </row>
    <row r="716" spans="1:23" ht="12.75">
      <c r="A716" s="216"/>
      <c r="B716" s="217"/>
      <c r="C716" s="47"/>
      <c r="D716" s="47"/>
      <c r="E716" s="121"/>
      <c r="F716" s="47"/>
      <c r="G716" s="63"/>
      <c r="H716" s="47"/>
      <c r="I716" s="47"/>
      <c r="J716" s="63"/>
      <c r="K716" s="63"/>
      <c r="L716" s="63"/>
      <c r="M716" s="63"/>
      <c r="N716" s="63"/>
      <c r="O716" s="63"/>
      <c r="P716" s="63"/>
      <c r="Q716" s="63"/>
      <c r="R716" s="63"/>
      <c r="S716" s="63"/>
      <c r="T716" s="63"/>
      <c r="U716" s="63"/>
      <c r="V716" s="63"/>
      <c r="W716" s="63"/>
    </row>
    <row r="717" spans="1:23" ht="12.75">
      <c r="A717" s="216"/>
      <c r="B717" s="217"/>
      <c r="C717" s="47"/>
      <c r="D717" s="47"/>
      <c r="E717" s="121"/>
      <c r="F717" s="47"/>
      <c r="G717" s="63"/>
      <c r="H717" s="47"/>
      <c r="I717" s="47"/>
      <c r="J717" s="63"/>
      <c r="K717" s="63"/>
      <c r="L717" s="63"/>
      <c r="M717" s="63"/>
      <c r="N717" s="63"/>
      <c r="O717" s="63"/>
      <c r="P717" s="63"/>
      <c r="Q717" s="63"/>
      <c r="R717" s="63"/>
      <c r="S717" s="63"/>
      <c r="T717" s="63"/>
      <c r="U717" s="63"/>
      <c r="V717" s="63"/>
      <c r="W717" s="63"/>
    </row>
    <row r="718" spans="1:23" ht="12.75">
      <c r="A718" s="216"/>
      <c r="B718" s="217"/>
      <c r="C718" s="47"/>
      <c r="D718" s="47"/>
      <c r="E718" s="121"/>
      <c r="F718" s="47"/>
      <c r="G718" s="63"/>
      <c r="H718" s="47"/>
      <c r="I718" s="47"/>
      <c r="J718" s="63"/>
      <c r="K718" s="63"/>
      <c r="L718" s="63"/>
      <c r="M718" s="63"/>
      <c r="N718" s="63"/>
      <c r="O718" s="63"/>
      <c r="P718" s="63"/>
      <c r="Q718" s="63"/>
      <c r="R718" s="63"/>
      <c r="S718" s="63"/>
      <c r="T718" s="63"/>
      <c r="U718" s="63"/>
      <c r="V718" s="63"/>
      <c r="W718" s="63"/>
    </row>
    <row r="719" spans="1:23" ht="12.75">
      <c r="A719" s="216"/>
      <c r="B719" s="217"/>
      <c r="C719" s="47"/>
      <c r="D719" s="47"/>
      <c r="E719" s="121"/>
      <c r="F719" s="47"/>
      <c r="G719" s="63"/>
      <c r="H719" s="47"/>
      <c r="I719" s="47"/>
      <c r="J719" s="63"/>
      <c r="K719" s="63"/>
      <c r="L719" s="63"/>
      <c r="M719" s="63"/>
      <c r="N719" s="63"/>
      <c r="O719" s="63"/>
      <c r="P719" s="63"/>
      <c r="Q719" s="63"/>
      <c r="R719" s="63"/>
      <c r="S719" s="63"/>
      <c r="T719" s="63"/>
      <c r="U719" s="63"/>
      <c r="V719" s="63"/>
      <c r="W719" s="63"/>
    </row>
    <row r="720" spans="1:23" ht="12.75">
      <c r="A720" s="216"/>
      <c r="B720" s="217"/>
      <c r="C720" s="47"/>
      <c r="D720" s="47"/>
      <c r="E720" s="121"/>
      <c r="F720" s="47"/>
      <c r="G720" s="63"/>
      <c r="H720" s="47"/>
      <c r="I720" s="47"/>
      <c r="J720" s="63"/>
      <c r="K720" s="63"/>
      <c r="L720" s="63"/>
      <c r="M720" s="63"/>
      <c r="N720" s="63"/>
      <c r="O720" s="63"/>
      <c r="P720" s="63"/>
      <c r="Q720" s="63"/>
      <c r="R720" s="63"/>
      <c r="S720" s="63"/>
      <c r="T720" s="63"/>
      <c r="U720" s="63"/>
      <c r="V720" s="63"/>
      <c r="W720" s="63"/>
    </row>
    <row r="721" spans="1:23" ht="12.75">
      <c r="A721" s="216"/>
      <c r="B721" s="217"/>
      <c r="C721" s="47"/>
      <c r="D721" s="47"/>
      <c r="E721" s="121"/>
      <c r="F721" s="47"/>
      <c r="G721" s="63"/>
      <c r="H721" s="47"/>
      <c r="I721" s="47"/>
      <c r="J721" s="63"/>
      <c r="K721" s="63"/>
      <c r="L721" s="63"/>
      <c r="M721" s="63"/>
      <c r="N721" s="63"/>
      <c r="O721" s="63"/>
      <c r="P721" s="63"/>
      <c r="Q721" s="63"/>
      <c r="R721" s="63"/>
      <c r="S721" s="63"/>
      <c r="T721" s="63"/>
      <c r="U721" s="63"/>
      <c r="V721" s="63"/>
      <c r="W721" s="63"/>
    </row>
    <row r="722" spans="1:23" ht="12.75">
      <c r="A722" s="216"/>
      <c r="B722" s="217"/>
      <c r="C722" s="47"/>
      <c r="D722" s="47"/>
      <c r="E722" s="121"/>
      <c r="F722" s="47"/>
      <c r="G722" s="63"/>
      <c r="H722" s="47"/>
      <c r="I722" s="47"/>
      <c r="J722" s="63"/>
      <c r="K722" s="63"/>
      <c r="L722" s="63"/>
      <c r="M722" s="63"/>
      <c r="N722" s="63"/>
      <c r="O722" s="63"/>
      <c r="P722" s="63"/>
      <c r="Q722" s="63"/>
      <c r="R722" s="63"/>
      <c r="S722" s="63"/>
      <c r="T722" s="63"/>
      <c r="U722" s="63"/>
      <c r="V722" s="63"/>
      <c r="W722" s="63"/>
    </row>
    <row r="723" spans="1:23" ht="12.75">
      <c r="A723" s="216"/>
      <c r="B723" s="217"/>
      <c r="C723" s="47"/>
      <c r="D723" s="47"/>
      <c r="E723" s="121"/>
      <c r="F723" s="47"/>
      <c r="G723" s="63"/>
      <c r="H723" s="47"/>
      <c r="I723" s="47"/>
      <c r="J723" s="63"/>
      <c r="K723" s="63"/>
      <c r="L723" s="63"/>
      <c r="M723" s="63"/>
      <c r="N723" s="63"/>
      <c r="O723" s="63"/>
      <c r="P723" s="63"/>
      <c r="Q723" s="63"/>
      <c r="R723" s="63"/>
      <c r="S723" s="63"/>
      <c r="T723" s="63"/>
      <c r="U723" s="63"/>
      <c r="V723" s="63"/>
      <c r="W723" s="63"/>
    </row>
    <row r="724" spans="1:23" ht="12.75">
      <c r="A724" s="216"/>
      <c r="B724" s="217"/>
      <c r="C724" s="47"/>
      <c r="D724" s="47"/>
      <c r="E724" s="121"/>
      <c r="F724" s="47"/>
      <c r="G724" s="63"/>
      <c r="H724" s="47"/>
      <c r="I724" s="47"/>
      <c r="J724" s="63"/>
      <c r="K724" s="63"/>
      <c r="L724" s="63"/>
      <c r="M724" s="63"/>
      <c r="N724" s="63"/>
      <c r="O724" s="63"/>
      <c r="P724" s="63"/>
      <c r="Q724" s="63"/>
      <c r="R724" s="63"/>
      <c r="S724" s="63"/>
      <c r="T724" s="63"/>
      <c r="U724" s="63"/>
      <c r="V724" s="63"/>
      <c r="W724" s="63"/>
    </row>
    <row r="725" spans="1:23" ht="12.75">
      <c r="A725" s="216"/>
      <c r="B725" s="217"/>
      <c r="C725" s="47"/>
      <c r="D725" s="47"/>
      <c r="E725" s="121"/>
      <c r="F725" s="47"/>
      <c r="G725" s="63"/>
      <c r="H725" s="47"/>
      <c r="I725" s="47"/>
      <c r="J725" s="63"/>
      <c r="K725" s="63"/>
      <c r="L725" s="63"/>
      <c r="M725" s="63"/>
      <c r="N725" s="63"/>
      <c r="O725" s="63"/>
      <c r="P725" s="63"/>
      <c r="Q725" s="63"/>
      <c r="R725" s="63"/>
      <c r="S725" s="63"/>
      <c r="T725" s="63"/>
      <c r="U725" s="63"/>
      <c r="V725" s="63"/>
      <c r="W725" s="63"/>
    </row>
    <row r="726" spans="1:23" ht="12.75">
      <c r="A726" s="216"/>
      <c r="B726" s="217"/>
      <c r="C726" s="47"/>
      <c r="D726" s="47"/>
      <c r="E726" s="121"/>
      <c r="F726" s="47"/>
      <c r="G726" s="63"/>
      <c r="H726" s="47"/>
      <c r="I726" s="47"/>
      <c r="J726" s="63"/>
      <c r="K726" s="63"/>
      <c r="L726" s="63"/>
      <c r="M726" s="63"/>
      <c r="N726" s="63"/>
      <c r="O726" s="63"/>
      <c r="P726" s="63"/>
      <c r="Q726" s="63"/>
      <c r="R726" s="63"/>
      <c r="S726" s="63"/>
      <c r="T726" s="63"/>
      <c r="U726" s="63"/>
      <c r="V726" s="63"/>
      <c r="W726" s="63"/>
    </row>
    <row r="727" spans="1:23" ht="12.75">
      <c r="A727" s="216"/>
      <c r="B727" s="217"/>
      <c r="C727" s="47"/>
      <c r="D727" s="47"/>
      <c r="E727" s="121"/>
      <c r="F727" s="47"/>
      <c r="G727" s="63"/>
      <c r="H727" s="47"/>
      <c r="I727" s="47"/>
      <c r="J727" s="63"/>
      <c r="K727" s="63"/>
      <c r="L727" s="63"/>
      <c r="M727" s="63"/>
      <c r="N727" s="63"/>
      <c r="O727" s="63"/>
      <c r="P727" s="63"/>
      <c r="Q727" s="63"/>
      <c r="R727" s="63"/>
      <c r="S727" s="63"/>
      <c r="T727" s="63"/>
      <c r="U727" s="63"/>
      <c r="V727" s="63"/>
      <c r="W727" s="63"/>
    </row>
    <row r="728" spans="1:23" ht="12.75">
      <c r="A728" s="216"/>
      <c r="B728" s="217"/>
      <c r="C728" s="47"/>
      <c r="D728" s="47"/>
      <c r="E728" s="121"/>
      <c r="F728" s="47"/>
      <c r="G728" s="63"/>
      <c r="H728" s="47"/>
      <c r="I728" s="47"/>
      <c r="J728" s="63"/>
      <c r="K728" s="63"/>
      <c r="L728" s="63"/>
      <c r="M728" s="63"/>
      <c r="N728" s="63"/>
      <c r="O728" s="63"/>
      <c r="P728" s="63"/>
      <c r="Q728" s="63"/>
      <c r="R728" s="63"/>
      <c r="S728" s="63"/>
      <c r="T728" s="63"/>
      <c r="U728" s="63"/>
      <c r="V728" s="63"/>
      <c r="W728" s="63"/>
    </row>
    <row r="729" spans="1:23" ht="12.75">
      <c r="A729" s="216"/>
      <c r="B729" s="217"/>
      <c r="C729" s="47"/>
      <c r="D729" s="47"/>
      <c r="E729" s="121"/>
      <c r="F729" s="47"/>
      <c r="G729" s="63"/>
      <c r="H729" s="47"/>
      <c r="I729" s="47"/>
      <c r="J729" s="63"/>
      <c r="K729" s="63"/>
      <c r="L729" s="63"/>
      <c r="M729" s="63"/>
      <c r="N729" s="63"/>
      <c r="O729" s="63"/>
      <c r="P729" s="63"/>
      <c r="Q729" s="63"/>
      <c r="R729" s="63"/>
      <c r="S729" s="63"/>
      <c r="T729" s="63"/>
      <c r="U729" s="63"/>
      <c r="V729" s="63"/>
      <c r="W729" s="63"/>
    </row>
    <row r="730" spans="1:23" ht="12.75">
      <c r="A730" s="216"/>
      <c r="B730" s="217"/>
      <c r="C730" s="47"/>
      <c r="D730" s="47"/>
      <c r="E730" s="121"/>
      <c r="F730" s="47"/>
      <c r="G730" s="63"/>
      <c r="H730" s="47"/>
      <c r="I730" s="47"/>
      <c r="J730" s="63"/>
      <c r="K730" s="63"/>
      <c r="L730" s="63"/>
      <c r="M730" s="63"/>
      <c r="N730" s="63"/>
      <c r="O730" s="63"/>
      <c r="P730" s="63"/>
      <c r="Q730" s="63"/>
      <c r="R730" s="63"/>
      <c r="S730" s="63"/>
      <c r="T730" s="63"/>
      <c r="U730" s="63"/>
      <c r="V730" s="63"/>
      <c r="W730" s="63"/>
    </row>
    <row r="731" spans="1:23" ht="12.75">
      <c r="A731" s="216"/>
      <c r="B731" s="217"/>
      <c r="C731" s="47"/>
      <c r="D731" s="47"/>
      <c r="E731" s="121"/>
      <c r="F731" s="47"/>
      <c r="G731" s="63"/>
      <c r="H731" s="47"/>
      <c r="I731" s="47"/>
      <c r="J731" s="63"/>
      <c r="K731" s="63"/>
      <c r="L731" s="63"/>
      <c r="M731" s="63"/>
      <c r="N731" s="63"/>
      <c r="O731" s="63"/>
      <c r="P731" s="63"/>
      <c r="Q731" s="63"/>
      <c r="R731" s="63"/>
      <c r="S731" s="63"/>
      <c r="T731" s="63"/>
      <c r="U731" s="63"/>
      <c r="V731" s="63"/>
      <c r="W731" s="63"/>
    </row>
    <row r="732" spans="1:23" ht="12.75">
      <c r="A732" s="216"/>
      <c r="B732" s="217"/>
      <c r="C732" s="47"/>
      <c r="D732" s="47"/>
      <c r="E732" s="121"/>
      <c r="F732" s="47"/>
      <c r="G732" s="63"/>
      <c r="H732" s="47"/>
      <c r="I732" s="47"/>
      <c r="J732" s="63"/>
      <c r="K732" s="63"/>
      <c r="L732" s="63"/>
      <c r="M732" s="63"/>
      <c r="N732" s="63"/>
      <c r="O732" s="63"/>
      <c r="P732" s="63"/>
      <c r="Q732" s="63"/>
      <c r="R732" s="63"/>
      <c r="S732" s="63"/>
      <c r="T732" s="63"/>
      <c r="U732" s="63"/>
      <c r="V732" s="63"/>
      <c r="W732" s="63"/>
    </row>
    <row r="733" spans="1:23" ht="12.75">
      <c r="A733" s="216"/>
      <c r="B733" s="217"/>
      <c r="C733" s="47"/>
      <c r="D733" s="47"/>
      <c r="E733" s="121"/>
      <c r="F733" s="47"/>
      <c r="G733" s="63"/>
      <c r="H733" s="47"/>
      <c r="I733" s="47"/>
      <c r="J733" s="63"/>
      <c r="K733" s="63"/>
      <c r="L733" s="63"/>
      <c r="M733" s="63"/>
      <c r="N733" s="63"/>
      <c r="O733" s="63"/>
      <c r="P733" s="63"/>
      <c r="Q733" s="63"/>
      <c r="R733" s="63"/>
      <c r="S733" s="63"/>
      <c r="T733" s="63"/>
      <c r="U733" s="63"/>
      <c r="V733" s="63"/>
      <c r="W733" s="63"/>
    </row>
    <row r="734" spans="1:23" ht="12.75">
      <c r="A734" s="216"/>
      <c r="B734" s="217"/>
      <c r="C734" s="47"/>
      <c r="D734" s="47"/>
      <c r="E734" s="121"/>
      <c r="F734" s="47"/>
      <c r="G734" s="63"/>
      <c r="H734" s="47"/>
      <c r="I734" s="47"/>
      <c r="J734" s="63"/>
      <c r="K734" s="63"/>
      <c r="L734" s="63"/>
      <c r="M734" s="63"/>
      <c r="N734" s="63"/>
      <c r="O734" s="63"/>
      <c r="P734" s="63"/>
      <c r="Q734" s="63"/>
      <c r="R734" s="63"/>
      <c r="S734" s="63"/>
      <c r="T734" s="63"/>
      <c r="U734" s="63"/>
      <c r="V734" s="63"/>
      <c r="W734" s="63"/>
    </row>
    <row r="735" spans="1:23" ht="12.75">
      <c r="A735" s="216"/>
      <c r="B735" s="217"/>
      <c r="C735" s="47"/>
      <c r="D735" s="47"/>
      <c r="E735" s="121"/>
      <c r="F735" s="47"/>
      <c r="G735" s="63"/>
      <c r="H735" s="47"/>
      <c r="I735" s="47"/>
      <c r="J735" s="63"/>
      <c r="K735" s="63"/>
      <c r="L735" s="63"/>
      <c r="M735" s="63"/>
      <c r="N735" s="63"/>
      <c r="O735" s="63"/>
      <c r="P735" s="63"/>
      <c r="Q735" s="63"/>
      <c r="R735" s="63"/>
      <c r="S735" s="63"/>
      <c r="T735" s="63"/>
      <c r="U735" s="63"/>
      <c r="V735" s="63"/>
      <c r="W735" s="63"/>
    </row>
    <row r="736" spans="1:23" ht="12.75">
      <c r="A736" s="216"/>
      <c r="B736" s="217"/>
      <c r="C736" s="47"/>
      <c r="D736" s="47"/>
      <c r="E736" s="121"/>
      <c r="F736" s="47"/>
      <c r="G736" s="63"/>
      <c r="H736" s="47"/>
      <c r="I736" s="47"/>
      <c r="J736" s="63"/>
      <c r="K736" s="63"/>
      <c r="L736" s="63"/>
      <c r="M736" s="63"/>
      <c r="N736" s="63"/>
      <c r="O736" s="63"/>
      <c r="P736" s="63"/>
      <c r="Q736" s="63"/>
      <c r="R736" s="63"/>
      <c r="S736" s="63"/>
      <c r="T736" s="63"/>
      <c r="U736" s="63"/>
      <c r="V736" s="63"/>
      <c r="W736" s="63"/>
    </row>
    <row r="737" spans="1:23" ht="12.75">
      <c r="A737" s="216"/>
      <c r="B737" s="217"/>
      <c r="C737" s="47"/>
      <c r="D737" s="47"/>
      <c r="E737" s="121"/>
      <c r="F737" s="47"/>
      <c r="G737" s="63"/>
      <c r="H737" s="47"/>
      <c r="I737" s="47"/>
      <c r="J737" s="63"/>
      <c r="K737" s="63"/>
      <c r="L737" s="63"/>
      <c r="M737" s="63"/>
      <c r="N737" s="63"/>
      <c r="O737" s="63"/>
      <c r="P737" s="63"/>
      <c r="Q737" s="63"/>
      <c r="R737" s="63"/>
      <c r="S737" s="63"/>
      <c r="T737" s="63"/>
      <c r="U737" s="63"/>
      <c r="V737" s="63"/>
      <c r="W737" s="63"/>
    </row>
    <row r="738" spans="1:23" ht="12.75">
      <c r="A738" s="216"/>
      <c r="B738" s="217"/>
      <c r="C738" s="47"/>
      <c r="D738" s="47"/>
      <c r="E738" s="121"/>
      <c r="F738" s="47"/>
      <c r="G738" s="63"/>
      <c r="H738" s="47"/>
      <c r="I738" s="47"/>
      <c r="J738" s="63"/>
      <c r="K738" s="63"/>
      <c r="L738" s="63"/>
      <c r="M738" s="63"/>
      <c r="N738" s="63"/>
      <c r="O738" s="63"/>
      <c r="P738" s="63"/>
      <c r="Q738" s="63"/>
      <c r="R738" s="63"/>
      <c r="S738" s="63"/>
      <c r="T738" s="63"/>
      <c r="U738" s="63"/>
      <c r="V738" s="63"/>
      <c r="W738" s="63"/>
    </row>
    <row r="739" spans="1:23" ht="12.75">
      <c r="A739" s="216"/>
      <c r="B739" s="217"/>
      <c r="C739" s="47"/>
      <c r="D739" s="47"/>
      <c r="E739" s="121"/>
      <c r="F739" s="47"/>
      <c r="G739" s="63"/>
      <c r="H739" s="47"/>
      <c r="I739" s="47"/>
      <c r="J739" s="63"/>
      <c r="K739" s="63"/>
      <c r="L739" s="63"/>
      <c r="M739" s="63"/>
      <c r="N739" s="63"/>
      <c r="O739" s="63"/>
      <c r="P739" s="63"/>
      <c r="Q739" s="63"/>
      <c r="R739" s="63"/>
      <c r="S739" s="63"/>
      <c r="T739" s="63"/>
      <c r="U739" s="63"/>
      <c r="V739" s="63"/>
      <c r="W739" s="63"/>
    </row>
    <row r="740" spans="1:23" ht="12.75">
      <c r="A740" s="216"/>
      <c r="B740" s="217"/>
      <c r="C740" s="47"/>
      <c r="D740" s="47"/>
      <c r="E740" s="121"/>
      <c r="F740" s="47"/>
      <c r="G740" s="63"/>
      <c r="H740" s="47"/>
      <c r="I740" s="47"/>
      <c r="J740" s="63"/>
      <c r="K740" s="63"/>
      <c r="L740" s="63"/>
      <c r="M740" s="63"/>
      <c r="N740" s="63"/>
      <c r="O740" s="63"/>
      <c r="P740" s="63"/>
      <c r="Q740" s="63"/>
      <c r="R740" s="63"/>
      <c r="S740" s="63"/>
      <c r="T740" s="63"/>
      <c r="U740" s="63"/>
      <c r="V740" s="63"/>
      <c r="W740" s="63"/>
    </row>
    <row r="741" spans="1:23" ht="12.75">
      <c r="A741" s="216"/>
      <c r="B741" s="217"/>
      <c r="C741" s="47"/>
      <c r="D741" s="47"/>
      <c r="E741" s="121"/>
      <c r="F741" s="47"/>
      <c r="G741" s="63"/>
      <c r="H741" s="47"/>
      <c r="I741" s="47"/>
      <c r="J741" s="63"/>
      <c r="K741" s="63"/>
      <c r="L741" s="63"/>
      <c r="M741" s="63"/>
      <c r="N741" s="63"/>
      <c r="O741" s="63"/>
      <c r="P741" s="63"/>
      <c r="Q741" s="63"/>
      <c r="R741" s="63"/>
      <c r="S741" s="63"/>
      <c r="T741" s="63"/>
      <c r="U741" s="63"/>
      <c r="V741" s="63"/>
      <c r="W741" s="63"/>
    </row>
    <row r="742" spans="1:23" ht="12.75">
      <c r="A742" s="216"/>
      <c r="B742" s="217"/>
      <c r="C742" s="47"/>
      <c r="D742" s="47"/>
      <c r="E742" s="121"/>
      <c r="F742" s="47"/>
      <c r="G742" s="63"/>
      <c r="H742" s="47"/>
      <c r="I742" s="47"/>
      <c r="J742" s="63"/>
      <c r="K742" s="63"/>
      <c r="L742" s="63"/>
      <c r="M742" s="63"/>
      <c r="N742" s="63"/>
      <c r="O742" s="63"/>
      <c r="P742" s="63"/>
      <c r="Q742" s="63"/>
      <c r="R742" s="63"/>
      <c r="S742" s="63"/>
      <c r="T742" s="63"/>
      <c r="U742" s="63"/>
      <c r="V742" s="63"/>
      <c r="W742" s="63"/>
    </row>
    <row r="743" spans="1:23" ht="12.75">
      <c r="A743" s="216"/>
      <c r="B743" s="217"/>
      <c r="C743" s="47"/>
      <c r="D743" s="47"/>
      <c r="E743" s="121"/>
      <c r="F743" s="47"/>
      <c r="G743" s="63"/>
      <c r="H743" s="47"/>
      <c r="I743" s="47"/>
      <c r="J743" s="63"/>
      <c r="K743" s="63"/>
      <c r="L743" s="63"/>
      <c r="M743" s="63"/>
      <c r="N743" s="63"/>
      <c r="O743" s="63"/>
      <c r="P743" s="63"/>
      <c r="Q743" s="63"/>
      <c r="R743" s="63"/>
      <c r="S743" s="63"/>
      <c r="T743" s="63"/>
      <c r="U743" s="63"/>
      <c r="V743" s="63"/>
      <c r="W743" s="63"/>
    </row>
    <row r="744" spans="1:23" ht="12.75">
      <c r="A744" s="216"/>
      <c r="B744" s="217"/>
      <c r="C744" s="47"/>
      <c r="D744" s="47"/>
      <c r="E744" s="121"/>
      <c r="F744" s="47"/>
      <c r="G744" s="63"/>
      <c r="H744" s="47"/>
      <c r="I744" s="47"/>
      <c r="J744" s="63"/>
      <c r="K744" s="63"/>
      <c r="L744" s="63"/>
      <c r="M744" s="63"/>
      <c r="N744" s="63"/>
      <c r="O744" s="63"/>
      <c r="P744" s="63"/>
      <c r="Q744" s="63"/>
      <c r="R744" s="63"/>
      <c r="S744" s="63"/>
      <c r="T744" s="63"/>
      <c r="U744" s="63"/>
      <c r="V744" s="63"/>
      <c r="W744" s="63"/>
    </row>
    <row r="745" spans="1:23" ht="12.75">
      <c r="A745" s="216"/>
      <c r="B745" s="217"/>
      <c r="C745" s="47"/>
      <c r="D745" s="47"/>
      <c r="E745" s="121"/>
      <c r="F745" s="47"/>
      <c r="G745" s="63"/>
      <c r="H745" s="47"/>
      <c r="I745" s="47"/>
      <c r="J745" s="63"/>
      <c r="K745" s="63"/>
      <c r="L745" s="63"/>
      <c r="M745" s="63"/>
      <c r="N745" s="63"/>
      <c r="O745" s="63"/>
      <c r="P745" s="63"/>
      <c r="Q745" s="63"/>
      <c r="R745" s="63"/>
      <c r="S745" s="63"/>
      <c r="T745" s="63"/>
      <c r="U745" s="63"/>
      <c r="V745" s="63"/>
      <c r="W745" s="63"/>
    </row>
    <row r="746" spans="1:23" ht="12.75">
      <c r="A746" s="216"/>
      <c r="B746" s="217"/>
      <c r="C746" s="47"/>
      <c r="D746" s="47"/>
      <c r="E746" s="121"/>
      <c r="F746" s="47"/>
      <c r="G746" s="63"/>
      <c r="H746" s="47"/>
      <c r="I746" s="47"/>
      <c r="J746" s="63"/>
      <c r="K746" s="63"/>
      <c r="L746" s="63"/>
      <c r="M746" s="63"/>
      <c r="N746" s="63"/>
      <c r="O746" s="63"/>
      <c r="P746" s="63"/>
      <c r="Q746" s="63"/>
      <c r="R746" s="63"/>
      <c r="S746" s="63"/>
      <c r="T746" s="63"/>
      <c r="U746" s="63"/>
      <c r="V746" s="63"/>
      <c r="W746" s="63"/>
    </row>
    <row r="747" spans="1:23" ht="12.75">
      <c r="A747" s="216"/>
      <c r="B747" s="217"/>
      <c r="C747" s="47"/>
      <c r="D747" s="47"/>
      <c r="E747" s="121"/>
      <c r="F747" s="47"/>
      <c r="G747" s="63"/>
      <c r="H747" s="47"/>
      <c r="I747" s="47"/>
      <c r="J747" s="63"/>
      <c r="K747" s="63"/>
      <c r="L747" s="63"/>
      <c r="M747" s="63"/>
      <c r="N747" s="63"/>
      <c r="O747" s="63"/>
      <c r="P747" s="63"/>
      <c r="Q747" s="63"/>
      <c r="R747" s="63"/>
      <c r="S747" s="63"/>
      <c r="T747" s="63"/>
      <c r="U747" s="63"/>
      <c r="V747" s="63"/>
      <c r="W747" s="63"/>
    </row>
    <row r="748" spans="1:23" ht="12.75">
      <c r="A748" s="216"/>
      <c r="B748" s="217"/>
      <c r="C748" s="47"/>
      <c r="D748" s="47"/>
      <c r="E748" s="121"/>
      <c r="F748" s="47"/>
      <c r="G748" s="63"/>
      <c r="H748" s="47"/>
      <c r="I748" s="47"/>
      <c r="J748" s="63"/>
      <c r="K748" s="63"/>
      <c r="L748" s="63"/>
      <c r="M748" s="63"/>
      <c r="N748" s="63"/>
      <c r="O748" s="63"/>
      <c r="P748" s="63"/>
      <c r="Q748" s="63"/>
      <c r="R748" s="63"/>
      <c r="S748" s="63"/>
      <c r="T748" s="63"/>
      <c r="U748" s="63"/>
      <c r="V748" s="63"/>
      <c r="W748" s="63"/>
    </row>
    <row r="749" spans="1:23" ht="12.75">
      <c r="A749" s="216"/>
      <c r="B749" s="217"/>
      <c r="C749" s="47"/>
      <c r="D749" s="47"/>
      <c r="E749" s="121"/>
      <c r="F749" s="47"/>
      <c r="G749" s="63"/>
      <c r="H749" s="47"/>
      <c r="I749" s="47"/>
      <c r="J749" s="63"/>
      <c r="K749" s="63"/>
      <c r="L749" s="63"/>
      <c r="M749" s="63"/>
      <c r="N749" s="63"/>
      <c r="O749" s="63"/>
      <c r="P749" s="63"/>
      <c r="Q749" s="63"/>
      <c r="R749" s="63"/>
      <c r="S749" s="63"/>
      <c r="T749" s="63"/>
      <c r="U749" s="63"/>
      <c r="V749" s="63"/>
      <c r="W749" s="63"/>
    </row>
    <row r="750" spans="1:23" ht="12.75">
      <c r="A750" s="216"/>
      <c r="B750" s="217"/>
      <c r="C750" s="47"/>
      <c r="D750" s="47"/>
      <c r="E750" s="121"/>
      <c r="F750" s="47"/>
      <c r="G750" s="63"/>
      <c r="H750" s="47"/>
      <c r="I750" s="47"/>
      <c r="J750" s="63"/>
      <c r="K750" s="63"/>
      <c r="L750" s="63"/>
      <c r="M750" s="63"/>
      <c r="N750" s="63"/>
      <c r="O750" s="63"/>
      <c r="P750" s="63"/>
      <c r="Q750" s="63"/>
      <c r="R750" s="63"/>
      <c r="S750" s="63"/>
      <c r="T750" s="63"/>
      <c r="U750" s="63"/>
      <c r="V750" s="63"/>
      <c r="W750" s="63"/>
    </row>
    <row r="751" spans="1:23" ht="12.75">
      <c r="A751" s="216"/>
      <c r="B751" s="217"/>
      <c r="C751" s="47"/>
      <c r="D751" s="47"/>
      <c r="E751" s="121"/>
      <c r="F751" s="47"/>
      <c r="G751" s="63"/>
      <c r="H751" s="47"/>
      <c r="I751" s="47"/>
      <c r="J751" s="63"/>
      <c r="K751" s="63"/>
      <c r="L751" s="63"/>
      <c r="M751" s="63"/>
      <c r="N751" s="63"/>
      <c r="O751" s="63"/>
      <c r="P751" s="63"/>
      <c r="Q751" s="63"/>
      <c r="R751" s="63"/>
      <c r="S751" s="63"/>
      <c r="T751" s="63"/>
      <c r="U751" s="63"/>
      <c r="V751" s="63"/>
      <c r="W751" s="63"/>
    </row>
    <row r="752" spans="1:23" ht="12.75">
      <c r="A752" s="216"/>
      <c r="B752" s="217"/>
      <c r="C752" s="47"/>
      <c r="D752" s="47"/>
      <c r="E752" s="121"/>
      <c r="F752" s="47"/>
      <c r="G752" s="63"/>
      <c r="H752" s="47"/>
      <c r="I752" s="47"/>
      <c r="J752" s="63"/>
      <c r="K752" s="63"/>
      <c r="L752" s="63"/>
      <c r="M752" s="63"/>
      <c r="N752" s="63"/>
      <c r="O752" s="63"/>
      <c r="P752" s="63"/>
      <c r="Q752" s="63"/>
      <c r="R752" s="63"/>
      <c r="S752" s="63"/>
      <c r="T752" s="63"/>
      <c r="U752" s="63"/>
      <c r="V752" s="63"/>
      <c r="W752" s="63"/>
    </row>
    <row r="753" spans="1:23" ht="12.75">
      <c r="A753" s="216"/>
      <c r="B753" s="217"/>
      <c r="C753" s="47"/>
      <c r="D753" s="47"/>
      <c r="E753" s="121"/>
      <c r="F753" s="47"/>
      <c r="G753" s="63"/>
      <c r="H753" s="47"/>
      <c r="I753" s="47"/>
      <c r="J753" s="63"/>
      <c r="K753" s="63"/>
      <c r="L753" s="63"/>
      <c r="M753" s="63"/>
      <c r="N753" s="63"/>
      <c r="O753" s="63"/>
      <c r="P753" s="63"/>
      <c r="Q753" s="63"/>
      <c r="R753" s="63"/>
      <c r="S753" s="63"/>
      <c r="T753" s="63"/>
      <c r="U753" s="63"/>
      <c r="V753" s="63"/>
      <c r="W753" s="63"/>
    </row>
    <row r="754" spans="1:23" ht="12.75">
      <c r="A754" s="216"/>
      <c r="B754" s="217"/>
      <c r="C754" s="47"/>
      <c r="D754" s="47"/>
      <c r="E754" s="121"/>
      <c r="F754" s="47"/>
      <c r="G754" s="63"/>
      <c r="H754" s="47"/>
      <c r="I754" s="47"/>
      <c r="J754" s="63"/>
      <c r="K754" s="63"/>
      <c r="L754" s="63"/>
      <c r="M754" s="63"/>
      <c r="N754" s="63"/>
      <c r="O754" s="63"/>
      <c r="P754" s="63"/>
      <c r="Q754" s="63"/>
      <c r="R754" s="63"/>
      <c r="S754" s="63"/>
      <c r="T754" s="63"/>
      <c r="U754" s="63"/>
      <c r="V754" s="63"/>
      <c r="W754" s="63"/>
    </row>
    <row r="755" spans="1:23" ht="12.75">
      <c r="A755" s="216"/>
      <c r="B755" s="217"/>
      <c r="C755" s="47"/>
      <c r="D755" s="47"/>
      <c r="E755" s="121"/>
      <c r="F755" s="47"/>
      <c r="G755" s="63"/>
      <c r="H755" s="47"/>
      <c r="I755" s="47"/>
      <c r="J755" s="63"/>
      <c r="K755" s="63"/>
      <c r="L755" s="63"/>
      <c r="M755" s="63"/>
      <c r="N755" s="63"/>
      <c r="O755" s="63"/>
      <c r="P755" s="63"/>
      <c r="Q755" s="63"/>
      <c r="R755" s="63"/>
      <c r="S755" s="63"/>
      <c r="T755" s="63"/>
      <c r="U755" s="63"/>
      <c r="V755" s="63"/>
      <c r="W755" s="63"/>
    </row>
    <row r="756" spans="1:23" ht="12.75">
      <c r="A756" s="216"/>
      <c r="B756" s="217"/>
      <c r="C756" s="47"/>
      <c r="D756" s="47"/>
      <c r="E756" s="121"/>
      <c r="F756" s="47"/>
      <c r="G756" s="63"/>
      <c r="H756" s="47"/>
      <c r="I756" s="47"/>
      <c r="J756" s="63"/>
      <c r="K756" s="63"/>
      <c r="L756" s="63"/>
      <c r="M756" s="63"/>
      <c r="N756" s="63"/>
      <c r="O756" s="63"/>
      <c r="P756" s="63"/>
      <c r="Q756" s="63"/>
      <c r="R756" s="63"/>
      <c r="S756" s="63"/>
      <c r="T756" s="63"/>
      <c r="U756" s="63"/>
      <c r="V756" s="63"/>
      <c r="W756" s="63"/>
    </row>
    <row r="757" spans="1:23" ht="12.75">
      <c r="A757" s="216"/>
      <c r="B757" s="217"/>
      <c r="C757" s="47"/>
      <c r="D757" s="47"/>
      <c r="E757" s="121"/>
      <c r="F757" s="47"/>
      <c r="G757" s="63"/>
      <c r="H757" s="47"/>
      <c r="I757" s="47"/>
      <c r="J757" s="63"/>
      <c r="K757" s="63"/>
      <c r="L757" s="63"/>
      <c r="M757" s="63"/>
      <c r="N757" s="63"/>
      <c r="O757" s="63"/>
      <c r="P757" s="63"/>
      <c r="Q757" s="63"/>
      <c r="R757" s="63"/>
      <c r="S757" s="63"/>
      <c r="T757" s="63"/>
      <c r="U757" s="63"/>
      <c r="V757" s="63"/>
      <c r="W757" s="63"/>
    </row>
    <row r="758" spans="1:23" ht="12.75">
      <c r="A758" s="216"/>
      <c r="B758" s="217"/>
      <c r="C758" s="47"/>
      <c r="D758" s="47"/>
      <c r="E758" s="121"/>
      <c r="F758" s="47"/>
      <c r="G758" s="63"/>
      <c r="H758" s="47"/>
      <c r="I758" s="47"/>
      <c r="J758" s="63"/>
      <c r="K758" s="63"/>
      <c r="L758" s="63"/>
      <c r="M758" s="63"/>
      <c r="N758" s="63"/>
      <c r="O758" s="63"/>
      <c r="P758" s="63"/>
      <c r="Q758" s="63"/>
      <c r="R758" s="63"/>
      <c r="S758" s="63"/>
      <c r="T758" s="63"/>
      <c r="U758" s="63"/>
      <c r="V758" s="63"/>
      <c r="W758" s="63"/>
    </row>
    <row r="759" spans="1:23" ht="12.75">
      <c r="A759" s="216"/>
      <c r="B759" s="217"/>
      <c r="C759" s="47"/>
      <c r="D759" s="47"/>
      <c r="E759" s="121"/>
      <c r="F759" s="47"/>
      <c r="G759" s="63"/>
      <c r="H759" s="47"/>
      <c r="I759" s="47"/>
      <c r="J759" s="63"/>
      <c r="K759" s="63"/>
      <c r="L759" s="63"/>
      <c r="M759" s="63"/>
      <c r="N759" s="63"/>
      <c r="O759" s="63"/>
      <c r="P759" s="63"/>
      <c r="Q759" s="63"/>
      <c r="R759" s="63"/>
      <c r="S759" s="63"/>
      <c r="T759" s="63"/>
      <c r="U759" s="63"/>
      <c r="V759" s="63"/>
      <c r="W759" s="63"/>
    </row>
    <row r="760" spans="1:23" ht="12.75">
      <c r="A760" s="216"/>
      <c r="B760" s="217"/>
      <c r="C760" s="47"/>
      <c r="D760" s="47"/>
      <c r="E760" s="121"/>
      <c r="F760" s="47"/>
      <c r="G760" s="63"/>
      <c r="H760" s="47"/>
      <c r="I760" s="47"/>
      <c r="J760" s="63"/>
      <c r="K760" s="63"/>
      <c r="L760" s="63"/>
      <c r="M760" s="63"/>
      <c r="N760" s="63"/>
      <c r="O760" s="63"/>
      <c r="P760" s="63"/>
      <c r="Q760" s="63"/>
      <c r="R760" s="63"/>
      <c r="S760" s="63"/>
      <c r="T760" s="63"/>
      <c r="U760" s="63"/>
      <c r="V760" s="63"/>
      <c r="W760" s="63"/>
    </row>
    <row r="761" spans="1:23" ht="12.75">
      <c r="A761" s="216"/>
      <c r="B761" s="217"/>
      <c r="C761" s="47"/>
      <c r="D761" s="47"/>
      <c r="E761" s="121"/>
      <c r="F761" s="47"/>
      <c r="G761" s="63"/>
      <c r="H761" s="47"/>
      <c r="I761" s="47"/>
      <c r="J761" s="63"/>
      <c r="K761" s="63"/>
      <c r="L761" s="63"/>
      <c r="M761" s="63"/>
      <c r="N761" s="63"/>
      <c r="O761" s="63"/>
      <c r="P761" s="63"/>
      <c r="Q761" s="63"/>
      <c r="R761" s="63"/>
      <c r="S761" s="63"/>
      <c r="T761" s="63"/>
      <c r="U761" s="63"/>
      <c r="V761" s="63"/>
      <c r="W761" s="63"/>
    </row>
    <row r="762" spans="1:23" ht="12.75">
      <c r="A762" s="216"/>
      <c r="B762" s="217"/>
      <c r="C762" s="47"/>
      <c r="D762" s="47"/>
      <c r="E762" s="121"/>
      <c r="F762" s="47"/>
      <c r="G762" s="63"/>
      <c r="H762" s="47"/>
      <c r="I762" s="47"/>
      <c r="J762" s="63"/>
      <c r="K762" s="63"/>
      <c r="L762" s="63"/>
      <c r="M762" s="63"/>
      <c r="N762" s="63"/>
      <c r="O762" s="63"/>
      <c r="P762" s="63"/>
      <c r="Q762" s="63"/>
      <c r="R762" s="63"/>
      <c r="S762" s="63"/>
      <c r="T762" s="63"/>
      <c r="U762" s="63"/>
      <c r="V762" s="63"/>
      <c r="W762" s="63"/>
    </row>
    <row r="763" spans="1:23" ht="12.75">
      <c r="A763" s="216"/>
      <c r="B763" s="217"/>
      <c r="C763" s="47"/>
      <c r="D763" s="47"/>
      <c r="E763" s="121"/>
      <c r="F763" s="47"/>
      <c r="G763" s="63"/>
      <c r="H763" s="47"/>
      <c r="I763" s="47"/>
      <c r="J763" s="63"/>
      <c r="K763" s="63"/>
      <c r="L763" s="63"/>
      <c r="M763" s="63"/>
      <c r="N763" s="63"/>
      <c r="O763" s="63"/>
      <c r="P763" s="63"/>
      <c r="Q763" s="63"/>
      <c r="R763" s="63"/>
      <c r="S763" s="63"/>
      <c r="T763" s="63"/>
      <c r="U763" s="63"/>
      <c r="V763" s="63"/>
      <c r="W763" s="63"/>
    </row>
    <row r="764" spans="1:23" ht="12.75">
      <c r="A764" s="216"/>
      <c r="B764" s="217"/>
      <c r="C764" s="47"/>
      <c r="D764" s="47"/>
      <c r="E764" s="121"/>
      <c r="F764" s="47"/>
      <c r="G764" s="63"/>
      <c r="H764" s="47"/>
      <c r="I764" s="47"/>
      <c r="J764" s="63"/>
      <c r="K764" s="63"/>
      <c r="L764" s="63"/>
      <c r="M764" s="63"/>
      <c r="N764" s="63"/>
      <c r="O764" s="63"/>
      <c r="P764" s="63"/>
      <c r="Q764" s="63"/>
      <c r="R764" s="63"/>
      <c r="S764" s="63"/>
      <c r="T764" s="63"/>
      <c r="U764" s="63"/>
      <c r="V764" s="63"/>
      <c r="W764" s="63"/>
    </row>
    <row r="765" spans="1:23" ht="12.75">
      <c r="A765" s="216"/>
      <c r="B765" s="217"/>
      <c r="C765" s="47"/>
      <c r="D765" s="47"/>
      <c r="E765" s="121"/>
      <c r="F765" s="47"/>
      <c r="G765" s="63"/>
      <c r="H765" s="47"/>
      <c r="I765" s="47"/>
      <c r="J765" s="63"/>
      <c r="K765" s="63"/>
      <c r="L765" s="63"/>
      <c r="M765" s="63"/>
      <c r="N765" s="63"/>
      <c r="O765" s="63"/>
      <c r="P765" s="63"/>
      <c r="Q765" s="63"/>
      <c r="R765" s="63"/>
      <c r="S765" s="63"/>
      <c r="T765" s="63"/>
      <c r="U765" s="63"/>
      <c r="V765" s="63"/>
      <c r="W765" s="63"/>
    </row>
    <row r="766" spans="1:23" ht="12.75">
      <c r="A766" s="216"/>
      <c r="B766" s="217"/>
      <c r="C766" s="47"/>
      <c r="D766" s="47"/>
      <c r="E766" s="121"/>
      <c r="F766" s="47"/>
      <c r="G766" s="63"/>
      <c r="H766" s="47"/>
      <c r="I766" s="47"/>
      <c r="J766" s="63"/>
      <c r="K766" s="63"/>
      <c r="L766" s="63"/>
      <c r="M766" s="63"/>
      <c r="N766" s="63"/>
      <c r="O766" s="63"/>
      <c r="P766" s="63"/>
      <c r="Q766" s="63"/>
      <c r="R766" s="63"/>
      <c r="S766" s="63"/>
      <c r="T766" s="63"/>
      <c r="U766" s="63"/>
      <c r="V766" s="63"/>
      <c r="W766" s="63"/>
    </row>
    <row r="767" spans="1:23" ht="12.75">
      <c r="A767" s="216"/>
      <c r="B767" s="217"/>
      <c r="C767" s="47"/>
      <c r="D767" s="47"/>
      <c r="E767" s="121"/>
      <c r="F767" s="47"/>
      <c r="G767" s="63"/>
      <c r="H767" s="47"/>
      <c r="I767" s="47"/>
      <c r="J767" s="63"/>
      <c r="K767" s="63"/>
      <c r="L767" s="63"/>
      <c r="M767" s="63"/>
      <c r="N767" s="63"/>
      <c r="O767" s="63"/>
      <c r="P767" s="63"/>
      <c r="Q767" s="63"/>
      <c r="R767" s="63"/>
      <c r="S767" s="63"/>
      <c r="T767" s="63"/>
      <c r="U767" s="63"/>
      <c r="V767" s="63"/>
      <c r="W767" s="63"/>
    </row>
    <row r="768" spans="1:23" ht="12.75">
      <c r="A768" s="216"/>
      <c r="B768" s="217"/>
      <c r="C768" s="47"/>
      <c r="D768" s="47"/>
      <c r="E768" s="121"/>
      <c r="F768" s="47"/>
      <c r="G768" s="63"/>
      <c r="H768" s="47"/>
      <c r="I768" s="47"/>
      <c r="J768" s="63"/>
      <c r="K768" s="63"/>
      <c r="L768" s="63"/>
      <c r="M768" s="63"/>
      <c r="N768" s="63"/>
      <c r="O768" s="63"/>
      <c r="P768" s="63"/>
      <c r="Q768" s="63"/>
      <c r="R768" s="63"/>
      <c r="S768" s="63"/>
      <c r="T768" s="63"/>
      <c r="U768" s="63"/>
      <c r="V768" s="63"/>
      <c r="W768" s="63"/>
    </row>
    <row r="769" spans="1:23" ht="12.75">
      <c r="A769" s="216"/>
      <c r="B769" s="217"/>
      <c r="C769" s="47"/>
      <c r="D769" s="47"/>
      <c r="E769" s="121"/>
      <c r="F769" s="47"/>
      <c r="G769" s="63"/>
      <c r="H769" s="47"/>
      <c r="I769" s="47"/>
      <c r="J769" s="63"/>
      <c r="K769" s="63"/>
      <c r="L769" s="63"/>
      <c r="M769" s="63"/>
      <c r="N769" s="63"/>
      <c r="O769" s="63"/>
      <c r="P769" s="63"/>
      <c r="Q769" s="63"/>
      <c r="R769" s="63"/>
      <c r="S769" s="63"/>
      <c r="T769" s="63"/>
      <c r="U769" s="63"/>
      <c r="V769" s="63"/>
      <c r="W769" s="63"/>
    </row>
    <row r="770" spans="1:23" ht="12.75">
      <c r="A770" s="216"/>
      <c r="B770" s="217"/>
      <c r="C770" s="47"/>
      <c r="D770" s="47"/>
      <c r="E770" s="121"/>
      <c r="F770" s="47"/>
      <c r="G770" s="63"/>
      <c r="H770" s="47"/>
      <c r="I770" s="47"/>
      <c r="J770" s="63"/>
      <c r="K770" s="63"/>
      <c r="L770" s="63"/>
      <c r="M770" s="63"/>
      <c r="N770" s="63"/>
      <c r="O770" s="63"/>
      <c r="P770" s="63"/>
      <c r="Q770" s="63"/>
      <c r="R770" s="63"/>
      <c r="S770" s="63"/>
      <c r="T770" s="63"/>
      <c r="U770" s="63"/>
      <c r="V770" s="63"/>
      <c r="W770" s="63"/>
    </row>
    <row r="771" spans="1:23" ht="12.75">
      <c r="A771" s="216"/>
      <c r="B771" s="217"/>
      <c r="C771" s="47"/>
      <c r="D771" s="47"/>
      <c r="E771" s="121"/>
      <c r="F771" s="47"/>
      <c r="G771" s="63"/>
      <c r="H771" s="47"/>
      <c r="I771" s="47"/>
      <c r="J771" s="63"/>
      <c r="K771" s="63"/>
      <c r="L771" s="63"/>
      <c r="M771" s="63"/>
      <c r="N771" s="63"/>
      <c r="O771" s="63"/>
      <c r="P771" s="63"/>
      <c r="Q771" s="63"/>
      <c r="R771" s="63"/>
      <c r="S771" s="63"/>
      <c r="T771" s="63"/>
      <c r="U771" s="63"/>
      <c r="V771" s="63"/>
      <c r="W771" s="63"/>
    </row>
    <row r="772" spans="1:23" ht="12.75">
      <c r="A772" s="216"/>
      <c r="B772" s="217"/>
      <c r="C772" s="47"/>
      <c r="D772" s="47"/>
      <c r="E772" s="121"/>
      <c r="F772" s="47"/>
      <c r="G772" s="63"/>
      <c r="H772" s="47"/>
      <c r="I772" s="47"/>
      <c r="J772" s="63"/>
      <c r="K772" s="63"/>
      <c r="L772" s="63"/>
      <c r="M772" s="63"/>
      <c r="N772" s="63"/>
      <c r="O772" s="63"/>
      <c r="P772" s="63"/>
      <c r="Q772" s="63"/>
      <c r="R772" s="63"/>
      <c r="S772" s="63"/>
      <c r="T772" s="63"/>
      <c r="U772" s="63"/>
      <c r="V772" s="63"/>
      <c r="W772" s="63"/>
    </row>
    <row r="773" spans="1:23" ht="12.75">
      <c r="A773" s="216"/>
      <c r="B773" s="217"/>
      <c r="C773" s="47"/>
      <c r="D773" s="47"/>
      <c r="E773" s="121"/>
      <c r="F773" s="47"/>
      <c r="G773" s="63"/>
      <c r="H773" s="47"/>
      <c r="I773" s="47"/>
      <c r="J773" s="63"/>
      <c r="K773" s="63"/>
      <c r="L773" s="63"/>
      <c r="M773" s="63"/>
      <c r="N773" s="63"/>
      <c r="O773" s="63"/>
      <c r="P773" s="63"/>
      <c r="Q773" s="63"/>
      <c r="R773" s="63"/>
      <c r="S773" s="63"/>
      <c r="T773" s="63"/>
      <c r="U773" s="63"/>
      <c r="V773" s="63"/>
      <c r="W773" s="63"/>
    </row>
    <row r="774" spans="1:23" ht="12.75">
      <c r="A774" s="216"/>
      <c r="B774" s="217"/>
      <c r="C774" s="47"/>
      <c r="D774" s="47"/>
      <c r="E774" s="121"/>
      <c r="F774" s="47"/>
      <c r="G774" s="63"/>
      <c r="H774" s="47"/>
      <c r="I774" s="47"/>
      <c r="J774" s="63"/>
      <c r="K774" s="63"/>
      <c r="L774" s="63"/>
      <c r="M774" s="63"/>
      <c r="N774" s="63"/>
      <c r="O774" s="63"/>
      <c r="P774" s="63"/>
      <c r="Q774" s="63"/>
      <c r="R774" s="63"/>
      <c r="S774" s="63"/>
      <c r="T774" s="63"/>
      <c r="U774" s="63"/>
      <c r="V774" s="63"/>
      <c r="W774" s="63"/>
    </row>
    <row r="775" spans="1:23" ht="12.75">
      <c r="A775" s="216"/>
      <c r="B775" s="217"/>
      <c r="C775" s="47"/>
      <c r="D775" s="47"/>
      <c r="E775" s="121"/>
      <c r="F775" s="47"/>
      <c r="G775" s="63"/>
      <c r="H775" s="47"/>
      <c r="I775" s="47"/>
      <c r="J775" s="63"/>
      <c r="K775" s="63"/>
      <c r="L775" s="63"/>
      <c r="M775" s="63"/>
      <c r="N775" s="63"/>
      <c r="O775" s="63"/>
      <c r="P775" s="63"/>
      <c r="Q775" s="63"/>
      <c r="R775" s="63"/>
      <c r="S775" s="63"/>
      <c r="T775" s="63"/>
      <c r="U775" s="63"/>
      <c r="V775" s="63"/>
      <c r="W775" s="63"/>
    </row>
    <row r="776" spans="1:23" ht="12.75">
      <c r="A776" s="216"/>
      <c r="B776" s="217"/>
      <c r="C776" s="47"/>
      <c r="D776" s="47"/>
      <c r="E776" s="121"/>
      <c r="F776" s="47"/>
      <c r="G776" s="63"/>
      <c r="H776" s="47"/>
      <c r="I776" s="47"/>
      <c r="J776" s="63"/>
      <c r="K776" s="63"/>
      <c r="L776" s="63"/>
      <c r="M776" s="63"/>
      <c r="N776" s="63"/>
      <c r="O776" s="63"/>
      <c r="P776" s="63"/>
      <c r="Q776" s="63"/>
      <c r="R776" s="63"/>
      <c r="S776" s="63"/>
      <c r="T776" s="63"/>
      <c r="U776" s="63"/>
      <c r="V776" s="63"/>
      <c r="W776" s="63"/>
    </row>
    <row r="777" spans="1:23" ht="12.75">
      <c r="A777" s="216"/>
      <c r="B777" s="217"/>
      <c r="C777" s="47"/>
      <c r="D777" s="47"/>
      <c r="E777" s="121"/>
      <c r="F777" s="47"/>
      <c r="G777" s="63"/>
      <c r="H777" s="47"/>
      <c r="I777" s="47"/>
      <c r="J777" s="63"/>
      <c r="K777" s="63"/>
      <c r="L777" s="63"/>
      <c r="M777" s="63"/>
      <c r="N777" s="63"/>
      <c r="O777" s="63"/>
      <c r="P777" s="63"/>
      <c r="Q777" s="63"/>
      <c r="R777" s="63"/>
      <c r="S777" s="63"/>
      <c r="T777" s="63"/>
      <c r="U777" s="63"/>
      <c r="V777" s="63"/>
      <c r="W777" s="63"/>
    </row>
    <row r="778" spans="1:23" ht="12.75">
      <c r="A778" s="216"/>
      <c r="B778" s="217"/>
      <c r="C778" s="47"/>
      <c r="D778" s="47"/>
      <c r="E778" s="121"/>
      <c r="F778" s="47"/>
      <c r="G778" s="63"/>
      <c r="H778" s="47"/>
      <c r="I778" s="47"/>
      <c r="J778" s="63"/>
      <c r="K778" s="63"/>
      <c r="L778" s="63"/>
      <c r="M778" s="63"/>
      <c r="N778" s="63"/>
      <c r="O778" s="63"/>
      <c r="P778" s="63"/>
      <c r="Q778" s="63"/>
      <c r="R778" s="63"/>
      <c r="S778" s="63"/>
      <c r="T778" s="63"/>
      <c r="U778" s="63"/>
      <c r="V778" s="63"/>
      <c r="W778" s="63"/>
    </row>
    <row r="779" spans="1:23" ht="12.75">
      <c r="A779" s="216"/>
      <c r="B779" s="217"/>
      <c r="C779" s="47"/>
      <c r="D779" s="47"/>
      <c r="E779" s="121"/>
      <c r="F779" s="47"/>
      <c r="G779" s="63"/>
      <c r="H779" s="47"/>
      <c r="I779" s="47"/>
      <c r="J779" s="63"/>
      <c r="K779" s="63"/>
      <c r="L779" s="63"/>
      <c r="M779" s="63"/>
      <c r="N779" s="63"/>
      <c r="O779" s="63"/>
      <c r="P779" s="63"/>
      <c r="Q779" s="63"/>
      <c r="R779" s="63"/>
      <c r="S779" s="63"/>
      <c r="T779" s="63"/>
      <c r="U779" s="63"/>
      <c r="V779" s="63"/>
      <c r="W779" s="63"/>
    </row>
    <row r="780" spans="1:23" ht="12.75">
      <c r="A780" s="216"/>
      <c r="B780" s="217"/>
      <c r="C780" s="47"/>
      <c r="D780" s="47"/>
      <c r="E780" s="121"/>
      <c r="F780" s="47"/>
      <c r="G780" s="63"/>
      <c r="H780" s="47"/>
      <c r="I780" s="47"/>
      <c r="J780" s="63"/>
      <c r="K780" s="63"/>
      <c r="L780" s="63"/>
      <c r="M780" s="63"/>
      <c r="N780" s="63"/>
      <c r="O780" s="63"/>
      <c r="P780" s="63"/>
      <c r="Q780" s="63"/>
      <c r="R780" s="63"/>
      <c r="S780" s="63"/>
      <c r="T780" s="63"/>
      <c r="U780" s="63"/>
      <c r="V780" s="63"/>
      <c r="W780" s="63"/>
    </row>
    <row r="781" spans="1:23" ht="12.75">
      <c r="A781" s="216"/>
      <c r="B781" s="217"/>
      <c r="C781" s="47"/>
      <c r="D781" s="47"/>
      <c r="E781" s="121"/>
      <c r="F781" s="47"/>
      <c r="G781" s="63"/>
      <c r="H781" s="47"/>
      <c r="I781" s="47"/>
      <c r="J781" s="63"/>
      <c r="K781" s="63"/>
      <c r="L781" s="63"/>
      <c r="M781" s="63"/>
      <c r="N781" s="63"/>
      <c r="O781" s="63"/>
      <c r="P781" s="63"/>
      <c r="Q781" s="63"/>
      <c r="R781" s="63"/>
      <c r="S781" s="63"/>
      <c r="T781" s="63"/>
      <c r="U781" s="63"/>
      <c r="V781" s="63"/>
      <c r="W781" s="63"/>
    </row>
    <row r="782" spans="1:23" ht="12.75">
      <c r="A782" s="216"/>
      <c r="B782" s="217"/>
      <c r="C782" s="47"/>
      <c r="D782" s="47"/>
      <c r="E782" s="121"/>
      <c r="F782" s="47"/>
      <c r="G782" s="63"/>
      <c r="H782" s="47"/>
      <c r="I782" s="47"/>
      <c r="J782" s="63"/>
      <c r="K782" s="63"/>
      <c r="L782" s="63"/>
      <c r="M782" s="63"/>
      <c r="N782" s="63"/>
      <c r="O782" s="63"/>
      <c r="P782" s="63"/>
      <c r="Q782" s="63"/>
      <c r="R782" s="63"/>
      <c r="S782" s="63"/>
      <c r="T782" s="63"/>
      <c r="U782" s="63"/>
      <c r="V782" s="63"/>
      <c r="W782" s="63"/>
    </row>
    <row r="783" spans="1:23" ht="12.75">
      <c r="A783" s="216"/>
      <c r="B783" s="217"/>
      <c r="C783" s="47"/>
      <c r="D783" s="47"/>
      <c r="E783" s="121"/>
      <c r="F783" s="47"/>
      <c r="G783" s="63"/>
      <c r="H783" s="47"/>
      <c r="I783" s="47"/>
      <c r="J783" s="63"/>
      <c r="K783" s="63"/>
      <c r="L783" s="63"/>
      <c r="M783" s="63"/>
      <c r="N783" s="63"/>
      <c r="O783" s="63"/>
      <c r="P783" s="63"/>
      <c r="Q783" s="63"/>
      <c r="R783" s="63"/>
      <c r="S783" s="63"/>
      <c r="T783" s="63"/>
      <c r="U783" s="63"/>
      <c r="V783" s="63"/>
      <c r="W783" s="63"/>
    </row>
    <row r="784" spans="1:23" ht="12.75">
      <c r="A784" s="216"/>
      <c r="B784" s="217"/>
      <c r="C784" s="47"/>
      <c r="D784" s="47"/>
      <c r="E784" s="121"/>
      <c r="F784" s="47"/>
      <c r="G784" s="63"/>
      <c r="H784" s="47"/>
      <c r="I784" s="47"/>
      <c r="J784" s="63"/>
      <c r="K784" s="63"/>
      <c r="L784" s="63"/>
      <c r="M784" s="63"/>
      <c r="N784" s="63"/>
      <c r="O784" s="63"/>
      <c r="P784" s="63"/>
      <c r="Q784" s="63"/>
      <c r="R784" s="63"/>
      <c r="S784" s="63"/>
      <c r="T784" s="63"/>
      <c r="U784" s="63"/>
      <c r="V784" s="63"/>
      <c r="W784" s="63"/>
    </row>
    <row r="785" spans="1:23" ht="12.75">
      <c r="A785" s="216"/>
      <c r="B785" s="217"/>
      <c r="C785" s="47"/>
      <c r="D785" s="47"/>
      <c r="E785" s="121"/>
      <c r="F785" s="47"/>
      <c r="G785" s="63"/>
      <c r="H785" s="47"/>
      <c r="I785" s="47"/>
      <c r="J785" s="63"/>
      <c r="K785" s="63"/>
      <c r="L785" s="63"/>
      <c r="M785" s="63"/>
      <c r="N785" s="63"/>
      <c r="O785" s="63"/>
      <c r="P785" s="63"/>
      <c r="Q785" s="63"/>
      <c r="R785" s="63"/>
      <c r="S785" s="63"/>
      <c r="T785" s="63"/>
      <c r="U785" s="63"/>
      <c r="V785" s="63"/>
      <c r="W785" s="63"/>
    </row>
    <row r="786" spans="1:23" ht="12.75">
      <c r="A786" s="216"/>
      <c r="B786" s="217"/>
      <c r="C786" s="47"/>
      <c r="D786" s="47"/>
      <c r="E786" s="121"/>
      <c r="F786" s="47"/>
      <c r="G786" s="63"/>
      <c r="H786" s="47"/>
      <c r="I786" s="47"/>
      <c r="J786" s="63"/>
      <c r="K786" s="63"/>
      <c r="L786" s="63"/>
      <c r="M786" s="63"/>
      <c r="N786" s="63"/>
      <c r="O786" s="63"/>
      <c r="P786" s="63"/>
      <c r="Q786" s="63"/>
      <c r="R786" s="63"/>
      <c r="S786" s="63"/>
      <c r="T786" s="63"/>
      <c r="U786" s="63"/>
      <c r="V786" s="63"/>
      <c r="W786" s="63"/>
    </row>
    <row r="787" spans="1:23" ht="12.75">
      <c r="A787" s="216"/>
      <c r="B787" s="217"/>
      <c r="C787" s="47"/>
      <c r="D787" s="47"/>
      <c r="E787" s="121"/>
      <c r="F787" s="47"/>
      <c r="G787" s="63"/>
      <c r="H787" s="47"/>
      <c r="I787" s="47"/>
      <c r="J787" s="63"/>
      <c r="K787" s="63"/>
      <c r="L787" s="63"/>
      <c r="M787" s="63"/>
      <c r="N787" s="63"/>
      <c r="O787" s="63"/>
      <c r="P787" s="63"/>
      <c r="Q787" s="63"/>
      <c r="R787" s="63"/>
      <c r="S787" s="63"/>
      <c r="T787" s="63"/>
      <c r="U787" s="63"/>
      <c r="V787" s="63"/>
      <c r="W787" s="63"/>
    </row>
    <row r="788" spans="1:23" ht="12.75">
      <c r="A788" s="216"/>
      <c r="B788" s="217"/>
      <c r="C788" s="47"/>
      <c r="D788" s="47"/>
      <c r="E788" s="121"/>
      <c r="F788" s="47"/>
      <c r="G788" s="63"/>
      <c r="H788" s="47"/>
      <c r="I788" s="47"/>
      <c r="J788" s="63"/>
      <c r="K788" s="63"/>
      <c r="L788" s="63"/>
      <c r="M788" s="63"/>
      <c r="N788" s="63"/>
      <c r="O788" s="63"/>
      <c r="P788" s="63"/>
      <c r="Q788" s="63"/>
      <c r="R788" s="63"/>
      <c r="S788" s="63"/>
      <c r="T788" s="63"/>
      <c r="U788" s="63"/>
      <c r="V788" s="63"/>
      <c r="W788" s="63"/>
    </row>
    <row r="789" spans="1:23" ht="12.75">
      <c r="A789" s="216"/>
      <c r="B789" s="217"/>
      <c r="C789" s="47"/>
      <c r="D789" s="47"/>
      <c r="E789" s="121"/>
      <c r="F789" s="47"/>
      <c r="G789" s="63"/>
      <c r="H789" s="47"/>
      <c r="I789" s="47"/>
      <c r="J789" s="63"/>
      <c r="K789" s="63"/>
      <c r="L789" s="63"/>
      <c r="M789" s="63"/>
      <c r="N789" s="63"/>
      <c r="O789" s="63"/>
      <c r="P789" s="63"/>
      <c r="Q789" s="63"/>
      <c r="R789" s="63"/>
      <c r="S789" s="63"/>
      <c r="T789" s="63"/>
      <c r="U789" s="63"/>
      <c r="V789" s="63"/>
      <c r="W789" s="63"/>
    </row>
    <row r="790" spans="1:23" ht="12.75">
      <c r="A790" s="216"/>
      <c r="B790" s="217"/>
      <c r="C790" s="47"/>
      <c r="D790" s="47"/>
      <c r="E790" s="121"/>
      <c r="F790" s="47"/>
      <c r="G790" s="63"/>
      <c r="H790" s="47"/>
      <c r="I790" s="47"/>
      <c r="J790" s="63"/>
      <c r="K790" s="63"/>
      <c r="L790" s="63"/>
      <c r="M790" s="63"/>
      <c r="N790" s="63"/>
      <c r="O790" s="63"/>
      <c r="P790" s="63"/>
      <c r="Q790" s="63"/>
      <c r="R790" s="63"/>
      <c r="S790" s="63"/>
      <c r="T790" s="63"/>
      <c r="U790" s="63"/>
      <c r="V790" s="63"/>
      <c r="W790" s="63"/>
    </row>
    <row r="791" spans="1:23" ht="12.75">
      <c r="A791" s="216"/>
      <c r="B791" s="217"/>
      <c r="C791" s="47"/>
      <c r="D791" s="47"/>
      <c r="E791" s="121"/>
      <c r="F791" s="47"/>
      <c r="G791" s="63"/>
      <c r="H791" s="47"/>
      <c r="I791" s="47"/>
      <c r="J791" s="63"/>
      <c r="K791" s="63"/>
      <c r="L791" s="63"/>
      <c r="M791" s="63"/>
      <c r="N791" s="63"/>
      <c r="O791" s="63"/>
      <c r="P791" s="63"/>
      <c r="Q791" s="63"/>
      <c r="R791" s="63"/>
      <c r="S791" s="63"/>
      <c r="T791" s="63"/>
      <c r="U791" s="63"/>
      <c r="V791" s="63"/>
      <c r="W791" s="63"/>
    </row>
    <row r="792" spans="1:23" ht="12.75">
      <c r="A792" s="216"/>
      <c r="B792" s="217"/>
      <c r="C792" s="47"/>
      <c r="D792" s="47"/>
      <c r="E792" s="121"/>
      <c r="F792" s="47"/>
      <c r="G792" s="63"/>
      <c r="H792" s="47"/>
      <c r="I792" s="47"/>
      <c r="J792" s="63"/>
      <c r="K792" s="63"/>
      <c r="L792" s="63"/>
      <c r="M792" s="63"/>
      <c r="N792" s="63"/>
      <c r="O792" s="63"/>
      <c r="P792" s="63"/>
      <c r="Q792" s="63"/>
      <c r="R792" s="63"/>
      <c r="S792" s="63"/>
      <c r="T792" s="63"/>
      <c r="U792" s="63"/>
      <c r="V792" s="63"/>
      <c r="W792" s="63"/>
    </row>
    <row r="793" spans="1:23" ht="12.75">
      <c r="A793" s="216"/>
      <c r="B793" s="217"/>
      <c r="C793" s="47"/>
      <c r="D793" s="47"/>
      <c r="E793" s="121"/>
      <c r="F793" s="47"/>
      <c r="G793" s="63"/>
      <c r="H793" s="47"/>
      <c r="I793" s="47"/>
      <c r="J793" s="63"/>
      <c r="K793" s="63"/>
      <c r="L793" s="63"/>
      <c r="M793" s="63"/>
      <c r="N793" s="63"/>
      <c r="O793" s="63"/>
      <c r="P793" s="63"/>
      <c r="Q793" s="63"/>
      <c r="R793" s="63"/>
      <c r="S793" s="63"/>
      <c r="T793" s="63"/>
      <c r="U793" s="63"/>
      <c r="V793" s="63"/>
      <c r="W793" s="63"/>
    </row>
    <row r="794" spans="1:23" ht="12.75">
      <c r="A794" s="216"/>
      <c r="B794" s="217"/>
      <c r="C794" s="47"/>
      <c r="D794" s="47"/>
      <c r="E794" s="121"/>
      <c r="F794" s="47"/>
      <c r="G794" s="63"/>
      <c r="H794" s="47"/>
      <c r="I794" s="47"/>
      <c r="J794" s="63"/>
      <c r="K794" s="63"/>
      <c r="L794" s="63"/>
      <c r="M794" s="63"/>
      <c r="N794" s="63"/>
      <c r="O794" s="63"/>
      <c r="P794" s="63"/>
      <c r="Q794" s="63"/>
      <c r="R794" s="63"/>
      <c r="S794" s="63"/>
      <c r="T794" s="63"/>
      <c r="U794" s="63"/>
      <c r="V794" s="63"/>
      <c r="W794" s="63"/>
    </row>
    <row r="795" spans="1:23" ht="12.75">
      <c r="A795" s="216"/>
      <c r="B795" s="217"/>
      <c r="C795" s="47"/>
      <c r="D795" s="47"/>
      <c r="E795" s="121"/>
      <c r="F795" s="47"/>
      <c r="G795" s="63"/>
      <c r="H795" s="47"/>
      <c r="I795" s="47"/>
      <c r="J795" s="63"/>
      <c r="K795" s="63"/>
      <c r="L795" s="63"/>
      <c r="M795" s="63"/>
      <c r="N795" s="63"/>
      <c r="O795" s="63"/>
      <c r="P795" s="63"/>
      <c r="Q795" s="63"/>
      <c r="R795" s="63"/>
      <c r="S795" s="63"/>
      <c r="T795" s="63"/>
      <c r="U795" s="63"/>
      <c r="V795" s="63"/>
      <c r="W795" s="63"/>
    </row>
    <row r="796" spans="1:23" ht="12.75">
      <c r="A796" s="216"/>
      <c r="B796" s="217"/>
      <c r="C796" s="47"/>
      <c r="D796" s="47"/>
      <c r="E796" s="121"/>
      <c r="F796" s="47"/>
      <c r="G796" s="63"/>
      <c r="H796" s="47"/>
      <c r="I796" s="47"/>
      <c r="J796" s="63"/>
      <c r="K796" s="63"/>
      <c r="L796" s="63"/>
      <c r="M796" s="63"/>
      <c r="N796" s="63"/>
      <c r="O796" s="63"/>
      <c r="P796" s="63"/>
      <c r="Q796" s="63"/>
      <c r="R796" s="63"/>
      <c r="S796" s="63"/>
      <c r="T796" s="63"/>
      <c r="U796" s="63"/>
      <c r="V796" s="63"/>
      <c r="W796" s="63"/>
    </row>
    <row r="797" spans="1:23" ht="12.75">
      <c r="A797" s="216"/>
      <c r="B797" s="217"/>
      <c r="C797" s="47"/>
      <c r="D797" s="47"/>
      <c r="E797" s="121"/>
      <c r="F797" s="47"/>
      <c r="G797" s="63"/>
      <c r="H797" s="47"/>
      <c r="I797" s="47"/>
      <c r="J797" s="63"/>
      <c r="K797" s="63"/>
      <c r="L797" s="63"/>
      <c r="M797" s="63"/>
      <c r="N797" s="63"/>
      <c r="O797" s="63"/>
      <c r="P797" s="63"/>
      <c r="Q797" s="63"/>
      <c r="R797" s="63"/>
      <c r="S797" s="63"/>
      <c r="T797" s="63"/>
      <c r="U797" s="63"/>
      <c r="V797" s="63"/>
      <c r="W797" s="63"/>
    </row>
    <row r="798" spans="1:23" ht="12.75">
      <c r="A798" s="216"/>
      <c r="B798" s="217"/>
      <c r="C798" s="47"/>
      <c r="D798" s="47"/>
      <c r="E798" s="121"/>
      <c r="F798" s="47"/>
      <c r="G798" s="63"/>
      <c r="H798" s="47"/>
      <c r="I798" s="47"/>
      <c r="J798" s="63"/>
      <c r="K798" s="63"/>
      <c r="L798" s="63"/>
      <c r="M798" s="63"/>
      <c r="N798" s="63"/>
      <c r="O798" s="63"/>
      <c r="P798" s="63"/>
      <c r="Q798" s="63"/>
      <c r="R798" s="63"/>
      <c r="S798" s="63"/>
      <c r="T798" s="63"/>
      <c r="U798" s="63"/>
      <c r="V798" s="63"/>
      <c r="W798" s="63"/>
    </row>
    <row r="799" spans="1:23" ht="12.75">
      <c r="A799" s="216"/>
      <c r="B799" s="217"/>
      <c r="C799" s="47"/>
      <c r="D799" s="47"/>
      <c r="E799" s="121"/>
      <c r="F799" s="47"/>
      <c r="G799" s="63"/>
      <c r="H799" s="47"/>
      <c r="I799" s="47"/>
      <c r="J799" s="63"/>
      <c r="K799" s="63"/>
      <c r="L799" s="63"/>
      <c r="M799" s="63"/>
      <c r="N799" s="63"/>
      <c r="O799" s="63"/>
      <c r="P799" s="63"/>
      <c r="Q799" s="63"/>
      <c r="R799" s="63"/>
      <c r="S799" s="63"/>
      <c r="T799" s="63"/>
      <c r="U799" s="63"/>
      <c r="V799" s="63"/>
      <c r="W799" s="63"/>
    </row>
    <row r="800" spans="1:23" ht="12.75">
      <c r="A800" s="216"/>
      <c r="B800" s="217"/>
      <c r="C800" s="47"/>
      <c r="D800" s="47"/>
      <c r="E800" s="121"/>
      <c r="F800" s="47"/>
      <c r="G800" s="63"/>
      <c r="H800" s="47"/>
      <c r="I800" s="47"/>
      <c r="J800" s="63"/>
      <c r="K800" s="63"/>
      <c r="L800" s="63"/>
      <c r="M800" s="63"/>
      <c r="N800" s="63"/>
      <c r="O800" s="63"/>
      <c r="P800" s="63"/>
      <c r="Q800" s="63"/>
      <c r="R800" s="63"/>
      <c r="S800" s="63"/>
      <c r="T800" s="63"/>
      <c r="U800" s="63"/>
      <c r="V800" s="63"/>
      <c r="W800" s="63"/>
    </row>
    <row r="801" spans="1:23" ht="12.75">
      <c r="A801" s="216"/>
      <c r="B801" s="217"/>
      <c r="C801" s="47"/>
      <c r="D801" s="47"/>
      <c r="E801" s="121"/>
      <c r="F801" s="47"/>
      <c r="G801" s="63"/>
      <c r="H801" s="47"/>
      <c r="I801" s="47"/>
      <c r="J801" s="63"/>
      <c r="K801" s="63"/>
      <c r="L801" s="63"/>
      <c r="M801" s="63"/>
      <c r="N801" s="63"/>
      <c r="O801" s="63"/>
      <c r="P801" s="63"/>
      <c r="Q801" s="63"/>
      <c r="R801" s="63"/>
      <c r="S801" s="63"/>
      <c r="T801" s="63"/>
      <c r="U801" s="63"/>
      <c r="V801" s="63"/>
      <c r="W801" s="63"/>
    </row>
    <row r="802" spans="1:23" ht="12.75">
      <c r="A802" s="216"/>
      <c r="B802" s="217"/>
      <c r="C802" s="47"/>
      <c r="D802" s="47"/>
      <c r="E802" s="121"/>
      <c r="F802" s="47"/>
      <c r="G802" s="63"/>
      <c r="H802" s="47"/>
      <c r="I802" s="47"/>
      <c r="J802" s="63"/>
      <c r="K802" s="63"/>
      <c r="L802" s="63"/>
      <c r="M802" s="63"/>
      <c r="N802" s="63"/>
      <c r="O802" s="63"/>
      <c r="P802" s="63"/>
      <c r="Q802" s="63"/>
      <c r="R802" s="63"/>
      <c r="S802" s="63"/>
      <c r="T802" s="63"/>
      <c r="U802" s="63"/>
      <c r="V802" s="63"/>
      <c r="W802" s="63"/>
    </row>
    <row r="803" spans="1:23" ht="12.75">
      <c r="A803" s="216"/>
      <c r="B803" s="217"/>
      <c r="C803" s="47"/>
      <c r="D803" s="47"/>
      <c r="E803" s="121"/>
      <c r="F803" s="47"/>
      <c r="G803" s="63"/>
      <c r="H803" s="47"/>
      <c r="I803" s="47"/>
      <c r="J803" s="63"/>
      <c r="K803" s="63"/>
      <c r="L803" s="63"/>
      <c r="M803" s="63"/>
      <c r="N803" s="63"/>
      <c r="O803" s="63"/>
      <c r="P803" s="63"/>
      <c r="Q803" s="63"/>
      <c r="R803" s="63"/>
      <c r="S803" s="63"/>
      <c r="T803" s="63"/>
      <c r="U803" s="63"/>
      <c r="V803" s="63"/>
      <c r="W803" s="63"/>
    </row>
    <row r="804" spans="1:23" ht="12.75">
      <c r="A804" s="216"/>
      <c r="B804" s="217"/>
      <c r="C804" s="47"/>
      <c r="D804" s="47"/>
      <c r="E804" s="121"/>
      <c r="F804" s="47"/>
      <c r="G804" s="63"/>
      <c r="H804" s="47"/>
      <c r="I804" s="47"/>
      <c r="J804" s="63"/>
      <c r="K804" s="63"/>
      <c r="L804" s="63"/>
      <c r="M804" s="63"/>
      <c r="N804" s="63"/>
      <c r="O804" s="63"/>
      <c r="P804" s="63"/>
      <c r="Q804" s="63"/>
      <c r="R804" s="63"/>
      <c r="S804" s="63"/>
      <c r="T804" s="63"/>
      <c r="U804" s="63"/>
      <c r="V804" s="63"/>
      <c r="W804" s="63"/>
    </row>
    <row r="805" spans="1:23" ht="12.75">
      <c r="A805" s="216"/>
      <c r="B805" s="217"/>
      <c r="C805" s="47"/>
      <c r="D805" s="47"/>
      <c r="E805" s="121"/>
      <c r="F805" s="47"/>
      <c r="G805" s="63"/>
      <c r="H805" s="47"/>
      <c r="I805" s="47"/>
      <c r="J805" s="63"/>
      <c r="K805" s="63"/>
      <c r="L805" s="63"/>
      <c r="M805" s="63"/>
      <c r="N805" s="63"/>
      <c r="O805" s="63"/>
      <c r="P805" s="63"/>
      <c r="Q805" s="63"/>
      <c r="R805" s="63"/>
      <c r="S805" s="63"/>
      <c r="T805" s="63"/>
      <c r="U805" s="63"/>
      <c r="V805" s="63"/>
      <c r="W805" s="63"/>
    </row>
    <row r="806" spans="1:23" ht="12.75">
      <c r="A806" s="216"/>
      <c r="B806" s="217"/>
      <c r="C806" s="47"/>
      <c r="D806" s="47"/>
      <c r="E806" s="121"/>
      <c r="F806" s="47"/>
      <c r="G806" s="63"/>
      <c r="H806" s="47"/>
      <c r="I806" s="47"/>
      <c r="J806" s="63"/>
      <c r="K806" s="63"/>
      <c r="L806" s="63"/>
      <c r="M806" s="63"/>
      <c r="N806" s="63"/>
      <c r="O806" s="63"/>
      <c r="P806" s="63"/>
      <c r="Q806" s="63"/>
      <c r="R806" s="63"/>
      <c r="S806" s="63"/>
      <c r="T806" s="63"/>
      <c r="U806" s="63"/>
      <c r="V806" s="63"/>
      <c r="W806" s="63"/>
    </row>
    <row r="807" spans="1:23" ht="12.75">
      <c r="A807" s="216"/>
      <c r="B807" s="217"/>
      <c r="C807" s="47"/>
      <c r="D807" s="47"/>
      <c r="E807" s="121"/>
      <c r="F807" s="47"/>
      <c r="G807" s="63"/>
      <c r="H807" s="47"/>
      <c r="I807" s="47"/>
      <c r="J807" s="63"/>
      <c r="K807" s="63"/>
      <c r="L807" s="63"/>
      <c r="M807" s="63"/>
      <c r="N807" s="63"/>
      <c r="O807" s="63"/>
      <c r="P807" s="63"/>
      <c r="Q807" s="63"/>
      <c r="R807" s="63"/>
      <c r="S807" s="63"/>
      <c r="T807" s="63"/>
      <c r="U807" s="63"/>
      <c r="V807" s="63"/>
      <c r="W807" s="63"/>
    </row>
    <row r="808" spans="1:23" ht="12.75">
      <c r="A808" s="216"/>
      <c r="B808" s="217"/>
      <c r="C808" s="47"/>
      <c r="D808" s="47"/>
      <c r="E808" s="121"/>
      <c r="F808" s="47"/>
      <c r="G808" s="63"/>
      <c r="H808" s="47"/>
      <c r="I808" s="47"/>
      <c r="J808" s="63"/>
      <c r="K808" s="63"/>
      <c r="L808" s="63"/>
      <c r="M808" s="63"/>
      <c r="N808" s="63"/>
      <c r="O808" s="63"/>
      <c r="P808" s="63"/>
      <c r="Q808" s="63"/>
      <c r="R808" s="63"/>
      <c r="S808" s="63"/>
      <c r="T808" s="63"/>
      <c r="U808" s="63"/>
      <c r="V808" s="63"/>
      <c r="W808" s="63"/>
    </row>
    <row r="809" spans="1:23" ht="12.75">
      <c r="A809" s="216"/>
      <c r="B809" s="217"/>
      <c r="C809" s="47"/>
      <c r="D809" s="47"/>
      <c r="E809" s="121"/>
      <c r="F809" s="47"/>
      <c r="G809" s="63"/>
      <c r="H809" s="47"/>
      <c r="I809" s="47"/>
      <c r="J809" s="63"/>
      <c r="K809" s="63"/>
      <c r="L809" s="63"/>
      <c r="M809" s="63"/>
      <c r="N809" s="63"/>
      <c r="O809" s="63"/>
      <c r="P809" s="63"/>
      <c r="Q809" s="63"/>
      <c r="R809" s="63"/>
      <c r="S809" s="63"/>
      <c r="T809" s="63"/>
      <c r="U809" s="63"/>
      <c r="V809" s="63"/>
      <c r="W809" s="63"/>
    </row>
    <row r="810" spans="1:23" ht="12.75">
      <c r="A810" s="216"/>
      <c r="B810" s="217"/>
      <c r="C810" s="47"/>
      <c r="D810" s="47"/>
      <c r="E810" s="121"/>
      <c r="F810" s="47"/>
      <c r="G810" s="63"/>
      <c r="H810" s="47"/>
      <c r="I810" s="47"/>
      <c r="J810" s="63"/>
      <c r="K810" s="63"/>
      <c r="L810" s="63"/>
      <c r="M810" s="63"/>
      <c r="N810" s="63"/>
      <c r="O810" s="63"/>
      <c r="P810" s="63"/>
      <c r="Q810" s="63"/>
      <c r="R810" s="63"/>
      <c r="S810" s="63"/>
      <c r="T810" s="63"/>
      <c r="U810" s="63"/>
      <c r="V810" s="63"/>
      <c r="W810" s="63"/>
    </row>
    <row r="811" spans="1:23" ht="12.75">
      <c r="A811" s="216"/>
      <c r="B811" s="217"/>
      <c r="C811" s="47"/>
      <c r="D811" s="47"/>
      <c r="E811" s="121"/>
      <c r="F811" s="47"/>
      <c r="G811" s="63"/>
      <c r="H811" s="47"/>
      <c r="I811" s="47"/>
      <c r="J811" s="63"/>
      <c r="K811" s="63"/>
      <c r="L811" s="63"/>
      <c r="M811" s="63"/>
      <c r="N811" s="63"/>
      <c r="O811" s="63"/>
      <c r="P811" s="63"/>
      <c r="Q811" s="63"/>
      <c r="R811" s="63"/>
      <c r="S811" s="63"/>
      <c r="T811" s="63"/>
      <c r="U811" s="63"/>
      <c r="V811" s="63"/>
      <c r="W811" s="63"/>
    </row>
    <row r="812" spans="1:23" ht="12.75">
      <c r="A812" s="216"/>
      <c r="B812" s="217"/>
      <c r="C812" s="47"/>
      <c r="D812" s="47"/>
      <c r="E812" s="121"/>
      <c r="F812" s="47"/>
      <c r="G812" s="63"/>
      <c r="H812" s="47"/>
      <c r="I812" s="47"/>
      <c r="J812" s="63"/>
      <c r="K812" s="63"/>
      <c r="L812" s="63"/>
      <c r="M812" s="63"/>
      <c r="N812" s="63"/>
      <c r="O812" s="63"/>
      <c r="P812" s="63"/>
      <c r="Q812" s="63"/>
      <c r="R812" s="63"/>
      <c r="S812" s="63"/>
      <c r="T812" s="63"/>
      <c r="U812" s="63"/>
      <c r="V812" s="63"/>
      <c r="W812" s="63"/>
    </row>
    <row r="813" spans="1:23" ht="12.75">
      <c r="A813" s="216"/>
      <c r="B813" s="217"/>
      <c r="C813" s="47"/>
      <c r="D813" s="47"/>
      <c r="E813" s="121"/>
      <c r="F813" s="47"/>
      <c r="G813" s="63"/>
      <c r="H813" s="47"/>
      <c r="I813" s="47"/>
      <c r="J813" s="63"/>
      <c r="K813" s="63"/>
      <c r="L813" s="63"/>
      <c r="M813" s="63"/>
      <c r="N813" s="63"/>
      <c r="O813" s="63"/>
      <c r="P813" s="63"/>
      <c r="Q813" s="63"/>
      <c r="R813" s="63"/>
      <c r="S813" s="63"/>
      <c r="T813" s="63"/>
      <c r="U813" s="63"/>
      <c r="V813" s="63"/>
      <c r="W813" s="63"/>
    </row>
    <row r="814" spans="1:23" ht="12.75">
      <c r="A814" s="216"/>
      <c r="B814" s="217"/>
      <c r="C814" s="47"/>
      <c r="D814" s="47"/>
      <c r="E814" s="121"/>
      <c r="F814" s="47"/>
      <c r="G814" s="63"/>
      <c r="H814" s="47"/>
      <c r="I814" s="47"/>
      <c r="J814" s="63"/>
      <c r="K814" s="63"/>
      <c r="L814" s="63"/>
      <c r="M814" s="63"/>
      <c r="N814" s="63"/>
      <c r="O814" s="63"/>
      <c r="P814" s="63"/>
      <c r="Q814" s="63"/>
      <c r="R814" s="63"/>
      <c r="S814" s="63"/>
      <c r="T814" s="63"/>
      <c r="U814" s="63"/>
      <c r="V814" s="63"/>
      <c r="W814" s="63"/>
    </row>
    <row r="815" spans="1:23" ht="12.75">
      <c r="A815" s="216"/>
      <c r="B815" s="217"/>
      <c r="C815" s="47"/>
      <c r="D815" s="47"/>
      <c r="E815" s="121"/>
      <c r="F815" s="47"/>
      <c r="G815" s="63"/>
      <c r="H815" s="47"/>
      <c r="I815" s="47"/>
      <c r="J815" s="63"/>
      <c r="K815" s="63"/>
      <c r="L815" s="63"/>
      <c r="M815" s="63"/>
      <c r="N815" s="63"/>
      <c r="O815" s="63"/>
      <c r="P815" s="63"/>
      <c r="Q815" s="63"/>
      <c r="R815" s="63"/>
      <c r="S815" s="63"/>
      <c r="T815" s="63"/>
      <c r="U815" s="63"/>
      <c r="V815" s="63"/>
      <c r="W815" s="63"/>
    </row>
    <row r="816" spans="1:23" ht="12.75">
      <c r="A816" s="216"/>
      <c r="B816" s="217"/>
      <c r="C816" s="47"/>
      <c r="D816" s="47"/>
      <c r="E816" s="121"/>
      <c r="F816" s="47"/>
      <c r="G816" s="63"/>
      <c r="H816" s="47"/>
      <c r="I816" s="47"/>
      <c r="J816" s="63"/>
      <c r="K816" s="63"/>
      <c r="L816" s="63"/>
      <c r="M816" s="63"/>
      <c r="N816" s="63"/>
      <c r="O816" s="63"/>
      <c r="P816" s="63"/>
      <c r="Q816" s="63"/>
      <c r="R816" s="63"/>
      <c r="S816" s="63"/>
      <c r="T816" s="63"/>
      <c r="U816" s="63"/>
      <c r="V816" s="63"/>
      <c r="W816" s="63"/>
    </row>
    <row r="817" spans="1:23" ht="12.75">
      <c r="A817" s="216"/>
      <c r="B817" s="217"/>
      <c r="C817" s="47"/>
      <c r="D817" s="47"/>
      <c r="E817" s="121"/>
      <c r="F817" s="47"/>
      <c r="G817" s="63"/>
      <c r="H817" s="47"/>
      <c r="I817" s="47"/>
      <c r="J817" s="63"/>
      <c r="K817" s="63"/>
      <c r="L817" s="63"/>
      <c r="M817" s="63"/>
      <c r="N817" s="63"/>
      <c r="O817" s="63"/>
      <c r="P817" s="63"/>
      <c r="Q817" s="63"/>
      <c r="R817" s="63"/>
      <c r="S817" s="63"/>
      <c r="T817" s="63"/>
      <c r="U817" s="63"/>
      <c r="V817" s="63"/>
      <c r="W817" s="63"/>
    </row>
    <row r="818" spans="1:23" ht="12.75">
      <c r="A818" s="216"/>
      <c r="B818" s="217"/>
      <c r="C818" s="47"/>
      <c r="D818" s="47"/>
      <c r="E818" s="121"/>
      <c r="F818" s="47"/>
      <c r="G818" s="63"/>
      <c r="H818" s="47"/>
      <c r="I818" s="47"/>
      <c r="J818" s="63"/>
      <c r="K818" s="63"/>
      <c r="L818" s="63"/>
      <c r="M818" s="63"/>
      <c r="N818" s="63"/>
      <c r="O818" s="63"/>
      <c r="P818" s="63"/>
      <c r="Q818" s="63"/>
      <c r="R818" s="63"/>
      <c r="S818" s="63"/>
      <c r="T818" s="63"/>
      <c r="U818" s="63"/>
      <c r="V818" s="63"/>
      <c r="W818" s="63"/>
    </row>
    <row r="819" spans="1:23" ht="12.75">
      <c r="A819" s="216"/>
      <c r="B819" s="217"/>
      <c r="C819" s="47"/>
      <c r="D819" s="47"/>
      <c r="E819" s="121"/>
      <c r="F819" s="47"/>
      <c r="G819" s="63"/>
      <c r="H819" s="47"/>
      <c r="I819" s="47"/>
      <c r="J819" s="63"/>
      <c r="K819" s="63"/>
      <c r="L819" s="63"/>
      <c r="M819" s="63"/>
      <c r="N819" s="63"/>
      <c r="O819" s="63"/>
      <c r="P819" s="63"/>
      <c r="Q819" s="63"/>
      <c r="R819" s="63"/>
      <c r="S819" s="63"/>
      <c r="T819" s="63"/>
      <c r="U819" s="63"/>
      <c r="V819" s="63"/>
      <c r="W819" s="63"/>
    </row>
    <row r="820" spans="1:23" ht="12.75">
      <c r="A820" s="216"/>
      <c r="B820" s="217"/>
      <c r="C820" s="47"/>
      <c r="D820" s="47"/>
      <c r="E820" s="121"/>
      <c r="F820" s="47"/>
      <c r="G820" s="63"/>
      <c r="H820" s="47"/>
      <c r="I820" s="47"/>
      <c r="J820" s="63"/>
      <c r="K820" s="63"/>
      <c r="L820" s="63"/>
      <c r="M820" s="63"/>
      <c r="N820" s="63"/>
      <c r="O820" s="63"/>
      <c r="P820" s="63"/>
      <c r="Q820" s="63"/>
      <c r="R820" s="63"/>
      <c r="S820" s="63"/>
      <c r="T820" s="63"/>
      <c r="U820" s="63"/>
      <c r="V820" s="63"/>
      <c r="W820" s="63"/>
    </row>
    <row r="821" spans="1:23" ht="12.75">
      <c r="A821" s="216"/>
      <c r="B821" s="217"/>
      <c r="C821" s="47"/>
      <c r="D821" s="47"/>
      <c r="E821" s="121"/>
      <c r="F821" s="47"/>
      <c r="G821" s="63"/>
      <c r="H821" s="47"/>
      <c r="I821" s="47"/>
      <c r="J821" s="63"/>
      <c r="K821" s="63"/>
      <c r="L821" s="63"/>
      <c r="M821" s="63"/>
      <c r="N821" s="63"/>
      <c r="O821" s="63"/>
      <c r="P821" s="63"/>
      <c r="Q821" s="63"/>
      <c r="R821" s="63"/>
      <c r="S821" s="63"/>
      <c r="T821" s="63"/>
      <c r="U821" s="63"/>
      <c r="V821" s="63"/>
      <c r="W821" s="63"/>
    </row>
    <row r="822" spans="1:23" ht="12.75">
      <c r="A822" s="216"/>
      <c r="B822" s="217"/>
      <c r="C822" s="47"/>
      <c r="D822" s="47"/>
      <c r="E822" s="121"/>
      <c r="F822" s="47"/>
      <c r="G822" s="63"/>
      <c r="H822" s="47"/>
      <c r="I822" s="47"/>
      <c r="J822" s="63"/>
      <c r="K822" s="63"/>
      <c r="L822" s="63"/>
      <c r="M822" s="63"/>
      <c r="N822" s="63"/>
      <c r="O822" s="63"/>
      <c r="P822" s="63"/>
      <c r="Q822" s="63"/>
      <c r="R822" s="63"/>
      <c r="S822" s="63"/>
      <c r="T822" s="63"/>
      <c r="U822" s="63"/>
      <c r="V822" s="63"/>
      <c r="W822" s="63"/>
    </row>
    <row r="823" spans="1:23" ht="12.75">
      <c r="A823" s="216"/>
      <c r="B823" s="217"/>
      <c r="C823" s="47"/>
      <c r="D823" s="47"/>
      <c r="E823" s="121"/>
      <c r="F823" s="47"/>
      <c r="G823" s="63"/>
      <c r="H823" s="47"/>
      <c r="I823" s="47"/>
      <c r="J823" s="63"/>
      <c r="K823" s="63"/>
      <c r="L823" s="63"/>
      <c r="M823" s="63"/>
      <c r="N823" s="63"/>
      <c r="O823" s="63"/>
      <c r="P823" s="63"/>
      <c r="Q823" s="63"/>
      <c r="R823" s="63"/>
      <c r="S823" s="63"/>
      <c r="T823" s="63"/>
      <c r="U823" s="63"/>
      <c r="V823" s="63"/>
      <c r="W823" s="63"/>
    </row>
    <row r="824" spans="1:23" ht="12.75">
      <c r="A824" s="216"/>
      <c r="B824" s="217"/>
      <c r="C824" s="47"/>
      <c r="D824" s="47"/>
      <c r="E824" s="121"/>
      <c r="F824" s="47"/>
      <c r="G824" s="63"/>
      <c r="H824" s="47"/>
      <c r="I824" s="47"/>
      <c r="J824" s="63"/>
      <c r="K824" s="63"/>
      <c r="L824" s="63"/>
      <c r="M824" s="63"/>
      <c r="N824" s="63"/>
      <c r="O824" s="63"/>
      <c r="P824" s="63"/>
      <c r="Q824" s="63"/>
      <c r="R824" s="63"/>
      <c r="S824" s="63"/>
      <c r="T824" s="63"/>
      <c r="U824" s="63"/>
      <c r="V824" s="63"/>
      <c r="W824" s="63"/>
    </row>
    <row r="825" spans="1:23" ht="12.75">
      <c r="A825" s="216"/>
      <c r="B825" s="217"/>
      <c r="C825" s="47"/>
      <c r="D825" s="47"/>
      <c r="E825" s="121"/>
      <c r="F825" s="47"/>
      <c r="G825" s="63"/>
      <c r="H825" s="47"/>
      <c r="I825" s="47"/>
      <c r="J825" s="63"/>
      <c r="K825" s="63"/>
      <c r="L825" s="63"/>
      <c r="M825" s="63"/>
      <c r="N825" s="63"/>
      <c r="O825" s="63"/>
      <c r="P825" s="63"/>
      <c r="Q825" s="63"/>
      <c r="R825" s="63"/>
      <c r="S825" s="63"/>
      <c r="T825" s="63"/>
      <c r="U825" s="63"/>
      <c r="V825" s="63"/>
      <c r="W825" s="63"/>
    </row>
    <row r="826" spans="1:23" ht="12.75">
      <c r="A826" s="216"/>
      <c r="B826" s="217"/>
      <c r="C826" s="47"/>
      <c r="D826" s="47"/>
      <c r="E826" s="121"/>
      <c r="F826" s="47"/>
      <c r="G826" s="63"/>
      <c r="H826" s="47"/>
      <c r="I826" s="47"/>
      <c r="J826" s="63"/>
      <c r="K826" s="63"/>
      <c r="L826" s="63"/>
      <c r="M826" s="63"/>
      <c r="N826" s="63"/>
      <c r="O826" s="63"/>
      <c r="P826" s="63"/>
      <c r="Q826" s="63"/>
      <c r="R826" s="63"/>
      <c r="S826" s="63"/>
      <c r="T826" s="63"/>
      <c r="U826" s="63"/>
      <c r="V826" s="63"/>
      <c r="W826" s="63"/>
    </row>
    <row r="827" spans="1:23" ht="12.75">
      <c r="A827" s="216"/>
      <c r="B827" s="217"/>
      <c r="C827" s="47"/>
      <c r="D827" s="47"/>
      <c r="E827" s="121"/>
      <c r="F827" s="47"/>
      <c r="G827" s="63"/>
      <c r="H827" s="47"/>
      <c r="I827" s="47"/>
      <c r="J827" s="63"/>
      <c r="K827" s="63"/>
      <c r="L827" s="63"/>
      <c r="M827" s="63"/>
      <c r="N827" s="63"/>
      <c r="O827" s="63"/>
      <c r="P827" s="63"/>
      <c r="Q827" s="63"/>
      <c r="R827" s="63"/>
      <c r="S827" s="63"/>
      <c r="T827" s="63"/>
      <c r="U827" s="63"/>
      <c r="V827" s="63"/>
      <c r="W827" s="63"/>
    </row>
    <row r="828" spans="1:23" ht="12.75">
      <c r="A828" s="216"/>
      <c r="B828" s="217"/>
      <c r="C828" s="47"/>
      <c r="D828" s="47"/>
      <c r="E828" s="121"/>
      <c r="F828" s="47"/>
      <c r="G828" s="63"/>
      <c r="H828" s="47"/>
      <c r="I828" s="47"/>
      <c r="J828" s="63"/>
      <c r="K828" s="63"/>
      <c r="L828" s="63"/>
      <c r="M828" s="63"/>
      <c r="N828" s="63"/>
      <c r="O828" s="63"/>
      <c r="P828" s="63"/>
      <c r="Q828" s="63"/>
      <c r="R828" s="63"/>
      <c r="S828" s="63"/>
      <c r="T828" s="63"/>
      <c r="U828" s="63"/>
      <c r="V828" s="63"/>
      <c r="W828" s="63"/>
    </row>
    <row r="829" spans="1:23" ht="12.75">
      <c r="A829" s="216"/>
      <c r="B829" s="217"/>
      <c r="C829" s="47"/>
      <c r="D829" s="47"/>
      <c r="E829" s="121"/>
      <c r="F829" s="47"/>
      <c r="G829" s="63"/>
      <c r="H829" s="47"/>
      <c r="I829" s="47"/>
      <c r="J829" s="63"/>
      <c r="K829" s="63"/>
      <c r="L829" s="63"/>
      <c r="M829" s="63"/>
      <c r="N829" s="63"/>
      <c r="O829" s="63"/>
      <c r="P829" s="63"/>
      <c r="Q829" s="63"/>
      <c r="R829" s="63"/>
      <c r="S829" s="63"/>
      <c r="T829" s="63"/>
      <c r="U829" s="63"/>
      <c r="V829" s="63"/>
      <c r="W829" s="63"/>
    </row>
    <row r="830" spans="1:23" ht="12.75">
      <c r="A830" s="216"/>
      <c r="B830" s="217"/>
      <c r="C830" s="47"/>
      <c r="D830" s="47"/>
      <c r="E830" s="121"/>
      <c r="F830" s="47"/>
      <c r="G830" s="63"/>
      <c r="H830" s="47"/>
      <c r="I830" s="47"/>
      <c r="J830" s="63"/>
      <c r="K830" s="63"/>
      <c r="L830" s="63"/>
      <c r="M830" s="63"/>
      <c r="N830" s="63"/>
      <c r="O830" s="63"/>
      <c r="P830" s="63"/>
      <c r="Q830" s="63"/>
      <c r="R830" s="63"/>
      <c r="S830" s="63"/>
      <c r="T830" s="63"/>
      <c r="U830" s="63"/>
      <c r="V830" s="63"/>
      <c r="W830" s="63"/>
    </row>
    <row r="831" spans="1:23" ht="12.75">
      <c r="A831" s="216"/>
      <c r="B831" s="217"/>
      <c r="C831" s="47"/>
      <c r="D831" s="47"/>
      <c r="E831" s="121"/>
      <c r="F831" s="47"/>
      <c r="G831" s="63"/>
      <c r="H831" s="47"/>
      <c r="I831" s="47"/>
      <c r="J831" s="63"/>
      <c r="K831" s="63"/>
      <c r="L831" s="63"/>
      <c r="M831" s="63"/>
      <c r="N831" s="63"/>
      <c r="O831" s="63"/>
      <c r="P831" s="63"/>
      <c r="Q831" s="63"/>
      <c r="R831" s="63"/>
      <c r="S831" s="63"/>
      <c r="T831" s="63"/>
      <c r="U831" s="63"/>
      <c r="V831" s="63"/>
      <c r="W831" s="63"/>
    </row>
    <row r="832" spans="1:23" ht="12.75">
      <c r="A832" s="216"/>
      <c r="B832" s="217"/>
      <c r="C832" s="47"/>
      <c r="D832" s="47"/>
      <c r="E832" s="121"/>
      <c r="F832" s="47"/>
      <c r="G832" s="63"/>
      <c r="H832" s="47"/>
      <c r="I832" s="47"/>
      <c r="J832" s="63"/>
      <c r="K832" s="63"/>
      <c r="L832" s="63"/>
      <c r="M832" s="63"/>
      <c r="N832" s="63"/>
      <c r="O832" s="63"/>
      <c r="P832" s="63"/>
      <c r="Q832" s="63"/>
      <c r="R832" s="63"/>
      <c r="S832" s="63"/>
      <c r="T832" s="63"/>
      <c r="U832" s="63"/>
      <c r="V832" s="63"/>
      <c r="W832" s="63"/>
    </row>
    <row r="833" spans="1:23" ht="12.75">
      <c r="A833" s="216"/>
      <c r="B833" s="217"/>
      <c r="C833" s="47"/>
      <c r="D833" s="47"/>
      <c r="E833" s="121"/>
      <c r="F833" s="47"/>
      <c r="G833" s="63"/>
      <c r="H833" s="47"/>
      <c r="I833" s="47"/>
      <c r="J833" s="63"/>
      <c r="K833" s="63"/>
      <c r="L833" s="63"/>
      <c r="M833" s="63"/>
      <c r="N833" s="63"/>
      <c r="O833" s="63"/>
      <c r="P833" s="63"/>
      <c r="Q833" s="63"/>
      <c r="R833" s="63"/>
      <c r="S833" s="63"/>
      <c r="T833" s="63"/>
      <c r="U833" s="63"/>
      <c r="V833" s="63"/>
      <c r="W833" s="63"/>
    </row>
    <row r="834" spans="1:23" ht="12.75">
      <c r="A834" s="216"/>
      <c r="B834" s="217"/>
      <c r="C834" s="47"/>
      <c r="D834" s="47"/>
      <c r="E834" s="121"/>
      <c r="F834" s="47"/>
      <c r="G834" s="63"/>
      <c r="H834" s="47"/>
      <c r="I834" s="47"/>
      <c r="J834" s="63"/>
      <c r="K834" s="63"/>
      <c r="L834" s="63"/>
      <c r="M834" s="63"/>
      <c r="N834" s="63"/>
      <c r="O834" s="63"/>
      <c r="P834" s="63"/>
      <c r="Q834" s="63"/>
      <c r="R834" s="63"/>
      <c r="S834" s="63"/>
      <c r="T834" s="63"/>
      <c r="U834" s="63"/>
      <c r="V834" s="63"/>
      <c r="W834" s="63"/>
    </row>
    <row r="835" spans="1:23" ht="12.75">
      <c r="A835" s="216"/>
      <c r="B835" s="217"/>
      <c r="C835" s="47"/>
      <c r="D835" s="47"/>
      <c r="E835" s="121"/>
      <c r="F835" s="47"/>
      <c r="G835" s="63"/>
      <c r="H835" s="47"/>
      <c r="I835" s="47"/>
      <c r="J835" s="63"/>
      <c r="K835" s="63"/>
      <c r="L835" s="63"/>
      <c r="M835" s="63"/>
      <c r="N835" s="63"/>
      <c r="O835" s="63"/>
      <c r="P835" s="63"/>
      <c r="Q835" s="63"/>
      <c r="R835" s="63"/>
      <c r="S835" s="63"/>
      <c r="T835" s="63"/>
      <c r="U835" s="63"/>
      <c r="V835" s="63"/>
      <c r="W835" s="63"/>
    </row>
    <row r="836" spans="1:23" ht="12.75">
      <c r="A836" s="216"/>
      <c r="B836" s="217"/>
      <c r="C836" s="47"/>
      <c r="D836" s="47"/>
      <c r="E836" s="121"/>
      <c r="F836" s="47"/>
      <c r="G836" s="63"/>
      <c r="H836" s="47"/>
      <c r="I836" s="47"/>
      <c r="J836" s="63"/>
      <c r="K836" s="63"/>
      <c r="L836" s="63"/>
      <c r="M836" s="63"/>
      <c r="N836" s="63"/>
      <c r="O836" s="63"/>
      <c r="P836" s="63"/>
      <c r="Q836" s="63"/>
      <c r="R836" s="63"/>
      <c r="S836" s="63"/>
      <c r="T836" s="63"/>
      <c r="U836" s="63"/>
      <c r="V836" s="63"/>
      <c r="W836" s="63"/>
    </row>
    <row r="837" spans="1:23" ht="12.75">
      <c r="A837" s="216"/>
      <c r="B837" s="217"/>
      <c r="C837" s="47"/>
      <c r="D837" s="47"/>
      <c r="E837" s="121"/>
      <c r="F837" s="47"/>
      <c r="G837" s="63"/>
      <c r="H837" s="47"/>
      <c r="I837" s="47"/>
      <c r="J837" s="63"/>
      <c r="K837" s="63"/>
      <c r="L837" s="63"/>
      <c r="M837" s="63"/>
      <c r="N837" s="63"/>
      <c r="O837" s="63"/>
      <c r="P837" s="63"/>
      <c r="Q837" s="63"/>
      <c r="R837" s="63"/>
      <c r="S837" s="63"/>
      <c r="T837" s="63"/>
      <c r="U837" s="63"/>
      <c r="V837" s="63"/>
      <c r="W837" s="63"/>
    </row>
    <row r="838" spans="1:23" ht="12.75">
      <c r="A838" s="216"/>
      <c r="B838" s="217"/>
      <c r="C838" s="47"/>
      <c r="D838" s="47"/>
      <c r="E838" s="121"/>
      <c r="F838" s="47"/>
      <c r="G838" s="63"/>
      <c r="H838" s="47"/>
      <c r="I838" s="47"/>
      <c r="J838" s="63"/>
      <c r="K838" s="63"/>
      <c r="L838" s="63"/>
      <c r="M838" s="63"/>
      <c r="N838" s="63"/>
      <c r="O838" s="63"/>
      <c r="P838" s="63"/>
      <c r="Q838" s="63"/>
      <c r="R838" s="63"/>
      <c r="S838" s="63"/>
      <c r="T838" s="63"/>
      <c r="U838" s="63"/>
      <c r="V838" s="63"/>
      <c r="W838" s="63"/>
    </row>
    <row r="839" spans="1:23" ht="12.75">
      <c r="A839" s="216"/>
      <c r="B839" s="217"/>
      <c r="C839" s="47"/>
      <c r="D839" s="47"/>
      <c r="E839" s="121"/>
      <c r="F839" s="47"/>
      <c r="G839" s="63"/>
      <c r="H839" s="47"/>
      <c r="I839" s="47"/>
      <c r="J839" s="63"/>
      <c r="K839" s="63"/>
      <c r="L839" s="63"/>
      <c r="M839" s="63"/>
      <c r="N839" s="63"/>
      <c r="O839" s="63"/>
      <c r="P839" s="63"/>
      <c r="Q839" s="63"/>
      <c r="R839" s="63"/>
      <c r="S839" s="63"/>
      <c r="T839" s="63"/>
      <c r="U839" s="63"/>
      <c r="V839" s="63"/>
      <c r="W839" s="63"/>
    </row>
    <row r="840" spans="1:23" ht="12.75">
      <c r="A840" s="216"/>
      <c r="B840" s="217"/>
      <c r="C840" s="47"/>
      <c r="D840" s="47"/>
      <c r="E840" s="121"/>
      <c r="F840" s="47"/>
      <c r="G840" s="63"/>
      <c r="H840" s="47"/>
      <c r="I840" s="47"/>
      <c r="J840" s="63"/>
      <c r="K840" s="63"/>
      <c r="L840" s="63"/>
      <c r="M840" s="63"/>
      <c r="N840" s="63"/>
      <c r="O840" s="63"/>
      <c r="P840" s="63"/>
      <c r="Q840" s="63"/>
      <c r="R840" s="63"/>
      <c r="S840" s="63"/>
      <c r="T840" s="63"/>
      <c r="U840" s="63"/>
      <c r="V840" s="63"/>
      <c r="W840" s="63"/>
    </row>
    <row r="841" spans="1:23" ht="12.75">
      <c r="A841" s="216"/>
      <c r="B841" s="217"/>
      <c r="C841" s="47"/>
      <c r="D841" s="47"/>
      <c r="E841" s="121"/>
      <c r="F841" s="47"/>
      <c r="G841" s="63"/>
      <c r="H841" s="47"/>
      <c r="I841" s="47"/>
      <c r="J841" s="63"/>
      <c r="K841" s="63"/>
      <c r="L841" s="63"/>
      <c r="M841" s="63"/>
      <c r="N841" s="63"/>
      <c r="O841" s="63"/>
      <c r="P841" s="63"/>
      <c r="Q841" s="63"/>
      <c r="R841" s="63"/>
      <c r="S841" s="63"/>
      <c r="T841" s="63"/>
      <c r="U841" s="63"/>
      <c r="V841" s="63"/>
      <c r="W841" s="63"/>
    </row>
    <row r="842" spans="1:23" ht="12.75">
      <c r="A842" s="216"/>
      <c r="B842" s="217"/>
      <c r="C842" s="47"/>
      <c r="D842" s="47"/>
      <c r="E842" s="121"/>
      <c r="F842" s="47"/>
      <c r="G842" s="63"/>
      <c r="H842" s="47"/>
      <c r="I842" s="47"/>
      <c r="J842" s="63"/>
      <c r="K842" s="63"/>
      <c r="L842" s="63"/>
      <c r="M842" s="63"/>
      <c r="N842" s="63"/>
      <c r="O842" s="63"/>
      <c r="P842" s="63"/>
      <c r="Q842" s="63"/>
      <c r="R842" s="63"/>
      <c r="S842" s="63"/>
      <c r="T842" s="63"/>
      <c r="U842" s="63"/>
      <c r="V842" s="63"/>
      <c r="W842" s="63"/>
    </row>
    <row r="843" spans="1:23" ht="12.75">
      <c r="A843" s="216"/>
      <c r="B843" s="217"/>
      <c r="C843" s="47"/>
      <c r="D843" s="47"/>
      <c r="E843" s="121"/>
      <c r="F843" s="47"/>
      <c r="G843" s="63"/>
      <c r="H843" s="47"/>
      <c r="I843" s="47"/>
      <c r="J843" s="63"/>
      <c r="K843" s="63"/>
      <c r="L843" s="63"/>
      <c r="M843" s="63"/>
      <c r="N843" s="63"/>
      <c r="O843" s="63"/>
      <c r="P843" s="63"/>
      <c r="Q843" s="63"/>
      <c r="R843" s="63"/>
      <c r="S843" s="63"/>
      <c r="T843" s="63"/>
      <c r="U843" s="63"/>
      <c r="V843" s="63"/>
      <c r="W843" s="63"/>
    </row>
    <row r="844" spans="1:23" ht="12.75">
      <c r="A844" s="216"/>
      <c r="B844" s="217"/>
      <c r="C844" s="47"/>
      <c r="D844" s="47"/>
      <c r="E844" s="121"/>
      <c r="F844" s="47"/>
      <c r="G844" s="63"/>
      <c r="H844" s="47"/>
      <c r="I844" s="47"/>
      <c r="J844" s="63"/>
      <c r="K844" s="63"/>
      <c r="L844" s="63"/>
      <c r="M844" s="63"/>
      <c r="N844" s="63"/>
      <c r="O844" s="63"/>
      <c r="P844" s="63"/>
      <c r="Q844" s="63"/>
      <c r="R844" s="63"/>
      <c r="S844" s="63"/>
      <c r="T844" s="63"/>
      <c r="U844" s="63"/>
      <c r="V844" s="63"/>
      <c r="W844" s="63"/>
    </row>
    <row r="845" spans="1:23" ht="12.75">
      <c r="A845" s="216"/>
      <c r="B845" s="217"/>
      <c r="C845" s="47"/>
      <c r="D845" s="47"/>
      <c r="E845" s="121"/>
      <c r="F845" s="47"/>
      <c r="G845" s="63"/>
      <c r="H845" s="47"/>
      <c r="I845" s="47"/>
      <c r="J845" s="63"/>
      <c r="K845" s="63"/>
      <c r="L845" s="63"/>
      <c r="M845" s="63"/>
      <c r="N845" s="63"/>
      <c r="O845" s="63"/>
      <c r="P845" s="63"/>
      <c r="Q845" s="63"/>
      <c r="R845" s="63"/>
      <c r="S845" s="63"/>
      <c r="T845" s="63"/>
      <c r="U845" s="63"/>
      <c r="V845" s="63"/>
      <c r="W845" s="63"/>
    </row>
    <row r="846" spans="1:23" ht="12.75">
      <c r="A846" s="216"/>
      <c r="B846" s="217"/>
      <c r="C846" s="47"/>
      <c r="D846" s="47"/>
      <c r="E846" s="121"/>
      <c r="F846" s="47"/>
      <c r="G846" s="63"/>
      <c r="H846" s="47"/>
      <c r="I846" s="47"/>
      <c r="J846" s="63"/>
      <c r="K846" s="63"/>
      <c r="L846" s="63"/>
      <c r="M846" s="63"/>
      <c r="N846" s="63"/>
      <c r="O846" s="63"/>
      <c r="P846" s="63"/>
      <c r="Q846" s="63"/>
      <c r="R846" s="63"/>
      <c r="S846" s="63"/>
      <c r="T846" s="63"/>
      <c r="U846" s="63"/>
      <c r="V846" s="63"/>
      <c r="W846" s="63"/>
    </row>
    <row r="847" spans="1:23" ht="12.75">
      <c r="A847" s="216"/>
      <c r="B847" s="217"/>
      <c r="C847" s="47"/>
      <c r="D847" s="47"/>
      <c r="E847" s="121"/>
      <c r="F847" s="47"/>
      <c r="G847" s="63"/>
      <c r="H847" s="47"/>
      <c r="I847" s="47"/>
      <c r="J847" s="63"/>
      <c r="K847" s="63"/>
      <c r="L847" s="63"/>
      <c r="M847" s="63"/>
      <c r="N847" s="63"/>
      <c r="O847" s="63"/>
      <c r="P847" s="63"/>
      <c r="Q847" s="63"/>
      <c r="R847" s="63"/>
      <c r="S847" s="63"/>
      <c r="T847" s="63"/>
      <c r="U847" s="63"/>
      <c r="V847" s="63"/>
      <c r="W847" s="63"/>
    </row>
    <row r="848" spans="1:23" ht="12.75">
      <c r="A848" s="216"/>
      <c r="B848" s="217"/>
      <c r="C848" s="47"/>
      <c r="D848" s="47"/>
      <c r="E848" s="121"/>
      <c r="F848" s="47"/>
      <c r="G848" s="63"/>
      <c r="H848" s="47"/>
      <c r="I848" s="47"/>
      <c r="J848" s="63"/>
      <c r="K848" s="63"/>
      <c r="L848" s="63"/>
      <c r="M848" s="63"/>
      <c r="N848" s="63"/>
      <c r="O848" s="63"/>
      <c r="P848" s="63"/>
      <c r="Q848" s="63"/>
      <c r="R848" s="63"/>
      <c r="S848" s="63"/>
      <c r="T848" s="63"/>
      <c r="U848" s="63"/>
      <c r="V848" s="63"/>
      <c r="W848" s="63"/>
    </row>
    <row r="849" spans="1:23" ht="12.75">
      <c r="A849" s="216"/>
      <c r="B849" s="217"/>
      <c r="C849" s="47"/>
      <c r="D849" s="47"/>
      <c r="E849" s="121"/>
      <c r="F849" s="47"/>
      <c r="G849" s="63"/>
      <c r="H849" s="47"/>
      <c r="I849" s="47"/>
      <c r="J849" s="63"/>
      <c r="K849" s="63"/>
      <c r="L849" s="63"/>
      <c r="M849" s="63"/>
      <c r="N849" s="63"/>
      <c r="O849" s="63"/>
      <c r="P849" s="63"/>
      <c r="Q849" s="63"/>
      <c r="R849" s="63"/>
      <c r="S849" s="63"/>
      <c r="T849" s="63"/>
      <c r="U849" s="63"/>
      <c r="V849" s="63"/>
      <c r="W849" s="63"/>
    </row>
    <row r="850" spans="1:23" ht="12.75">
      <c r="A850" s="216"/>
      <c r="B850" s="217"/>
      <c r="C850" s="47"/>
      <c r="D850" s="47"/>
      <c r="E850" s="121"/>
      <c r="F850" s="47"/>
      <c r="G850" s="63"/>
      <c r="H850" s="47"/>
      <c r="I850" s="47"/>
      <c r="J850" s="63"/>
      <c r="K850" s="63"/>
      <c r="L850" s="63"/>
      <c r="M850" s="63"/>
      <c r="N850" s="63"/>
      <c r="O850" s="63"/>
      <c r="P850" s="63"/>
      <c r="Q850" s="63"/>
      <c r="R850" s="63"/>
      <c r="S850" s="63"/>
      <c r="T850" s="63"/>
      <c r="U850" s="63"/>
      <c r="V850" s="63"/>
      <c r="W850" s="63"/>
    </row>
    <row r="851" spans="1:23" ht="12.75">
      <c r="A851" s="216"/>
      <c r="B851" s="217"/>
      <c r="C851" s="47"/>
      <c r="D851" s="47"/>
      <c r="E851" s="121"/>
      <c r="F851" s="47"/>
      <c r="G851" s="63"/>
      <c r="H851" s="47"/>
      <c r="I851" s="47"/>
      <c r="J851" s="63"/>
      <c r="K851" s="63"/>
      <c r="L851" s="63"/>
      <c r="M851" s="63"/>
      <c r="N851" s="63"/>
      <c r="O851" s="63"/>
      <c r="P851" s="63"/>
      <c r="Q851" s="63"/>
      <c r="R851" s="63"/>
      <c r="S851" s="63"/>
      <c r="T851" s="63"/>
      <c r="U851" s="63"/>
      <c r="V851" s="63"/>
      <c r="W851" s="63"/>
    </row>
    <row r="852" spans="1:23" ht="12.75">
      <c r="A852" s="216"/>
      <c r="B852" s="217"/>
      <c r="C852" s="47"/>
      <c r="D852" s="47"/>
      <c r="E852" s="121"/>
      <c r="F852" s="47"/>
      <c r="G852" s="63"/>
      <c r="H852" s="47"/>
      <c r="I852" s="47"/>
      <c r="J852" s="63"/>
      <c r="K852" s="63"/>
      <c r="L852" s="63"/>
      <c r="M852" s="63"/>
      <c r="N852" s="63"/>
      <c r="O852" s="63"/>
      <c r="P852" s="63"/>
      <c r="Q852" s="63"/>
      <c r="R852" s="63"/>
      <c r="S852" s="63"/>
      <c r="T852" s="63"/>
      <c r="U852" s="63"/>
      <c r="V852" s="63"/>
      <c r="W852" s="63"/>
    </row>
    <row r="853" spans="1:23" ht="12.75">
      <c r="A853" s="216"/>
      <c r="B853" s="217"/>
      <c r="C853" s="47"/>
      <c r="D853" s="47"/>
      <c r="E853" s="121"/>
      <c r="F853" s="47"/>
      <c r="G853" s="63"/>
      <c r="H853" s="47"/>
      <c r="I853" s="47"/>
      <c r="J853" s="63"/>
      <c r="K853" s="63"/>
      <c r="L853" s="63"/>
      <c r="M853" s="63"/>
      <c r="N853" s="63"/>
      <c r="O853" s="63"/>
      <c r="P853" s="63"/>
      <c r="Q853" s="63"/>
      <c r="R853" s="63"/>
      <c r="S853" s="63"/>
      <c r="T853" s="63"/>
      <c r="U853" s="63"/>
      <c r="V853" s="63"/>
      <c r="W853" s="63"/>
    </row>
    <row r="854" spans="1:23" ht="12.75">
      <c r="A854" s="216"/>
      <c r="B854" s="217"/>
      <c r="C854" s="47"/>
      <c r="D854" s="47"/>
      <c r="E854" s="121"/>
      <c r="F854" s="47"/>
      <c r="G854" s="63"/>
      <c r="H854" s="47"/>
      <c r="I854" s="47"/>
      <c r="J854" s="63"/>
      <c r="K854" s="63"/>
      <c r="L854" s="63"/>
      <c r="M854" s="63"/>
      <c r="N854" s="63"/>
      <c r="O854" s="63"/>
      <c r="P854" s="63"/>
      <c r="Q854" s="63"/>
      <c r="R854" s="63"/>
      <c r="S854" s="63"/>
      <c r="T854" s="63"/>
      <c r="U854" s="63"/>
      <c r="V854" s="63"/>
      <c r="W854" s="63"/>
    </row>
    <row r="855" spans="1:23" ht="12.75">
      <c r="A855" s="216"/>
      <c r="B855" s="217"/>
      <c r="C855" s="47"/>
      <c r="D855" s="47"/>
      <c r="E855" s="121"/>
      <c r="F855" s="47"/>
      <c r="G855" s="63"/>
      <c r="H855" s="47"/>
      <c r="I855" s="47"/>
      <c r="J855" s="63"/>
      <c r="K855" s="63"/>
      <c r="L855" s="63"/>
      <c r="M855" s="63"/>
      <c r="N855" s="63"/>
      <c r="O855" s="63"/>
      <c r="P855" s="63"/>
      <c r="Q855" s="63"/>
      <c r="R855" s="63"/>
      <c r="S855" s="63"/>
      <c r="T855" s="63"/>
      <c r="U855" s="63"/>
      <c r="V855" s="63"/>
      <c r="W855" s="63"/>
    </row>
    <row r="856" spans="1:23" ht="12.75">
      <c r="A856" s="216"/>
      <c r="B856" s="217"/>
      <c r="C856" s="47"/>
      <c r="D856" s="47"/>
      <c r="E856" s="121"/>
      <c r="F856" s="47"/>
      <c r="G856" s="63"/>
      <c r="H856" s="47"/>
      <c r="I856" s="47"/>
      <c r="J856" s="63"/>
      <c r="K856" s="63"/>
      <c r="L856" s="63"/>
      <c r="M856" s="63"/>
      <c r="N856" s="63"/>
      <c r="O856" s="63"/>
      <c r="P856" s="63"/>
      <c r="Q856" s="63"/>
      <c r="R856" s="63"/>
      <c r="S856" s="63"/>
      <c r="T856" s="63"/>
      <c r="U856" s="63"/>
      <c r="V856" s="63"/>
      <c r="W856" s="63"/>
    </row>
    <row r="857" spans="1:23" ht="12.75">
      <c r="A857" s="216"/>
      <c r="B857" s="217"/>
      <c r="C857" s="47"/>
      <c r="D857" s="47"/>
      <c r="E857" s="121"/>
      <c r="F857" s="47"/>
      <c r="G857" s="63"/>
      <c r="H857" s="47"/>
      <c r="I857" s="47"/>
      <c r="J857" s="63"/>
      <c r="K857" s="63"/>
      <c r="L857" s="63"/>
      <c r="M857" s="63"/>
      <c r="N857" s="63"/>
      <c r="O857" s="63"/>
      <c r="P857" s="63"/>
      <c r="Q857" s="63"/>
      <c r="R857" s="63"/>
      <c r="S857" s="63"/>
      <c r="T857" s="63"/>
      <c r="U857" s="63"/>
      <c r="V857" s="63"/>
      <c r="W857" s="63"/>
    </row>
    <row r="858" spans="1:23" ht="12.75">
      <c r="A858" s="216"/>
      <c r="B858" s="217"/>
      <c r="C858" s="47"/>
      <c r="D858" s="47"/>
      <c r="E858" s="121"/>
      <c r="F858" s="47"/>
      <c r="G858" s="63"/>
      <c r="H858" s="47"/>
      <c r="I858" s="47"/>
      <c r="J858" s="63"/>
      <c r="K858" s="63"/>
      <c r="L858" s="63"/>
      <c r="M858" s="63"/>
      <c r="N858" s="63"/>
      <c r="O858" s="63"/>
      <c r="P858" s="63"/>
      <c r="Q858" s="63"/>
      <c r="R858" s="63"/>
      <c r="S858" s="63"/>
      <c r="T858" s="63"/>
      <c r="U858" s="63"/>
      <c r="V858" s="63"/>
      <c r="W858" s="63"/>
    </row>
    <row r="859" spans="1:23" ht="12.75">
      <c r="A859" s="216"/>
      <c r="B859" s="217"/>
      <c r="C859" s="47"/>
      <c r="D859" s="47"/>
      <c r="E859" s="121"/>
      <c r="F859" s="47"/>
      <c r="G859" s="63"/>
      <c r="H859" s="47"/>
      <c r="I859" s="47"/>
      <c r="J859" s="63"/>
      <c r="K859" s="63"/>
      <c r="L859" s="63"/>
      <c r="M859" s="63"/>
      <c r="N859" s="63"/>
      <c r="O859" s="63"/>
      <c r="P859" s="63"/>
      <c r="Q859" s="63"/>
      <c r="R859" s="63"/>
      <c r="S859" s="63"/>
      <c r="T859" s="63"/>
      <c r="U859" s="63"/>
      <c r="V859" s="63"/>
      <c r="W859" s="63"/>
    </row>
    <row r="860" spans="1:23" ht="12.75">
      <c r="A860" s="216"/>
      <c r="B860" s="217"/>
      <c r="C860" s="47"/>
      <c r="D860" s="47"/>
      <c r="E860" s="121"/>
      <c r="F860" s="47"/>
      <c r="G860" s="63"/>
      <c r="H860" s="47"/>
      <c r="I860" s="47"/>
      <c r="J860" s="63"/>
      <c r="K860" s="63"/>
      <c r="L860" s="63"/>
      <c r="M860" s="63"/>
      <c r="N860" s="63"/>
      <c r="O860" s="63"/>
      <c r="P860" s="63"/>
      <c r="Q860" s="63"/>
      <c r="R860" s="63"/>
      <c r="S860" s="63"/>
      <c r="T860" s="63"/>
      <c r="U860" s="63"/>
      <c r="V860" s="63"/>
      <c r="W860" s="63"/>
    </row>
    <row r="861" spans="1:23" ht="12.75">
      <c r="A861" s="216"/>
      <c r="B861" s="217"/>
      <c r="C861" s="47"/>
      <c r="D861" s="47"/>
      <c r="E861" s="121"/>
      <c r="F861" s="47"/>
      <c r="G861" s="63"/>
      <c r="H861" s="47"/>
      <c r="I861" s="47"/>
      <c r="J861" s="63"/>
      <c r="K861" s="63"/>
      <c r="L861" s="63"/>
      <c r="M861" s="63"/>
      <c r="N861" s="63"/>
      <c r="O861" s="63"/>
      <c r="P861" s="63"/>
      <c r="Q861" s="63"/>
      <c r="R861" s="63"/>
      <c r="S861" s="63"/>
      <c r="T861" s="63"/>
      <c r="U861" s="63"/>
      <c r="V861" s="63"/>
      <c r="W861" s="63"/>
    </row>
    <row r="862" spans="1:23" ht="12.75">
      <c r="A862" s="216"/>
      <c r="B862" s="217"/>
      <c r="C862" s="47"/>
      <c r="D862" s="47"/>
      <c r="E862" s="121"/>
      <c r="F862" s="47"/>
      <c r="G862" s="63"/>
      <c r="H862" s="47"/>
      <c r="I862" s="47"/>
      <c r="J862" s="63"/>
      <c r="K862" s="63"/>
      <c r="L862" s="63"/>
      <c r="M862" s="63"/>
      <c r="N862" s="63"/>
      <c r="O862" s="63"/>
      <c r="P862" s="63"/>
      <c r="Q862" s="63"/>
      <c r="R862" s="63"/>
      <c r="S862" s="63"/>
      <c r="T862" s="63"/>
      <c r="U862" s="63"/>
      <c r="V862" s="63"/>
      <c r="W862" s="63"/>
    </row>
    <row r="863" spans="1:23" ht="12.75">
      <c r="A863" s="216"/>
      <c r="B863" s="217"/>
      <c r="C863" s="47"/>
      <c r="D863" s="47"/>
      <c r="E863" s="121"/>
      <c r="F863" s="47"/>
      <c r="G863" s="63"/>
      <c r="H863" s="47"/>
      <c r="I863" s="47"/>
      <c r="J863" s="63"/>
      <c r="K863" s="63"/>
      <c r="L863" s="63"/>
      <c r="M863" s="63"/>
      <c r="N863" s="63"/>
      <c r="O863" s="63"/>
      <c r="P863" s="63"/>
      <c r="Q863" s="63"/>
      <c r="R863" s="63"/>
      <c r="S863" s="63"/>
      <c r="T863" s="63"/>
      <c r="U863" s="63"/>
      <c r="V863" s="63"/>
      <c r="W863" s="63"/>
    </row>
    <row r="864" spans="1:23" ht="12.75">
      <c r="A864" s="216"/>
      <c r="B864" s="217"/>
      <c r="C864" s="47"/>
      <c r="D864" s="47"/>
      <c r="E864" s="121"/>
      <c r="F864" s="47"/>
      <c r="G864" s="63"/>
      <c r="H864" s="47"/>
      <c r="I864" s="47"/>
      <c r="J864" s="63"/>
      <c r="K864" s="63"/>
      <c r="L864" s="63"/>
      <c r="M864" s="63"/>
      <c r="N864" s="63"/>
      <c r="O864" s="63"/>
      <c r="P864" s="63"/>
      <c r="Q864" s="63"/>
      <c r="R864" s="63"/>
      <c r="S864" s="63"/>
      <c r="T864" s="63"/>
      <c r="U864" s="63"/>
      <c r="V864" s="63"/>
      <c r="W864" s="63"/>
    </row>
    <row r="865" spans="1:23" ht="12.75">
      <c r="A865" s="216"/>
      <c r="B865" s="217"/>
      <c r="C865" s="47"/>
      <c r="D865" s="47"/>
      <c r="E865" s="121"/>
      <c r="F865" s="47"/>
      <c r="G865" s="63"/>
      <c r="H865" s="47"/>
      <c r="I865" s="47"/>
      <c r="J865" s="63"/>
      <c r="K865" s="63"/>
      <c r="L865" s="63"/>
      <c r="M865" s="63"/>
      <c r="N865" s="63"/>
      <c r="O865" s="63"/>
      <c r="P865" s="63"/>
      <c r="Q865" s="63"/>
      <c r="R865" s="63"/>
      <c r="S865" s="63"/>
      <c r="T865" s="63"/>
      <c r="U865" s="63"/>
      <c r="V865" s="63"/>
      <c r="W865" s="63"/>
    </row>
    <row r="866" spans="1:23" ht="12.75">
      <c r="A866" s="216"/>
      <c r="B866" s="217"/>
      <c r="C866" s="47"/>
      <c r="D866" s="47"/>
      <c r="E866" s="121"/>
      <c r="F866" s="47"/>
      <c r="G866" s="63"/>
      <c r="H866" s="47"/>
      <c r="I866" s="47"/>
      <c r="J866" s="63"/>
      <c r="K866" s="63"/>
      <c r="L866" s="63"/>
      <c r="M866" s="63"/>
      <c r="N866" s="63"/>
      <c r="O866" s="63"/>
      <c r="P866" s="63"/>
      <c r="Q866" s="63"/>
      <c r="R866" s="63"/>
      <c r="S866" s="63"/>
      <c r="T866" s="63"/>
      <c r="U866" s="63"/>
      <c r="V866" s="63"/>
      <c r="W866" s="63"/>
    </row>
    <row r="867" spans="1:23" ht="12.75">
      <c r="A867" s="216"/>
      <c r="B867" s="217"/>
      <c r="C867" s="47"/>
      <c r="D867" s="47"/>
      <c r="E867" s="121"/>
      <c r="F867" s="47"/>
      <c r="G867" s="63"/>
      <c r="H867" s="47"/>
      <c r="I867" s="47"/>
      <c r="J867" s="63"/>
      <c r="K867" s="63"/>
      <c r="L867" s="63"/>
      <c r="M867" s="63"/>
      <c r="N867" s="63"/>
      <c r="O867" s="63"/>
      <c r="P867" s="63"/>
      <c r="Q867" s="63"/>
      <c r="R867" s="63"/>
      <c r="S867" s="63"/>
      <c r="T867" s="63"/>
      <c r="U867" s="63"/>
      <c r="V867" s="63"/>
      <c r="W867" s="63"/>
    </row>
    <row r="868" spans="1:23" ht="12.75">
      <c r="A868" s="216"/>
      <c r="B868" s="217"/>
      <c r="C868" s="47"/>
      <c r="D868" s="47"/>
      <c r="E868" s="121"/>
      <c r="F868" s="47"/>
      <c r="G868" s="63"/>
      <c r="H868" s="47"/>
      <c r="I868" s="47"/>
      <c r="J868" s="63"/>
      <c r="K868" s="63"/>
      <c r="L868" s="63"/>
      <c r="M868" s="63"/>
      <c r="N868" s="63"/>
      <c r="O868" s="63"/>
      <c r="P868" s="63"/>
      <c r="Q868" s="63"/>
      <c r="R868" s="63"/>
      <c r="S868" s="63"/>
      <c r="T868" s="63"/>
      <c r="U868" s="63"/>
      <c r="V868" s="63"/>
      <c r="W868" s="63"/>
    </row>
    <row r="869" spans="1:23" ht="12.75">
      <c r="A869" s="216"/>
      <c r="B869" s="217"/>
      <c r="C869" s="47"/>
      <c r="D869" s="47"/>
      <c r="E869" s="121"/>
      <c r="F869" s="47"/>
      <c r="G869" s="63"/>
      <c r="H869" s="47"/>
      <c r="I869" s="47"/>
      <c r="J869" s="63"/>
      <c r="K869" s="63"/>
      <c r="L869" s="63"/>
      <c r="M869" s="63"/>
      <c r="N869" s="63"/>
      <c r="O869" s="63"/>
      <c r="P869" s="63"/>
      <c r="Q869" s="63"/>
      <c r="R869" s="63"/>
      <c r="S869" s="63"/>
      <c r="T869" s="63"/>
      <c r="U869" s="63"/>
      <c r="V869" s="63"/>
      <c r="W869" s="63"/>
    </row>
    <row r="870" spans="1:23" ht="12.75">
      <c r="A870" s="216"/>
      <c r="B870" s="217"/>
      <c r="C870" s="47"/>
      <c r="D870" s="47"/>
      <c r="E870" s="121"/>
      <c r="F870" s="47"/>
      <c r="G870" s="63"/>
      <c r="H870" s="47"/>
      <c r="I870" s="47"/>
      <c r="J870" s="63"/>
      <c r="K870" s="63"/>
      <c r="L870" s="63"/>
      <c r="M870" s="63"/>
      <c r="N870" s="63"/>
      <c r="O870" s="63"/>
      <c r="P870" s="63"/>
      <c r="Q870" s="63"/>
      <c r="R870" s="63"/>
      <c r="S870" s="63"/>
      <c r="T870" s="63"/>
      <c r="U870" s="63"/>
      <c r="V870" s="63"/>
      <c r="W870" s="63"/>
    </row>
    <row r="871" spans="1:23" ht="12.75">
      <c r="A871" s="216"/>
      <c r="B871" s="217"/>
      <c r="C871" s="47"/>
      <c r="D871" s="47"/>
      <c r="E871" s="121"/>
      <c r="F871" s="47"/>
      <c r="G871" s="63"/>
      <c r="H871" s="47"/>
      <c r="I871" s="47"/>
      <c r="J871" s="63"/>
      <c r="K871" s="63"/>
      <c r="L871" s="63"/>
      <c r="M871" s="63"/>
      <c r="N871" s="63"/>
      <c r="O871" s="63"/>
      <c r="P871" s="63"/>
      <c r="Q871" s="63"/>
      <c r="R871" s="63"/>
      <c r="S871" s="63"/>
      <c r="T871" s="63"/>
      <c r="U871" s="63"/>
      <c r="V871" s="63"/>
      <c r="W871" s="63"/>
    </row>
    <row r="872" spans="1:23" ht="12.75">
      <c r="A872" s="216"/>
      <c r="B872" s="217"/>
      <c r="C872" s="47"/>
      <c r="D872" s="47"/>
      <c r="E872" s="121"/>
      <c r="F872" s="47"/>
      <c r="G872" s="63"/>
      <c r="H872" s="47"/>
      <c r="I872" s="47"/>
      <c r="J872" s="63"/>
      <c r="K872" s="63"/>
      <c r="L872" s="63"/>
      <c r="M872" s="63"/>
      <c r="N872" s="63"/>
      <c r="O872" s="63"/>
      <c r="P872" s="63"/>
      <c r="Q872" s="63"/>
      <c r="R872" s="63"/>
      <c r="S872" s="63"/>
      <c r="T872" s="63"/>
      <c r="U872" s="63"/>
      <c r="V872" s="63"/>
      <c r="W872" s="63"/>
    </row>
    <row r="873" spans="1:23" ht="12.75">
      <c r="A873" s="216"/>
      <c r="B873" s="217"/>
      <c r="C873" s="47"/>
      <c r="D873" s="47"/>
      <c r="E873" s="121"/>
      <c r="F873" s="47"/>
      <c r="G873" s="63"/>
      <c r="H873" s="47"/>
      <c r="I873" s="47"/>
      <c r="J873" s="63"/>
      <c r="K873" s="63"/>
      <c r="L873" s="63"/>
      <c r="M873" s="63"/>
      <c r="N873" s="63"/>
      <c r="O873" s="63"/>
      <c r="P873" s="63"/>
      <c r="Q873" s="63"/>
      <c r="R873" s="63"/>
      <c r="S873" s="63"/>
      <c r="T873" s="63"/>
      <c r="U873" s="63"/>
      <c r="V873" s="63"/>
      <c r="W873" s="63"/>
    </row>
    <row r="874" spans="1:23" ht="12.75">
      <c r="A874" s="216"/>
      <c r="B874" s="217"/>
      <c r="C874" s="47"/>
      <c r="D874" s="47"/>
      <c r="E874" s="121"/>
      <c r="F874" s="47"/>
      <c r="G874" s="63"/>
      <c r="H874" s="47"/>
      <c r="I874" s="47"/>
      <c r="J874" s="63"/>
      <c r="K874" s="63"/>
      <c r="L874" s="63"/>
      <c r="M874" s="63"/>
      <c r="N874" s="63"/>
      <c r="O874" s="63"/>
      <c r="P874" s="63"/>
      <c r="Q874" s="63"/>
      <c r="R874" s="63"/>
      <c r="S874" s="63"/>
      <c r="T874" s="63"/>
      <c r="U874" s="63"/>
      <c r="V874" s="63"/>
      <c r="W874" s="63"/>
    </row>
    <row r="875" spans="1:23" ht="12.75">
      <c r="A875" s="216"/>
      <c r="B875" s="217"/>
      <c r="C875" s="47"/>
      <c r="D875" s="47"/>
      <c r="E875" s="121"/>
      <c r="F875" s="47"/>
      <c r="G875" s="63"/>
      <c r="H875" s="47"/>
      <c r="I875" s="47"/>
      <c r="J875" s="63"/>
      <c r="K875" s="63"/>
      <c r="L875" s="63"/>
      <c r="M875" s="63"/>
      <c r="N875" s="63"/>
      <c r="O875" s="63"/>
      <c r="P875" s="63"/>
      <c r="Q875" s="63"/>
      <c r="R875" s="63"/>
      <c r="S875" s="63"/>
      <c r="T875" s="63"/>
      <c r="U875" s="63"/>
      <c r="V875" s="63"/>
      <c r="W875" s="63"/>
    </row>
    <row r="876" spans="1:23" ht="12.75">
      <c r="A876" s="216"/>
      <c r="B876" s="217"/>
      <c r="C876" s="47"/>
      <c r="D876" s="47"/>
      <c r="E876" s="121"/>
      <c r="F876" s="47"/>
      <c r="G876" s="63"/>
      <c r="H876" s="47"/>
      <c r="I876" s="47"/>
      <c r="J876" s="63"/>
      <c r="K876" s="63"/>
      <c r="L876" s="63"/>
      <c r="M876" s="63"/>
      <c r="N876" s="63"/>
      <c r="O876" s="63"/>
      <c r="P876" s="63"/>
      <c r="Q876" s="63"/>
      <c r="R876" s="63"/>
      <c r="S876" s="63"/>
      <c r="T876" s="63"/>
      <c r="U876" s="63"/>
      <c r="V876" s="63"/>
      <c r="W876" s="63"/>
    </row>
    <row r="877" spans="1:23" ht="12.75">
      <c r="A877" s="216"/>
      <c r="B877" s="217"/>
      <c r="C877" s="47"/>
      <c r="D877" s="47"/>
      <c r="E877" s="121"/>
      <c r="F877" s="47"/>
      <c r="G877" s="63"/>
      <c r="H877" s="47"/>
      <c r="I877" s="47"/>
      <c r="J877" s="63"/>
      <c r="K877" s="63"/>
      <c r="L877" s="63"/>
      <c r="M877" s="63"/>
      <c r="N877" s="63"/>
      <c r="O877" s="63"/>
      <c r="P877" s="63"/>
      <c r="Q877" s="63"/>
      <c r="R877" s="63"/>
      <c r="S877" s="63"/>
      <c r="T877" s="63"/>
      <c r="U877" s="63"/>
      <c r="V877" s="63"/>
      <c r="W877" s="63"/>
    </row>
    <row r="878" spans="1:23" ht="12.75">
      <c r="A878" s="216"/>
      <c r="B878" s="217"/>
      <c r="C878" s="47"/>
      <c r="D878" s="47"/>
      <c r="E878" s="121"/>
      <c r="F878" s="47"/>
      <c r="G878" s="63"/>
      <c r="H878" s="47"/>
      <c r="I878" s="47"/>
      <c r="J878" s="63"/>
      <c r="K878" s="63"/>
      <c r="L878" s="63"/>
      <c r="M878" s="63"/>
      <c r="N878" s="63"/>
      <c r="O878" s="63"/>
      <c r="P878" s="63"/>
      <c r="Q878" s="63"/>
      <c r="R878" s="63"/>
      <c r="S878" s="63"/>
      <c r="T878" s="63"/>
      <c r="U878" s="63"/>
      <c r="V878" s="63"/>
      <c r="W878" s="63"/>
    </row>
    <row r="879" spans="1:23" ht="12.75">
      <c r="A879" s="216"/>
      <c r="B879" s="217"/>
      <c r="C879" s="47"/>
      <c r="D879" s="47"/>
      <c r="E879" s="121"/>
      <c r="F879" s="47"/>
      <c r="G879" s="63"/>
      <c r="H879" s="47"/>
      <c r="I879" s="47"/>
      <c r="J879" s="63"/>
      <c r="K879" s="63"/>
      <c r="L879" s="63"/>
      <c r="M879" s="63"/>
      <c r="N879" s="63"/>
      <c r="O879" s="63"/>
      <c r="P879" s="63"/>
      <c r="Q879" s="63"/>
      <c r="R879" s="63"/>
      <c r="S879" s="63"/>
      <c r="T879" s="63"/>
      <c r="U879" s="63"/>
      <c r="V879" s="63"/>
      <c r="W879" s="63"/>
    </row>
    <row r="880" spans="1:23" ht="12.75">
      <c r="A880" s="216"/>
      <c r="B880" s="217"/>
      <c r="C880" s="47"/>
      <c r="D880" s="47"/>
      <c r="E880" s="121"/>
      <c r="F880" s="47"/>
      <c r="G880" s="63"/>
      <c r="H880" s="47"/>
      <c r="I880" s="47"/>
      <c r="J880" s="63"/>
      <c r="K880" s="63"/>
      <c r="L880" s="63"/>
      <c r="M880" s="63"/>
      <c r="N880" s="63"/>
      <c r="O880" s="63"/>
      <c r="P880" s="63"/>
      <c r="Q880" s="63"/>
      <c r="R880" s="63"/>
      <c r="S880" s="63"/>
      <c r="T880" s="63"/>
      <c r="U880" s="63"/>
      <c r="V880" s="63"/>
      <c r="W880" s="63"/>
    </row>
    <row r="881" spans="1:23" ht="12.75">
      <c r="A881" s="216"/>
      <c r="B881" s="217"/>
      <c r="C881" s="47"/>
      <c r="D881" s="47"/>
      <c r="E881" s="121"/>
      <c r="F881" s="47"/>
      <c r="G881" s="63"/>
      <c r="H881" s="47"/>
      <c r="I881" s="47"/>
      <c r="J881" s="63"/>
      <c r="K881" s="63"/>
      <c r="L881" s="63"/>
      <c r="M881" s="63"/>
      <c r="N881" s="63"/>
      <c r="O881" s="63"/>
      <c r="P881" s="63"/>
      <c r="Q881" s="63"/>
      <c r="R881" s="63"/>
      <c r="S881" s="63"/>
      <c r="T881" s="63"/>
      <c r="U881" s="63"/>
      <c r="V881" s="63"/>
      <c r="W881" s="63"/>
    </row>
    <row r="882" spans="1:23" ht="12.75">
      <c r="A882" s="216"/>
      <c r="B882" s="217"/>
      <c r="C882" s="47"/>
      <c r="D882" s="47"/>
      <c r="E882" s="121"/>
      <c r="F882" s="47"/>
      <c r="G882" s="63"/>
      <c r="H882" s="47"/>
      <c r="I882" s="47"/>
      <c r="J882" s="63"/>
      <c r="K882" s="63"/>
      <c r="L882" s="63"/>
      <c r="M882" s="63"/>
      <c r="N882" s="63"/>
      <c r="O882" s="63"/>
      <c r="P882" s="63"/>
      <c r="Q882" s="63"/>
      <c r="R882" s="63"/>
      <c r="S882" s="63"/>
      <c r="T882" s="63"/>
      <c r="U882" s="63"/>
      <c r="V882" s="63"/>
      <c r="W882" s="63"/>
    </row>
    <row r="883" spans="1:23" ht="12.75">
      <c r="A883" s="216"/>
      <c r="B883" s="217"/>
      <c r="C883" s="47"/>
      <c r="D883" s="47"/>
      <c r="E883" s="121"/>
      <c r="F883" s="47"/>
      <c r="G883" s="63"/>
      <c r="H883" s="47"/>
      <c r="I883" s="47"/>
      <c r="J883" s="63"/>
      <c r="K883" s="63"/>
      <c r="L883" s="63"/>
      <c r="M883" s="63"/>
      <c r="N883" s="63"/>
      <c r="O883" s="63"/>
      <c r="P883" s="63"/>
      <c r="Q883" s="63"/>
      <c r="R883" s="63"/>
      <c r="S883" s="63"/>
      <c r="T883" s="63"/>
      <c r="U883" s="63"/>
      <c r="V883" s="63"/>
      <c r="W883" s="63"/>
    </row>
    <row r="884" spans="1:23" ht="12.75">
      <c r="A884" s="216"/>
      <c r="B884" s="217"/>
      <c r="C884" s="47"/>
      <c r="D884" s="47"/>
      <c r="E884" s="121"/>
      <c r="F884" s="47"/>
      <c r="G884" s="63"/>
      <c r="H884" s="47"/>
      <c r="I884" s="47"/>
      <c r="J884" s="63"/>
      <c r="K884" s="63"/>
      <c r="L884" s="63"/>
      <c r="M884" s="63"/>
      <c r="N884" s="63"/>
      <c r="O884" s="63"/>
      <c r="P884" s="63"/>
      <c r="Q884" s="63"/>
      <c r="R884" s="63"/>
      <c r="S884" s="63"/>
      <c r="T884" s="63"/>
      <c r="U884" s="63"/>
      <c r="V884" s="63"/>
      <c r="W884" s="63"/>
    </row>
    <row r="885" spans="1:23" ht="12.75">
      <c r="A885" s="216"/>
      <c r="B885" s="217"/>
      <c r="C885" s="47"/>
      <c r="D885" s="47"/>
      <c r="E885" s="121"/>
      <c r="F885" s="47"/>
      <c r="G885" s="63"/>
      <c r="H885" s="47"/>
      <c r="I885" s="47"/>
      <c r="J885" s="63"/>
      <c r="K885" s="63"/>
      <c r="L885" s="63"/>
      <c r="M885" s="63"/>
      <c r="N885" s="63"/>
      <c r="O885" s="63"/>
      <c r="P885" s="63"/>
      <c r="Q885" s="63"/>
      <c r="R885" s="63"/>
      <c r="S885" s="63"/>
      <c r="T885" s="63"/>
      <c r="U885" s="63"/>
      <c r="V885" s="63"/>
      <c r="W885" s="63"/>
    </row>
    <row r="886" spans="1:23" ht="12.75">
      <c r="A886" s="216"/>
      <c r="B886" s="217"/>
      <c r="C886" s="47"/>
      <c r="D886" s="47"/>
      <c r="E886" s="121"/>
      <c r="F886" s="47"/>
      <c r="G886" s="63"/>
      <c r="H886" s="47"/>
      <c r="I886" s="47"/>
      <c r="J886" s="63"/>
      <c r="K886" s="63"/>
      <c r="L886" s="63"/>
      <c r="M886" s="63"/>
      <c r="N886" s="63"/>
      <c r="O886" s="63"/>
      <c r="P886" s="63"/>
      <c r="Q886" s="63"/>
      <c r="R886" s="63"/>
      <c r="S886" s="63"/>
      <c r="T886" s="63"/>
      <c r="U886" s="63"/>
      <c r="V886" s="63"/>
      <c r="W886" s="63"/>
    </row>
    <row r="887" spans="1:23" ht="12.75">
      <c r="A887" s="216"/>
      <c r="B887" s="217"/>
      <c r="C887" s="47"/>
      <c r="D887" s="47"/>
      <c r="E887" s="121"/>
      <c r="F887" s="47"/>
      <c r="G887" s="63"/>
      <c r="H887" s="47"/>
      <c r="I887" s="47"/>
      <c r="J887" s="63"/>
      <c r="K887" s="63"/>
      <c r="L887" s="63"/>
      <c r="M887" s="63"/>
      <c r="N887" s="63"/>
      <c r="O887" s="63"/>
      <c r="P887" s="63"/>
      <c r="Q887" s="63"/>
      <c r="R887" s="63"/>
      <c r="S887" s="63"/>
      <c r="T887" s="63"/>
      <c r="U887" s="63"/>
      <c r="V887" s="63"/>
      <c r="W887" s="63"/>
    </row>
    <row r="888" spans="1:23" ht="12.75">
      <c r="A888" s="216"/>
      <c r="B888" s="217"/>
      <c r="C888" s="47"/>
      <c r="D888" s="47"/>
      <c r="E888" s="121"/>
      <c r="F888" s="47"/>
      <c r="G888" s="63"/>
      <c r="H888" s="47"/>
      <c r="I888" s="47"/>
      <c r="J888" s="63"/>
      <c r="K888" s="63"/>
      <c r="L888" s="63"/>
      <c r="M888" s="63"/>
      <c r="N888" s="63"/>
      <c r="O888" s="63"/>
      <c r="P888" s="63"/>
      <c r="Q888" s="63"/>
      <c r="R888" s="63"/>
      <c r="S888" s="63"/>
      <c r="T888" s="63"/>
      <c r="U888" s="63"/>
      <c r="V888" s="63"/>
      <c r="W888" s="63"/>
    </row>
    <row r="889" spans="1:23" ht="12.75">
      <c r="A889" s="216"/>
      <c r="B889" s="217"/>
      <c r="C889" s="47"/>
      <c r="D889" s="47"/>
      <c r="E889" s="121"/>
      <c r="F889" s="47"/>
      <c r="G889" s="63"/>
      <c r="H889" s="47"/>
      <c r="I889" s="47"/>
      <c r="J889" s="63"/>
      <c r="K889" s="63"/>
      <c r="L889" s="63"/>
      <c r="M889" s="63"/>
      <c r="N889" s="63"/>
      <c r="O889" s="63"/>
      <c r="P889" s="63"/>
      <c r="Q889" s="63"/>
      <c r="R889" s="63"/>
      <c r="S889" s="63"/>
      <c r="T889" s="63"/>
      <c r="U889" s="63"/>
      <c r="V889" s="63"/>
      <c r="W889" s="63"/>
    </row>
    <row r="890" spans="1:23" ht="12.75">
      <c r="A890" s="216"/>
      <c r="B890" s="217"/>
      <c r="C890" s="47"/>
      <c r="D890" s="47"/>
      <c r="E890" s="121"/>
      <c r="F890" s="47"/>
      <c r="G890" s="63"/>
      <c r="H890" s="47"/>
      <c r="I890" s="47"/>
      <c r="J890" s="63"/>
      <c r="K890" s="63"/>
      <c r="L890" s="63"/>
      <c r="M890" s="63"/>
      <c r="N890" s="63"/>
      <c r="O890" s="63"/>
      <c r="P890" s="63"/>
      <c r="Q890" s="63"/>
      <c r="R890" s="63"/>
      <c r="S890" s="63"/>
      <c r="T890" s="63"/>
      <c r="U890" s="63"/>
      <c r="V890" s="63"/>
      <c r="W890" s="63"/>
    </row>
    <row r="891" spans="1:23" ht="12.75">
      <c r="A891" s="216"/>
      <c r="B891" s="217"/>
      <c r="C891" s="47"/>
      <c r="D891" s="47"/>
      <c r="E891" s="121"/>
      <c r="F891" s="47"/>
      <c r="G891" s="63"/>
      <c r="H891" s="47"/>
      <c r="I891" s="47"/>
      <c r="J891" s="63"/>
      <c r="K891" s="63"/>
      <c r="L891" s="63"/>
      <c r="M891" s="63"/>
      <c r="N891" s="63"/>
      <c r="O891" s="63"/>
      <c r="P891" s="63"/>
      <c r="Q891" s="63"/>
      <c r="R891" s="63"/>
      <c r="S891" s="63"/>
      <c r="T891" s="63"/>
      <c r="U891" s="63"/>
      <c r="V891" s="63"/>
      <c r="W891" s="63"/>
    </row>
    <row r="892" spans="1:23" ht="12.75">
      <c r="A892" s="216"/>
      <c r="B892" s="217"/>
      <c r="C892" s="47"/>
      <c r="D892" s="47"/>
      <c r="E892" s="121"/>
      <c r="F892" s="47"/>
      <c r="G892" s="63"/>
      <c r="H892" s="47"/>
      <c r="I892" s="47"/>
      <c r="J892" s="63"/>
      <c r="K892" s="63"/>
      <c r="L892" s="63"/>
      <c r="M892" s="63"/>
      <c r="N892" s="63"/>
      <c r="O892" s="63"/>
      <c r="P892" s="63"/>
      <c r="Q892" s="63"/>
      <c r="R892" s="63"/>
      <c r="S892" s="63"/>
      <c r="T892" s="63"/>
      <c r="U892" s="63"/>
      <c r="V892" s="63"/>
      <c r="W892" s="63"/>
    </row>
    <row r="893" spans="1:23" ht="12.75">
      <c r="A893" s="216"/>
      <c r="B893" s="217"/>
      <c r="C893" s="47"/>
      <c r="D893" s="47"/>
      <c r="E893" s="121"/>
      <c r="F893" s="47"/>
      <c r="G893" s="63"/>
      <c r="H893" s="47"/>
      <c r="I893" s="47"/>
      <c r="J893" s="63"/>
      <c r="K893" s="63"/>
      <c r="L893" s="63"/>
      <c r="M893" s="63"/>
      <c r="N893" s="63"/>
      <c r="O893" s="63"/>
      <c r="P893" s="63"/>
      <c r="Q893" s="63"/>
      <c r="R893" s="63"/>
      <c r="S893" s="63"/>
      <c r="T893" s="63"/>
      <c r="U893" s="63"/>
      <c r="V893" s="63"/>
      <c r="W893" s="63"/>
    </row>
    <row r="894" spans="1:23" ht="12.75">
      <c r="A894" s="216"/>
      <c r="B894" s="217"/>
      <c r="C894" s="47"/>
      <c r="D894" s="47"/>
      <c r="E894" s="121"/>
      <c r="F894" s="47"/>
      <c r="G894" s="63"/>
      <c r="H894" s="47"/>
      <c r="I894" s="47"/>
      <c r="J894" s="63"/>
      <c r="K894" s="63"/>
      <c r="L894" s="63"/>
      <c r="M894" s="63"/>
      <c r="N894" s="63"/>
      <c r="O894" s="63"/>
      <c r="P894" s="63"/>
      <c r="Q894" s="63"/>
      <c r="R894" s="63"/>
      <c r="S894" s="63"/>
      <c r="T894" s="63"/>
      <c r="U894" s="63"/>
      <c r="V894" s="63"/>
      <c r="W894" s="63"/>
    </row>
    <row r="895" spans="1:23" ht="12.75">
      <c r="A895" s="216"/>
      <c r="B895" s="217"/>
      <c r="C895" s="47"/>
      <c r="D895" s="47"/>
      <c r="E895" s="121"/>
      <c r="F895" s="47"/>
      <c r="G895" s="63"/>
      <c r="H895" s="47"/>
      <c r="I895" s="47"/>
      <c r="J895" s="63"/>
      <c r="K895" s="63"/>
      <c r="L895" s="63"/>
      <c r="M895" s="63"/>
      <c r="N895" s="63"/>
      <c r="O895" s="63"/>
      <c r="P895" s="63"/>
      <c r="Q895" s="63"/>
      <c r="R895" s="63"/>
      <c r="S895" s="63"/>
      <c r="T895" s="63"/>
      <c r="U895" s="63"/>
      <c r="V895" s="63"/>
      <c r="W895" s="63"/>
    </row>
    <row r="896" spans="1:23" ht="12.75">
      <c r="A896" s="216"/>
      <c r="B896" s="217"/>
      <c r="C896" s="47"/>
      <c r="D896" s="47"/>
      <c r="E896" s="121"/>
      <c r="F896" s="47"/>
      <c r="G896" s="63"/>
      <c r="H896" s="47"/>
      <c r="I896" s="47"/>
      <c r="J896" s="63"/>
      <c r="K896" s="63"/>
      <c r="L896" s="63"/>
      <c r="M896" s="63"/>
      <c r="N896" s="63"/>
      <c r="O896" s="63"/>
      <c r="P896" s="63"/>
      <c r="Q896" s="63"/>
      <c r="R896" s="63"/>
      <c r="S896" s="63"/>
      <c r="T896" s="63"/>
      <c r="U896" s="63"/>
      <c r="V896" s="63"/>
      <c r="W896" s="63"/>
    </row>
    <row r="897" spans="1:23" ht="12.75">
      <c r="A897" s="216"/>
      <c r="B897" s="217"/>
      <c r="C897" s="47"/>
      <c r="D897" s="47"/>
      <c r="E897" s="121"/>
      <c r="F897" s="47"/>
      <c r="G897" s="63"/>
      <c r="H897" s="47"/>
      <c r="I897" s="47"/>
      <c r="J897" s="63"/>
      <c r="K897" s="63"/>
      <c r="L897" s="63"/>
      <c r="M897" s="63"/>
      <c r="N897" s="63"/>
      <c r="O897" s="63"/>
      <c r="P897" s="63"/>
      <c r="Q897" s="63"/>
      <c r="R897" s="63"/>
      <c r="S897" s="63"/>
      <c r="T897" s="63"/>
      <c r="U897" s="63"/>
      <c r="V897" s="63"/>
      <c r="W897" s="63"/>
    </row>
    <row r="898" spans="1:23" ht="12.75">
      <c r="A898" s="216"/>
      <c r="B898" s="217"/>
      <c r="C898" s="47"/>
      <c r="D898" s="47"/>
      <c r="E898" s="121"/>
      <c r="F898" s="47"/>
      <c r="G898" s="63"/>
      <c r="H898" s="47"/>
      <c r="I898" s="47"/>
      <c r="J898" s="63"/>
      <c r="K898" s="63"/>
      <c r="L898" s="63"/>
      <c r="M898" s="63"/>
      <c r="N898" s="63"/>
      <c r="O898" s="63"/>
      <c r="P898" s="63"/>
      <c r="Q898" s="63"/>
      <c r="R898" s="63"/>
      <c r="S898" s="63"/>
      <c r="T898" s="63"/>
      <c r="U898" s="63"/>
      <c r="V898" s="63"/>
      <c r="W898" s="63"/>
    </row>
    <row r="899" spans="1:23" ht="12.75">
      <c r="A899" s="216"/>
      <c r="B899" s="217"/>
      <c r="C899" s="47"/>
      <c r="D899" s="47"/>
      <c r="E899" s="121"/>
      <c r="F899" s="47"/>
      <c r="G899" s="63"/>
      <c r="H899" s="47"/>
      <c r="I899" s="47"/>
      <c r="J899" s="63"/>
      <c r="K899" s="63"/>
      <c r="L899" s="63"/>
      <c r="M899" s="63"/>
      <c r="N899" s="63"/>
      <c r="O899" s="63"/>
      <c r="P899" s="63"/>
      <c r="Q899" s="63"/>
      <c r="R899" s="63"/>
      <c r="S899" s="63"/>
      <c r="T899" s="63"/>
      <c r="U899" s="63"/>
      <c r="V899" s="63"/>
      <c r="W899" s="63"/>
    </row>
    <row r="900" spans="1:23" ht="12.75">
      <c r="A900" s="216"/>
      <c r="B900" s="217"/>
      <c r="C900" s="47"/>
      <c r="D900" s="47"/>
      <c r="E900" s="121"/>
      <c r="F900" s="47"/>
      <c r="G900" s="63"/>
      <c r="H900" s="47"/>
      <c r="I900" s="47"/>
      <c r="J900" s="63"/>
      <c r="K900" s="63"/>
      <c r="L900" s="63"/>
      <c r="M900" s="63"/>
      <c r="N900" s="63"/>
      <c r="O900" s="63"/>
      <c r="P900" s="63"/>
      <c r="Q900" s="63"/>
      <c r="R900" s="63"/>
      <c r="S900" s="63"/>
      <c r="T900" s="63"/>
      <c r="U900" s="63"/>
      <c r="V900" s="63"/>
      <c r="W900" s="63"/>
    </row>
    <row r="901" spans="1:23" ht="12.75">
      <c r="A901" s="216"/>
      <c r="B901" s="217"/>
      <c r="C901" s="47"/>
      <c r="D901" s="47"/>
      <c r="E901" s="121"/>
      <c r="F901" s="47"/>
      <c r="G901" s="63"/>
      <c r="H901" s="47"/>
      <c r="I901" s="47"/>
      <c r="J901" s="63"/>
      <c r="K901" s="63"/>
      <c r="L901" s="63"/>
      <c r="M901" s="63"/>
      <c r="N901" s="63"/>
      <c r="O901" s="63"/>
      <c r="P901" s="63"/>
      <c r="Q901" s="63"/>
      <c r="R901" s="63"/>
      <c r="S901" s="63"/>
      <c r="T901" s="63"/>
      <c r="U901" s="63"/>
      <c r="V901" s="63"/>
      <c r="W901" s="63"/>
    </row>
    <row r="902" spans="1:23" ht="12.75">
      <c r="A902" s="216"/>
      <c r="B902" s="217"/>
      <c r="C902" s="47"/>
      <c r="D902" s="47"/>
      <c r="E902" s="121"/>
      <c r="F902" s="47"/>
      <c r="G902" s="63"/>
      <c r="H902" s="47"/>
      <c r="I902" s="47"/>
      <c r="J902" s="63"/>
      <c r="K902" s="63"/>
      <c r="L902" s="63"/>
      <c r="M902" s="63"/>
      <c r="N902" s="63"/>
      <c r="O902" s="63"/>
      <c r="P902" s="63"/>
      <c r="Q902" s="63"/>
      <c r="R902" s="63"/>
      <c r="S902" s="63"/>
      <c r="T902" s="63"/>
      <c r="U902" s="63"/>
      <c r="V902" s="63"/>
      <c r="W902" s="63"/>
    </row>
    <row r="903" spans="1:23" ht="12.75">
      <c r="A903" s="216"/>
      <c r="B903" s="217"/>
      <c r="C903" s="47"/>
      <c r="D903" s="47"/>
      <c r="E903" s="121"/>
      <c r="F903" s="47"/>
      <c r="G903" s="63"/>
      <c r="H903" s="47"/>
      <c r="I903" s="47"/>
      <c r="J903" s="63"/>
      <c r="K903" s="63"/>
      <c r="L903" s="63"/>
      <c r="M903" s="63"/>
      <c r="N903" s="63"/>
      <c r="O903" s="63"/>
      <c r="P903" s="63"/>
      <c r="Q903" s="63"/>
      <c r="R903" s="63"/>
      <c r="S903" s="63"/>
      <c r="T903" s="63"/>
      <c r="U903" s="63"/>
      <c r="V903" s="63"/>
      <c r="W903" s="63"/>
    </row>
    <row r="904" spans="1:23" ht="12.75">
      <c r="A904" s="216"/>
      <c r="B904" s="217"/>
      <c r="C904" s="47"/>
      <c r="D904" s="47"/>
      <c r="E904" s="121"/>
      <c r="F904" s="47"/>
      <c r="G904" s="63"/>
      <c r="H904" s="47"/>
      <c r="I904" s="47"/>
      <c r="J904" s="63"/>
      <c r="K904" s="63"/>
      <c r="L904" s="63"/>
      <c r="M904" s="63"/>
      <c r="N904" s="63"/>
      <c r="O904" s="63"/>
      <c r="P904" s="63"/>
      <c r="Q904" s="63"/>
      <c r="R904" s="63"/>
      <c r="S904" s="63"/>
      <c r="T904" s="63"/>
      <c r="U904" s="63"/>
      <c r="V904" s="63"/>
      <c r="W904" s="63"/>
    </row>
    <row r="905" spans="1:23" ht="12.75">
      <c r="A905" s="216"/>
      <c r="B905" s="217"/>
      <c r="C905" s="47"/>
      <c r="D905" s="47"/>
      <c r="E905" s="121"/>
      <c r="F905" s="47"/>
      <c r="G905" s="63"/>
      <c r="H905" s="47"/>
      <c r="I905" s="47"/>
      <c r="J905" s="63"/>
      <c r="K905" s="63"/>
      <c r="L905" s="63"/>
      <c r="M905" s="63"/>
      <c r="N905" s="63"/>
      <c r="O905" s="63"/>
      <c r="P905" s="63"/>
      <c r="Q905" s="63"/>
      <c r="R905" s="63"/>
      <c r="S905" s="63"/>
      <c r="T905" s="63"/>
      <c r="U905" s="63"/>
      <c r="V905" s="63"/>
      <c r="W905" s="63"/>
    </row>
    <row r="906" spans="1:23" ht="12.75">
      <c r="A906" s="216"/>
      <c r="B906" s="217"/>
      <c r="C906" s="47"/>
      <c r="D906" s="47"/>
      <c r="E906" s="121"/>
      <c r="F906" s="47"/>
      <c r="G906" s="63"/>
      <c r="H906" s="47"/>
      <c r="I906" s="47"/>
      <c r="J906" s="63"/>
      <c r="K906" s="63"/>
      <c r="L906" s="63"/>
      <c r="M906" s="63"/>
      <c r="N906" s="63"/>
      <c r="O906" s="63"/>
      <c r="P906" s="63"/>
      <c r="Q906" s="63"/>
      <c r="R906" s="63"/>
      <c r="S906" s="63"/>
      <c r="T906" s="63"/>
      <c r="U906" s="63"/>
      <c r="V906" s="63"/>
      <c r="W906" s="63"/>
    </row>
  </sheetData>
  <autoFilter ref="A2:J2">
    <sortState ref="A2:J2">
      <sortCondition descending="1" ref="D2"/>
    </sortState>
  </autoFilter>
  <mergeCells count="2">
    <mergeCell ref="A1:B1"/>
    <mergeCell ref="D1:E1"/>
  </mergeCells>
  <conditionalFormatting sqref="A3:J906">
    <cfRule type="expression" dxfId="108" priority="1">
      <formula>$I3="OPEN"</formula>
    </cfRule>
  </conditionalFormatting>
  <conditionalFormatting sqref="A3:J906">
    <cfRule type="expression" dxfId="107" priority="2">
      <formula>$I3="CLOSED"</formula>
    </cfRule>
  </conditionalFormatting>
  <dataValidations count="2">
    <dataValidation type="list" allowBlank="1" showErrorMessage="1" sqref="B3:B906">
      <formula1>"LION AIR,BATIK AIR,SUPER AIR JET,WINGS AIR,THAI LION AIR,MALINDO AIR"</formula1>
    </dataValidation>
    <dataValidation type="list" allowBlank="1" sqref="I3:I906">
      <formula1>"CLOSED,OPEN"</formula1>
    </dataValidation>
  </dataValidations>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7"/>
  <sheetViews>
    <sheetView workbookViewId="0">
      <pane ySplit="1" topLeftCell="A2" activePane="bottomLeft" state="frozen"/>
      <selection pane="bottomLeft" activeCell="B3" sqref="B3"/>
    </sheetView>
  </sheetViews>
  <sheetFormatPr defaultColWidth="12.5703125" defaultRowHeight="15" customHeight="1"/>
  <cols>
    <col min="1" max="1" width="10.5703125" customWidth="1"/>
    <col min="2" max="2" width="8.42578125" customWidth="1"/>
    <col min="3" max="3" width="8" customWidth="1"/>
    <col min="4" max="4" width="10.42578125" customWidth="1"/>
    <col min="5" max="5" width="37.28515625" customWidth="1"/>
    <col min="6" max="6" width="10.140625" customWidth="1"/>
    <col min="7" max="7" width="11.42578125" customWidth="1"/>
    <col min="12" max="13" width="7.42578125" customWidth="1"/>
    <col min="14" max="14" width="9.42578125" customWidth="1"/>
    <col min="16" max="16" width="32.28515625" customWidth="1"/>
    <col min="17" max="17" width="8.28515625" customWidth="1"/>
    <col min="18" max="18" width="9.42578125" customWidth="1"/>
    <col min="19" max="19" width="7.5703125" customWidth="1"/>
  </cols>
  <sheetData>
    <row r="1" spans="1:26" ht="28.5" customHeight="1">
      <c r="A1" s="224" t="s">
        <v>27</v>
      </c>
      <c r="B1" s="225" t="s">
        <v>2</v>
      </c>
      <c r="C1" s="225" t="s">
        <v>35</v>
      </c>
      <c r="D1" s="225" t="s">
        <v>38</v>
      </c>
      <c r="E1" s="225" t="s">
        <v>40</v>
      </c>
      <c r="F1" s="225" t="s">
        <v>41</v>
      </c>
      <c r="G1" s="226" t="s">
        <v>43</v>
      </c>
      <c r="H1" s="226" t="s">
        <v>44</v>
      </c>
      <c r="I1" s="225" t="s">
        <v>46</v>
      </c>
      <c r="J1" s="224" t="s">
        <v>48</v>
      </c>
      <c r="K1" s="225" t="s">
        <v>50</v>
      </c>
      <c r="L1" s="225" t="s">
        <v>15</v>
      </c>
      <c r="M1" s="225" t="s">
        <v>16</v>
      </c>
      <c r="N1" s="226" t="s">
        <v>17</v>
      </c>
      <c r="O1" s="226" t="s">
        <v>18</v>
      </c>
      <c r="P1" s="225" t="s">
        <v>19</v>
      </c>
      <c r="Q1" s="225" t="s">
        <v>51</v>
      </c>
      <c r="R1" s="227" t="s">
        <v>21</v>
      </c>
      <c r="S1" s="228" t="s">
        <v>22</v>
      </c>
      <c r="T1" s="228" t="s">
        <v>23</v>
      </c>
      <c r="U1" s="228" t="s">
        <v>25</v>
      </c>
      <c r="V1" s="229"/>
      <c r="W1" s="229"/>
      <c r="X1" s="229"/>
      <c r="Y1" s="229"/>
      <c r="Z1" s="229"/>
    </row>
    <row r="2" spans="1:26" ht="12.75">
      <c r="A2" s="230">
        <v>46296</v>
      </c>
      <c r="B2" s="231" t="s">
        <v>112</v>
      </c>
      <c r="C2" s="231" t="s">
        <v>584</v>
      </c>
      <c r="D2" s="231" t="s">
        <v>585</v>
      </c>
      <c r="E2" s="232" t="s">
        <v>586</v>
      </c>
      <c r="F2" s="231" t="s">
        <v>88</v>
      </c>
      <c r="G2" s="230">
        <v>46227</v>
      </c>
      <c r="H2" s="233"/>
      <c r="I2" s="234"/>
      <c r="J2" s="234"/>
      <c r="K2" s="234"/>
      <c r="L2" s="231" t="s">
        <v>108</v>
      </c>
      <c r="M2" s="231" t="s">
        <v>53</v>
      </c>
      <c r="N2" s="231" t="s">
        <v>66</v>
      </c>
      <c r="O2" s="234"/>
      <c r="P2" s="232" t="s">
        <v>587</v>
      </c>
      <c r="Q2" s="231" t="s">
        <v>34</v>
      </c>
      <c r="R2" s="230">
        <v>46296</v>
      </c>
      <c r="S2" s="231" t="s">
        <v>66</v>
      </c>
      <c r="T2" s="234"/>
      <c r="U2" s="234"/>
    </row>
    <row r="3" spans="1:26" ht="12.75">
      <c r="A3" s="230">
        <v>46296</v>
      </c>
      <c r="B3" s="234"/>
      <c r="C3" s="235" t="s">
        <v>588</v>
      </c>
      <c r="D3" s="235" t="s">
        <v>589</v>
      </c>
      <c r="E3" s="236" t="s">
        <v>590</v>
      </c>
      <c r="F3" s="231" t="s">
        <v>88</v>
      </c>
      <c r="G3" s="233"/>
      <c r="H3" s="233"/>
      <c r="I3" s="234"/>
      <c r="J3" s="234"/>
      <c r="K3" s="234"/>
      <c r="L3" s="231" t="s">
        <v>108</v>
      </c>
      <c r="M3" s="231" t="s">
        <v>53</v>
      </c>
      <c r="N3" s="231" t="s">
        <v>94</v>
      </c>
      <c r="O3" s="234"/>
      <c r="P3" s="236" t="s">
        <v>591</v>
      </c>
      <c r="Q3" s="231" t="s">
        <v>34</v>
      </c>
      <c r="R3" s="230">
        <v>46296</v>
      </c>
      <c r="S3" s="231" t="s">
        <v>94</v>
      </c>
      <c r="T3" s="234"/>
      <c r="U3" s="234"/>
    </row>
    <row r="4" spans="1:26" ht="12.75">
      <c r="A4" s="230">
        <v>46296</v>
      </c>
      <c r="B4" s="234"/>
      <c r="C4" s="231" t="s">
        <v>592</v>
      </c>
      <c r="D4" s="231" t="s">
        <v>593</v>
      </c>
      <c r="E4" s="236" t="s">
        <v>594</v>
      </c>
      <c r="F4" s="231" t="s">
        <v>88</v>
      </c>
      <c r="G4" s="233"/>
      <c r="H4" s="233"/>
      <c r="I4" s="234"/>
      <c r="J4" s="234"/>
      <c r="K4" s="234"/>
      <c r="L4" s="231" t="s">
        <v>86</v>
      </c>
      <c r="M4" s="231" t="s">
        <v>404</v>
      </c>
      <c r="N4" s="231" t="s">
        <v>94</v>
      </c>
      <c r="O4" s="234"/>
      <c r="P4" s="232" t="s">
        <v>595</v>
      </c>
      <c r="Q4" s="231" t="s">
        <v>34</v>
      </c>
      <c r="R4" s="230">
        <v>46296</v>
      </c>
      <c r="S4" s="231" t="s">
        <v>94</v>
      </c>
      <c r="T4" s="234"/>
      <c r="U4" s="234"/>
    </row>
    <row r="5" spans="1:26" ht="12.75">
      <c r="A5" s="230">
        <v>46296</v>
      </c>
      <c r="B5" s="231" t="s">
        <v>112</v>
      </c>
      <c r="C5" s="231" t="s">
        <v>596</v>
      </c>
      <c r="D5" s="231" t="s">
        <v>597</v>
      </c>
      <c r="E5" s="232" t="s">
        <v>598</v>
      </c>
      <c r="F5" s="231" t="s">
        <v>88</v>
      </c>
      <c r="G5" s="230">
        <v>46273</v>
      </c>
      <c r="H5" s="233"/>
      <c r="I5" s="234"/>
      <c r="J5" s="234"/>
      <c r="K5" s="234"/>
      <c r="L5" s="231" t="s">
        <v>108</v>
      </c>
      <c r="M5" s="231" t="s">
        <v>53</v>
      </c>
      <c r="N5" s="231" t="s">
        <v>409</v>
      </c>
      <c r="O5" s="234"/>
      <c r="P5" s="232" t="s">
        <v>599</v>
      </c>
      <c r="Q5" s="231" t="s">
        <v>34</v>
      </c>
      <c r="R5" s="230">
        <v>46296</v>
      </c>
      <c r="S5" s="231" t="s">
        <v>409</v>
      </c>
      <c r="T5" s="234"/>
      <c r="U5" s="234"/>
    </row>
    <row r="6" spans="1:26" ht="12.75">
      <c r="A6" s="230">
        <v>46296</v>
      </c>
      <c r="B6" s="231" t="s">
        <v>112</v>
      </c>
      <c r="C6" s="231" t="s">
        <v>596</v>
      </c>
      <c r="D6" s="231" t="s">
        <v>600</v>
      </c>
      <c r="E6" s="232" t="s">
        <v>601</v>
      </c>
      <c r="F6" s="231" t="s">
        <v>88</v>
      </c>
      <c r="G6" s="230">
        <v>46295</v>
      </c>
      <c r="H6" s="233"/>
      <c r="I6" s="234"/>
      <c r="J6" s="234"/>
      <c r="K6" s="234"/>
      <c r="L6" s="231" t="s">
        <v>108</v>
      </c>
      <c r="M6" s="231" t="s">
        <v>53</v>
      </c>
      <c r="N6" s="231" t="s">
        <v>409</v>
      </c>
      <c r="O6" s="234"/>
      <c r="P6" s="232" t="s">
        <v>599</v>
      </c>
      <c r="Q6" s="231" t="s">
        <v>34</v>
      </c>
      <c r="R6" s="230">
        <v>46296</v>
      </c>
      <c r="S6" s="231" t="s">
        <v>409</v>
      </c>
      <c r="T6" s="234"/>
      <c r="U6" s="234"/>
    </row>
    <row r="7" spans="1:26" ht="12.75">
      <c r="A7" s="231" t="s">
        <v>602</v>
      </c>
      <c r="B7" s="234"/>
      <c r="C7" s="231" t="s">
        <v>390</v>
      </c>
      <c r="D7" s="231" t="s">
        <v>603</v>
      </c>
      <c r="E7" s="232" t="s">
        <v>604</v>
      </c>
      <c r="F7" s="231" t="s">
        <v>88</v>
      </c>
      <c r="G7" s="233"/>
      <c r="H7" s="233"/>
      <c r="I7" s="234"/>
      <c r="J7" s="234"/>
      <c r="K7" s="234"/>
      <c r="L7" s="231" t="s">
        <v>52</v>
      </c>
      <c r="M7" s="231" t="s">
        <v>53</v>
      </c>
      <c r="N7" s="231" t="s">
        <v>111</v>
      </c>
      <c r="O7" s="234"/>
      <c r="P7" s="232" t="s">
        <v>605</v>
      </c>
      <c r="Q7" s="231" t="s">
        <v>34</v>
      </c>
      <c r="R7" s="230">
        <v>46296</v>
      </c>
      <c r="S7" s="231" t="s">
        <v>111</v>
      </c>
      <c r="T7" s="234"/>
      <c r="U7" s="234"/>
    </row>
    <row r="8" spans="1:26" ht="12.75">
      <c r="A8" s="230">
        <v>46296</v>
      </c>
      <c r="B8" s="234"/>
      <c r="C8" s="231" t="s">
        <v>191</v>
      </c>
      <c r="D8" s="231" t="s">
        <v>606</v>
      </c>
      <c r="E8" s="232" t="s">
        <v>607</v>
      </c>
      <c r="F8" s="231" t="s">
        <v>88</v>
      </c>
      <c r="G8" s="233"/>
      <c r="H8" s="233"/>
      <c r="I8" s="234"/>
      <c r="J8" s="234"/>
      <c r="K8" s="234"/>
      <c r="L8" s="231" t="s">
        <v>85</v>
      </c>
      <c r="M8" s="231" t="s">
        <v>87</v>
      </c>
      <c r="N8" s="231" t="s">
        <v>214</v>
      </c>
      <c r="O8" s="233"/>
      <c r="P8" s="232" t="s">
        <v>608</v>
      </c>
      <c r="Q8" s="231" t="s">
        <v>34</v>
      </c>
      <c r="R8" s="230">
        <v>46296</v>
      </c>
      <c r="S8" s="231" t="s">
        <v>214</v>
      </c>
      <c r="T8" s="234"/>
      <c r="U8" s="234"/>
    </row>
    <row r="9" spans="1:26" ht="12.75">
      <c r="A9" s="230">
        <v>46296</v>
      </c>
      <c r="B9" s="234"/>
      <c r="C9" s="231" t="s">
        <v>191</v>
      </c>
      <c r="D9" s="231" t="s">
        <v>609</v>
      </c>
      <c r="E9" s="232" t="s">
        <v>607</v>
      </c>
      <c r="F9" s="231" t="s">
        <v>88</v>
      </c>
      <c r="G9" s="233"/>
      <c r="H9" s="233"/>
      <c r="I9" s="234"/>
      <c r="J9" s="234"/>
      <c r="K9" s="234"/>
      <c r="L9" s="231" t="s">
        <v>85</v>
      </c>
      <c r="M9" s="231" t="s">
        <v>87</v>
      </c>
      <c r="N9" s="231" t="s">
        <v>214</v>
      </c>
      <c r="O9" s="233"/>
      <c r="P9" s="232" t="s">
        <v>608</v>
      </c>
      <c r="Q9" s="231" t="s">
        <v>34</v>
      </c>
      <c r="R9" s="230">
        <v>46296</v>
      </c>
      <c r="S9" s="231" t="s">
        <v>214</v>
      </c>
      <c r="T9" s="234"/>
      <c r="U9" s="234"/>
    </row>
    <row r="10" spans="1:26" ht="12.75">
      <c r="A10" s="230">
        <v>46296</v>
      </c>
      <c r="B10" s="234"/>
      <c r="C10" s="231" t="s">
        <v>191</v>
      </c>
      <c r="D10" s="231" t="s">
        <v>610</v>
      </c>
      <c r="E10" s="232" t="s">
        <v>611</v>
      </c>
      <c r="F10" s="231" t="s">
        <v>88</v>
      </c>
      <c r="G10" s="233"/>
      <c r="H10" s="233"/>
      <c r="I10" s="234"/>
      <c r="J10" s="234"/>
      <c r="K10" s="234"/>
      <c r="L10" s="231" t="s">
        <v>85</v>
      </c>
      <c r="M10" s="231" t="s">
        <v>87</v>
      </c>
      <c r="N10" s="231" t="s">
        <v>214</v>
      </c>
      <c r="O10" s="233"/>
      <c r="P10" s="232" t="s">
        <v>612</v>
      </c>
      <c r="Q10" s="231" t="s">
        <v>34</v>
      </c>
      <c r="R10" s="230">
        <v>46296</v>
      </c>
      <c r="S10" s="231" t="s">
        <v>214</v>
      </c>
      <c r="T10" s="234"/>
      <c r="U10" s="234"/>
    </row>
    <row r="11" spans="1:26" ht="12.75">
      <c r="A11" s="230">
        <v>46296</v>
      </c>
      <c r="B11" s="234"/>
      <c r="C11" s="231" t="s">
        <v>613</v>
      </c>
      <c r="D11" s="231" t="s">
        <v>614</v>
      </c>
      <c r="E11" s="232" t="s">
        <v>615</v>
      </c>
      <c r="F11" s="231" t="s">
        <v>88</v>
      </c>
      <c r="G11" s="233"/>
      <c r="H11" s="233"/>
      <c r="I11" s="234"/>
      <c r="J11" s="234"/>
      <c r="K11" s="234"/>
      <c r="L11" s="231" t="s">
        <v>85</v>
      </c>
      <c r="M11" s="231" t="s">
        <v>87</v>
      </c>
      <c r="N11" s="231" t="s">
        <v>214</v>
      </c>
      <c r="O11" s="233"/>
      <c r="P11" s="232" t="s">
        <v>616</v>
      </c>
      <c r="Q11" s="231" t="s">
        <v>34</v>
      </c>
      <c r="R11" s="230">
        <v>46296</v>
      </c>
      <c r="S11" s="231" t="s">
        <v>214</v>
      </c>
      <c r="T11" s="234"/>
      <c r="U11" s="234"/>
    </row>
    <row r="12" spans="1:26" ht="12.75">
      <c r="A12" s="230">
        <v>46296</v>
      </c>
      <c r="B12" s="234"/>
      <c r="C12" s="231" t="s">
        <v>264</v>
      </c>
      <c r="D12" s="231" t="s">
        <v>617</v>
      </c>
      <c r="E12" s="232" t="s">
        <v>618</v>
      </c>
      <c r="F12" s="231" t="s">
        <v>88</v>
      </c>
      <c r="G12" s="233"/>
      <c r="H12" s="233"/>
      <c r="I12" s="234"/>
      <c r="J12" s="234"/>
      <c r="K12" s="234"/>
      <c r="L12" s="231" t="s">
        <v>86</v>
      </c>
      <c r="M12" s="231" t="s">
        <v>619</v>
      </c>
      <c r="N12" s="231" t="s">
        <v>214</v>
      </c>
      <c r="O12" s="233"/>
      <c r="P12" s="232" t="s">
        <v>620</v>
      </c>
      <c r="Q12" s="231" t="s">
        <v>34</v>
      </c>
      <c r="R12" s="230">
        <v>46296</v>
      </c>
      <c r="S12" s="231" t="s">
        <v>214</v>
      </c>
      <c r="T12" s="234"/>
      <c r="U12" s="234"/>
    </row>
    <row r="13" spans="1:26" ht="12.75">
      <c r="A13" s="230">
        <v>46296</v>
      </c>
      <c r="B13" s="234"/>
      <c r="C13" s="231" t="s">
        <v>370</v>
      </c>
      <c r="D13" s="231" t="s">
        <v>621</v>
      </c>
      <c r="E13" s="232" t="s">
        <v>622</v>
      </c>
      <c r="F13" s="231" t="s">
        <v>88</v>
      </c>
      <c r="G13" s="233"/>
      <c r="H13" s="233"/>
      <c r="I13" s="234"/>
      <c r="J13" s="234"/>
      <c r="K13" s="234"/>
      <c r="L13" s="231" t="s">
        <v>108</v>
      </c>
      <c r="M13" s="231" t="s">
        <v>53</v>
      </c>
      <c r="N13" s="231" t="s">
        <v>214</v>
      </c>
      <c r="O13" s="233"/>
      <c r="P13" s="232" t="s">
        <v>623</v>
      </c>
      <c r="Q13" s="231" t="s">
        <v>34</v>
      </c>
      <c r="R13" s="230">
        <v>46296</v>
      </c>
      <c r="S13" s="231" t="s">
        <v>214</v>
      </c>
      <c r="T13" s="234"/>
      <c r="U13" s="234"/>
    </row>
    <row r="14" spans="1:26" ht="12.75">
      <c r="A14" s="230">
        <v>46296</v>
      </c>
      <c r="B14" s="234"/>
      <c r="C14" s="231" t="s">
        <v>232</v>
      </c>
      <c r="D14" s="231" t="s">
        <v>624</v>
      </c>
      <c r="E14" s="232" t="s">
        <v>625</v>
      </c>
      <c r="F14" s="231" t="s">
        <v>88</v>
      </c>
      <c r="G14" s="233"/>
      <c r="H14" s="233"/>
      <c r="I14" s="234"/>
      <c r="J14" s="234"/>
      <c r="K14" s="234"/>
      <c r="L14" s="231" t="s">
        <v>86</v>
      </c>
      <c r="M14" s="231" t="s">
        <v>626</v>
      </c>
      <c r="N14" s="233"/>
      <c r="O14" s="233"/>
      <c r="P14" s="232" t="s">
        <v>627</v>
      </c>
      <c r="Q14" s="231" t="s">
        <v>34</v>
      </c>
      <c r="R14" s="230">
        <v>46296</v>
      </c>
      <c r="S14" s="231" t="s">
        <v>55</v>
      </c>
      <c r="T14" s="234"/>
      <c r="U14" s="234"/>
    </row>
    <row r="15" spans="1:26" ht="12.75">
      <c r="A15" s="230">
        <v>46296</v>
      </c>
      <c r="B15" s="234"/>
      <c r="C15" s="231" t="s">
        <v>628</v>
      </c>
      <c r="D15" s="231" t="s">
        <v>629</v>
      </c>
      <c r="E15" s="232" t="s">
        <v>630</v>
      </c>
      <c r="F15" s="231" t="s">
        <v>88</v>
      </c>
      <c r="G15" s="233"/>
      <c r="H15" s="233"/>
      <c r="I15" s="234"/>
      <c r="J15" s="234"/>
      <c r="K15" s="234"/>
      <c r="L15" s="231" t="s">
        <v>86</v>
      </c>
      <c r="M15" s="231" t="s">
        <v>631</v>
      </c>
      <c r="N15" s="233"/>
      <c r="O15" s="233"/>
      <c r="P15" s="237" t="s">
        <v>632</v>
      </c>
      <c r="Q15" s="231" t="s">
        <v>34</v>
      </c>
      <c r="R15" s="230">
        <v>46296</v>
      </c>
      <c r="S15" s="231" t="s">
        <v>55</v>
      </c>
      <c r="T15" s="234"/>
      <c r="U15" s="234"/>
    </row>
    <row r="16" spans="1:26" ht="12.75">
      <c r="A16" s="230">
        <v>46296</v>
      </c>
      <c r="B16" s="234"/>
      <c r="C16" s="231" t="s">
        <v>382</v>
      </c>
      <c r="D16" s="231" t="s">
        <v>633</v>
      </c>
      <c r="E16" s="232" t="s">
        <v>634</v>
      </c>
      <c r="F16" s="231" t="s">
        <v>88</v>
      </c>
      <c r="G16" s="233"/>
      <c r="H16" s="233"/>
      <c r="I16" s="234"/>
      <c r="J16" s="234"/>
      <c r="K16" s="234"/>
      <c r="L16" s="231" t="s">
        <v>108</v>
      </c>
      <c r="M16" s="231" t="s">
        <v>53</v>
      </c>
      <c r="N16" s="233"/>
      <c r="O16" s="233"/>
      <c r="P16" s="238" t="s">
        <v>635</v>
      </c>
      <c r="Q16" s="231" t="s">
        <v>34</v>
      </c>
      <c r="R16" s="230">
        <v>46296</v>
      </c>
      <c r="S16" s="231" t="s">
        <v>55</v>
      </c>
      <c r="T16" s="234"/>
      <c r="U16" s="234"/>
    </row>
    <row r="17" spans="1:21" ht="12.75">
      <c r="A17" s="230">
        <v>46296</v>
      </c>
      <c r="B17" s="234"/>
      <c r="C17" s="231" t="s">
        <v>636</v>
      </c>
      <c r="D17" s="231" t="s">
        <v>637</v>
      </c>
      <c r="E17" s="232" t="s">
        <v>638</v>
      </c>
      <c r="F17" s="231" t="s">
        <v>88</v>
      </c>
      <c r="G17" s="233"/>
      <c r="H17" s="233"/>
      <c r="I17" s="234"/>
      <c r="J17" s="234"/>
      <c r="K17" s="234"/>
      <c r="L17" s="231" t="s">
        <v>108</v>
      </c>
      <c r="M17" s="231" t="s">
        <v>53</v>
      </c>
      <c r="N17" s="233"/>
      <c r="O17" s="233"/>
      <c r="P17" s="232" t="s">
        <v>639</v>
      </c>
      <c r="Q17" s="231" t="s">
        <v>34</v>
      </c>
      <c r="R17" s="230">
        <v>46296</v>
      </c>
      <c r="S17" s="231" t="s">
        <v>55</v>
      </c>
      <c r="T17" s="234"/>
      <c r="U17" s="234"/>
    </row>
    <row r="18" spans="1:21" ht="12.75">
      <c r="A18" s="230">
        <v>46296</v>
      </c>
      <c r="B18" s="234"/>
      <c r="C18" s="231" t="s">
        <v>564</v>
      </c>
      <c r="D18" s="231" t="s">
        <v>640</v>
      </c>
      <c r="E18" s="232" t="s">
        <v>641</v>
      </c>
      <c r="F18" s="231" t="s">
        <v>88</v>
      </c>
      <c r="G18" s="233"/>
      <c r="H18" s="233"/>
      <c r="I18" s="234"/>
      <c r="J18" s="234"/>
      <c r="K18" s="234"/>
      <c r="L18" s="231" t="s">
        <v>108</v>
      </c>
      <c r="M18" s="231" t="s">
        <v>53</v>
      </c>
      <c r="N18" s="233"/>
      <c r="O18" s="233"/>
      <c r="P18" s="232" t="s">
        <v>642</v>
      </c>
      <c r="Q18" s="231" t="s">
        <v>34</v>
      </c>
      <c r="R18" s="230">
        <v>46296</v>
      </c>
      <c r="S18" s="231" t="s">
        <v>55</v>
      </c>
      <c r="T18" s="234"/>
      <c r="U18" s="234"/>
    </row>
    <row r="19" spans="1:21" ht="12.75">
      <c r="A19" s="230">
        <v>46296</v>
      </c>
      <c r="B19" s="234"/>
      <c r="C19" s="231" t="s">
        <v>410</v>
      </c>
      <c r="D19" s="231" t="s">
        <v>643</v>
      </c>
      <c r="E19" s="232" t="s">
        <v>644</v>
      </c>
      <c r="F19" s="231" t="s">
        <v>88</v>
      </c>
      <c r="G19" s="233"/>
      <c r="H19" s="233"/>
      <c r="I19" s="234"/>
      <c r="J19" s="234"/>
      <c r="K19" s="234"/>
      <c r="L19" s="231" t="s">
        <v>108</v>
      </c>
      <c r="M19" s="231" t="s">
        <v>53</v>
      </c>
      <c r="N19" s="233"/>
      <c r="O19" s="233"/>
      <c r="P19" s="237" t="s">
        <v>645</v>
      </c>
      <c r="Q19" s="231" t="s">
        <v>34</v>
      </c>
      <c r="R19" s="230">
        <v>46296</v>
      </c>
      <c r="S19" s="231" t="s">
        <v>55</v>
      </c>
      <c r="T19" s="234"/>
      <c r="U19" s="234"/>
    </row>
    <row r="20" spans="1:21" ht="12.75">
      <c r="A20" s="230">
        <v>46296</v>
      </c>
      <c r="B20" s="234"/>
      <c r="C20" s="231" t="s">
        <v>646</v>
      </c>
      <c r="D20" s="231" t="s">
        <v>647</v>
      </c>
      <c r="E20" s="232" t="s">
        <v>648</v>
      </c>
      <c r="F20" s="231" t="s">
        <v>88</v>
      </c>
      <c r="G20" s="233"/>
      <c r="H20" s="233"/>
      <c r="I20" s="234"/>
      <c r="J20" s="234"/>
      <c r="K20" s="234"/>
      <c r="L20" s="231" t="s">
        <v>85</v>
      </c>
      <c r="M20" s="231" t="s">
        <v>87</v>
      </c>
      <c r="N20" s="233"/>
      <c r="O20" s="233"/>
      <c r="P20" s="232" t="s">
        <v>649</v>
      </c>
      <c r="Q20" s="231" t="s">
        <v>34</v>
      </c>
      <c r="R20" s="230">
        <v>46296</v>
      </c>
      <c r="S20" s="231" t="s">
        <v>328</v>
      </c>
      <c r="T20" s="234"/>
      <c r="U20" s="234"/>
    </row>
    <row r="21" spans="1:21" ht="12.75">
      <c r="A21" s="230">
        <v>46297</v>
      </c>
      <c r="B21" s="231" t="s">
        <v>100</v>
      </c>
      <c r="C21" s="231" t="s">
        <v>650</v>
      </c>
      <c r="D21" s="231" t="s">
        <v>651</v>
      </c>
      <c r="E21" s="232" t="s">
        <v>652</v>
      </c>
      <c r="F21" s="231" t="s">
        <v>88</v>
      </c>
      <c r="G21" s="233"/>
      <c r="H21" s="233"/>
      <c r="I21" s="231" t="s">
        <v>653</v>
      </c>
      <c r="J21" s="231" t="s">
        <v>654</v>
      </c>
      <c r="K21" s="234"/>
      <c r="L21" s="231" t="s">
        <v>108</v>
      </c>
      <c r="M21" s="231" t="s">
        <v>53</v>
      </c>
      <c r="N21" s="230" t="s">
        <v>66</v>
      </c>
      <c r="O21" s="233"/>
      <c r="P21" s="232" t="s">
        <v>655</v>
      </c>
      <c r="Q21" s="231" t="s">
        <v>34</v>
      </c>
      <c r="R21" s="230">
        <v>46297</v>
      </c>
      <c r="S21" s="231" t="s">
        <v>66</v>
      </c>
      <c r="T21" s="234"/>
      <c r="U21" s="234"/>
    </row>
    <row r="22" spans="1:21" ht="12.75">
      <c r="A22" s="230">
        <v>46297</v>
      </c>
      <c r="B22" s="231" t="s">
        <v>59</v>
      </c>
      <c r="C22" s="231" t="s">
        <v>656</v>
      </c>
      <c r="D22" s="231" t="s">
        <v>657</v>
      </c>
      <c r="E22" s="232" t="s">
        <v>658</v>
      </c>
      <c r="F22" s="231" t="s">
        <v>88</v>
      </c>
      <c r="G22" s="233"/>
      <c r="H22" s="233"/>
      <c r="I22" s="231" t="s">
        <v>659</v>
      </c>
      <c r="J22" s="231" t="s">
        <v>660</v>
      </c>
      <c r="K22" s="234"/>
      <c r="L22" s="231" t="s">
        <v>52</v>
      </c>
      <c r="M22" s="231" t="s">
        <v>53</v>
      </c>
      <c r="N22" s="230" t="s">
        <v>66</v>
      </c>
      <c r="O22" s="233"/>
      <c r="P22" s="232" t="s">
        <v>661</v>
      </c>
      <c r="Q22" s="231" t="s">
        <v>34</v>
      </c>
      <c r="R22" s="230">
        <v>46297</v>
      </c>
      <c r="S22" s="231" t="s">
        <v>66</v>
      </c>
      <c r="T22" s="234"/>
      <c r="U22" s="234"/>
    </row>
    <row r="23" spans="1:21" ht="12.75">
      <c r="A23" s="230">
        <v>46297</v>
      </c>
      <c r="B23" s="231" t="s">
        <v>59</v>
      </c>
      <c r="C23" s="231" t="s">
        <v>656</v>
      </c>
      <c r="D23" s="231" t="s">
        <v>662</v>
      </c>
      <c r="E23" s="232" t="s">
        <v>663</v>
      </c>
      <c r="F23" s="231" t="s">
        <v>88</v>
      </c>
      <c r="G23" s="233"/>
      <c r="H23" s="233"/>
      <c r="I23" s="234"/>
      <c r="J23" s="234"/>
      <c r="K23" s="234"/>
      <c r="L23" s="231" t="s">
        <v>52</v>
      </c>
      <c r="M23" s="231" t="s">
        <v>53</v>
      </c>
      <c r="N23" s="230" t="s">
        <v>66</v>
      </c>
      <c r="O23" s="233"/>
      <c r="P23" s="232" t="s">
        <v>664</v>
      </c>
      <c r="Q23" s="231" t="s">
        <v>34</v>
      </c>
      <c r="R23" s="230">
        <v>46297</v>
      </c>
      <c r="S23" s="231" t="s">
        <v>66</v>
      </c>
      <c r="T23" s="234"/>
      <c r="U23" s="234"/>
    </row>
    <row r="24" spans="1:21" ht="12.75">
      <c r="A24" s="230">
        <v>46297</v>
      </c>
      <c r="B24" s="231" t="s">
        <v>59</v>
      </c>
      <c r="C24" s="231" t="s">
        <v>656</v>
      </c>
      <c r="D24" s="231" t="s">
        <v>665</v>
      </c>
      <c r="E24" s="232" t="s">
        <v>666</v>
      </c>
      <c r="F24" s="231" t="s">
        <v>88</v>
      </c>
      <c r="G24" s="233"/>
      <c r="H24" s="233"/>
      <c r="I24" s="231" t="s">
        <v>667</v>
      </c>
      <c r="J24" s="231" t="s">
        <v>668</v>
      </c>
      <c r="K24" s="234"/>
      <c r="L24" s="231" t="s">
        <v>52</v>
      </c>
      <c r="M24" s="231" t="s">
        <v>53</v>
      </c>
      <c r="N24" s="230" t="s">
        <v>66</v>
      </c>
      <c r="O24" s="233"/>
      <c r="P24" s="232" t="s">
        <v>669</v>
      </c>
      <c r="Q24" s="231" t="s">
        <v>34</v>
      </c>
      <c r="R24" s="230">
        <v>46297</v>
      </c>
      <c r="S24" s="231" t="s">
        <v>66</v>
      </c>
      <c r="T24" s="234"/>
      <c r="U24" s="234"/>
    </row>
    <row r="25" spans="1:21" ht="12.75">
      <c r="A25" s="230">
        <v>46297</v>
      </c>
      <c r="B25" s="234"/>
      <c r="C25" s="231" t="s">
        <v>319</v>
      </c>
      <c r="D25" s="231" t="s">
        <v>670</v>
      </c>
      <c r="E25" s="232" t="s">
        <v>671</v>
      </c>
      <c r="F25" s="231" t="s">
        <v>88</v>
      </c>
      <c r="G25" s="233"/>
      <c r="H25" s="233"/>
      <c r="I25" s="234"/>
      <c r="J25" s="234"/>
      <c r="K25" s="234"/>
      <c r="L25" s="231" t="s">
        <v>52</v>
      </c>
      <c r="M25" s="231" t="s">
        <v>53</v>
      </c>
      <c r="N25" s="231" t="s">
        <v>322</v>
      </c>
      <c r="O25" s="233"/>
      <c r="P25" s="232" t="s">
        <v>672</v>
      </c>
      <c r="Q25" s="231" t="s">
        <v>34</v>
      </c>
      <c r="R25" s="230">
        <v>46297</v>
      </c>
      <c r="S25" s="231" t="s">
        <v>322</v>
      </c>
      <c r="T25" s="234"/>
      <c r="U25" s="234"/>
    </row>
    <row r="26" spans="1:21" ht="12.75">
      <c r="A26" s="230">
        <v>46297</v>
      </c>
      <c r="B26" s="231" t="s">
        <v>673</v>
      </c>
      <c r="C26" s="231" t="s">
        <v>674</v>
      </c>
      <c r="D26" s="231" t="s">
        <v>675</v>
      </c>
      <c r="E26" s="232" t="s">
        <v>676</v>
      </c>
      <c r="F26" s="231" t="s">
        <v>88</v>
      </c>
      <c r="G26" s="233"/>
      <c r="H26" s="233"/>
      <c r="I26" s="234"/>
      <c r="J26" s="234"/>
      <c r="K26" s="234"/>
      <c r="L26" s="231" t="s">
        <v>85</v>
      </c>
      <c r="M26" s="231" t="s">
        <v>87</v>
      </c>
      <c r="N26" s="231" t="s">
        <v>677</v>
      </c>
      <c r="O26" s="233"/>
      <c r="P26" s="232" t="s">
        <v>678</v>
      </c>
      <c r="Q26" s="231" t="s">
        <v>34</v>
      </c>
      <c r="R26" s="230">
        <v>46297</v>
      </c>
      <c r="S26" s="231" t="s">
        <v>677</v>
      </c>
      <c r="T26" s="234"/>
      <c r="U26" s="234"/>
    </row>
    <row r="27" spans="1:21" ht="12.75">
      <c r="A27" s="230">
        <v>46297</v>
      </c>
      <c r="B27" s="231" t="s">
        <v>673</v>
      </c>
      <c r="C27" s="231" t="s">
        <v>674</v>
      </c>
      <c r="D27" s="231" t="s">
        <v>679</v>
      </c>
      <c r="E27" s="232" t="s">
        <v>680</v>
      </c>
      <c r="F27" s="231" t="s">
        <v>88</v>
      </c>
      <c r="G27" s="239">
        <v>46194</v>
      </c>
      <c r="H27" s="233"/>
      <c r="I27" s="234"/>
      <c r="J27" s="234"/>
      <c r="K27" s="234"/>
      <c r="L27" s="231" t="s">
        <v>85</v>
      </c>
      <c r="M27" s="231" t="s">
        <v>87</v>
      </c>
      <c r="N27" s="231" t="s">
        <v>677</v>
      </c>
      <c r="O27" s="233"/>
      <c r="P27" s="232" t="s">
        <v>681</v>
      </c>
      <c r="Q27" s="231" t="s">
        <v>34</v>
      </c>
      <c r="R27" s="230">
        <v>46297</v>
      </c>
      <c r="S27" s="231" t="s">
        <v>677</v>
      </c>
      <c r="T27" s="234"/>
      <c r="U27" s="234"/>
    </row>
    <row r="28" spans="1:21" ht="12.75">
      <c r="A28" s="230">
        <v>46297</v>
      </c>
      <c r="B28" s="231" t="s">
        <v>673</v>
      </c>
      <c r="C28" s="231" t="s">
        <v>674</v>
      </c>
      <c r="D28" s="231" t="s">
        <v>682</v>
      </c>
      <c r="E28" s="232" t="s">
        <v>683</v>
      </c>
      <c r="F28" s="231" t="s">
        <v>88</v>
      </c>
      <c r="G28" s="239">
        <v>46194</v>
      </c>
      <c r="H28" s="233"/>
      <c r="I28" s="234"/>
      <c r="J28" s="234"/>
      <c r="K28" s="234"/>
      <c r="L28" s="231" t="s">
        <v>85</v>
      </c>
      <c r="M28" s="231" t="s">
        <v>87</v>
      </c>
      <c r="N28" s="231" t="s">
        <v>677</v>
      </c>
      <c r="O28" s="233"/>
      <c r="P28" s="232" t="s">
        <v>684</v>
      </c>
      <c r="Q28" s="231" t="s">
        <v>34</v>
      </c>
      <c r="R28" s="230">
        <v>46297</v>
      </c>
      <c r="S28" s="231" t="s">
        <v>677</v>
      </c>
      <c r="T28" s="234"/>
      <c r="U28" s="234"/>
    </row>
    <row r="29" spans="1:21" ht="12.75">
      <c r="A29" s="230">
        <v>46297</v>
      </c>
      <c r="B29" s="234"/>
      <c r="C29" s="231" t="s">
        <v>685</v>
      </c>
      <c r="D29" s="231" t="s">
        <v>686</v>
      </c>
      <c r="E29" s="232" t="s">
        <v>687</v>
      </c>
      <c r="F29" s="231" t="s">
        <v>88</v>
      </c>
      <c r="G29" s="233"/>
      <c r="H29" s="233"/>
      <c r="I29" s="234"/>
      <c r="J29" s="234"/>
      <c r="K29" s="234"/>
      <c r="L29" s="231" t="s">
        <v>85</v>
      </c>
      <c r="M29" s="231" t="s">
        <v>87</v>
      </c>
      <c r="N29" s="230" t="s">
        <v>111</v>
      </c>
      <c r="O29" s="233"/>
      <c r="P29" s="232" t="s">
        <v>688</v>
      </c>
      <c r="Q29" s="231" t="s">
        <v>34</v>
      </c>
      <c r="R29" s="230">
        <v>46297</v>
      </c>
      <c r="S29" s="231" t="e">
        <f t="shared" ref="S29:S31" ca="1" si="0">_xludf.IFNA(IFS(COUNTIFS('[1]List AC'!$A:$A,$C29)&gt;0,'[1]List AC'!$A$2,COUNTIFS('[1]List AC'!$B:$B,$C29)&gt;0,'[1]List AC'!$B$2,COUNTIFS('[1]List AC'!$C:$C,$C29)&gt;0,'[1]List AC'!$C$2,COUNTIFS('[1]List AC'!$D:$D,$C29)&gt;0,'[1]List AC'!$D$2,COUNTIFS('[1]List AC'!$E:$E,$C29)&gt;0,'[1]List AC'!$E$2,COUNTIFS('[1]List AC'!$F:$F,$C29)&gt;0,'[1]List AC'!$F$2,COUNTIFS('[1]List AC'!$G:$G,$C29)&gt;0,'[1]List AC'!$G$2,COUNTIFS('[1]List AC'!$H:$H,$C29)&gt;0,'[1]List AC'!$H$2,COUNTIFS('[1]List AC'!$I:$I,$C29)&gt;0,'[1]List AC'!$I$2,COUNTIFS('[1]List AC'!$J:$J,$C29)&gt;0,'[1]List AC'!$J$2,COUNTIFS('[1]List AC'!$K:$K,$C29)&gt;0,'[1]List AC'!$K$2,COUNTIFS('[1]List AC'!$L:$L,$C29)&gt;0,'[1]List AC'!$L$2,COUNTIFS('[1]List AC'!$Q:$Q,$C29)&gt;0,'[1]List AC'!$Q$2,COUNTIFS('[1]List AC'!$M:$M,$C29)&gt;0,'[1]List AC'!$M$2,COUNTIFS('[1]List AC'!$N:$N,$C29)&gt;0,'[1]List AC'!$N$2,COUNTIFS('[1]List AC'!$O:$O,$C29)&gt;0,'[1]List AC'!$O$2,COUNTIFS('[1]List AC'!$P:$P,$C29)&gt;0,'[1]List AC'!$P$2,COUNTIFS('[1]List AC'!$R:$R,$C29)&gt;0,'[1]List AC'!$R$2,COUNTIFS('[1]List AC'!$S:$S,$C29)&gt;0,'[1]List AC'!$S$2,COUNTIFS('[1]List AC'!$T:$T,$C29)&gt;0,'[1]List AC'!$T$2,COUNTIFS('[1]List AC'!$U:$U,$C29)&gt;0,'[1]List AC'!$U$2,COUNTIFS('[1]List AC'!$V:$V,$C29)&gt;0,'[1]List AC'!$V$2,COUNTIFS('[1]List AC'!$W:$W,$C29)&gt;0,'[1]List AC'!$W$2,COUNTIFS('[1]List AC'!$X:$X,$C29)&gt;0,'[1]List AC'!$X$2,COUNTIFS('[1]List AC'!$Y:$Y,$C29)&gt;0,'[1]List AC'!$Y$2,COUNTIFS('[1]List AC'!$Z:$Z,$C29)&gt;0,'[1]List AC'!$Z$2,COUNTIFS('[1]List AC'!$AA:$AA,$C29)&gt;0,'[1]List AC'!$AA$2,COUNTIFS('[1]List AC'!$AB:$AB,$C29)&gt;0,'[1]List AC'!$AB$2,COUNTIFS('[1]List AC'!$AC:$AC,$C29)&gt;0,'[1]List AC'!$AC$2,COUNTIFS('[1]List AC'!$AD:$AD,$C29)&gt;0,'[1]List AC'!$AD$2,COUNTIFS('[1]List AC'!$AE:$AE,$C29)&gt;0,'[1]List AC'!$AE$2,COUNTIFS('[1]List AC'!$AF:$AF,$C29)&gt;0,'[1]List AC'!$AF$2,COUNTIFS('[1]List AC'!$AG:$AG,$C29)&gt;0,'[1]List AC'!$AG$2,COUNTIFS('[1]List AC'!$AH:$AH,$C29)&gt;0,'[1]List AC'!$AH$2,COUNTIFS('[1]List AC'!$AI:$AI,$C29)&gt;0,'[1]List AC'!$AI$2,COUNTIFS('[1]List AC'!$AJ:$AJ,$C29)&gt;0,'[1]List AC'!$AJ$2,COUNTIFS('[1]List AC'!$AK:$AK,$C29)&gt;0,'[1]List AC'!$AK$2,COUNTIFS('[1]List AC'!$AL:$AL,$C29)&gt;0,'[1]List AC'!$AL$2,COUNTIFS('[1]List AC'!$AM:$AM,$C29)&gt;0,'[1]List AC'!$AM$2,COUNTIFS('[1]List AC'!$AN:$AN,$C29)&gt;0,'[1]List AC'!$AN$2,COUNTIFS('[1]List AC'!$AO:$AO,$C29)&gt;0,'[1]List AC'!$AO$2,COUNTIFS('[1]List AC'!$AP:$AP,$C29)&gt;0,'[1]List AC'!$AP$2,COUNTIFS('[1]List AC'!$AQ:$AQ,$C29)&gt;0,'[1]List AC'!$AQ$2,COUNTIFS('[1]List AC'!$AR:$AR,$C29)&gt;0,'[1]List AC'!$AR$2,COUNTIFS('[1]List AC'!$AS:$AS,$C29)&gt;0,'[1]List AC'!$AS$2,COUNTIFS('[1]List AC'!$AT:$AT,$C29)&gt;0,'[1]List AC'!$AT$2,COUNTIFS('[1]List AC'!$AU:$AU,$C29)&gt;0,'[1]List AC'!$AU$2,COUNTIFS('[1]List AC'!$AV:$AV,$C29)&gt;0,'[1]List AC'!$AV$2,COUNTIFS('[1]List AC'!$AW:$AW,$C29)&gt;0,'[1]List AC'!$AW$2,COUNTIFS('[1]List AC'!$AX:$AX,$C29)&gt;0,'[1]List AC'!$AX$2,COUNTIFS('[1]List AC'!$AY:$AY,$C29)&gt;0,'[1]List AC'!$AY$2,COUNTIFS('[1]List AC'!$AZ:$AZ,$C29)&gt;0,'[1]List AC'!$AZ$2,COUNTIFS('[1]List AC'!$BA:$BA,$C29)&gt;0,'[1]List AC'!$BA$2,COUNTIFS('[1]List AC'!$BB:$BB,$C29)&gt;0,'[1]List AC'!$BB$2,COUNTIFS('[1]List AC'!$BC:$BC,$C29)&gt;0,'[1]List AC'!$BC$2,COUNTIFS('[1]List AC'!$BD:$BD,$C29)&gt;0,'[1]List AC'!$BD$2),"")</f>
        <v>#NAME?</v>
      </c>
      <c r="T29" s="234"/>
      <c r="U29" s="234"/>
    </row>
    <row r="30" spans="1:21" ht="12.75">
      <c r="A30" s="230">
        <v>46297</v>
      </c>
      <c r="B30" s="234"/>
      <c r="C30" s="231" t="s">
        <v>488</v>
      </c>
      <c r="D30" s="231" t="s">
        <v>750</v>
      </c>
      <c r="E30" s="232" t="s">
        <v>751</v>
      </c>
      <c r="F30" s="231" t="s">
        <v>88</v>
      </c>
      <c r="G30" s="233"/>
      <c r="H30" s="233"/>
      <c r="I30" s="234"/>
      <c r="J30" s="234"/>
      <c r="K30" s="234"/>
      <c r="L30" s="231" t="s">
        <v>86</v>
      </c>
      <c r="M30" s="231" t="s">
        <v>404</v>
      </c>
      <c r="N30" s="231" t="s">
        <v>111</v>
      </c>
      <c r="O30" s="233"/>
      <c r="P30" s="232" t="s">
        <v>752</v>
      </c>
      <c r="Q30" s="231" t="s">
        <v>34</v>
      </c>
      <c r="R30" s="230">
        <v>46297</v>
      </c>
      <c r="S30" s="231" t="e">
        <f t="shared" ca="1" si="0"/>
        <v>#NAME?</v>
      </c>
      <c r="T30" s="234"/>
      <c r="U30" s="234"/>
    </row>
    <row r="31" spans="1:21" ht="12.75">
      <c r="A31" s="230">
        <v>46297</v>
      </c>
      <c r="B31" s="231" t="s">
        <v>69</v>
      </c>
      <c r="C31" s="231" t="s">
        <v>759</v>
      </c>
      <c r="D31" s="231" t="s">
        <v>761</v>
      </c>
      <c r="E31" s="232" t="s">
        <v>763</v>
      </c>
      <c r="F31" s="231" t="s">
        <v>88</v>
      </c>
      <c r="G31" s="233"/>
      <c r="H31" s="233"/>
      <c r="I31" s="234"/>
      <c r="J31" s="234"/>
      <c r="K31" s="234"/>
      <c r="L31" s="231" t="s">
        <v>86</v>
      </c>
      <c r="M31" s="231" t="s">
        <v>90</v>
      </c>
      <c r="N31" s="231" t="s">
        <v>111</v>
      </c>
      <c r="O31" s="233"/>
      <c r="P31" s="232" t="s">
        <v>765</v>
      </c>
      <c r="Q31" s="231" t="s">
        <v>34</v>
      </c>
      <c r="R31" s="230">
        <v>46297</v>
      </c>
      <c r="S31" s="231" t="e">
        <f t="shared" ca="1" si="0"/>
        <v>#NAME?</v>
      </c>
      <c r="T31" s="234"/>
      <c r="U31" s="234"/>
    </row>
    <row r="32" spans="1:21" ht="12.75">
      <c r="A32" s="230">
        <v>46297</v>
      </c>
      <c r="B32" s="234"/>
      <c r="C32" s="231" t="s">
        <v>776</v>
      </c>
      <c r="D32" s="231" t="s">
        <v>777</v>
      </c>
      <c r="E32" s="232" t="s">
        <v>778</v>
      </c>
      <c r="F32" s="231" t="s">
        <v>88</v>
      </c>
      <c r="G32" s="233"/>
      <c r="H32" s="233"/>
      <c r="I32" s="234"/>
      <c r="J32" s="234"/>
      <c r="K32" s="234"/>
      <c r="L32" s="231" t="s">
        <v>108</v>
      </c>
      <c r="M32" s="231" t="s">
        <v>53</v>
      </c>
      <c r="N32" s="231" t="s">
        <v>94</v>
      </c>
      <c r="O32" s="233"/>
      <c r="P32" s="232" t="s">
        <v>779</v>
      </c>
      <c r="Q32" s="231" t="s">
        <v>34</v>
      </c>
      <c r="R32" s="230">
        <v>46297</v>
      </c>
      <c r="S32" s="231" t="s">
        <v>94</v>
      </c>
      <c r="T32" s="234"/>
      <c r="U32" s="234"/>
    </row>
    <row r="33" spans="1:21" ht="12.75">
      <c r="A33" s="230">
        <v>46297</v>
      </c>
      <c r="B33" s="234"/>
      <c r="C33" s="231" t="s">
        <v>780</v>
      </c>
      <c r="D33" s="231" t="s">
        <v>782</v>
      </c>
      <c r="E33" s="232" t="s">
        <v>784</v>
      </c>
      <c r="F33" s="231" t="s">
        <v>88</v>
      </c>
      <c r="G33" s="233"/>
      <c r="H33" s="233"/>
      <c r="I33" s="234"/>
      <c r="J33" s="234"/>
      <c r="K33" s="234"/>
      <c r="L33" s="231" t="s">
        <v>85</v>
      </c>
      <c r="M33" s="231" t="s">
        <v>87</v>
      </c>
      <c r="N33" s="231" t="s">
        <v>214</v>
      </c>
      <c r="O33" s="233"/>
      <c r="P33" s="232" t="s">
        <v>785</v>
      </c>
      <c r="Q33" s="231" t="s">
        <v>34</v>
      </c>
      <c r="R33" s="230">
        <v>46297</v>
      </c>
      <c r="S33" s="231" t="s">
        <v>214</v>
      </c>
      <c r="T33" s="234"/>
      <c r="U33" s="234"/>
    </row>
    <row r="34" spans="1:21" ht="12.75">
      <c r="A34" s="230">
        <v>46297</v>
      </c>
      <c r="B34" s="234"/>
      <c r="C34" s="231" t="s">
        <v>780</v>
      </c>
      <c r="D34" s="231" t="s">
        <v>786</v>
      </c>
      <c r="E34" s="232" t="s">
        <v>787</v>
      </c>
      <c r="F34" s="231" t="s">
        <v>88</v>
      </c>
      <c r="G34" s="233"/>
      <c r="H34" s="233"/>
      <c r="I34" s="234"/>
      <c r="J34" s="234"/>
      <c r="K34" s="234"/>
      <c r="L34" s="231" t="s">
        <v>85</v>
      </c>
      <c r="M34" s="231" t="s">
        <v>87</v>
      </c>
      <c r="N34" s="231" t="s">
        <v>214</v>
      </c>
      <c r="O34" s="233"/>
      <c r="P34" s="232" t="s">
        <v>788</v>
      </c>
      <c r="Q34" s="231" t="s">
        <v>34</v>
      </c>
      <c r="R34" s="230">
        <v>46297</v>
      </c>
      <c r="S34" s="231" t="s">
        <v>214</v>
      </c>
      <c r="T34" s="234"/>
      <c r="U34" s="234"/>
    </row>
    <row r="35" spans="1:21" ht="12.75">
      <c r="A35" s="230">
        <v>46297</v>
      </c>
      <c r="B35" s="234"/>
      <c r="C35" s="231" t="s">
        <v>789</v>
      </c>
      <c r="D35" s="231" t="s">
        <v>791</v>
      </c>
      <c r="E35" s="232" t="s">
        <v>793</v>
      </c>
      <c r="F35" s="231" t="s">
        <v>88</v>
      </c>
      <c r="G35" s="233"/>
      <c r="H35" s="233"/>
      <c r="I35" s="234"/>
      <c r="J35" s="234"/>
      <c r="K35" s="234"/>
      <c r="L35" s="231" t="s">
        <v>86</v>
      </c>
      <c r="M35" s="231" t="s">
        <v>90</v>
      </c>
      <c r="N35" s="231" t="s">
        <v>111</v>
      </c>
      <c r="O35" s="233"/>
      <c r="P35" s="232" t="s">
        <v>794</v>
      </c>
      <c r="Q35" s="231" t="s">
        <v>34</v>
      </c>
      <c r="R35" s="230">
        <v>46297</v>
      </c>
      <c r="S35" s="231" t="e">
        <f ca="1">_xludf.IFNA(IFS(COUNTIFS('[1]List AC'!$A:$A,$C35)&gt;0,'[1]List AC'!$A$2,COUNTIFS('[1]List AC'!$B:$B,$C35)&gt;0,'[1]List AC'!$B$2,COUNTIFS('[1]List AC'!$C:$C,$C35)&gt;0,'[1]List AC'!$C$2,COUNTIFS('[1]List AC'!$D:$D,$C35)&gt;0,'[1]List AC'!$D$2,COUNTIFS('[1]List AC'!$E:$E,$C35)&gt;0,'[1]List AC'!$E$2,COUNTIFS('[1]List AC'!$F:$F,$C35)&gt;0,'[1]List AC'!$F$2,COUNTIFS('[1]List AC'!$G:$G,$C35)&gt;0,'[1]List AC'!$G$2,COUNTIFS('[1]List AC'!$H:$H,$C35)&gt;0,'[1]List AC'!$H$2,COUNTIFS('[1]List AC'!$I:$I,$C35)&gt;0,'[1]List AC'!$I$2,COUNTIFS('[1]List AC'!$J:$J,$C35)&gt;0,'[1]List AC'!$J$2,COUNTIFS('[1]List AC'!$K:$K,$C35)&gt;0,'[1]List AC'!$K$2,COUNTIFS('[1]List AC'!$L:$L,$C35)&gt;0,'[1]List AC'!$L$2,COUNTIFS('[1]List AC'!$Q:$Q,$C35)&gt;0,'[1]List AC'!$Q$2,COUNTIFS('[1]List AC'!$M:$M,$C35)&gt;0,'[1]List AC'!$M$2,COUNTIFS('[1]List AC'!$N:$N,$C35)&gt;0,'[1]List AC'!$N$2,COUNTIFS('[1]List AC'!$O:$O,$C35)&gt;0,'[1]List AC'!$O$2,COUNTIFS('[1]List AC'!$P:$P,$C35)&gt;0,'[1]List AC'!$P$2,COUNTIFS('[1]List AC'!$R:$R,$C35)&gt;0,'[1]List AC'!$R$2,COUNTIFS('[1]List AC'!$S:$S,$C35)&gt;0,'[1]List AC'!$S$2,COUNTIFS('[1]List AC'!$T:$T,$C35)&gt;0,'[1]List AC'!$T$2,COUNTIFS('[1]List AC'!$U:$U,$C35)&gt;0,'[1]List AC'!$U$2,COUNTIFS('[1]List AC'!$V:$V,$C35)&gt;0,'[1]List AC'!$V$2,COUNTIFS('[1]List AC'!$W:$W,$C35)&gt;0,'[1]List AC'!$W$2,COUNTIFS('[1]List AC'!$X:$X,$C35)&gt;0,'[1]List AC'!$X$2,COUNTIFS('[1]List AC'!$Y:$Y,$C35)&gt;0,'[1]List AC'!$Y$2,COUNTIFS('[1]List AC'!$Z:$Z,$C35)&gt;0,'[1]List AC'!$Z$2,COUNTIFS('[1]List AC'!$AA:$AA,$C35)&gt;0,'[1]List AC'!$AA$2,COUNTIFS('[1]List AC'!$AB:$AB,$C35)&gt;0,'[1]List AC'!$AB$2,COUNTIFS('[1]List AC'!$AC:$AC,$C35)&gt;0,'[1]List AC'!$AC$2,COUNTIFS('[1]List AC'!$AD:$AD,$C35)&gt;0,'[1]List AC'!$AD$2,COUNTIFS('[1]List AC'!$AE:$AE,$C35)&gt;0,'[1]List AC'!$AE$2,COUNTIFS('[1]List AC'!$AF:$AF,$C35)&gt;0,'[1]List AC'!$AF$2,COUNTIFS('[1]List AC'!$AG:$AG,$C35)&gt;0,'[1]List AC'!$AG$2,COUNTIFS('[1]List AC'!$AH:$AH,$C35)&gt;0,'[1]List AC'!$AH$2,COUNTIFS('[1]List AC'!$AI:$AI,$C35)&gt;0,'[1]List AC'!$AI$2,COUNTIFS('[1]List AC'!$AJ:$AJ,$C35)&gt;0,'[1]List AC'!$AJ$2,COUNTIFS('[1]List AC'!$AK:$AK,$C35)&gt;0,'[1]List AC'!$AK$2,COUNTIFS('[1]List AC'!$AL:$AL,$C35)&gt;0,'[1]List AC'!$AL$2,COUNTIFS('[1]List AC'!$AM:$AM,$C35)&gt;0,'[1]List AC'!$AM$2,COUNTIFS('[1]List AC'!$AN:$AN,$C35)&gt;0,'[1]List AC'!$AN$2,COUNTIFS('[1]List AC'!$AO:$AO,$C35)&gt;0,'[1]List AC'!$AO$2,COUNTIFS('[1]List AC'!$AP:$AP,$C35)&gt;0,'[1]List AC'!$AP$2,COUNTIFS('[1]List AC'!$AQ:$AQ,$C35)&gt;0,'[1]List AC'!$AQ$2,COUNTIFS('[1]List AC'!$AR:$AR,$C35)&gt;0,'[1]List AC'!$AR$2,COUNTIFS('[1]List AC'!$AS:$AS,$C35)&gt;0,'[1]List AC'!$AS$2,COUNTIFS('[1]List AC'!$AT:$AT,$C35)&gt;0,'[1]List AC'!$AT$2,COUNTIFS('[1]List AC'!$AU:$AU,$C35)&gt;0,'[1]List AC'!$AU$2,COUNTIFS('[1]List AC'!$AV:$AV,$C35)&gt;0,'[1]List AC'!$AV$2,COUNTIFS('[1]List AC'!$AW:$AW,$C35)&gt;0,'[1]List AC'!$AW$2,COUNTIFS('[1]List AC'!$AX:$AX,$C35)&gt;0,'[1]List AC'!$AX$2,COUNTIFS('[1]List AC'!$AY:$AY,$C35)&gt;0,'[1]List AC'!$AY$2,COUNTIFS('[1]List AC'!$AZ:$AZ,$C35)&gt;0,'[1]List AC'!$AZ$2,COUNTIFS('[1]List AC'!$BA:$BA,$C35)&gt;0,'[1]List AC'!$BA$2,COUNTIFS('[1]List AC'!$BB:$BB,$C35)&gt;0,'[1]List AC'!$BB$2,COUNTIFS('[1]List AC'!$BC:$BC,$C35)&gt;0,'[1]List AC'!$BC$2,COUNTIFS('[1]List AC'!$BD:$BD,$C35)&gt;0,'[1]List AC'!$BD$2),"")</f>
        <v>#NAME?</v>
      </c>
      <c r="T35" s="234"/>
      <c r="U35" s="234"/>
    </row>
    <row r="36" spans="1:21" ht="12.75">
      <c r="A36" s="230">
        <v>46297</v>
      </c>
      <c r="B36" s="234"/>
      <c r="C36" s="231" t="s">
        <v>839</v>
      </c>
      <c r="D36" s="231" t="s">
        <v>841</v>
      </c>
      <c r="E36" s="232" t="s">
        <v>843</v>
      </c>
      <c r="F36" s="231" t="s">
        <v>88</v>
      </c>
      <c r="G36" s="233"/>
      <c r="H36" s="233"/>
      <c r="I36" s="234"/>
      <c r="J36" s="234"/>
      <c r="K36" s="234"/>
      <c r="L36" s="231" t="s">
        <v>86</v>
      </c>
      <c r="M36" s="231" t="s">
        <v>90</v>
      </c>
      <c r="N36" s="231" t="s">
        <v>94</v>
      </c>
      <c r="O36" s="233"/>
      <c r="P36" s="232" t="s">
        <v>843</v>
      </c>
      <c r="Q36" s="231" t="s">
        <v>34</v>
      </c>
      <c r="R36" s="230">
        <v>46297</v>
      </c>
      <c r="S36" s="231" t="s">
        <v>94</v>
      </c>
      <c r="T36" s="234"/>
      <c r="U36" s="234"/>
    </row>
    <row r="37" spans="1:21" ht="12.75">
      <c r="A37" s="230">
        <v>46297</v>
      </c>
      <c r="B37" s="234"/>
      <c r="C37" s="231" t="s">
        <v>747</v>
      </c>
      <c r="D37" s="231" t="s">
        <v>845</v>
      </c>
      <c r="E37" s="232" t="s">
        <v>846</v>
      </c>
      <c r="F37" s="231" t="s">
        <v>88</v>
      </c>
      <c r="G37" s="233"/>
      <c r="H37" s="233"/>
      <c r="I37" s="234"/>
      <c r="J37" s="234"/>
      <c r="K37" s="234"/>
      <c r="L37" s="231" t="s">
        <v>86</v>
      </c>
      <c r="M37" s="231" t="s">
        <v>90</v>
      </c>
      <c r="N37" s="231" t="s">
        <v>94</v>
      </c>
      <c r="O37" s="233"/>
      <c r="P37" s="232" t="s">
        <v>846</v>
      </c>
      <c r="Q37" s="231" t="s">
        <v>34</v>
      </c>
      <c r="R37" s="230">
        <v>46297</v>
      </c>
      <c r="S37" s="231" t="s">
        <v>94</v>
      </c>
      <c r="T37" s="234"/>
      <c r="U37" s="234"/>
    </row>
    <row r="38" spans="1:21" ht="12.75">
      <c r="A38" s="230">
        <v>46297</v>
      </c>
      <c r="B38" s="234"/>
      <c r="C38" s="231" t="s">
        <v>306</v>
      </c>
      <c r="D38" s="231" t="s">
        <v>849</v>
      </c>
      <c r="E38" s="232" t="s">
        <v>850</v>
      </c>
      <c r="F38" s="231" t="s">
        <v>88</v>
      </c>
      <c r="G38" s="233"/>
      <c r="H38" s="233"/>
      <c r="I38" s="234"/>
      <c r="J38" s="234"/>
      <c r="K38" s="234"/>
      <c r="L38" s="231" t="s">
        <v>108</v>
      </c>
      <c r="M38" s="231" t="s">
        <v>53</v>
      </c>
      <c r="N38" s="231" t="s">
        <v>94</v>
      </c>
      <c r="O38" s="233"/>
      <c r="P38" s="232" t="s">
        <v>850</v>
      </c>
      <c r="Q38" s="231" t="s">
        <v>34</v>
      </c>
      <c r="R38" s="230">
        <v>46297</v>
      </c>
      <c r="S38" s="231" t="s">
        <v>94</v>
      </c>
      <c r="T38" s="234"/>
      <c r="U38" s="234"/>
    </row>
    <row r="39" spans="1:21" ht="12.75">
      <c r="A39" s="230">
        <v>46297</v>
      </c>
      <c r="B39" s="234"/>
      <c r="C39" s="231" t="s">
        <v>279</v>
      </c>
      <c r="D39" s="231" t="s">
        <v>851</v>
      </c>
      <c r="E39" s="232" t="s">
        <v>852</v>
      </c>
      <c r="F39" s="231" t="s">
        <v>88</v>
      </c>
      <c r="G39" s="233"/>
      <c r="H39" s="233"/>
      <c r="I39" s="234"/>
      <c r="J39" s="234"/>
      <c r="K39" s="234"/>
      <c r="L39" s="231" t="s">
        <v>52</v>
      </c>
      <c r="M39" s="231" t="s">
        <v>631</v>
      </c>
      <c r="N39" s="233"/>
      <c r="O39" s="233"/>
      <c r="P39" s="232" t="s">
        <v>853</v>
      </c>
      <c r="Q39" s="231" t="s">
        <v>34</v>
      </c>
      <c r="R39" s="230">
        <v>46297</v>
      </c>
      <c r="S39" s="231" t="s">
        <v>55</v>
      </c>
      <c r="T39" s="234"/>
      <c r="U39" s="234"/>
    </row>
    <row r="40" spans="1:21" ht="12.75">
      <c r="A40" s="230">
        <v>46297</v>
      </c>
      <c r="B40" s="234"/>
      <c r="C40" s="231" t="s">
        <v>223</v>
      </c>
      <c r="D40" s="231" t="s">
        <v>856</v>
      </c>
      <c r="E40" s="232" t="s">
        <v>857</v>
      </c>
      <c r="F40" s="231" t="s">
        <v>88</v>
      </c>
      <c r="G40" s="233"/>
      <c r="H40" s="233"/>
      <c r="I40" s="234"/>
      <c r="J40" s="234"/>
      <c r="K40" s="234"/>
      <c r="L40" s="231" t="s">
        <v>52</v>
      </c>
      <c r="M40" s="231" t="s">
        <v>53</v>
      </c>
      <c r="N40" s="233"/>
      <c r="O40" s="233"/>
      <c r="P40" s="232" t="s">
        <v>858</v>
      </c>
      <c r="Q40" s="231" t="s">
        <v>34</v>
      </c>
      <c r="R40" s="230">
        <v>46297</v>
      </c>
      <c r="S40" s="231" t="s">
        <v>55</v>
      </c>
      <c r="T40" s="234"/>
      <c r="U40" s="234"/>
    </row>
    <row r="41" spans="1:21" ht="12.75">
      <c r="A41" s="230">
        <v>46297</v>
      </c>
      <c r="B41" s="234"/>
      <c r="C41" s="231" t="s">
        <v>859</v>
      </c>
      <c r="D41" s="231" t="s">
        <v>860</v>
      </c>
      <c r="E41" s="232" t="s">
        <v>861</v>
      </c>
      <c r="F41" s="231" t="s">
        <v>88</v>
      </c>
      <c r="G41" s="233"/>
      <c r="H41" s="233"/>
      <c r="I41" s="234"/>
      <c r="J41" s="234"/>
      <c r="K41" s="234"/>
      <c r="L41" s="231" t="s">
        <v>52</v>
      </c>
      <c r="M41" s="231" t="s">
        <v>631</v>
      </c>
      <c r="N41" s="233"/>
      <c r="O41" s="233"/>
      <c r="P41" s="232" t="s">
        <v>863</v>
      </c>
      <c r="Q41" s="231" t="s">
        <v>34</v>
      </c>
      <c r="R41" s="230">
        <v>46297</v>
      </c>
      <c r="S41" s="231" t="s">
        <v>55</v>
      </c>
      <c r="T41" s="234"/>
      <c r="U41" s="234"/>
    </row>
    <row r="42" spans="1:21" ht="12.75">
      <c r="A42" s="230">
        <v>46297</v>
      </c>
      <c r="B42" s="234"/>
      <c r="C42" s="231" t="s">
        <v>359</v>
      </c>
      <c r="D42" s="231" t="s">
        <v>865</v>
      </c>
      <c r="E42" s="232" t="s">
        <v>866</v>
      </c>
      <c r="F42" s="231" t="s">
        <v>88</v>
      </c>
      <c r="G42" s="233"/>
      <c r="H42" s="233"/>
      <c r="I42" s="234"/>
      <c r="J42" s="234"/>
      <c r="K42" s="234"/>
      <c r="L42" s="231" t="s">
        <v>86</v>
      </c>
      <c r="M42" s="231" t="s">
        <v>90</v>
      </c>
      <c r="N42" s="233"/>
      <c r="O42" s="233"/>
      <c r="P42" s="232" t="s">
        <v>867</v>
      </c>
      <c r="Q42" s="231" t="s">
        <v>34</v>
      </c>
      <c r="R42" s="230">
        <v>46297</v>
      </c>
      <c r="S42" s="231" t="s">
        <v>55</v>
      </c>
      <c r="T42" s="234"/>
      <c r="U42" s="234"/>
    </row>
    <row r="43" spans="1:21" ht="12.75">
      <c r="A43" s="230">
        <v>46297</v>
      </c>
      <c r="B43" s="234"/>
      <c r="C43" s="231" t="s">
        <v>359</v>
      </c>
      <c r="D43" s="231" t="s">
        <v>868</v>
      </c>
      <c r="E43" s="232" t="s">
        <v>869</v>
      </c>
      <c r="F43" s="231" t="s">
        <v>88</v>
      </c>
      <c r="G43" s="233"/>
      <c r="H43" s="233"/>
      <c r="I43" s="234"/>
      <c r="J43" s="234"/>
      <c r="K43" s="234"/>
      <c r="L43" s="231" t="s">
        <v>86</v>
      </c>
      <c r="M43" s="231" t="s">
        <v>90</v>
      </c>
      <c r="N43" s="233"/>
      <c r="O43" s="233"/>
      <c r="P43" s="232" t="s">
        <v>872</v>
      </c>
      <c r="Q43" s="231" t="s">
        <v>34</v>
      </c>
      <c r="R43" s="230">
        <v>46297</v>
      </c>
      <c r="S43" s="231" t="s">
        <v>55</v>
      </c>
      <c r="T43" s="234"/>
      <c r="U43" s="234"/>
    </row>
    <row r="44" spans="1:21" ht="12.75">
      <c r="A44" s="230">
        <v>46297</v>
      </c>
      <c r="B44" s="234"/>
      <c r="C44" s="231" t="s">
        <v>359</v>
      </c>
      <c r="D44" s="231" t="s">
        <v>873</v>
      </c>
      <c r="E44" s="232" t="s">
        <v>874</v>
      </c>
      <c r="F44" s="231" t="s">
        <v>88</v>
      </c>
      <c r="G44" s="233"/>
      <c r="H44" s="233"/>
      <c r="I44" s="234"/>
      <c r="J44" s="234"/>
      <c r="K44" s="234"/>
      <c r="L44" s="231" t="s">
        <v>86</v>
      </c>
      <c r="M44" s="231" t="s">
        <v>90</v>
      </c>
      <c r="N44" s="233"/>
      <c r="O44" s="233"/>
      <c r="P44" s="232" t="s">
        <v>875</v>
      </c>
      <c r="Q44" s="231" t="s">
        <v>34</v>
      </c>
      <c r="R44" s="230">
        <v>46297</v>
      </c>
      <c r="S44" s="231" t="s">
        <v>55</v>
      </c>
      <c r="T44" s="234"/>
      <c r="U44" s="234"/>
    </row>
    <row r="45" spans="1:21" ht="12.75">
      <c r="A45" s="230">
        <v>46297</v>
      </c>
      <c r="B45" s="234"/>
      <c r="C45" s="231" t="s">
        <v>877</v>
      </c>
      <c r="D45" s="231" t="s">
        <v>879</v>
      </c>
      <c r="E45" s="232" t="s">
        <v>880</v>
      </c>
      <c r="F45" s="231" t="s">
        <v>88</v>
      </c>
      <c r="G45" s="233"/>
      <c r="H45" s="233"/>
      <c r="I45" s="234"/>
      <c r="J45" s="234"/>
      <c r="K45" s="234"/>
      <c r="L45" s="231" t="s">
        <v>108</v>
      </c>
      <c r="M45" s="231" t="s">
        <v>53</v>
      </c>
      <c r="N45" s="233"/>
      <c r="O45" s="233"/>
      <c r="P45" s="232" t="s">
        <v>881</v>
      </c>
      <c r="Q45" s="231" t="s">
        <v>34</v>
      </c>
      <c r="R45" s="230">
        <v>46297</v>
      </c>
      <c r="S45" s="231" t="s">
        <v>55</v>
      </c>
      <c r="T45" s="234"/>
      <c r="U45" s="234"/>
    </row>
    <row r="46" spans="1:21" ht="12.75">
      <c r="A46" s="230">
        <v>46297</v>
      </c>
      <c r="B46" s="234"/>
      <c r="C46" s="231" t="s">
        <v>882</v>
      </c>
      <c r="D46" s="231" t="s">
        <v>883</v>
      </c>
      <c r="E46" s="232" t="s">
        <v>884</v>
      </c>
      <c r="F46" s="231" t="s">
        <v>88</v>
      </c>
      <c r="G46" s="233"/>
      <c r="H46" s="233"/>
      <c r="I46" s="234"/>
      <c r="J46" s="234"/>
      <c r="K46" s="234"/>
      <c r="L46" s="231" t="s">
        <v>108</v>
      </c>
      <c r="M46" s="231" t="s">
        <v>53</v>
      </c>
      <c r="N46" s="233"/>
      <c r="O46" s="233"/>
      <c r="P46" s="232" t="s">
        <v>886</v>
      </c>
      <c r="Q46" s="231" t="s">
        <v>34</v>
      </c>
      <c r="R46" s="230">
        <v>46297</v>
      </c>
      <c r="S46" s="231" t="s">
        <v>55</v>
      </c>
      <c r="T46" s="234"/>
      <c r="U46" s="234"/>
    </row>
    <row r="47" spans="1:21" ht="12.75">
      <c r="A47" s="230">
        <v>46297</v>
      </c>
      <c r="B47" s="234"/>
      <c r="C47" s="231" t="s">
        <v>410</v>
      </c>
      <c r="D47" s="231" t="s">
        <v>887</v>
      </c>
      <c r="E47" s="232" t="s">
        <v>888</v>
      </c>
      <c r="F47" s="231" t="s">
        <v>88</v>
      </c>
      <c r="G47" s="233"/>
      <c r="H47" s="233"/>
      <c r="I47" s="234"/>
      <c r="J47" s="234"/>
      <c r="K47" s="234"/>
      <c r="L47" s="231" t="s">
        <v>108</v>
      </c>
      <c r="M47" s="231" t="s">
        <v>53</v>
      </c>
      <c r="N47" s="233"/>
      <c r="O47" s="233"/>
      <c r="P47" s="232" t="s">
        <v>889</v>
      </c>
      <c r="Q47" s="231" t="s">
        <v>34</v>
      </c>
      <c r="R47" s="230">
        <v>46297</v>
      </c>
      <c r="S47" s="231" t="s">
        <v>55</v>
      </c>
      <c r="T47" s="234"/>
      <c r="U47" s="234"/>
    </row>
    <row r="48" spans="1:21" ht="12.75">
      <c r="A48" s="230">
        <v>46297</v>
      </c>
      <c r="B48" s="234"/>
      <c r="C48" s="231" t="s">
        <v>564</v>
      </c>
      <c r="D48" s="231" t="s">
        <v>890</v>
      </c>
      <c r="E48" s="232" t="s">
        <v>891</v>
      </c>
      <c r="F48" s="231" t="s">
        <v>88</v>
      </c>
      <c r="G48" s="233"/>
      <c r="H48" s="233"/>
      <c r="I48" s="234"/>
      <c r="J48" s="234"/>
      <c r="K48" s="234"/>
      <c r="L48" s="231" t="s">
        <v>108</v>
      </c>
      <c r="M48" s="231" t="s">
        <v>53</v>
      </c>
      <c r="N48" s="233"/>
      <c r="O48" s="233"/>
      <c r="P48" s="232" t="s">
        <v>894</v>
      </c>
      <c r="Q48" s="231" t="s">
        <v>34</v>
      </c>
      <c r="R48" s="230">
        <v>46297</v>
      </c>
      <c r="S48" s="231" t="s">
        <v>55</v>
      </c>
      <c r="T48" s="234"/>
      <c r="U48" s="234"/>
    </row>
    <row r="49" spans="1:21" ht="12.75">
      <c r="A49" s="230">
        <v>46297</v>
      </c>
      <c r="B49" s="234"/>
      <c r="C49" s="231" t="s">
        <v>564</v>
      </c>
      <c r="D49" s="231" t="s">
        <v>896</v>
      </c>
      <c r="E49" s="232" t="s">
        <v>897</v>
      </c>
      <c r="F49" s="231" t="s">
        <v>88</v>
      </c>
      <c r="G49" s="233"/>
      <c r="H49" s="233"/>
      <c r="I49" s="234"/>
      <c r="J49" s="234"/>
      <c r="K49" s="234"/>
      <c r="L49" s="231" t="s">
        <v>108</v>
      </c>
      <c r="M49" s="231" t="s">
        <v>53</v>
      </c>
      <c r="N49" s="233"/>
      <c r="O49" s="233"/>
      <c r="P49" s="232" t="s">
        <v>900</v>
      </c>
      <c r="Q49" s="231" t="s">
        <v>34</v>
      </c>
      <c r="R49" s="230">
        <v>46297</v>
      </c>
      <c r="S49" s="231" t="s">
        <v>55</v>
      </c>
      <c r="T49" s="234"/>
      <c r="U49" s="234"/>
    </row>
    <row r="50" spans="1:21" ht="12.75">
      <c r="A50" s="230">
        <v>46297</v>
      </c>
      <c r="B50" s="234"/>
      <c r="C50" s="231" t="s">
        <v>901</v>
      </c>
      <c r="D50" s="231" t="s">
        <v>902</v>
      </c>
      <c r="E50" s="232" t="s">
        <v>903</v>
      </c>
      <c r="F50" s="231" t="s">
        <v>88</v>
      </c>
      <c r="G50" s="233"/>
      <c r="H50" s="233"/>
      <c r="I50" s="234"/>
      <c r="J50" s="234"/>
      <c r="K50" s="234"/>
      <c r="L50" s="231" t="s">
        <v>108</v>
      </c>
      <c r="M50" s="231" t="s">
        <v>53</v>
      </c>
      <c r="N50" s="233"/>
      <c r="O50" s="233"/>
      <c r="P50" s="232" t="s">
        <v>904</v>
      </c>
      <c r="Q50" s="231" t="s">
        <v>34</v>
      </c>
      <c r="R50" s="230">
        <v>46297</v>
      </c>
      <c r="S50" s="231" t="s">
        <v>55</v>
      </c>
      <c r="T50" s="234"/>
      <c r="U50" s="234"/>
    </row>
    <row r="51" spans="1:21" ht="12.75">
      <c r="A51" s="230">
        <v>46297</v>
      </c>
      <c r="B51" s="234"/>
      <c r="C51" s="231" t="s">
        <v>901</v>
      </c>
      <c r="D51" s="231" t="s">
        <v>907</v>
      </c>
      <c r="E51" s="232" t="s">
        <v>908</v>
      </c>
      <c r="F51" s="231" t="s">
        <v>88</v>
      </c>
      <c r="G51" s="233"/>
      <c r="H51" s="233"/>
      <c r="I51" s="234"/>
      <c r="J51" s="234"/>
      <c r="K51" s="234"/>
      <c r="L51" s="231" t="s">
        <v>108</v>
      </c>
      <c r="M51" s="231" t="s">
        <v>53</v>
      </c>
      <c r="N51" s="233"/>
      <c r="O51" s="233"/>
      <c r="P51" s="232" t="s">
        <v>909</v>
      </c>
      <c r="Q51" s="231" t="s">
        <v>34</v>
      </c>
      <c r="R51" s="230">
        <v>46297</v>
      </c>
      <c r="S51" s="231" t="s">
        <v>55</v>
      </c>
      <c r="T51" s="234"/>
      <c r="U51" s="234"/>
    </row>
    <row r="52" spans="1:21" ht="12.75">
      <c r="A52" s="230">
        <v>46297</v>
      </c>
      <c r="B52" s="234"/>
      <c r="C52" s="231" t="s">
        <v>882</v>
      </c>
      <c r="D52" s="231" t="s">
        <v>910</v>
      </c>
      <c r="E52" s="232" t="s">
        <v>911</v>
      </c>
      <c r="F52" s="231" t="s">
        <v>88</v>
      </c>
      <c r="G52" s="233"/>
      <c r="H52" s="233"/>
      <c r="I52" s="234"/>
      <c r="J52" s="234"/>
      <c r="K52" s="234"/>
      <c r="L52" s="231" t="s">
        <v>108</v>
      </c>
      <c r="M52" s="231" t="s">
        <v>53</v>
      </c>
      <c r="N52" s="233"/>
      <c r="O52" s="233"/>
      <c r="P52" s="232" t="s">
        <v>912</v>
      </c>
      <c r="Q52" s="231" t="s">
        <v>34</v>
      </c>
      <c r="R52" s="230">
        <v>46297</v>
      </c>
      <c r="S52" s="231" t="s">
        <v>55</v>
      </c>
      <c r="T52" s="234"/>
      <c r="U52" s="234"/>
    </row>
    <row r="53" spans="1:21" ht="12.75">
      <c r="A53" s="230">
        <v>46297</v>
      </c>
      <c r="B53" s="234"/>
      <c r="C53" s="231" t="s">
        <v>882</v>
      </c>
      <c r="D53" s="231" t="s">
        <v>915</v>
      </c>
      <c r="E53" s="232" t="s">
        <v>916</v>
      </c>
      <c r="F53" s="231" t="s">
        <v>88</v>
      </c>
      <c r="G53" s="233"/>
      <c r="H53" s="233"/>
      <c r="I53" s="234"/>
      <c r="J53" s="234"/>
      <c r="K53" s="234"/>
      <c r="L53" s="231" t="s">
        <v>108</v>
      </c>
      <c r="M53" s="231" t="s">
        <v>53</v>
      </c>
      <c r="N53" s="233"/>
      <c r="O53" s="233"/>
      <c r="P53" s="232" t="s">
        <v>917</v>
      </c>
      <c r="Q53" s="231" t="s">
        <v>34</v>
      </c>
      <c r="R53" s="230">
        <v>46297</v>
      </c>
      <c r="S53" s="231" t="s">
        <v>55</v>
      </c>
      <c r="T53" s="234"/>
      <c r="U53" s="234"/>
    </row>
    <row r="54" spans="1:21" ht="12.75">
      <c r="A54" s="230">
        <v>46297</v>
      </c>
      <c r="B54" s="234"/>
      <c r="C54" s="231" t="s">
        <v>882</v>
      </c>
      <c r="D54" s="231" t="s">
        <v>918</v>
      </c>
      <c r="E54" s="232" t="s">
        <v>919</v>
      </c>
      <c r="F54" s="231" t="s">
        <v>88</v>
      </c>
      <c r="G54" s="233"/>
      <c r="H54" s="233"/>
      <c r="I54" s="234"/>
      <c r="J54" s="234"/>
      <c r="K54" s="234"/>
      <c r="L54" s="231" t="s">
        <v>108</v>
      </c>
      <c r="M54" s="231" t="s">
        <v>53</v>
      </c>
      <c r="N54" s="233"/>
      <c r="O54" s="233"/>
      <c r="P54" s="232" t="s">
        <v>920</v>
      </c>
      <c r="Q54" s="231" t="s">
        <v>34</v>
      </c>
      <c r="R54" s="230">
        <v>46297</v>
      </c>
      <c r="S54" s="231" t="s">
        <v>55</v>
      </c>
      <c r="T54" s="234"/>
      <c r="U54" s="234"/>
    </row>
    <row r="55" spans="1:21" ht="12.75">
      <c r="A55" s="230">
        <v>46297</v>
      </c>
      <c r="B55" s="234"/>
      <c r="C55" s="231" t="s">
        <v>882</v>
      </c>
      <c r="D55" s="231" t="s">
        <v>923</v>
      </c>
      <c r="E55" s="232" t="s">
        <v>924</v>
      </c>
      <c r="F55" s="231" t="s">
        <v>88</v>
      </c>
      <c r="G55" s="233"/>
      <c r="H55" s="233"/>
      <c r="I55" s="234"/>
      <c r="J55" s="234"/>
      <c r="K55" s="234"/>
      <c r="L55" s="231" t="s">
        <v>108</v>
      </c>
      <c r="M55" s="231" t="s">
        <v>53</v>
      </c>
      <c r="N55" s="233"/>
      <c r="O55" s="233"/>
      <c r="P55" s="232" t="s">
        <v>925</v>
      </c>
      <c r="Q55" s="231" t="s">
        <v>34</v>
      </c>
      <c r="R55" s="230">
        <v>46297</v>
      </c>
      <c r="S55" s="231" t="s">
        <v>55</v>
      </c>
      <c r="T55" s="234"/>
      <c r="U55" s="234"/>
    </row>
    <row r="56" spans="1:21" ht="12.75">
      <c r="A56" s="230">
        <v>46297</v>
      </c>
      <c r="B56" s="234"/>
      <c r="C56" s="231" t="s">
        <v>926</v>
      </c>
      <c r="D56" s="231" t="s">
        <v>927</v>
      </c>
      <c r="E56" s="232" t="s">
        <v>928</v>
      </c>
      <c r="F56" s="231" t="s">
        <v>88</v>
      </c>
      <c r="G56" s="233"/>
      <c r="H56" s="233"/>
      <c r="I56" s="234"/>
      <c r="J56" s="234"/>
      <c r="K56" s="234"/>
      <c r="L56" s="231" t="s">
        <v>108</v>
      </c>
      <c r="M56" s="231" t="s">
        <v>53</v>
      </c>
      <c r="N56" s="233"/>
      <c r="O56" s="233"/>
      <c r="P56" s="232" t="s">
        <v>929</v>
      </c>
      <c r="Q56" s="231" t="s">
        <v>34</v>
      </c>
      <c r="R56" s="230">
        <v>46297</v>
      </c>
      <c r="S56" s="231" t="s">
        <v>55</v>
      </c>
      <c r="T56" s="234"/>
      <c r="U56" s="234"/>
    </row>
    <row r="57" spans="1:21" ht="12.75">
      <c r="A57" s="230">
        <v>46298</v>
      </c>
      <c r="B57" s="234"/>
      <c r="C57" s="231" t="s">
        <v>584</v>
      </c>
      <c r="D57" s="231" t="s">
        <v>930</v>
      </c>
      <c r="E57" s="232" t="s">
        <v>931</v>
      </c>
      <c r="F57" s="231" t="s">
        <v>88</v>
      </c>
      <c r="G57" s="230">
        <v>46298</v>
      </c>
      <c r="H57" s="233"/>
      <c r="I57" s="234"/>
      <c r="J57" s="231" t="s">
        <v>932</v>
      </c>
      <c r="K57" s="234"/>
      <c r="L57" s="231" t="s">
        <v>108</v>
      </c>
      <c r="M57" s="231" t="s">
        <v>53</v>
      </c>
      <c r="N57" s="233"/>
      <c r="O57" s="233"/>
      <c r="P57" s="232"/>
      <c r="Q57" s="231" t="s">
        <v>34</v>
      </c>
      <c r="R57" s="230">
        <v>46298</v>
      </c>
      <c r="S57" s="231" t="s">
        <v>109</v>
      </c>
      <c r="T57" s="234"/>
      <c r="U57" s="234"/>
    </row>
    <row r="58" spans="1:21" ht="12.75">
      <c r="A58" s="230">
        <v>46298</v>
      </c>
      <c r="B58" s="231" t="s">
        <v>59</v>
      </c>
      <c r="C58" s="231" t="s">
        <v>656</v>
      </c>
      <c r="D58" s="231" t="s">
        <v>933</v>
      </c>
      <c r="E58" s="232" t="s">
        <v>934</v>
      </c>
      <c r="F58" s="231" t="s">
        <v>88</v>
      </c>
      <c r="G58" s="230">
        <v>46298</v>
      </c>
      <c r="H58" s="233"/>
      <c r="I58" s="234"/>
      <c r="J58" s="234"/>
      <c r="K58" s="234"/>
      <c r="L58" s="231" t="s">
        <v>108</v>
      </c>
      <c r="M58" s="231" t="s">
        <v>53</v>
      </c>
      <c r="N58" s="233"/>
      <c r="O58" s="233"/>
      <c r="P58" s="232" t="s">
        <v>936</v>
      </c>
      <c r="Q58" s="231" t="s">
        <v>34</v>
      </c>
      <c r="R58" s="230">
        <v>46298</v>
      </c>
      <c r="S58" s="231" t="s">
        <v>66</v>
      </c>
      <c r="T58" s="234"/>
      <c r="U58" s="234"/>
    </row>
    <row r="59" spans="1:21" ht="12.75">
      <c r="A59" s="230">
        <v>46298</v>
      </c>
      <c r="B59" s="231" t="s">
        <v>69</v>
      </c>
      <c r="C59" s="231" t="s">
        <v>759</v>
      </c>
      <c r="D59" s="231" t="s">
        <v>937</v>
      </c>
      <c r="E59" s="232" t="s">
        <v>938</v>
      </c>
      <c r="F59" s="231" t="s">
        <v>88</v>
      </c>
      <c r="G59" s="230">
        <v>46268</v>
      </c>
      <c r="H59" s="233"/>
      <c r="I59" s="231" t="s">
        <v>939</v>
      </c>
      <c r="J59" s="231" t="s">
        <v>940</v>
      </c>
      <c r="K59" s="231" t="s">
        <v>95</v>
      </c>
      <c r="L59" s="231" t="s">
        <v>86</v>
      </c>
      <c r="M59" s="231" t="s">
        <v>90</v>
      </c>
      <c r="N59" s="233"/>
      <c r="O59" s="230">
        <v>46298</v>
      </c>
      <c r="P59" s="232"/>
      <c r="Q59" s="231" t="s">
        <v>34</v>
      </c>
      <c r="R59" s="230">
        <v>46298</v>
      </c>
      <c r="S59" s="231" t="e">
        <f t="shared" ref="S59:S60" ca="1" si="1">_xludf.IFNA(IFS(COUNTIFS('[1]List AC'!$A:$A,$C59)&gt;0,'[1]List AC'!$A$2,COUNTIFS('[1]List AC'!$B:$B,$C59)&gt;0,'[1]List AC'!$B$2,COUNTIFS('[1]List AC'!$C:$C,$C59)&gt;0,'[1]List AC'!$C$2,COUNTIFS('[1]List AC'!$D:$D,$C59)&gt;0,'[1]List AC'!$D$2,COUNTIFS('[1]List AC'!$E:$E,$C59)&gt;0,'[1]List AC'!$E$2,COUNTIFS('[1]List AC'!$F:$F,$C59)&gt;0,'[1]List AC'!$F$2,COUNTIFS('[1]List AC'!$G:$G,$C59)&gt;0,'[1]List AC'!$G$2,COUNTIFS('[1]List AC'!$H:$H,$C59)&gt;0,'[1]List AC'!$H$2,COUNTIFS('[1]List AC'!$I:$I,$C59)&gt;0,'[1]List AC'!$I$2,COUNTIFS('[1]List AC'!$J:$J,$C59)&gt;0,'[1]List AC'!$J$2,COUNTIFS('[1]List AC'!$K:$K,$C59)&gt;0,'[1]List AC'!$K$2,COUNTIFS('[1]List AC'!$L:$L,$C59)&gt;0,'[1]List AC'!$L$2,COUNTIFS('[1]List AC'!$Q:$Q,$C59)&gt;0,'[1]List AC'!$Q$2,COUNTIFS('[1]List AC'!$M:$M,$C59)&gt;0,'[1]List AC'!$M$2,COUNTIFS('[1]List AC'!$N:$N,$C59)&gt;0,'[1]List AC'!$N$2,COUNTIFS('[1]List AC'!$O:$O,$C59)&gt;0,'[1]List AC'!$O$2,COUNTIFS('[1]List AC'!$P:$P,$C59)&gt;0,'[1]List AC'!$P$2,COUNTIFS('[1]List AC'!$R:$R,$C59)&gt;0,'[1]List AC'!$R$2,COUNTIFS('[1]List AC'!$S:$S,$C59)&gt;0,'[1]List AC'!$S$2,COUNTIFS('[1]List AC'!$T:$T,$C59)&gt;0,'[1]List AC'!$T$2,COUNTIFS('[1]List AC'!$U:$U,$C59)&gt;0,'[1]List AC'!$U$2,COUNTIFS('[1]List AC'!$V:$V,$C59)&gt;0,'[1]List AC'!$V$2,COUNTIFS('[1]List AC'!$W:$W,$C59)&gt;0,'[1]List AC'!$W$2,COUNTIFS('[1]List AC'!$X:$X,$C59)&gt;0,'[1]List AC'!$X$2,COUNTIFS('[1]List AC'!$Y:$Y,$C59)&gt;0,'[1]List AC'!$Y$2,COUNTIFS('[1]List AC'!$Z:$Z,$C59)&gt;0,'[1]List AC'!$Z$2,COUNTIFS('[1]List AC'!$AA:$AA,$C59)&gt;0,'[1]List AC'!$AA$2,COUNTIFS('[1]List AC'!$AB:$AB,$C59)&gt;0,'[1]List AC'!$AB$2,COUNTIFS('[1]List AC'!$AC:$AC,$C59)&gt;0,'[1]List AC'!$AC$2,COUNTIFS('[1]List AC'!$AD:$AD,$C59)&gt;0,'[1]List AC'!$AD$2,COUNTIFS('[1]List AC'!$AE:$AE,$C59)&gt;0,'[1]List AC'!$AE$2,COUNTIFS('[1]List AC'!$AF:$AF,$C59)&gt;0,'[1]List AC'!$AF$2,COUNTIFS('[1]List AC'!$AG:$AG,$C59)&gt;0,'[1]List AC'!$AG$2,COUNTIFS('[1]List AC'!$AH:$AH,$C59)&gt;0,'[1]List AC'!$AH$2,COUNTIFS('[1]List AC'!$AI:$AI,$C59)&gt;0,'[1]List AC'!$AI$2,COUNTIFS('[1]List AC'!$AJ:$AJ,$C59)&gt;0,'[1]List AC'!$AJ$2,COUNTIFS('[1]List AC'!$AK:$AK,$C59)&gt;0,'[1]List AC'!$AK$2,COUNTIFS('[1]List AC'!$AL:$AL,$C59)&gt;0,'[1]List AC'!$AL$2,COUNTIFS('[1]List AC'!$AM:$AM,$C59)&gt;0,'[1]List AC'!$AM$2,COUNTIFS('[1]List AC'!$AN:$AN,$C59)&gt;0,'[1]List AC'!$AN$2,COUNTIFS('[1]List AC'!$AO:$AO,$C59)&gt;0,'[1]List AC'!$AO$2,COUNTIFS('[1]List AC'!$AP:$AP,$C59)&gt;0,'[1]List AC'!$AP$2,COUNTIFS('[1]List AC'!$AQ:$AQ,$C59)&gt;0,'[1]List AC'!$AQ$2,COUNTIFS('[1]List AC'!$AR:$AR,$C59)&gt;0,'[1]List AC'!$AR$2,COUNTIFS('[1]List AC'!$AS:$AS,$C59)&gt;0,'[1]List AC'!$AS$2,COUNTIFS('[1]List AC'!$AT:$AT,$C59)&gt;0,'[1]List AC'!$AT$2,COUNTIFS('[1]List AC'!$AU:$AU,$C59)&gt;0,'[1]List AC'!$AU$2,COUNTIFS('[1]List AC'!$AV:$AV,$C59)&gt;0,'[1]List AC'!$AV$2,COUNTIFS('[1]List AC'!$AW:$AW,$C59)&gt;0,'[1]List AC'!$AW$2,COUNTIFS('[1]List AC'!$AX:$AX,$C59)&gt;0,'[1]List AC'!$AX$2,COUNTIFS('[1]List AC'!$AY:$AY,$C59)&gt;0,'[1]List AC'!$AY$2,COUNTIFS('[1]List AC'!$AZ:$AZ,$C59)&gt;0,'[1]List AC'!$AZ$2,COUNTIFS('[1]List AC'!$BA:$BA,$C59)&gt;0,'[1]List AC'!$BA$2,COUNTIFS('[1]List AC'!$BB:$BB,$C59)&gt;0,'[1]List AC'!$BB$2,COUNTIFS('[1]List AC'!$BC:$BC,$C59)&gt;0,'[1]List AC'!$BC$2,COUNTIFS('[1]List AC'!$BD:$BD,$C59)&gt;0,'[1]List AC'!$BD$2),"")</f>
        <v>#NAME?</v>
      </c>
      <c r="T59" s="234"/>
      <c r="U59" s="234"/>
    </row>
    <row r="60" spans="1:21" ht="12.75">
      <c r="A60" s="230">
        <v>46298</v>
      </c>
      <c r="B60" s="231" t="s">
        <v>100</v>
      </c>
      <c r="C60" s="231" t="s">
        <v>984</v>
      </c>
      <c r="D60" s="231" t="s">
        <v>985</v>
      </c>
      <c r="E60" s="232" t="s">
        <v>986</v>
      </c>
      <c r="F60" s="231" t="s">
        <v>88</v>
      </c>
      <c r="G60" s="233"/>
      <c r="H60" s="233"/>
      <c r="I60" s="234"/>
      <c r="J60" s="234"/>
      <c r="K60" s="234"/>
      <c r="L60" s="231" t="s">
        <v>108</v>
      </c>
      <c r="M60" s="231" t="s">
        <v>53</v>
      </c>
      <c r="N60" s="233"/>
      <c r="O60" s="230">
        <v>46298</v>
      </c>
      <c r="P60" s="232" t="s">
        <v>987</v>
      </c>
      <c r="Q60" s="231" t="s">
        <v>34</v>
      </c>
      <c r="R60" s="230">
        <v>46298</v>
      </c>
      <c r="S60" s="231" t="e">
        <f t="shared" ca="1" si="1"/>
        <v>#NAME?</v>
      </c>
      <c r="T60" s="234"/>
      <c r="U60" s="234"/>
    </row>
    <row r="61" spans="1:21" ht="12.75">
      <c r="A61" s="230">
        <v>46298</v>
      </c>
      <c r="B61" s="234"/>
      <c r="C61" s="231" t="s">
        <v>859</v>
      </c>
      <c r="D61" s="231" t="s">
        <v>997</v>
      </c>
      <c r="E61" s="232" t="s">
        <v>998</v>
      </c>
      <c r="F61" s="231" t="s">
        <v>88</v>
      </c>
      <c r="G61" s="230">
        <v>46298</v>
      </c>
      <c r="H61" s="233"/>
      <c r="I61" s="231" t="s">
        <v>999</v>
      </c>
      <c r="J61" s="234"/>
      <c r="K61" s="234"/>
      <c r="L61" s="231" t="s">
        <v>52</v>
      </c>
      <c r="M61" s="231" t="s">
        <v>631</v>
      </c>
      <c r="N61" s="233"/>
      <c r="O61" s="233"/>
      <c r="P61" s="232" t="s">
        <v>1000</v>
      </c>
      <c r="Q61" s="231" t="s">
        <v>34</v>
      </c>
      <c r="R61" s="230">
        <v>46298</v>
      </c>
      <c r="S61" s="231" t="s">
        <v>94</v>
      </c>
      <c r="T61" s="234"/>
      <c r="U61" s="234"/>
    </row>
    <row r="62" spans="1:21" ht="12.75">
      <c r="A62" s="230">
        <v>46298</v>
      </c>
      <c r="B62" s="234"/>
      <c r="C62" s="231" t="s">
        <v>685</v>
      </c>
      <c r="D62" s="231" t="s">
        <v>1003</v>
      </c>
      <c r="E62" s="232" t="s">
        <v>1004</v>
      </c>
      <c r="F62" s="231" t="s">
        <v>88</v>
      </c>
      <c r="G62" s="230">
        <v>46268</v>
      </c>
      <c r="H62" s="233"/>
      <c r="I62" s="234"/>
      <c r="J62" s="234"/>
      <c r="K62" s="234"/>
      <c r="L62" s="231" t="s">
        <v>85</v>
      </c>
      <c r="M62" s="231" t="s">
        <v>87</v>
      </c>
      <c r="N62" s="233"/>
      <c r="O62" s="230">
        <v>46298</v>
      </c>
      <c r="P62" s="232" t="s">
        <v>1005</v>
      </c>
      <c r="Q62" s="231" t="s">
        <v>34</v>
      </c>
      <c r="R62" s="230">
        <v>46298</v>
      </c>
      <c r="S62" s="231" t="e">
        <f t="shared" ref="S62:S65" ca="1" si="2">_xludf.IFNA(IFS(COUNTIFS('[1]List AC'!$A:$A,$C62)&gt;0,'[1]List AC'!$A$2,COUNTIFS('[1]List AC'!$B:$B,$C62)&gt;0,'[1]List AC'!$B$2,COUNTIFS('[1]List AC'!$C:$C,$C62)&gt;0,'[1]List AC'!$C$2,COUNTIFS('[1]List AC'!$D:$D,$C62)&gt;0,'[1]List AC'!$D$2,COUNTIFS('[1]List AC'!$E:$E,$C62)&gt;0,'[1]List AC'!$E$2,COUNTIFS('[1]List AC'!$F:$F,$C62)&gt;0,'[1]List AC'!$F$2,COUNTIFS('[1]List AC'!$G:$G,$C62)&gt;0,'[1]List AC'!$G$2,COUNTIFS('[1]List AC'!$H:$H,$C62)&gt;0,'[1]List AC'!$H$2,COUNTIFS('[1]List AC'!$I:$I,$C62)&gt;0,'[1]List AC'!$I$2,COUNTIFS('[1]List AC'!$J:$J,$C62)&gt;0,'[1]List AC'!$J$2,COUNTIFS('[1]List AC'!$K:$K,$C62)&gt;0,'[1]List AC'!$K$2,COUNTIFS('[1]List AC'!$L:$L,$C62)&gt;0,'[1]List AC'!$L$2,COUNTIFS('[1]List AC'!$Q:$Q,$C62)&gt;0,'[1]List AC'!$Q$2,COUNTIFS('[1]List AC'!$M:$M,$C62)&gt;0,'[1]List AC'!$M$2,COUNTIFS('[1]List AC'!$N:$N,$C62)&gt;0,'[1]List AC'!$N$2,COUNTIFS('[1]List AC'!$O:$O,$C62)&gt;0,'[1]List AC'!$O$2,COUNTIFS('[1]List AC'!$P:$P,$C62)&gt;0,'[1]List AC'!$P$2,COUNTIFS('[1]List AC'!$R:$R,$C62)&gt;0,'[1]List AC'!$R$2,COUNTIFS('[1]List AC'!$S:$S,$C62)&gt;0,'[1]List AC'!$S$2,COUNTIFS('[1]List AC'!$T:$T,$C62)&gt;0,'[1]List AC'!$T$2,COUNTIFS('[1]List AC'!$U:$U,$C62)&gt;0,'[1]List AC'!$U$2,COUNTIFS('[1]List AC'!$V:$V,$C62)&gt;0,'[1]List AC'!$V$2,COUNTIFS('[1]List AC'!$W:$W,$C62)&gt;0,'[1]List AC'!$W$2,COUNTIFS('[1]List AC'!$X:$X,$C62)&gt;0,'[1]List AC'!$X$2,COUNTIFS('[1]List AC'!$Y:$Y,$C62)&gt;0,'[1]List AC'!$Y$2,COUNTIFS('[1]List AC'!$Z:$Z,$C62)&gt;0,'[1]List AC'!$Z$2,COUNTIFS('[1]List AC'!$AA:$AA,$C62)&gt;0,'[1]List AC'!$AA$2,COUNTIFS('[1]List AC'!$AB:$AB,$C62)&gt;0,'[1]List AC'!$AB$2,COUNTIFS('[1]List AC'!$AC:$AC,$C62)&gt;0,'[1]List AC'!$AC$2,COUNTIFS('[1]List AC'!$AD:$AD,$C62)&gt;0,'[1]List AC'!$AD$2,COUNTIFS('[1]List AC'!$AE:$AE,$C62)&gt;0,'[1]List AC'!$AE$2,COUNTIFS('[1]List AC'!$AF:$AF,$C62)&gt;0,'[1]List AC'!$AF$2,COUNTIFS('[1]List AC'!$AG:$AG,$C62)&gt;0,'[1]List AC'!$AG$2,COUNTIFS('[1]List AC'!$AH:$AH,$C62)&gt;0,'[1]List AC'!$AH$2,COUNTIFS('[1]List AC'!$AI:$AI,$C62)&gt;0,'[1]List AC'!$AI$2,COUNTIFS('[1]List AC'!$AJ:$AJ,$C62)&gt;0,'[1]List AC'!$AJ$2,COUNTIFS('[1]List AC'!$AK:$AK,$C62)&gt;0,'[1]List AC'!$AK$2,COUNTIFS('[1]List AC'!$AL:$AL,$C62)&gt;0,'[1]List AC'!$AL$2,COUNTIFS('[1]List AC'!$AM:$AM,$C62)&gt;0,'[1]List AC'!$AM$2,COUNTIFS('[1]List AC'!$AN:$AN,$C62)&gt;0,'[1]List AC'!$AN$2,COUNTIFS('[1]List AC'!$AO:$AO,$C62)&gt;0,'[1]List AC'!$AO$2,COUNTIFS('[1]List AC'!$AP:$AP,$C62)&gt;0,'[1]List AC'!$AP$2,COUNTIFS('[1]List AC'!$AQ:$AQ,$C62)&gt;0,'[1]List AC'!$AQ$2,COUNTIFS('[1]List AC'!$AR:$AR,$C62)&gt;0,'[1]List AC'!$AR$2,COUNTIFS('[1]List AC'!$AS:$AS,$C62)&gt;0,'[1]List AC'!$AS$2,COUNTIFS('[1]List AC'!$AT:$AT,$C62)&gt;0,'[1]List AC'!$AT$2,COUNTIFS('[1]List AC'!$AU:$AU,$C62)&gt;0,'[1]List AC'!$AU$2,COUNTIFS('[1]List AC'!$AV:$AV,$C62)&gt;0,'[1]List AC'!$AV$2,COUNTIFS('[1]List AC'!$AW:$AW,$C62)&gt;0,'[1]List AC'!$AW$2,COUNTIFS('[1]List AC'!$AX:$AX,$C62)&gt;0,'[1]List AC'!$AX$2,COUNTIFS('[1]List AC'!$AY:$AY,$C62)&gt;0,'[1]List AC'!$AY$2,COUNTIFS('[1]List AC'!$AZ:$AZ,$C62)&gt;0,'[1]List AC'!$AZ$2,COUNTIFS('[1]List AC'!$BA:$BA,$C62)&gt;0,'[1]List AC'!$BA$2,COUNTIFS('[1]List AC'!$BB:$BB,$C62)&gt;0,'[1]List AC'!$BB$2,COUNTIFS('[1]List AC'!$BC:$BC,$C62)&gt;0,'[1]List AC'!$BC$2,COUNTIFS('[1]List AC'!$BD:$BD,$C62)&gt;0,'[1]List AC'!$BD$2),"")</f>
        <v>#NAME?</v>
      </c>
      <c r="T62" s="234"/>
      <c r="U62" s="234"/>
    </row>
    <row r="63" spans="1:21" ht="12.75">
      <c r="A63" s="230">
        <v>46298</v>
      </c>
      <c r="B63" s="234"/>
      <c r="C63" s="231" t="s">
        <v>1053</v>
      </c>
      <c r="D63" s="231" t="s">
        <v>1054</v>
      </c>
      <c r="E63" s="232" t="s">
        <v>1055</v>
      </c>
      <c r="F63" s="231" t="s">
        <v>88</v>
      </c>
      <c r="G63" s="230">
        <v>46268</v>
      </c>
      <c r="H63" s="233"/>
      <c r="I63" s="234"/>
      <c r="J63" s="234"/>
      <c r="K63" s="234"/>
      <c r="L63" s="231" t="s">
        <v>85</v>
      </c>
      <c r="M63" s="231" t="s">
        <v>87</v>
      </c>
      <c r="N63" s="233"/>
      <c r="O63" s="230">
        <v>46298</v>
      </c>
      <c r="P63" s="232" t="s">
        <v>1056</v>
      </c>
      <c r="Q63" s="231" t="s">
        <v>34</v>
      </c>
      <c r="R63" s="230">
        <v>46298</v>
      </c>
      <c r="S63" s="231" t="e">
        <f t="shared" ca="1" si="2"/>
        <v>#NAME?</v>
      </c>
      <c r="T63" s="234"/>
      <c r="U63" s="234"/>
    </row>
    <row r="64" spans="1:21" ht="12.75">
      <c r="A64" s="230">
        <v>46298</v>
      </c>
      <c r="B64" s="234"/>
      <c r="C64" s="231" t="s">
        <v>1053</v>
      </c>
      <c r="D64" s="231" t="s">
        <v>1069</v>
      </c>
      <c r="E64" s="232" t="s">
        <v>1070</v>
      </c>
      <c r="F64" s="231" t="s">
        <v>88</v>
      </c>
      <c r="G64" s="230">
        <v>46268</v>
      </c>
      <c r="H64" s="233"/>
      <c r="I64" s="234"/>
      <c r="J64" s="234"/>
      <c r="K64" s="234"/>
      <c r="L64" s="231" t="s">
        <v>85</v>
      </c>
      <c r="M64" s="231" t="s">
        <v>87</v>
      </c>
      <c r="N64" s="233"/>
      <c r="O64" s="230">
        <v>46298</v>
      </c>
      <c r="P64" s="232" t="s">
        <v>1073</v>
      </c>
      <c r="Q64" s="231" t="s">
        <v>34</v>
      </c>
      <c r="R64" s="230">
        <v>46298</v>
      </c>
      <c r="S64" s="231" t="e">
        <f t="shared" ca="1" si="2"/>
        <v>#NAME?</v>
      </c>
      <c r="T64" s="234"/>
      <c r="U64" s="234"/>
    </row>
    <row r="65" spans="1:21" ht="12.75">
      <c r="A65" s="230">
        <v>46298</v>
      </c>
      <c r="B65" s="234"/>
      <c r="C65" s="231" t="s">
        <v>1053</v>
      </c>
      <c r="D65" s="231" t="s">
        <v>1084</v>
      </c>
      <c r="E65" s="232" t="s">
        <v>1085</v>
      </c>
      <c r="F65" s="231" t="s">
        <v>88</v>
      </c>
      <c r="G65" s="230">
        <v>46268</v>
      </c>
      <c r="H65" s="233"/>
      <c r="I65" s="234"/>
      <c r="J65" s="234"/>
      <c r="K65" s="234"/>
      <c r="L65" s="231" t="s">
        <v>85</v>
      </c>
      <c r="M65" s="231" t="s">
        <v>87</v>
      </c>
      <c r="N65" s="233"/>
      <c r="O65" s="230">
        <v>46298</v>
      </c>
      <c r="P65" s="232" t="s">
        <v>1088</v>
      </c>
      <c r="Q65" s="231" t="s">
        <v>34</v>
      </c>
      <c r="R65" s="230">
        <v>46298</v>
      </c>
      <c r="S65" s="231" t="e">
        <f t="shared" ca="1" si="2"/>
        <v>#NAME?</v>
      </c>
      <c r="T65" s="234"/>
      <c r="U65" s="234"/>
    </row>
    <row r="66" spans="1:21" ht="12.75">
      <c r="A66" s="230">
        <v>46298</v>
      </c>
      <c r="B66" s="231" t="s">
        <v>112</v>
      </c>
      <c r="C66" s="231" t="s">
        <v>1097</v>
      </c>
      <c r="D66" s="231" t="s">
        <v>1098</v>
      </c>
      <c r="E66" s="232" t="s">
        <v>1099</v>
      </c>
      <c r="F66" s="231" t="s">
        <v>88</v>
      </c>
      <c r="G66" s="231" t="s">
        <v>1102</v>
      </c>
      <c r="H66" s="233"/>
      <c r="I66" s="234"/>
      <c r="J66" s="234"/>
      <c r="K66" s="234"/>
      <c r="L66" s="231" t="s">
        <v>108</v>
      </c>
      <c r="M66" s="231" t="s">
        <v>53</v>
      </c>
      <c r="N66" s="233"/>
      <c r="O66" s="233"/>
      <c r="P66" s="232" t="s">
        <v>1103</v>
      </c>
      <c r="Q66" s="231" t="s">
        <v>34</v>
      </c>
      <c r="R66" s="230">
        <v>46298</v>
      </c>
      <c r="S66" s="231" t="s">
        <v>409</v>
      </c>
      <c r="T66" s="234"/>
      <c r="U66" s="234"/>
    </row>
    <row r="67" spans="1:21" ht="12.75">
      <c r="A67" s="230">
        <v>46298</v>
      </c>
      <c r="B67" s="234"/>
      <c r="C67" s="231" t="s">
        <v>780</v>
      </c>
      <c r="D67" s="231" t="s">
        <v>1104</v>
      </c>
      <c r="E67" s="232" t="s">
        <v>1107</v>
      </c>
      <c r="F67" s="231" t="s">
        <v>88</v>
      </c>
      <c r="G67" s="230">
        <v>46268</v>
      </c>
      <c r="H67" s="233"/>
      <c r="I67" s="234"/>
      <c r="J67" s="234"/>
      <c r="K67" s="234"/>
      <c r="L67" s="231" t="s">
        <v>85</v>
      </c>
      <c r="M67" s="231" t="s">
        <v>87</v>
      </c>
      <c r="N67" s="233"/>
      <c r="O67" s="233"/>
      <c r="P67" s="232" t="s">
        <v>1108</v>
      </c>
      <c r="Q67" s="231" t="s">
        <v>34</v>
      </c>
      <c r="R67" s="230">
        <v>46298</v>
      </c>
      <c r="S67" s="231" t="s">
        <v>214</v>
      </c>
      <c r="T67" s="234"/>
      <c r="U67" s="234"/>
    </row>
    <row r="68" spans="1:21" ht="12.75">
      <c r="A68" s="230">
        <v>46298</v>
      </c>
      <c r="B68" s="231" t="s">
        <v>673</v>
      </c>
      <c r="C68" s="231" t="s">
        <v>1042</v>
      </c>
      <c r="D68" s="231" t="s">
        <v>1109</v>
      </c>
      <c r="E68" s="232" t="s">
        <v>1110</v>
      </c>
      <c r="F68" s="231" t="s">
        <v>88</v>
      </c>
      <c r="G68" s="230">
        <v>46283</v>
      </c>
      <c r="H68" s="233"/>
      <c r="I68" s="234"/>
      <c r="J68" s="234"/>
      <c r="K68" s="234"/>
      <c r="L68" s="231" t="s">
        <v>85</v>
      </c>
      <c r="M68" s="231" t="s">
        <v>87</v>
      </c>
      <c r="N68" s="233"/>
      <c r="O68" s="233"/>
      <c r="P68" s="232" t="s">
        <v>1113</v>
      </c>
      <c r="Q68" s="231" t="s">
        <v>34</v>
      </c>
      <c r="R68" s="230">
        <v>46298</v>
      </c>
      <c r="S68" s="231" t="s">
        <v>677</v>
      </c>
      <c r="T68" s="234"/>
      <c r="U68" s="234"/>
    </row>
    <row r="69" spans="1:21" ht="12.75">
      <c r="A69" s="230">
        <v>46298</v>
      </c>
      <c r="B69" s="231" t="s">
        <v>673</v>
      </c>
      <c r="C69" s="231" t="s">
        <v>1042</v>
      </c>
      <c r="D69" s="231" t="s">
        <v>1114</v>
      </c>
      <c r="E69" s="232" t="s">
        <v>1115</v>
      </c>
      <c r="F69" s="231" t="s">
        <v>88</v>
      </c>
      <c r="G69" s="230">
        <v>46288</v>
      </c>
      <c r="H69" s="233"/>
      <c r="I69" s="234"/>
      <c r="J69" s="234"/>
      <c r="K69" s="234"/>
      <c r="L69" s="231" t="s">
        <v>85</v>
      </c>
      <c r="M69" s="231" t="s">
        <v>87</v>
      </c>
      <c r="N69" s="233"/>
      <c r="O69" s="233"/>
      <c r="P69" s="232" t="s">
        <v>1113</v>
      </c>
      <c r="Q69" s="231" t="s">
        <v>34</v>
      </c>
      <c r="R69" s="230">
        <v>46298</v>
      </c>
      <c r="S69" s="231" t="s">
        <v>677</v>
      </c>
      <c r="T69" s="234"/>
      <c r="U69" s="234"/>
    </row>
    <row r="70" spans="1:21" ht="12.75">
      <c r="A70" s="230">
        <v>46298</v>
      </c>
      <c r="B70" s="234"/>
      <c r="C70" s="231" t="s">
        <v>264</v>
      </c>
      <c r="D70" s="231" t="s">
        <v>1118</v>
      </c>
      <c r="E70" s="232" t="s">
        <v>1119</v>
      </c>
      <c r="F70" s="231" t="s">
        <v>88</v>
      </c>
      <c r="G70" s="230">
        <v>46268</v>
      </c>
      <c r="H70" s="233"/>
      <c r="I70" s="234"/>
      <c r="J70" s="234"/>
      <c r="K70" s="234"/>
      <c r="L70" s="231" t="s">
        <v>86</v>
      </c>
      <c r="M70" s="231" t="s">
        <v>90</v>
      </c>
      <c r="N70" s="233"/>
      <c r="O70" s="233"/>
      <c r="P70" s="232" t="s">
        <v>1120</v>
      </c>
      <c r="Q70" s="231" t="s">
        <v>34</v>
      </c>
      <c r="R70" s="230">
        <v>46298</v>
      </c>
      <c r="S70" s="231" t="s">
        <v>958</v>
      </c>
      <c r="T70" s="234"/>
      <c r="U70" s="234"/>
    </row>
    <row r="71" spans="1:21" ht="12.75">
      <c r="A71" s="230">
        <v>46298</v>
      </c>
      <c r="B71" s="234"/>
      <c r="C71" s="231" t="s">
        <v>312</v>
      </c>
      <c r="D71" s="231" t="s">
        <v>1123</v>
      </c>
      <c r="E71" s="232" t="s">
        <v>1124</v>
      </c>
      <c r="F71" s="231" t="s">
        <v>88</v>
      </c>
      <c r="G71" s="233"/>
      <c r="H71" s="233"/>
      <c r="I71" s="234"/>
      <c r="J71" s="234"/>
      <c r="K71" s="234"/>
      <c r="L71" s="231" t="s">
        <v>86</v>
      </c>
      <c r="M71" s="231" t="s">
        <v>90</v>
      </c>
      <c r="N71" s="233"/>
      <c r="O71" s="233"/>
      <c r="P71" s="232" t="s">
        <v>1125</v>
      </c>
      <c r="Q71" s="231" t="s">
        <v>34</v>
      </c>
      <c r="R71" s="230">
        <v>46298</v>
      </c>
      <c r="S71" s="231" t="s">
        <v>94</v>
      </c>
      <c r="T71" s="234"/>
      <c r="U71" s="234"/>
    </row>
    <row r="72" spans="1:21" ht="12.75">
      <c r="A72" s="230">
        <v>46298</v>
      </c>
      <c r="B72" s="234"/>
      <c r="C72" s="231" t="s">
        <v>1016</v>
      </c>
      <c r="D72" s="231" t="s">
        <v>1126</v>
      </c>
      <c r="E72" s="232" t="s">
        <v>1127</v>
      </c>
      <c r="F72" s="231" t="s">
        <v>88</v>
      </c>
      <c r="G72" s="233"/>
      <c r="H72" s="233"/>
      <c r="I72" s="234"/>
      <c r="J72" s="234"/>
      <c r="K72" s="234"/>
      <c r="L72" s="231" t="s">
        <v>86</v>
      </c>
      <c r="M72" s="231" t="s">
        <v>90</v>
      </c>
      <c r="N72" s="233"/>
      <c r="O72" s="233"/>
      <c r="P72" s="232" t="s">
        <v>1128</v>
      </c>
      <c r="Q72" s="231" t="s">
        <v>34</v>
      </c>
      <c r="R72" s="230">
        <v>46298</v>
      </c>
      <c r="S72" s="231" t="s">
        <v>94</v>
      </c>
      <c r="T72" s="234"/>
      <c r="U72" s="234"/>
    </row>
    <row r="73" spans="1:21" ht="12.75">
      <c r="A73" s="230">
        <v>46298</v>
      </c>
      <c r="B73" s="234"/>
      <c r="C73" s="231" t="s">
        <v>685</v>
      </c>
      <c r="D73" s="231" t="s">
        <v>1131</v>
      </c>
      <c r="E73" s="232" t="s">
        <v>1132</v>
      </c>
      <c r="F73" s="231" t="s">
        <v>88</v>
      </c>
      <c r="G73" s="233"/>
      <c r="H73" s="233"/>
      <c r="I73" s="234"/>
      <c r="J73" s="234"/>
      <c r="K73" s="234"/>
      <c r="L73" s="231" t="s">
        <v>85</v>
      </c>
      <c r="M73" s="231" t="s">
        <v>87</v>
      </c>
      <c r="N73" s="233"/>
      <c r="O73" s="233"/>
      <c r="P73" s="232" t="s">
        <v>1132</v>
      </c>
      <c r="Q73" s="231" t="s">
        <v>34</v>
      </c>
      <c r="R73" s="230">
        <v>46298</v>
      </c>
      <c r="S73" s="231" t="s">
        <v>111</v>
      </c>
      <c r="T73" s="234"/>
      <c r="U73" s="234"/>
    </row>
    <row r="74" spans="1:21" ht="12.75">
      <c r="A74" s="230">
        <v>46298</v>
      </c>
      <c r="B74" s="234"/>
      <c r="C74" s="231" t="s">
        <v>646</v>
      </c>
      <c r="D74" s="231" t="s">
        <v>1135</v>
      </c>
      <c r="E74" s="232" t="s">
        <v>1136</v>
      </c>
      <c r="F74" s="231" t="s">
        <v>88</v>
      </c>
      <c r="G74" s="233"/>
      <c r="H74" s="233"/>
      <c r="I74" s="234"/>
      <c r="J74" s="234"/>
      <c r="K74" s="234"/>
      <c r="L74" s="231" t="s">
        <v>85</v>
      </c>
      <c r="M74" s="231" t="s">
        <v>87</v>
      </c>
      <c r="N74" s="233"/>
      <c r="O74" s="233"/>
      <c r="P74" s="232" t="s">
        <v>1136</v>
      </c>
      <c r="Q74" s="231" t="s">
        <v>34</v>
      </c>
      <c r="R74" s="230">
        <v>46298</v>
      </c>
      <c r="S74" s="231" t="s">
        <v>328</v>
      </c>
      <c r="T74" s="234"/>
      <c r="U74" s="234"/>
    </row>
    <row r="75" spans="1:21" ht="12.75">
      <c r="A75" s="230">
        <v>46298</v>
      </c>
      <c r="B75" s="234"/>
      <c r="C75" s="231" t="s">
        <v>1137</v>
      </c>
      <c r="D75" s="231" t="s">
        <v>1138</v>
      </c>
      <c r="E75" s="232" t="s">
        <v>1140</v>
      </c>
      <c r="F75" s="231" t="s">
        <v>88</v>
      </c>
      <c r="G75" s="233"/>
      <c r="H75" s="233"/>
      <c r="I75" s="234"/>
      <c r="J75" s="234"/>
      <c r="K75" s="234"/>
      <c r="L75" s="231" t="s">
        <v>86</v>
      </c>
      <c r="M75" s="231" t="s">
        <v>90</v>
      </c>
      <c r="N75" s="233"/>
      <c r="O75" s="233"/>
      <c r="P75" s="232"/>
      <c r="Q75" s="231" t="s">
        <v>34</v>
      </c>
      <c r="R75" s="230">
        <v>46299</v>
      </c>
      <c r="S75" s="231" t="s">
        <v>388</v>
      </c>
      <c r="T75" s="234"/>
      <c r="U75" s="234"/>
    </row>
    <row r="76" spans="1:21" ht="12.75">
      <c r="A76" s="230">
        <v>46299</v>
      </c>
      <c r="B76" s="231" t="s">
        <v>100</v>
      </c>
      <c r="C76" s="231" t="s">
        <v>101</v>
      </c>
      <c r="D76" s="231" t="s">
        <v>1142</v>
      </c>
      <c r="E76" s="232" t="s">
        <v>1143</v>
      </c>
      <c r="F76" s="231" t="s">
        <v>88</v>
      </c>
      <c r="G76" s="230">
        <v>46298</v>
      </c>
      <c r="H76" s="233"/>
      <c r="I76" s="234"/>
      <c r="J76" s="234"/>
      <c r="K76" s="234"/>
      <c r="L76" s="231" t="s">
        <v>108</v>
      </c>
      <c r="M76" s="231" t="s">
        <v>53</v>
      </c>
      <c r="N76" s="231" t="s">
        <v>66</v>
      </c>
      <c r="O76" s="233"/>
      <c r="P76" s="232" t="s">
        <v>1146</v>
      </c>
      <c r="Q76" s="231" t="s">
        <v>34</v>
      </c>
      <c r="R76" s="230">
        <v>46299</v>
      </c>
      <c r="S76" s="231" t="s">
        <v>66</v>
      </c>
      <c r="T76" s="234"/>
      <c r="U76" s="234"/>
    </row>
    <row r="77" spans="1:21" ht="12.75">
      <c r="A77" s="230">
        <v>46299</v>
      </c>
      <c r="B77" s="231" t="s">
        <v>1147</v>
      </c>
      <c r="C77" s="231" t="s">
        <v>1148</v>
      </c>
      <c r="D77" s="231" t="s">
        <v>1149</v>
      </c>
      <c r="E77" s="232" t="s">
        <v>1150</v>
      </c>
      <c r="F77" s="231" t="s">
        <v>88</v>
      </c>
      <c r="G77" s="230">
        <v>46177</v>
      </c>
      <c r="H77" s="233"/>
      <c r="I77" s="234"/>
      <c r="J77" s="234"/>
      <c r="K77" s="234"/>
      <c r="L77" s="231" t="s">
        <v>86</v>
      </c>
      <c r="M77" s="231" t="s">
        <v>90</v>
      </c>
      <c r="N77" s="231" t="s">
        <v>409</v>
      </c>
      <c r="O77" s="233"/>
      <c r="P77" s="232" t="s">
        <v>1153</v>
      </c>
      <c r="Q77" s="231" t="s">
        <v>34</v>
      </c>
      <c r="R77" s="230">
        <v>46299</v>
      </c>
      <c r="S77" s="231" t="s">
        <v>409</v>
      </c>
      <c r="T77" s="234"/>
      <c r="U77" s="234"/>
    </row>
    <row r="78" spans="1:21" ht="12.75">
      <c r="A78" s="230">
        <v>46299</v>
      </c>
      <c r="B78" s="231" t="s">
        <v>431</v>
      </c>
      <c r="C78" s="231" t="s">
        <v>1042</v>
      </c>
      <c r="D78" s="231" t="s">
        <v>1154</v>
      </c>
      <c r="E78" s="232" t="s">
        <v>1155</v>
      </c>
      <c r="F78" s="231" t="s">
        <v>88</v>
      </c>
      <c r="G78" s="230">
        <v>46282</v>
      </c>
      <c r="H78" s="233"/>
      <c r="I78" s="234"/>
      <c r="J78" s="234"/>
      <c r="K78" s="234"/>
      <c r="L78" s="231" t="s">
        <v>85</v>
      </c>
      <c r="M78" s="231" t="s">
        <v>835</v>
      </c>
      <c r="N78" s="231" t="s">
        <v>677</v>
      </c>
      <c r="O78" s="233"/>
      <c r="P78" s="232" t="s">
        <v>1158</v>
      </c>
      <c r="Q78" s="231" t="s">
        <v>34</v>
      </c>
      <c r="R78" s="230">
        <v>46299</v>
      </c>
      <c r="S78" s="231" t="s">
        <v>677</v>
      </c>
      <c r="T78" s="234"/>
      <c r="U78" s="234"/>
    </row>
    <row r="79" spans="1:21" ht="12.75">
      <c r="A79" s="230">
        <v>46299</v>
      </c>
      <c r="B79" s="234"/>
      <c r="C79" s="231" t="s">
        <v>72</v>
      </c>
      <c r="D79" s="231" t="s">
        <v>1159</v>
      </c>
      <c r="E79" s="232" t="s">
        <v>1160</v>
      </c>
      <c r="F79" s="231" t="s">
        <v>88</v>
      </c>
      <c r="G79" s="233"/>
      <c r="H79" s="233"/>
      <c r="I79" s="234"/>
      <c r="J79" s="234"/>
      <c r="K79" s="234"/>
      <c r="L79" s="231" t="s">
        <v>86</v>
      </c>
      <c r="M79" s="231" t="s">
        <v>90</v>
      </c>
      <c r="N79" s="231" t="s">
        <v>94</v>
      </c>
      <c r="O79" s="233"/>
      <c r="P79" s="232" t="s">
        <v>1161</v>
      </c>
      <c r="Q79" s="231" t="s">
        <v>34</v>
      </c>
      <c r="R79" s="230">
        <v>46299</v>
      </c>
      <c r="S79" s="231" t="s">
        <v>94</v>
      </c>
      <c r="T79" s="234"/>
      <c r="U79" s="234"/>
    </row>
    <row r="80" spans="1:21" ht="12.75">
      <c r="A80" s="230">
        <v>46299</v>
      </c>
      <c r="B80" s="234"/>
      <c r="C80" s="231" t="s">
        <v>877</v>
      </c>
      <c r="D80" s="231" t="s">
        <v>1162</v>
      </c>
      <c r="E80" s="232" t="s">
        <v>1164</v>
      </c>
      <c r="F80" s="231" t="s">
        <v>88</v>
      </c>
      <c r="G80" s="233"/>
      <c r="H80" s="233"/>
      <c r="I80" s="234"/>
      <c r="J80" s="234"/>
      <c r="K80" s="234"/>
      <c r="L80" s="231" t="s">
        <v>108</v>
      </c>
      <c r="M80" s="231" t="s">
        <v>53</v>
      </c>
      <c r="N80" s="231" t="s">
        <v>94</v>
      </c>
      <c r="O80" s="233"/>
      <c r="P80" s="232" t="s">
        <v>1166</v>
      </c>
      <c r="Q80" s="231" t="s">
        <v>34</v>
      </c>
      <c r="R80" s="230">
        <v>46299</v>
      </c>
      <c r="S80" s="231" t="s">
        <v>94</v>
      </c>
      <c r="T80" s="234"/>
      <c r="U80" s="234"/>
    </row>
    <row r="81" spans="1:21" ht="12.75">
      <c r="A81" s="230">
        <v>46299</v>
      </c>
      <c r="B81" s="234"/>
      <c r="C81" s="231" t="s">
        <v>588</v>
      </c>
      <c r="D81" s="231" t="s">
        <v>1167</v>
      </c>
      <c r="E81" s="232" t="s">
        <v>1168</v>
      </c>
      <c r="F81" s="231" t="s">
        <v>88</v>
      </c>
      <c r="G81" s="233"/>
      <c r="H81" s="233"/>
      <c r="I81" s="234"/>
      <c r="J81" s="234"/>
      <c r="K81" s="234"/>
      <c r="L81" s="231" t="s">
        <v>108</v>
      </c>
      <c r="M81" s="231" t="s">
        <v>53</v>
      </c>
      <c r="N81" s="231" t="s">
        <v>94</v>
      </c>
      <c r="O81" s="233"/>
      <c r="P81" s="232" t="s">
        <v>1170</v>
      </c>
      <c r="Q81" s="231" t="s">
        <v>34</v>
      </c>
      <c r="R81" s="230">
        <v>46299</v>
      </c>
      <c r="S81" s="231" t="s">
        <v>94</v>
      </c>
      <c r="T81" s="234"/>
      <c r="U81" s="234"/>
    </row>
    <row r="82" spans="1:21" ht="12.75">
      <c r="A82" s="230">
        <v>46299</v>
      </c>
      <c r="B82" s="234"/>
      <c r="C82" s="266" t="s">
        <v>584</v>
      </c>
      <c r="D82" s="266" t="s">
        <v>1174</v>
      </c>
      <c r="E82" s="238" t="s">
        <v>1175</v>
      </c>
      <c r="F82" s="231" t="s">
        <v>295</v>
      </c>
      <c r="G82" s="233"/>
      <c r="H82" s="233"/>
      <c r="I82" s="234"/>
      <c r="J82" s="234"/>
      <c r="K82" s="234"/>
      <c r="L82" s="231" t="s">
        <v>108</v>
      </c>
      <c r="M82" s="231" t="s">
        <v>53</v>
      </c>
      <c r="N82" s="231" t="s">
        <v>55</v>
      </c>
      <c r="O82" s="233"/>
      <c r="P82" s="232"/>
      <c r="Q82" s="231" t="s">
        <v>34</v>
      </c>
      <c r="R82" s="231" t="s">
        <v>34</v>
      </c>
      <c r="S82" s="231" t="s">
        <v>55</v>
      </c>
      <c r="T82" s="234"/>
      <c r="U82" s="234"/>
    </row>
    <row r="83" spans="1:21" ht="12.75">
      <c r="A83" s="230">
        <v>46299</v>
      </c>
      <c r="B83" s="234"/>
      <c r="C83" s="231" t="s">
        <v>1178</v>
      </c>
      <c r="D83" s="231" t="s">
        <v>1179</v>
      </c>
      <c r="E83" s="232" t="s">
        <v>1180</v>
      </c>
      <c r="F83" s="231" t="s">
        <v>88</v>
      </c>
      <c r="G83" s="233"/>
      <c r="H83" s="233"/>
      <c r="I83" s="234"/>
      <c r="J83" s="234"/>
      <c r="K83" s="234"/>
      <c r="L83" s="231" t="s">
        <v>108</v>
      </c>
      <c r="M83" s="231" t="s">
        <v>53</v>
      </c>
      <c r="N83" s="230" t="s">
        <v>55</v>
      </c>
      <c r="O83" s="233"/>
      <c r="P83" s="232" t="s">
        <v>1182</v>
      </c>
      <c r="Q83" s="231" t="s">
        <v>34</v>
      </c>
      <c r="R83" s="231" t="s">
        <v>34</v>
      </c>
      <c r="S83" s="230" t="s">
        <v>55</v>
      </c>
      <c r="T83" s="234"/>
      <c r="U83" s="234"/>
    </row>
    <row r="84" spans="1:21" ht="12.75">
      <c r="A84" s="230">
        <v>46299</v>
      </c>
      <c r="B84" s="234"/>
      <c r="C84" s="231" t="s">
        <v>126</v>
      </c>
      <c r="D84" s="231" t="s">
        <v>1184</v>
      </c>
      <c r="E84" s="232" t="s">
        <v>1185</v>
      </c>
      <c r="F84" s="231" t="s">
        <v>88</v>
      </c>
      <c r="G84" s="233"/>
      <c r="H84" s="233"/>
      <c r="I84" s="234"/>
      <c r="J84" s="234"/>
      <c r="K84" s="234"/>
      <c r="L84" s="231" t="s">
        <v>52</v>
      </c>
      <c r="M84" s="231" t="s">
        <v>53</v>
      </c>
      <c r="N84" s="230" t="s">
        <v>322</v>
      </c>
      <c r="O84" s="233"/>
      <c r="P84" s="232" t="s">
        <v>1185</v>
      </c>
      <c r="Q84" s="231" t="s">
        <v>34</v>
      </c>
      <c r="R84" s="231" t="s">
        <v>34</v>
      </c>
      <c r="S84" s="230" t="s">
        <v>322</v>
      </c>
      <c r="T84" s="234"/>
      <c r="U84" s="234"/>
    </row>
    <row r="85" spans="1:21" ht="12.75">
      <c r="A85" s="230">
        <v>46299</v>
      </c>
      <c r="B85" s="234"/>
      <c r="C85" s="231" t="s">
        <v>126</v>
      </c>
      <c r="D85" s="231" t="s">
        <v>1188</v>
      </c>
      <c r="E85" s="232" t="s">
        <v>1189</v>
      </c>
      <c r="F85" s="231" t="s">
        <v>88</v>
      </c>
      <c r="G85" s="233"/>
      <c r="H85" s="233"/>
      <c r="I85" s="234"/>
      <c r="J85" s="234"/>
      <c r="K85" s="234"/>
      <c r="L85" s="231" t="s">
        <v>52</v>
      </c>
      <c r="M85" s="231" t="s">
        <v>53</v>
      </c>
      <c r="N85" s="230" t="s">
        <v>322</v>
      </c>
      <c r="O85" s="233"/>
      <c r="P85" s="232" t="s">
        <v>1189</v>
      </c>
      <c r="Q85" s="231" t="s">
        <v>34</v>
      </c>
      <c r="R85" s="231" t="s">
        <v>34</v>
      </c>
      <c r="S85" s="230" t="s">
        <v>322</v>
      </c>
      <c r="T85" s="234"/>
      <c r="U85" s="234"/>
    </row>
    <row r="86" spans="1:21" ht="12.75">
      <c r="A86" s="230">
        <v>46299</v>
      </c>
      <c r="B86" s="234"/>
      <c r="C86" s="231" t="s">
        <v>1192</v>
      </c>
      <c r="D86" s="231" t="s">
        <v>1193</v>
      </c>
      <c r="E86" s="232" t="s">
        <v>1194</v>
      </c>
      <c r="F86" s="231" t="s">
        <v>88</v>
      </c>
      <c r="G86" s="233"/>
      <c r="H86" s="233"/>
      <c r="I86" s="234"/>
      <c r="J86" s="234"/>
      <c r="K86" s="234"/>
      <c r="L86" s="231" t="s">
        <v>52</v>
      </c>
      <c r="M86" s="231" t="s">
        <v>53</v>
      </c>
      <c r="N86" s="230" t="s">
        <v>55</v>
      </c>
      <c r="O86" s="233"/>
      <c r="P86" s="232" t="s">
        <v>1195</v>
      </c>
      <c r="Q86" s="231" t="s">
        <v>34</v>
      </c>
      <c r="R86" s="231" t="s">
        <v>34</v>
      </c>
      <c r="S86" s="230" t="s">
        <v>55</v>
      </c>
      <c r="T86" s="234"/>
      <c r="U86" s="234"/>
    </row>
    <row r="87" spans="1:21" ht="12.75">
      <c r="A87" s="230">
        <v>46299</v>
      </c>
      <c r="B87" s="234"/>
      <c r="C87" s="231" t="s">
        <v>1042</v>
      </c>
      <c r="D87" s="231" t="s">
        <v>1109</v>
      </c>
      <c r="E87" s="232" t="s">
        <v>1197</v>
      </c>
      <c r="F87" s="231" t="s">
        <v>88</v>
      </c>
      <c r="G87" s="233"/>
      <c r="H87" s="233"/>
      <c r="I87" s="234"/>
      <c r="J87" s="234"/>
      <c r="K87" s="234"/>
      <c r="L87" s="231" t="s">
        <v>85</v>
      </c>
      <c r="M87" s="231" t="s">
        <v>835</v>
      </c>
      <c r="N87" s="230" t="s">
        <v>677</v>
      </c>
      <c r="O87" s="233"/>
      <c r="P87" s="232" t="s">
        <v>1113</v>
      </c>
      <c r="Q87" s="231" t="s">
        <v>34</v>
      </c>
      <c r="R87" s="231" t="s">
        <v>34</v>
      </c>
      <c r="S87" s="230" t="s">
        <v>677</v>
      </c>
      <c r="T87" s="234"/>
      <c r="U87" s="234"/>
    </row>
    <row r="88" spans="1:21" ht="12.75">
      <c r="A88" s="230">
        <v>46299</v>
      </c>
      <c r="B88" s="234"/>
      <c r="C88" s="231" t="s">
        <v>1042</v>
      </c>
      <c r="D88" s="231" t="s">
        <v>1114</v>
      </c>
      <c r="E88" s="232" t="s">
        <v>1199</v>
      </c>
      <c r="F88" s="231" t="s">
        <v>88</v>
      </c>
      <c r="G88" s="233"/>
      <c r="H88" s="233"/>
      <c r="I88" s="234"/>
      <c r="J88" s="234"/>
      <c r="K88" s="234"/>
      <c r="L88" s="231" t="s">
        <v>85</v>
      </c>
      <c r="M88" s="231" t="s">
        <v>835</v>
      </c>
      <c r="N88" s="230" t="s">
        <v>677</v>
      </c>
      <c r="O88" s="233"/>
      <c r="P88" s="232" t="s">
        <v>1113</v>
      </c>
      <c r="Q88" s="231" t="s">
        <v>34</v>
      </c>
      <c r="R88" s="231" t="s">
        <v>34</v>
      </c>
      <c r="S88" s="230" t="s">
        <v>677</v>
      </c>
      <c r="T88" s="234"/>
      <c r="U88" s="234"/>
    </row>
    <row r="89" spans="1:21" ht="12.75">
      <c r="A89" s="230">
        <v>46299</v>
      </c>
      <c r="B89" s="234"/>
      <c r="C89" s="231" t="s">
        <v>656</v>
      </c>
      <c r="D89" s="231" t="s">
        <v>1202</v>
      </c>
      <c r="E89" s="232" t="s">
        <v>1203</v>
      </c>
      <c r="F89" s="231" t="s">
        <v>88</v>
      </c>
      <c r="G89" s="233"/>
      <c r="H89" s="233"/>
      <c r="I89" s="234"/>
      <c r="J89" s="234"/>
      <c r="K89" s="234"/>
      <c r="L89" s="231" t="s">
        <v>52</v>
      </c>
      <c r="M89" s="231" t="s">
        <v>53</v>
      </c>
      <c r="N89" s="230" t="s">
        <v>66</v>
      </c>
      <c r="O89" s="233"/>
      <c r="P89" s="232" t="s">
        <v>1204</v>
      </c>
      <c r="Q89" s="231" t="s">
        <v>34</v>
      </c>
      <c r="R89" s="231" t="s">
        <v>34</v>
      </c>
      <c r="S89" s="230" t="s">
        <v>66</v>
      </c>
      <c r="T89" s="234"/>
      <c r="U89" s="234"/>
    </row>
    <row r="90" spans="1:21" ht="12.75">
      <c r="A90" s="230">
        <v>46299</v>
      </c>
      <c r="B90" s="234"/>
      <c r="C90" s="231" t="s">
        <v>1206</v>
      </c>
      <c r="D90" s="231" t="s">
        <v>1207</v>
      </c>
      <c r="E90" s="232" t="s">
        <v>1208</v>
      </c>
      <c r="F90" s="231" t="s">
        <v>88</v>
      </c>
      <c r="G90" s="233"/>
      <c r="H90" s="233"/>
      <c r="I90" s="234"/>
      <c r="J90" s="234"/>
      <c r="K90" s="234"/>
      <c r="L90" s="231" t="s">
        <v>85</v>
      </c>
      <c r="M90" s="231" t="s">
        <v>835</v>
      </c>
      <c r="N90" s="230" t="s">
        <v>375</v>
      </c>
      <c r="O90" s="233"/>
      <c r="P90" s="232" t="s">
        <v>1209</v>
      </c>
      <c r="Q90" s="231" t="s">
        <v>34</v>
      </c>
      <c r="R90" s="231" t="s">
        <v>34</v>
      </c>
      <c r="S90" s="230" t="s">
        <v>375</v>
      </c>
      <c r="T90" s="234"/>
      <c r="U90" s="234"/>
    </row>
    <row r="91" spans="1:21" ht="12.75">
      <c r="A91" s="230">
        <v>46299</v>
      </c>
      <c r="B91" s="234"/>
      <c r="C91" s="267" t="s">
        <v>101</v>
      </c>
      <c r="D91" s="267" t="s">
        <v>1212</v>
      </c>
      <c r="E91" s="268" t="s">
        <v>1213</v>
      </c>
      <c r="F91" s="231" t="s">
        <v>88</v>
      </c>
      <c r="G91" s="233"/>
      <c r="H91" s="233"/>
      <c r="I91" s="234"/>
      <c r="J91" s="234"/>
      <c r="K91" s="234"/>
      <c r="L91" s="231" t="s">
        <v>108</v>
      </c>
      <c r="M91" s="231" t="s">
        <v>53</v>
      </c>
      <c r="N91" s="269" t="s">
        <v>109</v>
      </c>
      <c r="O91" s="233"/>
      <c r="P91" s="268" t="s">
        <v>1216</v>
      </c>
      <c r="Q91" s="231" t="s">
        <v>34</v>
      </c>
      <c r="R91" s="231" t="s">
        <v>34</v>
      </c>
      <c r="S91" s="269" t="s">
        <v>109</v>
      </c>
      <c r="T91" s="234"/>
      <c r="U91" s="234"/>
    </row>
    <row r="92" spans="1:21" ht="12.75">
      <c r="A92" s="230">
        <v>46299</v>
      </c>
      <c r="B92" s="234"/>
      <c r="C92" s="267" t="s">
        <v>406</v>
      </c>
      <c r="D92" s="267" t="s">
        <v>1217</v>
      </c>
      <c r="E92" s="268" t="s">
        <v>1218</v>
      </c>
      <c r="F92" s="231" t="s">
        <v>88</v>
      </c>
      <c r="G92" s="233"/>
      <c r="H92" s="233"/>
      <c r="I92" s="234"/>
      <c r="J92" s="234"/>
      <c r="K92" s="234"/>
      <c r="L92" s="231" t="s">
        <v>52</v>
      </c>
      <c r="M92" s="231" t="s">
        <v>53</v>
      </c>
      <c r="N92" s="269" t="s">
        <v>322</v>
      </c>
      <c r="O92" s="233"/>
      <c r="P92" s="268" t="s">
        <v>1218</v>
      </c>
      <c r="Q92" s="231" t="s">
        <v>34</v>
      </c>
      <c r="R92" s="231" t="s">
        <v>34</v>
      </c>
      <c r="S92" s="269" t="s">
        <v>322</v>
      </c>
      <c r="T92" s="234"/>
      <c r="U92" s="234"/>
    </row>
    <row r="93" spans="1:21" ht="12.75">
      <c r="A93" s="230">
        <v>46299</v>
      </c>
      <c r="B93" s="234"/>
      <c r="C93" s="267" t="s">
        <v>1221</v>
      </c>
      <c r="D93" s="267" t="s">
        <v>1222</v>
      </c>
      <c r="E93" s="268" t="s">
        <v>1223</v>
      </c>
      <c r="F93" s="231" t="s">
        <v>88</v>
      </c>
      <c r="G93" s="233"/>
      <c r="H93" s="233"/>
      <c r="I93" s="234"/>
      <c r="J93" s="234"/>
      <c r="K93" s="234"/>
      <c r="L93" s="231" t="s">
        <v>52</v>
      </c>
      <c r="M93" s="231" t="s">
        <v>53</v>
      </c>
      <c r="N93" s="269" t="s">
        <v>94</v>
      </c>
      <c r="O93" s="233"/>
      <c r="P93" s="268" t="s">
        <v>1223</v>
      </c>
      <c r="Q93" s="231" t="s">
        <v>34</v>
      </c>
      <c r="R93" s="231" t="s">
        <v>34</v>
      </c>
      <c r="S93" s="269" t="s">
        <v>94</v>
      </c>
      <c r="T93" s="234"/>
      <c r="U93" s="234"/>
    </row>
    <row r="94" spans="1:21" ht="12.75">
      <c r="A94" s="230">
        <v>46299</v>
      </c>
      <c r="B94" s="234"/>
      <c r="C94" s="270" t="s">
        <v>227</v>
      </c>
      <c r="D94" s="270" t="s">
        <v>1225</v>
      </c>
      <c r="E94" s="271" t="s">
        <v>1226</v>
      </c>
      <c r="F94" s="231" t="s">
        <v>88</v>
      </c>
      <c r="G94" s="233"/>
      <c r="H94" s="233"/>
      <c r="I94" s="234"/>
      <c r="J94" s="234"/>
      <c r="K94" s="234"/>
      <c r="L94" s="231" t="s">
        <v>52</v>
      </c>
      <c r="M94" s="231" t="s">
        <v>53</v>
      </c>
      <c r="N94" s="273" t="s">
        <v>111</v>
      </c>
      <c r="O94" s="233"/>
      <c r="P94" s="271" t="s">
        <v>1226</v>
      </c>
      <c r="Q94" s="231" t="s">
        <v>34</v>
      </c>
      <c r="R94" s="231" t="s">
        <v>34</v>
      </c>
      <c r="S94" s="273" t="s">
        <v>111</v>
      </c>
      <c r="T94" s="234"/>
      <c r="U94" s="234"/>
    </row>
    <row r="95" spans="1:21" ht="12.75">
      <c r="A95" s="230">
        <v>46299</v>
      </c>
      <c r="B95" s="234"/>
      <c r="C95" s="231" t="s">
        <v>272</v>
      </c>
      <c r="D95" s="231" t="s">
        <v>1229</v>
      </c>
      <c r="E95" s="232" t="s">
        <v>1230</v>
      </c>
      <c r="F95" s="231" t="s">
        <v>88</v>
      </c>
      <c r="G95" s="233"/>
      <c r="H95" s="233"/>
      <c r="I95" s="234"/>
      <c r="J95" s="234"/>
      <c r="K95" s="234"/>
      <c r="L95" s="231" t="s">
        <v>52</v>
      </c>
      <c r="M95" s="231" t="s">
        <v>53</v>
      </c>
      <c r="N95" s="230" t="s">
        <v>55</v>
      </c>
      <c r="O95" s="233"/>
      <c r="P95" s="232" t="s">
        <v>1230</v>
      </c>
      <c r="Q95" s="231" t="s">
        <v>34</v>
      </c>
      <c r="R95" s="231" t="s">
        <v>34</v>
      </c>
      <c r="S95" s="230" t="s">
        <v>55</v>
      </c>
      <c r="T95" s="234"/>
      <c r="U95" s="234"/>
    </row>
    <row r="96" spans="1:21" ht="12.75">
      <c r="A96" s="230">
        <v>46299</v>
      </c>
      <c r="B96" s="234"/>
      <c r="C96" s="274" t="s">
        <v>198</v>
      </c>
      <c r="D96" s="274" t="s">
        <v>1233</v>
      </c>
      <c r="E96" s="275" t="s">
        <v>1234</v>
      </c>
      <c r="F96" s="231" t="s">
        <v>88</v>
      </c>
      <c r="G96" s="233"/>
      <c r="H96" s="233"/>
      <c r="I96" s="234"/>
      <c r="J96" s="234"/>
      <c r="K96" s="234"/>
      <c r="L96" s="231" t="s">
        <v>52</v>
      </c>
      <c r="M96" s="231" t="s">
        <v>53</v>
      </c>
      <c r="N96" s="276" t="s">
        <v>55</v>
      </c>
      <c r="O96" s="233"/>
      <c r="P96" s="275" t="s">
        <v>1234</v>
      </c>
      <c r="Q96" s="231" t="s">
        <v>34</v>
      </c>
      <c r="R96" s="231" t="s">
        <v>34</v>
      </c>
      <c r="S96" s="276" t="s">
        <v>55</v>
      </c>
      <c r="T96" s="234"/>
      <c r="U96" s="234"/>
    </row>
    <row r="97" spans="1:21" ht="12.75">
      <c r="A97" s="230">
        <v>46299</v>
      </c>
      <c r="B97" s="234"/>
      <c r="C97" s="267" t="s">
        <v>198</v>
      </c>
      <c r="D97" s="267" t="s">
        <v>1237</v>
      </c>
      <c r="E97" s="268" t="s">
        <v>1238</v>
      </c>
      <c r="F97" s="231" t="s">
        <v>88</v>
      </c>
      <c r="G97" s="233"/>
      <c r="H97" s="233"/>
      <c r="I97" s="234"/>
      <c r="J97" s="234"/>
      <c r="K97" s="234"/>
      <c r="L97" s="231" t="s">
        <v>52</v>
      </c>
      <c r="M97" s="231" t="s">
        <v>53</v>
      </c>
      <c r="N97" s="269" t="s">
        <v>55</v>
      </c>
      <c r="O97" s="233"/>
      <c r="P97" s="268" t="s">
        <v>1238</v>
      </c>
      <c r="Q97" s="231" t="s">
        <v>34</v>
      </c>
      <c r="R97" s="231" t="s">
        <v>34</v>
      </c>
      <c r="S97" s="269" t="s">
        <v>55</v>
      </c>
      <c r="T97" s="234"/>
      <c r="U97" s="234"/>
    </row>
    <row r="98" spans="1:21" ht="12.75">
      <c r="A98" s="230">
        <v>46299</v>
      </c>
      <c r="B98" s="234"/>
      <c r="C98" s="267" t="s">
        <v>1241</v>
      </c>
      <c r="D98" s="267" t="s">
        <v>1242</v>
      </c>
      <c r="E98" s="268" t="s">
        <v>1243</v>
      </c>
      <c r="F98" s="231" t="s">
        <v>88</v>
      </c>
      <c r="G98" s="233"/>
      <c r="H98" s="233"/>
      <c r="I98" s="234"/>
      <c r="J98" s="234"/>
      <c r="K98" s="234"/>
      <c r="L98" s="231" t="s">
        <v>86</v>
      </c>
      <c r="M98" s="231" t="s">
        <v>90</v>
      </c>
      <c r="N98" s="269" t="s">
        <v>55</v>
      </c>
      <c r="O98" s="233"/>
      <c r="P98" s="268" t="s">
        <v>1243</v>
      </c>
      <c r="Q98" s="231" t="s">
        <v>34</v>
      </c>
      <c r="R98" s="231" t="s">
        <v>34</v>
      </c>
      <c r="S98" s="269" t="s">
        <v>55</v>
      </c>
      <c r="T98" s="234"/>
      <c r="U98" s="234"/>
    </row>
    <row r="99" spans="1:21" ht="12.75">
      <c r="A99" s="230">
        <v>46299</v>
      </c>
      <c r="B99" s="234"/>
      <c r="C99" s="267" t="s">
        <v>1241</v>
      </c>
      <c r="D99" s="267" t="s">
        <v>1245</v>
      </c>
      <c r="E99" s="268" t="s">
        <v>1246</v>
      </c>
      <c r="F99" s="231" t="s">
        <v>88</v>
      </c>
      <c r="G99" s="233"/>
      <c r="H99" s="233"/>
      <c r="I99" s="234"/>
      <c r="J99" s="234"/>
      <c r="K99" s="234"/>
      <c r="L99" s="231" t="s">
        <v>86</v>
      </c>
      <c r="M99" s="231" t="s">
        <v>90</v>
      </c>
      <c r="N99" s="269" t="s">
        <v>55</v>
      </c>
      <c r="O99" s="233"/>
      <c r="P99" s="268" t="s">
        <v>1246</v>
      </c>
      <c r="Q99" s="231" t="s">
        <v>34</v>
      </c>
      <c r="R99" s="231" t="s">
        <v>34</v>
      </c>
      <c r="S99" s="269" t="s">
        <v>55</v>
      </c>
      <c r="T99" s="234"/>
      <c r="U99" s="234"/>
    </row>
    <row r="100" spans="1:21" ht="12.75">
      <c r="A100" s="230">
        <v>46299</v>
      </c>
      <c r="B100" s="234"/>
      <c r="C100" s="267" t="s">
        <v>1241</v>
      </c>
      <c r="D100" s="267" t="s">
        <v>1248</v>
      </c>
      <c r="E100" s="268" t="s">
        <v>1249</v>
      </c>
      <c r="F100" s="231" t="s">
        <v>88</v>
      </c>
      <c r="G100" s="233"/>
      <c r="H100" s="233"/>
      <c r="I100" s="234"/>
      <c r="J100" s="234"/>
      <c r="K100" s="234"/>
      <c r="L100" s="231" t="s">
        <v>86</v>
      </c>
      <c r="M100" s="231" t="s">
        <v>90</v>
      </c>
      <c r="N100" s="269" t="s">
        <v>55</v>
      </c>
      <c r="O100" s="233"/>
      <c r="P100" s="268" t="s">
        <v>1249</v>
      </c>
      <c r="Q100" s="231" t="s">
        <v>34</v>
      </c>
      <c r="R100" s="231" t="s">
        <v>34</v>
      </c>
      <c r="S100" s="269" t="s">
        <v>55</v>
      </c>
      <c r="T100" s="234"/>
      <c r="U100" s="234"/>
    </row>
    <row r="101" spans="1:21" ht="12.75">
      <c r="A101" s="230">
        <v>46300</v>
      </c>
      <c r="B101" s="231"/>
      <c r="C101" s="231" t="s">
        <v>1253</v>
      </c>
      <c r="D101" s="231" t="s">
        <v>1254</v>
      </c>
      <c r="E101" s="232" t="s">
        <v>1255</v>
      </c>
      <c r="F101" s="231" t="s">
        <v>88</v>
      </c>
      <c r="G101" s="230">
        <v>46166</v>
      </c>
      <c r="H101" s="230"/>
      <c r="I101" s="231"/>
      <c r="J101" s="231"/>
      <c r="K101" s="231"/>
      <c r="L101" s="231" t="s">
        <v>85</v>
      </c>
      <c r="M101" s="231" t="s">
        <v>1256</v>
      </c>
      <c r="N101" s="231" t="s">
        <v>328</v>
      </c>
      <c r="O101" s="230"/>
      <c r="P101" s="232" t="s">
        <v>1257</v>
      </c>
      <c r="Q101" s="231" t="s">
        <v>34</v>
      </c>
      <c r="R101" s="230">
        <v>46300</v>
      </c>
      <c r="S101" s="231" t="s">
        <v>328</v>
      </c>
      <c r="T101" s="231"/>
      <c r="U101" s="231"/>
    </row>
    <row r="102" spans="1:21" ht="12.75">
      <c r="A102" s="230">
        <v>46300</v>
      </c>
      <c r="B102" s="231"/>
      <c r="C102" s="231" t="s">
        <v>1253</v>
      </c>
      <c r="D102" s="231" t="s">
        <v>1260</v>
      </c>
      <c r="E102" s="232" t="s">
        <v>1261</v>
      </c>
      <c r="F102" s="231" t="s">
        <v>88</v>
      </c>
      <c r="G102" s="230">
        <v>46169</v>
      </c>
      <c r="H102" s="230"/>
      <c r="I102" s="231"/>
      <c r="J102" s="231"/>
      <c r="K102" s="231"/>
      <c r="L102" s="231" t="s">
        <v>85</v>
      </c>
      <c r="M102" s="231" t="s">
        <v>1256</v>
      </c>
      <c r="N102" s="231" t="s">
        <v>328</v>
      </c>
      <c r="O102" s="230"/>
      <c r="P102" s="232" t="s">
        <v>1262</v>
      </c>
      <c r="Q102" s="231" t="s">
        <v>1263</v>
      </c>
      <c r="R102" s="230">
        <v>46300</v>
      </c>
      <c r="S102" s="231" t="s">
        <v>328</v>
      </c>
      <c r="T102" s="231"/>
      <c r="U102" s="231"/>
    </row>
    <row r="103" spans="1:21" ht="12.75">
      <c r="A103" s="230">
        <v>46300</v>
      </c>
      <c r="B103" s="231"/>
      <c r="C103" s="231" t="s">
        <v>1253</v>
      </c>
      <c r="D103" s="231" t="s">
        <v>1264</v>
      </c>
      <c r="E103" s="232" t="s">
        <v>1266</v>
      </c>
      <c r="F103" s="231" t="s">
        <v>1267</v>
      </c>
      <c r="G103" s="230">
        <v>46169</v>
      </c>
      <c r="H103" s="230"/>
      <c r="I103" s="231"/>
      <c r="J103" s="231"/>
      <c r="K103" s="231"/>
      <c r="L103" s="231" t="s">
        <v>85</v>
      </c>
      <c r="M103" s="231" t="s">
        <v>1256</v>
      </c>
      <c r="N103" s="231" t="s">
        <v>328</v>
      </c>
      <c r="O103" s="230"/>
      <c r="P103" s="232" t="s">
        <v>1268</v>
      </c>
      <c r="Q103" s="231" t="s">
        <v>1269</v>
      </c>
      <c r="R103" s="230">
        <v>46300</v>
      </c>
      <c r="S103" s="231" t="s">
        <v>328</v>
      </c>
      <c r="T103" s="231"/>
      <c r="U103" s="231"/>
    </row>
    <row r="104" spans="1:21" ht="12.75">
      <c r="A104" s="230">
        <v>46300</v>
      </c>
      <c r="B104" s="231"/>
      <c r="C104" s="231" t="s">
        <v>1270</v>
      </c>
      <c r="D104" s="231" t="s">
        <v>1271</v>
      </c>
      <c r="E104" s="232" t="s">
        <v>1272</v>
      </c>
      <c r="F104" s="231" t="s">
        <v>88</v>
      </c>
      <c r="G104" s="230">
        <v>46295</v>
      </c>
      <c r="H104" s="230"/>
      <c r="I104" s="231"/>
      <c r="J104" s="231"/>
      <c r="K104" s="231"/>
      <c r="L104" s="231" t="s">
        <v>86</v>
      </c>
      <c r="M104" s="231" t="s">
        <v>1273</v>
      </c>
      <c r="N104" s="231" t="s">
        <v>55</v>
      </c>
      <c r="O104" s="230"/>
      <c r="P104" s="232" t="s">
        <v>1274</v>
      </c>
      <c r="Q104" s="231" t="s">
        <v>1263</v>
      </c>
      <c r="R104" s="230">
        <v>46297</v>
      </c>
      <c r="S104" s="231" t="s">
        <v>1275</v>
      </c>
      <c r="T104" s="231"/>
      <c r="U104" s="231"/>
    </row>
    <row r="105" spans="1:21" ht="12.75">
      <c r="A105" s="230">
        <v>46300</v>
      </c>
      <c r="B105" s="231"/>
      <c r="C105" s="231" t="s">
        <v>306</v>
      </c>
      <c r="D105" s="231" t="s">
        <v>1278</v>
      </c>
      <c r="E105" s="232" t="s">
        <v>1279</v>
      </c>
      <c r="F105" s="231" t="s">
        <v>88</v>
      </c>
      <c r="G105" s="230">
        <v>46297</v>
      </c>
      <c r="H105" s="230"/>
      <c r="I105" s="231"/>
      <c r="J105" s="231"/>
      <c r="K105" s="231"/>
      <c r="L105" s="231" t="s">
        <v>108</v>
      </c>
      <c r="M105" s="231" t="s">
        <v>53</v>
      </c>
      <c r="N105" s="231" t="s">
        <v>109</v>
      </c>
      <c r="O105" s="230"/>
      <c r="P105" s="232" t="s">
        <v>1280</v>
      </c>
      <c r="Q105" s="231" t="s">
        <v>34</v>
      </c>
      <c r="R105" s="230">
        <v>46300</v>
      </c>
      <c r="S105" s="231" t="s">
        <v>109</v>
      </c>
      <c r="T105" s="231"/>
      <c r="U105" s="231"/>
    </row>
    <row r="106" spans="1:21" ht="12.75">
      <c r="A106" s="230">
        <v>46300</v>
      </c>
      <c r="B106" s="231"/>
      <c r="C106" s="231" t="s">
        <v>306</v>
      </c>
      <c r="D106" s="231" t="s">
        <v>1281</v>
      </c>
      <c r="E106" s="232" t="s">
        <v>1282</v>
      </c>
      <c r="F106" s="231" t="s">
        <v>88</v>
      </c>
      <c r="G106" s="230">
        <v>46297</v>
      </c>
      <c r="H106" s="230"/>
      <c r="I106" s="231"/>
      <c r="J106" s="231"/>
      <c r="K106" s="231"/>
      <c r="L106" s="231" t="s">
        <v>108</v>
      </c>
      <c r="M106" s="231" t="s">
        <v>53</v>
      </c>
      <c r="N106" s="231" t="s">
        <v>109</v>
      </c>
      <c r="O106" s="230"/>
      <c r="P106" s="232" t="s">
        <v>1284</v>
      </c>
      <c r="Q106" s="231" t="s">
        <v>34</v>
      </c>
      <c r="R106" s="230">
        <v>46300</v>
      </c>
      <c r="S106" s="231" t="s">
        <v>109</v>
      </c>
      <c r="T106" s="231"/>
      <c r="U106" s="231"/>
    </row>
    <row r="107" spans="1:21" ht="12.75">
      <c r="A107" s="230">
        <v>46300</v>
      </c>
      <c r="B107" s="231"/>
      <c r="C107" s="231" t="s">
        <v>780</v>
      </c>
      <c r="D107" s="231" t="s">
        <v>1286</v>
      </c>
      <c r="E107" s="238" t="s">
        <v>1287</v>
      </c>
      <c r="F107" s="231" t="s">
        <v>88</v>
      </c>
      <c r="G107" s="230">
        <v>46300</v>
      </c>
      <c r="H107" s="230"/>
      <c r="I107" s="231"/>
      <c r="J107" s="231"/>
      <c r="K107" s="231"/>
      <c r="L107" s="231" t="s">
        <v>85</v>
      </c>
      <c r="M107" s="231" t="s">
        <v>1256</v>
      </c>
      <c r="N107" s="231" t="s">
        <v>214</v>
      </c>
      <c r="O107" s="230"/>
      <c r="P107" s="232" t="s">
        <v>1288</v>
      </c>
      <c r="Q107" s="231" t="s">
        <v>34</v>
      </c>
      <c r="R107" s="230">
        <v>46300</v>
      </c>
      <c r="S107" s="231" t="s">
        <v>214</v>
      </c>
      <c r="T107" s="231"/>
      <c r="U107" s="231"/>
    </row>
    <row r="108" spans="1:21" ht="12.75">
      <c r="A108" s="230">
        <v>46300</v>
      </c>
      <c r="B108" s="231"/>
      <c r="C108" s="231" t="s">
        <v>780</v>
      </c>
      <c r="D108" s="231" t="s">
        <v>1289</v>
      </c>
      <c r="E108" s="232" t="s">
        <v>1290</v>
      </c>
      <c r="F108" s="231" t="s">
        <v>88</v>
      </c>
      <c r="G108" s="230">
        <v>46300</v>
      </c>
      <c r="H108" s="230"/>
      <c r="I108" s="231"/>
      <c r="J108" s="231"/>
      <c r="K108" s="231"/>
      <c r="L108" s="231" t="s">
        <v>85</v>
      </c>
      <c r="M108" s="231" t="s">
        <v>1256</v>
      </c>
      <c r="N108" s="231" t="s">
        <v>214</v>
      </c>
      <c r="O108" s="230"/>
      <c r="P108" s="232" t="s">
        <v>1288</v>
      </c>
      <c r="Q108" s="231" t="s">
        <v>34</v>
      </c>
      <c r="R108" s="230">
        <v>46300</v>
      </c>
      <c r="S108" s="231" t="s">
        <v>214</v>
      </c>
      <c r="T108" s="231"/>
      <c r="U108" s="231"/>
    </row>
    <row r="109" spans="1:21" ht="12.75">
      <c r="A109" s="230">
        <v>46300</v>
      </c>
      <c r="B109" s="231"/>
      <c r="C109" s="231" t="s">
        <v>1206</v>
      </c>
      <c r="D109" s="231" t="s">
        <v>1293</v>
      </c>
      <c r="E109" s="232" t="s">
        <v>1294</v>
      </c>
      <c r="F109" s="231" t="s">
        <v>88</v>
      </c>
      <c r="G109" s="230">
        <v>46300</v>
      </c>
      <c r="H109" s="230"/>
      <c r="I109" s="231"/>
      <c r="J109" s="231"/>
      <c r="K109" s="231"/>
      <c r="L109" s="231" t="s">
        <v>85</v>
      </c>
      <c r="M109" s="231" t="s">
        <v>1256</v>
      </c>
      <c r="N109" s="231" t="s">
        <v>375</v>
      </c>
      <c r="O109" s="230"/>
      <c r="P109" s="232" t="s">
        <v>1297</v>
      </c>
      <c r="Q109" s="231" t="s">
        <v>34</v>
      </c>
      <c r="R109" s="230">
        <v>46300</v>
      </c>
      <c r="S109" s="231" t="s">
        <v>375</v>
      </c>
      <c r="T109" s="231"/>
      <c r="U109" s="231"/>
    </row>
    <row r="110" spans="1:21" ht="12.75">
      <c r="A110" s="230">
        <v>46300</v>
      </c>
      <c r="B110" s="231"/>
      <c r="C110" s="231" t="s">
        <v>1298</v>
      </c>
      <c r="D110" s="231" t="s">
        <v>1299</v>
      </c>
      <c r="E110" s="232" t="s">
        <v>1300</v>
      </c>
      <c r="F110" s="231" t="s">
        <v>88</v>
      </c>
      <c r="G110" s="230">
        <v>46300</v>
      </c>
      <c r="H110" s="230"/>
      <c r="I110" s="231"/>
      <c r="J110" s="231"/>
      <c r="K110" s="231"/>
      <c r="L110" s="231" t="s">
        <v>85</v>
      </c>
      <c r="M110" s="231" t="s">
        <v>1256</v>
      </c>
      <c r="N110" s="231" t="s">
        <v>375</v>
      </c>
      <c r="O110" s="230"/>
      <c r="P110" s="232" t="s">
        <v>1302</v>
      </c>
      <c r="Q110" s="231" t="s">
        <v>34</v>
      </c>
      <c r="R110" s="230">
        <v>46300</v>
      </c>
      <c r="S110" s="231" t="s">
        <v>375</v>
      </c>
      <c r="T110" s="231"/>
      <c r="U110" s="231"/>
    </row>
    <row r="111" spans="1:21" ht="12.75">
      <c r="A111" s="230">
        <v>46300</v>
      </c>
      <c r="B111" s="231"/>
      <c r="C111" s="231" t="s">
        <v>1304</v>
      </c>
      <c r="D111" s="231" t="s">
        <v>1305</v>
      </c>
      <c r="E111" s="232" t="s">
        <v>1306</v>
      </c>
      <c r="F111" s="231" t="s">
        <v>88</v>
      </c>
      <c r="G111" s="230">
        <v>46300</v>
      </c>
      <c r="H111" s="230"/>
      <c r="I111" s="231"/>
      <c r="J111" s="231"/>
      <c r="K111" s="231"/>
      <c r="L111" s="231" t="s">
        <v>85</v>
      </c>
      <c r="M111" s="231" t="s">
        <v>1256</v>
      </c>
      <c r="N111" s="231" t="s">
        <v>97</v>
      </c>
      <c r="O111" s="230"/>
      <c r="P111" s="232" t="s">
        <v>1307</v>
      </c>
      <c r="Q111" s="231" t="s">
        <v>34</v>
      </c>
      <c r="R111" s="230">
        <v>46300</v>
      </c>
      <c r="S111" s="231" t="s">
        <v>97</v>
      </c>
      <c r="T111" s="231"/>
      <c r="U111" s="231"/>
    </row>
    <row r="112" spans="1:21" ht="12.75">
      <c r="A112" s="230">
        <v>46300</v>
      </c>
      <c r="B112" s="231"/>
      <c r="C112" s="231" t="s">
        <v>1304</v>
      </c>
      <c r="D112" s="231" t="s">
        <v>1310</v>
      </c>
      <c r="E112" s="232" t="s">
        <v>1311</v>
      </c>
      <c r="F112" s="231" t="s">
        <v>88</v>
      </c>
      <c r="G112" s="230">
        <v>46300</v>
      </c>
      <c r="H112" s="230"/>
      <c r="I112" s="231"/>
      <c r="J112" s="231"/>
      <c r="K112" s="231"/>
      <c r="L112" s="231" t="s">
        <v>85</v>
      </c>
      <c r="M112" s="231" t="s">
        <v>1256</v>
      </c>
      <c r="N112" s="231" t="s">
        <v>97</v>
      </c>
      <c r="O112" s="230"/>
      <c r="P112" s="232" t="s">
        <v>1312</v>
      </c>
      <c r="Q112" s="231" t="s">
        <v>34</v>
      </c>
      <c r="R112" s="230">
        <v>46300</v>
      </c>
      <c r="S112" s="231" t="s">
        <v>97</v>
      </c>
      <c r="T112" s="231"/>
      <c r="U112" s="231"/>
    </row>
    <row r="113" spans="1:21" ht="12.75">
      <c r="A113" s="230">
        <v>46300</v>
      </c>
      <c r="B113" s="231"/>
      <c r="C113" s="231" t="s">
        <v>1304</v>
      </c>
      <c r="D113" s="231" t="s">
        <v>1315</v>
      </c>
      <c r="E113" s="232" t="s">
        <v>1316</v>
      </c>
      <c r="F113" s="231" t="s">
        <v>88</v>
      </c>
      <c r="G113" s="230">
        <v>46300</v>
      </c>
      <c r="H113" s="230"/>
      <c r="I113" s="231"/>
      <c r="J113" s="231"/>
      <c r="K113" s="231"/>
      <c r="L113" s="231" t="s">
        <v>85</v>
      </c>
      <c r="M113" s="231" t="s">
        <v>1256</v>
      </c>
      <c r="N113" s="231" t="s">
        <v>97</v>
      </c>
      <c r="O113" s="230"/>
      <c r="P113" s="232" t="s">
        <v>1317</v>
      </c>
      <c r="Q113" s="231" t="s">
        <v>34</v>
      </c>
      <c r="R113" s="230">
        <v>46300</v>
      </c>
      <c r="S113" s="231" t="s">
        <v>97</v>
      </c>
      <c r="T113" s="231"/>
      <c r="U113" s="231"/>
    </row>
    <row r="114" spans="1:21" ht="12.75">
      <c r="A114" s="230">
        <v>46300</v>
      </c>
      <c r="B114" s="231"/>
      <c r="C114" s="231" t="s">
        <v>1320</v>
      </c>
      <c r="D114" s="231" t="s">
        <v>1321</v>
      </c>
      <c r="E114" s="232" t="s">
        <v>1322</v>
      </c>
      <c r="F114" s="231" t="s">
        <v>88</v>
      </c>
      <c r="G114" s="230">
        <v>46300</v>
      </c>
      <c r="H114" s="230"/>
      <c r="I114" s="231"/>
      <c r="J114" s="231"/>
      <c r="K114" s="231"/>
      <c r="L114" s="231" t="s">
        <v>86</v>
      </c>
      <c r="M114" s="231" t="s">
        <v>631</v>
      </c>
      <c r="N114" s="230"/>
      <c r="O114" s="230"/>
      <c r="P114" s="232" t="s">
        <v>1324</v>
      </c>
      <c r="Q114" s="231" t="s">
        <v>34</v>
      </c>
      <c r="R114" s="230">
        <v>46300</v>
      </c>
      <c r="S114" s="231" t="s">
        <v>111</v>
      </c>
      <c r="T114" s="231"/>
      <c r="U114" s="231"/>
    </row>
    <row r="115" spans="1:21" ht="12.75">
      <c r="A115" s="230">
        <v>46300</v>
      </c>
      <c r="B115" s="231"/>
      <c r="C115" s="231" t="s">
        <v>377</v>
      </c>
      <c r="D115" s="231" t="s">
        <v>1327</v>
      </c>
      <c r="E115" s="232" t="s">
        <v>1328</v>
      </c>
      <c r="F115" s="231" t="s">
        <v>88</v>
      </c>
      <c r="G115" s="230">
        <v>46300</v>
      </c>
      <c r="H115" s="230"/>
      <c r="I115" s="231"/>
      <c r="J115" s="231"/>
      <c r="K115" s="231"/>
      <c r="L115" s="231" t="s">
        <v>108</v>
      </c>
      <c r="M115" s="231" t="s">
        <v>53</v>
      </c>
      <c r="N115" s="230"/>
      <c r="O115" s="230"/>
      <c r="P115" s="232" t="s">
        <v>1329</v>
      </c>
      <c r="Q115" s="231" t="s">
        <v>34</v>
      </c>
      <c r="R115" s="230">
        <v>46300</v>
      </c>
      <c r="S115" s="231" t="s">
        <v>162</v>
      </c>
      <c r="T115" s="231"/>
      <c r="U115" s="231"/>
    </row>
    <row r="116" spans="1:21" ht="12.75">
      <c r="A116" s="230">
        <v>46300</v>
      </c>
      <c r="B116" s="231"/>
      <c r="C116" s="231" t="s">
        <v>926</v>
      </c>
      <c r="D116" s="231" t="s">
        <v>1333</v>
      </c>
      <c r="E116" s="232" t="s">
        <v>1334</v>
      </c>
      <c r="F116" s="231" t="s">
        <v>88</v>
      </c>
      <c r="G116" s="230">
        <v>46300</v>
      </c>
      <c r="H116" s="230"/>
      <c r="I116" s="231"/>
      <c r="J116" s="231"/>
      <c r="K116" s="231"/>
      <c r="L116" s="231" t="s">
        <v>108</v>
      </c>
      <c r="M116" s="231" t="s">
        <v>53</v>
      </c>
      <c r="N116" s="230"/>
      <c r="O116" s="230"/>
      <c r="P116" s="232" t="s">
        <v>1335</v>
      </c>
      <c r="Q116" s="231" t="s">
        <v>34</v>
      </c>
      <c r="R116" s="230">
        <v>46300</v>
      </c>
      <c r="S116" s="231" t="s">
        <v>94</v>
      </c>
      <c r="T116" s="231"/>
      <c r="U116" s="231"/>
    </row>
    <row r="117" spans="1:21" ht="12.75">
      <c r="A117" s="277">
        <v>46297</v>
      </c>
      <c r="B117" s="231"/>
      <c r="C117" s="267" t="s">
        <v>1241</v>
      </c>
      <c r="D117" s="267" t="s">
        <v>1242</v>
      </c>
      <c r="E117" s="268" t="s">
        <v>1243</v>
      </c>
      <c r="F117" s="231" t="s">
        <v>88</v>
      </c>
      <c r="G117" s="230"/>
      <c r="H117" s="230"/>
      <c r="I117" s="231"/>
      <c r="J117" s="231"/>
      <c r="K117" s="231"/>
      <c r="L117" s="231" t="s">
        <v>86</v>
      </c>
      <c r="M117" s="231" t="s">
        <v>631</v>
      </c>
      <c r="N117" s="230"/>
      <c r="O117" s="230"/>
      <c r="P117" s="232" t="s">
        <v>1338</v>
      </c>
      <c r="Q117" s="231" t="s">
        <v>34</v>
      </c>
      <c r="R117" s="277">
        <v>46297</v>
      </c>
      <c r="S117" s="267" t="s">
        <v>55</v>
      </c>
      <c r="T117" s="231"/>
      <c r="U117" s="231"/>
    </row>
    <row r="118" spans="1:21" ht="12.75">
      <c r="A118" s="277">
        <v>46297</v>
      </c>
      <c r="B118" s="231"/>
      <c r="C118" s="267" t="s">
        <v>1241</v>
      </c>
      <c r="D118" s="267" t="s">
        <v>1245</v>
      </c>
      <c r="E118" s="268" t="s">
        <v>1246</v>
      </c>
      <c r="F118" s="231" t="s">
        <v>88</v>
      </c>
      <c r="G118" s="230"/>
      <c r="H118" s="230"/>
      <c r="I118" s="231"/>
      <c r="J118" s="231"/>
      <c r="K118" s="231"/>
      <c r="L118" s="231" t="s">
        <v>86</v>
      </c>
      <c r="M118" s="231" t="s">
        <v>631</v>
      </c>
      <c r="N118" s="230"/>
      <c r="O118" s="230"/>
      <c r="P118" s="232" t="s">
        <v>1341</v>
      </c>
      <c r="Q118" s="231" t="s">
        <v>34</v>
      </c>
      <c r="R118" s="277">
        <v>46297</v>
      </c>
      <c r="S118" s="267" t="s">
        <v>55</v>
      </c>
      <c r="T118" s="231"/>
      <c r="U118" s="231"/>
    </row>
    <row r="119" spans="1:21" ht="12.75">
      <c r="A119" s="277">
        <v>46297</v>
      </c>
      <c r="B119" s="231"/>
      <c r="C119" s="267" t="s">
        <v>1241</v>
      </c>
      <c r="D119" s="267" t="s">
        <v>1248</v>
      </c>
      <c r="E119" s="268" t="s">
        <v>1249</v>
      </c>
      <c r="F119" s="231" t="s">
        <v>88</v>
      </c>
      <c r="G119" s="230"/>
      <c r="H119" s="230"/>
      <c r="I119" s="231"/>
      <c r="J119" s="231"/>
      <c r="K119" s="231"/>
      <c r="L119" s="231" t="s">
        <v>86</v>
      </c>
      <c r="M119" s="231" t="s">
        <v>631</v>
      </c>
      <c r="N119" s="230"/>
      <c r="O119" s="230"/>
      <c r="P119" s="232" t="s">
        <v>1342</v>
      </c>
      <c r="Q119" s="231" t="s">
        <v>34</v>
      </c>
      <c r="R119" s="277">
        <v>46297</v>
      </c>
      <c r="S119" s="267" t="s">
        <v>55</v>
      </c>
      <c r="T119" s="231"/>
      <c r="U119" s="231"/>
    </row>
    <row r="120" spans="1:21" ht="12.75">
      <c r="A120" s="277">
        <v>46297</v>
      </c>
      <c r="B120" s="231"/>
      <c r="C120" s="267" t="s">
        <v>1270</v>
      </c>
      <c r="D120" s="267" t="s">
        <v>1271</v>
      </c>
      <c r="E120" s="268" t="s">
        <v>1345</v>
      </c>
      <c r="F120" s="231" t="s">
        <v>88</v>
      </c>
      <c r="G120" s="230"/>
      <c r="H120" s="230"/>
      <c r="I120" s="231"/>
      <c r="J120" s="231"/>
      <c r="K120" s="231"/>
      <c r="L120" s="231" t="s">
        <v>86</v>
      </c>
      <c r="M120" s="231" t="s">
        <v>631</v>
      </c>
      <c r="N120" s="230"/>
      <c r="O120" s="230"/>
      <c r="P120" s="232" t="s">
        <v>1346</v>
      </c>
      <c r="Q120" s="231" t="s">
        <v>34</v>
      </c>
      <c r="R120" s="277">
        <v>46297</v>
      </c>
      <c r="S120" s="267" t="s">
        <v>55</v>
      </c>
      <c r="T120" s="231"/>
      <c r="U120" s="231"/>
    </row>
    <row r="121" spans="1:21" ht="12.75">
      <c r="A121" s="277">
        <v>46297</v>
      </c>
      <c r="B121" s="231"/>
      <c r="C121" s="274" t="s">
        <v>577</v>
      </c>
      <c r="D121" s="274" t="s">
        <v>1347</v>
      </c>
      <c r="E121" s="275" t="s">
        <v>1348</v>
      </c>
      <c r="F121" s="231" t="s">
        <v>88</v>
      </c>
      <c r="G121" s="230"/>
      <c r="H121" s="230"/>
      <c r="I121" s="231"/>
      <c r="J121" s="231"/>
      <c r="K121" s="231"/>
      <c r="L121" s="231" t="s">
        <v>86</v>
      </c>
      <c r="M121" s="231" t="s">
        <v>631</v>
      </c>
      <c r="N121" s="230"/>
      <c r="O121" s="230"/>
      <c r="P121" s="232" t="s">
        <v>1351</v>
      </c>
      <c r="Q121" s="231" t="s">
        <v>34</v>
      </c>
      <c r="R121" s="277">
        <v>46297</v>
      </c>
      <c r="S121" s="274" t="s">
        <v>55</v>
      </c>
      <c r="T121" s="231"/>
      <c r="U121" s="231"/>
    </row>
    <row r="122" spans="1:21" ht="12.75">
      <c r="A122" s="277">
        <v>46297</v>
      </c>
      <c r="B122" s="231"/>
      <c r="C122" s="267" t="s">
        <v>1352</v>
      </c>
      <c r="D122" s="267" t="s">
        <v>1353</v>
      </c>
      <c r="E122" s="268" t="s">
        <v>1354</v>
      </c>
      <c r="F122" s="231" t="s">
        <v>88</v>
      </c>
      <c r="G122" s="230"/>
      <c r="H122" s="230"/>
      <c r="I122" s="231"/>
      <c r="J122" s="231"/>
      <c r="K122" s="231"/>
      <c r="L122" s="231" t="s">
        <v>86</v>
      </c>
      <c r="M122" s="231" t="s">
        <v>404</v>
      </c>
      <c r="N122" s="230"/>
      <c r="O122" s="230"/>
      <c r="P122" s="232" t="s">
        <v>1357</v>
      </c>
      <c r="Q122" s="231" t="s">
        <v>34</v>
      </c>
      <c r="R122" s="277">
        <v>46297</v>
      </c>
      <c r="S122" s="267" t="s">
        <v>94</v>
      </c>
      <c r="T122" s="231"/>
      <c r="U122" s="231"/>
    </row>
    <row r="123" spans="1:21" ht="12.75">
      <c r="A123" s="230">
        <v>46301</v>
      </c>
      <c r="B123" s="234"/>
      <c r="C123" s="231" t="s">
        <v>992</v>
      </c>
      <c r="D123" s="231" t="s">
        <v>1358</v>
      </c>
      <c r="E123" s="232" t="s">
        <v>1359</v>
      </c>
      <c r="F123" s="231" t="s">
        <v>88</v>
      </c>
      <c r="G123" s="230">
        <v>46297</v>
      </c>
      <c r="H123" s="233"/>
      <c r="I123" s="231" t="s">
        <v>1360</v>
      </c>
      <c r="J123" s="231" t="s">
        <v>1361</v>
      </c>
      <c r="K123" s="231" t="s">
        <v>95</v>
      </c>
      <c r="L123" s="231" t="s">
        <v>85</v>
      </c>
      <c r="M123" s="231" t="s">
        <v>87</v>
      </c>
      <c r="N123" s="230" t="s">
        <v>958</v>
      </c>
      <c r="O123" s="230">
        <v>46301</v>
      </c>
      <c r="P123" s="232"/>
      <c r="Q123" s="231" t="s">
        <v>34</v>
      </c>
      <c r="R123" s="230">
        <v>46301</v>
      </c>
      <c r="S123" s="231" t="s">
        <v>958</v>
      </c>
      <c r="T123" s="234"/>
      <c r="U123" s="234"/>
    </row>
    <row r="124" spans="1:21" ht="12.75">
      <c r="A124" s="230">
        <v>46301</v>
      </c>
      <c r="B124" s="231" t="s">
        <v>100</v>
      </c>
      <c r="C124" s="231" t="s">
        <v>101</v>
      </c>
      <c r="D124" s="231" t="s">
        <v>1364</v>
      </c>
      <c r="E124" s="232" t="s">
        <v>1365</v>
      </c>
      <c r="F124" s="231" t="s">
        <v>88</v>
      </c>
      <c r="G124" s="230">
        <v>46276</v>
      </c>
      <c r="H124" s="233"/>
      <c r="I124" s="234"/>
      <c r="J124" s="234"/>
      <c r="K124" s="234"/>
      <c r="L124" s="231" t="s">
        <v>108</v>
      </c>
      <c r="M124" s="231" t="s">
        <v>53</v>
      </c>
      <c r="N124" s="231" t="s">
        <v>66</v>
      </c>
      <c r="O124" s="233"/>
      <c r="P124" s="232" t="s">
        <v>1368</v>
      </c>
      <c r="Q124" s="231" t="s">
        <v>34</v>
      </c>
      <c r="R124" s="230">
        <v>46301</v>
      </c>
      <c r="S124" s="231" t="s">
        <v>66</v>
      </c>
      <c r="T124" s="234"/>
      <c r="U124" s="234"/>
    </row>
    <row r="125" spans="1:21" ht="12.75">
      <c r="A125" s="230">
        <v>46301</v>
      </c>
      <c r="B125" s="234"/>
      <c r="C125" s="231" t="s">
        <v>306</v>
      </c>
      <c r="D125" s="231" t="s">
        <v>1369</v>
      </c>
      <c r="E125" s="232" t="s">
        <v>1370</v>
      </c>
      <c r="F125" s="231" t="s">
        <v>88</v>
      </c>
      <c r="G125" s="230">
        <v>46297</v>
      </c>
      <c r="H125" s="233"/>
      <c r="I125" s="234"/>
      <c r="J125" s="234"/>
      <c r="K125" s="234"/>
      <c r="L125" s="231" t="s">
        <v>108</v>
      </c>
      <c r="M125" s="231" t="s">
        <v>53</v>
      </c>
      <c r="N125" s="231" t="s">
        <v>109</v>
      </c>
      <c r="O125" s="233"/>
      <c r="P125" s="232" t="s">
        <v>1373</v>
      </c>
      <c r="Q125" s="231" t="s">
        <v>34</v>
      </c>
      <c r="R125" s="230">
        <v>46301</v>
      </c>
      <c r="S125" s="231" t="s">
        <v>109</v>
      </c>
      <c r="T125" s="234"/>
      <c r="U125" s="234"/>
    </row>
    <row r="126" spans="1:21" ht="12.75">
      <c r="A126" s="230">
        <v>46301</v>
      </c>
      <c r="B126" s="234"/>
      <c r="C126" s="231" t="s">
        <v>1374</v>
      </c>
      <c r="D126" s="231" t="s">
        <v>1375</v>
      </c>
      <c r="E126" s="232" t="s">
        <v>1376</v>
      </c>
      <c r="F126" s="231" t="s">
        <v>88</v>
      </c>
      <c r="G126" s="233"/>
      <c r="H126" s="233"/>
      <c r="I126" s="234"/>
      <c r="J126" s="234"/>
      <c r="K126" s="234"/>
      <c r="L126" s="231" t="s">
        <v>108</v>
      </c>
      <c r="M126" s="231" t="s">
        <v>53</v>
      </c>
      <c r="N126" s="231" t="s">
        <v>94</v>
      </c>
      <c r="O126" s="233"/>
      <c r="P126" s="232" t="s">
        <v>1377</v>
      </c>
      <c r="Q126" s="231" t="s">
        <v>34</v>
      </c>
      <c r="R126" s="230">
        <v>46301</v>
      </c>
      <c r="S126" s="231" t="s">
        <v>94</v>
      </c>
      <c r="T126" s="234"/>
      <c r="U126" s="234"/>
    </row>
    <row r="127" spans="1:21" ht="12.75">
      <c r="A127" s="230">
        <v>46301</v>
      </c>
      <c r="B127" s="234"/>
      <c r="C127" s="231" t="s">
        <v>1374</v>
      </c>
      <c r="D127" s="231" t="s">
        <v>1379</v>
      </c>
      <c r="E127" s="232" t="s">
        <v>1380</v>
      </c>
      <c r="F127" s="231" t="s">
        <v>88</v>
      </c>
      <c r="G127" s="233"/>
      <c r="H127" s="233"/>
      <c r="I127" s="234"/>
      <c r="J127" s="234"/>
      <c r="K127" s="234"/>
      <c r="L127" s="231" t="s">
        <v>108</v>
      </c>
      <c r="M127" s="231" t="s">
        <v>53</v>
      </c>
      <c r="N127" s="231" t="s">
        <v>94</v>
      </c>
      <c r="O127" s="233"/>
      <c r="P127" s="232" t="s">
        <v>1383</v>
      </c>
      <c r="Q127" s="231" t="s">
        <v>34</v>
      </c>
      <c r="R127" s="230">
        <v>46301</v>
      </c>
      <c r="S127" s="231" t="s">
        <v>94</v>
      </c>
      <c r="T127" s="234"/>
      <c r="U127" s="234"/>
    </row>
    <row r="128" spans="1:21" ht="12.75">
      <c r="A128" s="230">
        <v>46301</v>
      </c>
      <c r="B128" s="234"/>
      <c r="C128" s="231" t="s">
        <v>330</v>
      </c>
      <c r="D128" s="231" t="s">
        <v>1384</v>
      </c>
      <c r="E128" s="232" t="s">
        <v>1385</v>
      </c>
      <c r="F128" s="231" t="s">
        <v>88</v>
      </c>
      <c r="G128" s="233"/>
      <c r="H128" s="233"/>
      <c r="I128" s="234"/>
      <c r="J128" s="234"/>
      <c r="K128" s="234"/>
      <c r="L128" s="231" t="s">
        <v>86</v>
      </c>
      <c r="M128" s="231" t="s">
        <v>90</v>
      </c>
      <c r="N128" s="231" t="s">
        <v>94</v>
      </c>
      <c r="O128" s="233"/>
      <c r="P128" s="232" t="s">
        <v>1386</v>
      </c>
      <c r="Q128" s="231" t="s">
        <v>34</v>
      </c>
      <c r="R128" s="230">
        <v>46301</v>
      </c>
      <c r="S128" s="231" t="s">
        <v>94</v>
      </c>
      <c r="T128" s="234"/>
      <c r="U128" s="234"/>
    </row>
    <row r="129" spans="1:21" ht="12.75">
      <c r="A129" s="230">
        <v>46301</v>
      </c>
      <c r="B129" s="234"/>
      <c r="C129" s="231" t="s">
        <v>747</v>
      </c>
      <c r="D129" s="231" t="s">
        <v>1389</v>
      </c>
      <c r="E129" s="232" t="s">
        <v>1390</v>
      </c>
      <c r="F129" s="231" t="s">
        <v>88</v>
      </c>
      <c r="G129" s="233"/>
      <c r="H129" s="233"/>
      <c r="I129" s="234"/>
      <c r="J129" s="234"/>
      <c r="K129" s="234"/>
      <c r="L129" s="231" t="s">
        <v>86</v>
      </c>
      <c r="M129" s="231" t="s">
        <v>90</v>
      </c>
      <c r="N129" s="231" t="s">
        <v>94</v>
      </c>
      <c r="O129" s="233"/>
      <c r="P129" s="232" t="s">
        <v>1391</v>
      </c>
      <c r="Q129" s="231" t="s">
        <v>34</v>
      </c>
      <c r="R129" s="230">
        <v>46301</v>
      </c>
      <c r="S129" s="231" t="s">
        <v>94</v>
      </c>
      <c r="T129" s="234"/>
      <c r="U129" s="234"/>
    </row>
    <row r="130" spans="1:21" ht="12.75">
      <c r="A130" s="230">
        <v>46301</v>
      </c>
      <c r="B130" s="234"/>
      <c r="C130" s="231" t="s">
        <v>674</v>
      </c>
      <c r="D130" s="231" t="s">
        <v>1393</v>
      </c>
      <c r="E130" s="232" t="s">
        <v>1394</v>
      </c>
      <c r="F130" s="231" t="s">
        <v>88</v>
      </c>
      <c r="G130" s="230">
        <v>46194</v>
      </c>
      <c r="H130" s="233"/>
      <c r="I130" s="234"/>
      <c r="J130" s="234"/>
      <c r="K130" s="234"/>
      <c r="L130" s="231" t="s">
        <v>85</v>
      </c>
      <c r="M130" s="231" t="s">
        <v>87</v>
      </c>
      <c r="N130" s="231" t="s">
        <v>677</v>
      </c>
      <c r="O130" s="233"/>
      <c r="P130" s="232" t="s">
        <v>1395</v>
      </c>
      <c r="Q130" s="231" t="s">
        <v>34</v>
      </c>
      <c r="R130" s="230">
        <v>46301</v>
      </c>
      <c r="S130" s="231" t="s">
        <v>677</v>
      </c>
      <c r="T130" s="234"/>
      <c r="U130" s="234"/>
    </row>
    <row r="131" spans="1:21" ht="12.75">
      <c r="A131" s="230">
        <v>46301</v>
      </c>
      <c r="B131" s="234"/>
      <c r="C131" s="231" t="s">
        <v>1397</v>
      </c>
      <c r="D131" s="231" t="s">
        <v>1398</v>
      </c>
      <c r="E131" s="232" t="s">
        <v>1399</v>
      </c>
      <c r="F131" s="231" t="s">
        <v>88</v>
      </c>
      <c r="G131" s="233"/>
      <c r="H131" s="233"/>
      <c r="I131" s="234"/>
      <c r="J131" s="234"/>
      <c r="K131" s="234"/>
      <c r="L131" s="231" t="s">
        <v>52</v>
      </c>
      <c r="M131" s="231" t="s">
        <v>631</v>
      </c>
      <c r="N131" s="233"/>
      <c r="O131" s="233"/>
      <c r="P131" s="232" t="s">
        <v>1400</v>
      </c>
      <c r="Q131" s="231" t="s">
        <v>34</v>
      </c>
      <c r="R131" s="230">
        <v>46301</v>
      </c>
      <c r="S131" s="231" t="s">
        <v>55</v>
      </c>
      <c r="T131" s="234"/>
      <c r="U131" s="234"/>
    </row>
    <row r="132" spans="1:21" ht="12.75">
      <c r="A132" s="230">
        <v>46301</v>
      </c>
      <c r="B132" s="234"/>
      <c r="C132" s="231" t="s">
        <v>155</v>
      </c>
      <c r="D132" s="231" t="s">
        <v>1403</v>
      </c>
      <c r="E132" s="232" t="s">
        <v>1404</v>
      </c>
      <c r="F132" s="231" t="s">
        <v>88</v>
      </c>
      <c r="G132" s="233"/>
      <c r="H132" s="233"/>
      <c r="I132" s="234"/>
      <c r="J132" s="234"/>
      <c r="K132" s="234"/>
      <c r="L132" s="231" t="s">
        <v>52</v>
      </c>
      <c r="M132" s="231" t="s">
        <v>53</v>
      </c>
      <c r="N132" s="233"/>
      <c r="O132" s="233"/>
      <c r="P132" s="232" t="s">
        <v>1405</v>
      </c>
      <c r="Q132" s="231" t="s">
        <v>34</v>
      </c>
      <c r="R132" s="230">
        <v>46301</v>
      </c>
      <c r="S132" s="231" t="s">
        <v>55</v>
      </c>
      <c r="T132" s="234"/>
      <c r="U132" s="234"/>
    </row>
    <row r="133" spans="1:21" ht="12.75">
      <c r="A133" s="230">
        <v>46301</v>
      </c>
      <c r="B133" s="234"/>
      <c r="C133" s="231" t="s">
        <v>406</v>
      </c>
      <c r="D133" s="231" t="s">
        <v>1407</v>
      </c>
      <c r="E133" s="232" t="s">
        <v>1408</v>
      </c>
      <c r="F133" s="231" t="s">
        <v>88</v>
      </c>
      <c r="G133" s="233"/>
      <c r="H133" s="233"/>
      <c r="I133" s="234"/>
      <c r="J133" s="234"/>
      <c r="K133" s="234"/>
      <c r="L133" s="231" t="s">
        <v>52</v>
      </c>
      <c r="M133" s="231" t="s">
        <v>53</v>
      </c>
      <c r="N133" s="233"/>
      <c r="O133" s="233"/>
      <c r="P133" s="232" t="s">
        <v>1411</v>
      </c>
      <c r="Q133" s="231" t="s">
        <v>34</v>
      </c>
      <c r="R133" s="230">
        <v>46301</v>
      </c>
      <c r="S133" s="231" t="s">
        <v>55</v>
      </c>
      <c r="T133" s="234"/>
      <c r="U133" s="234"/>
    </row>
    <row r="134" spans="1:21" ht="12.75">
      <c r="A134" s="230">
        <v>46301</v>
      </c>
      <c r="B134" s="234"/>
      <c r="C134" s="231" t="s">
        <v>1241</v>
      </c>
      <c r="D134" s="231" t="s">
        <v>1412</v>
      </c>
      <c r="E134" s="232" t="s">
        <v>1413</v>
      </c>
      <c r="F134" s="231" t="s">
        <v>88</v>
      </c>
      <c r="G134" s="233"/>
      <c r="H134" s="233"/>
      <c r="I134" s="234"/>
      <c r="J134" s="234"/>
      <c r="K134" s="234"/>
      <c r="L134" s="231" t="s">
        <v>86</v>
      </c>
      <c r="M134" s="231" t="s">
        <v>631</v>
      </c>
      <c r="N134" s="233"/>
      <c r="O134" s="233"/>
      <c r="P134" s="232" t="s">
        <v>1414</v>
      </c>
      <c r="Q134" s="231" t="s">
        <v>34</v>
      </c>
      <c r="R134" s="230">
        <v>46301</v>
      </c>
      <c r="S134" s="231" t="s">
        <v>89</v>
      </c>
      <c r="T134" s="234"/>
      <c r="U134" s="234"/>
    </row>
    <row r="135" spans="1:21" ht="12.75">
      <c r="A135" s="230">
        <v>46301</v>
      </c>
      <c r="B135" s="234"/>
      <c r="C135" s="231" t="s">
        <v>1241</v>
      </c>
      <c r="D135" s="231" t="s">
        <v>1417</v>
      </c>
      <c r="E135" s="232" t="s">
        <v>1418</v>
      </c>
      <c r="F135" s="231" t="s">
        <v>88</v>
      </c>
      <c r="G135" s="233"/>
      <c r="H135" s="233"/>
      <c r="I135" s="234"/>
      <c r="J135" s="234"/>
      <c r="K135" s="234"/>
      <c r="L135" s="231" t="s">
        <v>86</v>
      </c>
      <c r="M135" s="231" t="s">
        <v>631</v>
      </c>
      <c r="N135" s="233"/>
      <c r="O135" s="233"/>
      <c r="P135" s="232" t="s">
        <v>1419</v>
      </c>
      <c r="Q135" s="231" t="s">
        <v>34</v>
      </c>
      <c r="R135" s="230">
        <v>46301</v>
      </c>
      <c r="S135" s="231" t="s">
        <v>89</v>
      </c>
      <c r="T135" s="234"/>
      <c r="U135" s="234"/>
    </row>
    <row r="136" spans="1:21" ht="12.75">
      <c r="A136" s="230">
        <v>46301</v>
      </c>
      <c r="B136" s="234"/>
      <c r="C136" s="231" t="s">
        <v>1137</v>
      </c>
      <c r="D136" s="231" t="s">
        <v>1420</v>
      </c>
      <c r="E136" s="232" t="s">
        <v>1421</v>
      </c>
      <c r="F136" s="231" t="s">
        <v>88</v>
      </c>
      <c r="G136" s="233"/>
      <c r="H136" s="233"/>
      <c r="I136" s="234"/>
      <c r="J136" s="234"/>
      <c r="K136" s="234"/>
      <c r="L136" s="231" t="s">
        <v>86</v>
      </c>
      <c r="M136" s="231" t="s">
        <v>631</v>
      </c>
      <c r="N136" s="233"/>
      <c r="O136" s="233"/>
      <c r="P136" s="232" t="s">
        <v>1423</v>
      </c>
      <c r="Q136" s="231" t="s">
        <v>34</v>
      </c>
      <c r="R136" s="230">
        <v>46301</v>
      </c>
      <c r="S136" s="231" t="s">
        <v>55</v>
      </c>
      <c r="T136" s="234"/>
      <c r="U136" s="234"/>
    </row>
    <row r="137" spans="1:21" ht="12.75">
      <c r="A137" s="230">
        <v>46301</v>
      </c>
      <c r="B137" s="234"/>
      <c r="C137" s="231" t="s">
        <v>1206</v>
      </c>
      <c r="D137" s="231" t="s">
        <v>1424</v>
      </c>
      <c r="E137" s="232" t="s">
        <v>1425</v>
      </c>
      <c r="F137" s="231" t="s">
        <v>88</v>
      </c>
      <c r="G137" s="233"/>
      <c r="H137" s="233"/>
      <c r="I137" s="234"/>
      <c r="J137" s="234"/>
      <c r="K137" s="234"/>
      <c r="L137" s="231" t="s">
        <v>85</v>
      </c>
      <c r="M137" s="231" t="s">
        <v>87</v>
      </c>
      <c r="N137" s="233"/>
      <c r="O137" s="233"/>
      <c r="P137" s="232" t="s">
        <v>1427</v>
      </c>
      <c r="Q137" s="231" t="s">
        <v>34</v>
      </c>
      <c r="R137" s="230">
        <v>46301</v>
      </c>
      <c r="S137" s="231" t="s">
        <v>375</v>
      </c>
      <c r="T137" s="234"/>
      <c r="U137" s="234"/>
    </row>
    <row r="138" spans="1:21" ht="12.75">
      <c r="A138" s="230">
        <v>46300</v>
      </c>
      <c r="B138" s="234"/>
      <c r="C138" s="231" t="s">
        <v>250</v>
      </c>
      <c r="D138" s="231" t="s">
        <v>1428</v>
      </c>
      <c r="E138" s="232" t="s">
        <v>1430</v>
      </c>
      <c r="F138" s="231" t="s">
        <v>88</v>
      </c>
      <c r="G138" s="233"/>
      <c r="H138" s="233"/>
      <c r="I138" s="234"/>
      <c r="J138" s="234"/>
      <c r="K138" s="234"/>
      <c r="L138" s="231" t="s">
        <v>52</v>
      </c>
      <c r="M138" s="231" t="s">
        <v>53</v>
      </c>
      <c r="N138" s="233"/>
      <c r="O138" s="233"/>
      <c r="P138" s="232" t="s">
        <v>1431</v>
      </c>
      <c r="Q138" s="231" t="s">
        <v>34</v>
      </c>
      <c r="R138" s="230">
        <v>46300</v>
      </c>
      <c r="S138" s="231" t="s">
        <v>55</v>
      </c>
      <c r="T138" s="234"/>
      <c r="U138" s="234"/>
    </row>
    <row r="139" spans="1:21" ht="12.75">
      <c r="A139" s="230">
        <v>46300</v>
      </c>
      <c r="B139" s="234"/>
      <c r="C139" s="231" t="s">
        <v>223</v>
      </c>
      <c r="D139" s="231" t="s">
        <v>1432</v>
      </c>
      <c r="E139" s="232" t="s">
        <v>1433</v>
      </c>
      <c r="F139" s="231" t="s">
        <v>88</v>
      </c>
      <c r="G139" s="233"/>
      <c r="H139" s="233"/>
      <c r="I139" s="234"/>
      <c r="J139" s="234"/>
      <c r="K139" s="234"/>
      <c r="L139" s="231" t="s">
        <v>52</v>
      </c>
      <c r="M139" s="231" t="s">
        <v>53</v>
      </c>
      <c r="N139" s="233"/>
      <c r="O139" s="233"/>
      <c r="P139" s="232" t="s">
        <v>1436</v>
      </c>
      <c r="Q139" s="231" t="s">
        <v>34</v>
      </c>
      <c r="R139" s="230">
        <v>46300</v>
      </c>
      <c r="S139" s="231" t="s">
        <v>55</v>
      </c>
      <c r="T139" s="234"/>
      <c r="U139" s="234"/>
    </row>
    <row r="140" spans="1:21" ht="12.75">
      <c r="A140" s="230">
        <v>46300</v>
      </c>
      <c r="B140" s="234"/>
      <c r="C140" s="231" t="s">
        <v>223</v>
      </c>
      <c r="D140" s="231" t="s">
        <v>1437</v>
      </c>
      <c r="E140" s="238" t="s">
        <v>1438</v>
      </c>
      <c r="F140" s="231" t="s">
        <v>88</v>
      </c>
      <c r="G140" s="233"/>
      <c r="H140" s="233"/>
      <c r="I140" s="234"/>
      <c r="J140" s="234"/>
      <c r="K140" s="234"/>
      <c r="L140" s="231" t="s">
        <v>52</v>
      </c>
      <c r="M140" s="231" t="s">
        <v>53</v>
      </c>
      <c r="N140" s="233"/>
      <c r="O140" s="233"/>
      <c r="P140" s="232" t="s">
        <v>1439</v>
      </c>
      <c r="Q140" s="231" t="s">
        <v>34</v>
      </c>
      <c r="R140" s="230">
        <v>46300</v>
      </c>
      <c r="S140" s="231" t="s">
        <v>55</v>
      </c>
      <c r="T140" s="234"/>
      <c r="U140" s="234"/>
    </row>
    <row r="141" spans="1:21" ht="12.75">
      <c r="A141" s="230">
        <v>46300</v>
      </c>
      <c r="B141" s="234"/>
      <c r="C141" s="231" t="s">
        <v>272</v>
      </c>
      <c r="D141" s="231" t="s">
        <v>1440</v>
      </c>
      <c r="E141" s="232" t="s">
        <v>1442</v>
      </c>
      <c r="F141" s="231" t="s">
        <v>88</v>
      </c>
      <c r="G141" s="233"/>
      <c r="H141" s="233"/>
      <c r="I141" s="234"/>
      <c r="J141" s="234"/>
      <c r="K141" s="234"/>
      <c r="L141" s="231" t="s">
        <v>52</v>
      </c>
      <c r="M141" s="231" t="s">
        <v>53</v>
      </c>
      <c r="N141" s="233"/>
      <c r="O141" s="233"/>
      <c r="P141" s="232" t="s">
        <v>1443</v>
      </c>
      <c r="Q141" s="231" t="s">
        <v>34</v>
      </c>
      <c r="R141" s="230">
        <v>46300</v>
      </c>
      <c r="S141" s="231" t="s">
        <v>55</v>
      </c>
      <c r="T141" s="234"/>
      <c r="U141" s="234"/>
    </row>
    <row r="142" spans="1:21" ht="12.75">
      <c r="A142" s="230">
        <v>46301</v>
      </c>
      <c r="B142" s="234"/>
      <c r="C142" s="231" t="s">
        <v>1444</v>
      </c>
      <c r="D142" s="231" t="s">
        <v>1445</v>
      </c>
      <c r="E142" s="232" t="s">
        <v>1446</v>
      </c>
      <c r="F142" s="231" t="s">
        <v>88</v>
      </c>
      <c r="G142" s="233"/>
      <c r="H142" s="233"/>
      <c r="I142" s="234"/>
      <c r="J142" s="234"/>
      <c r="K142" s="234"/>
      <c r="L142" s="231" t="s">
        <v>52</v>
      </c>
      <c r="M142" s="231" t="s">
        <v>53</v>
      </c>
      <c r="N142" s="233"/>
      <c r="O142" s="233"/>
      <c r="P142" s="238" t="s">
        <v>1448</v>
      </c>
      <c r="Q142" s="231" t="s">
        <v>34</v>
      </c>
      <c r="R142" s="230">
        <v>46301</v>
      </c>
      <c r="S142" s="231" t="s">
        <v>322</v>
      </c>
      <c r="T142" s="234"/>
      <c r="U142" s="234"/>
    </row>
    <row r="143" spans="1:21" ht="12.75">
      <c r="A143" s="230">
        <v>46301</v>
      </c>
      <c r="B143" s="234"/>
      <c r="C143" s="231" t="s">
        <v>1451</v>
      </c>
      <c r="D143" s="231" t="s">
        <v>1452</v>
      </c>
      <c r="E143" s="232" t="s">
        <v>1453</v>
      </c>
      <c r="F143" s="231" t="s">
        <v>88</v>
      </c>
      <c r="G143" s="233"/>
      <c r="H143" s="233"/>
      <c r="I143" s="234"/>
      <c r="J143" s="234"/>
      <c r="K143" s="234"/>
      <c r="L143" s="231" t="s">
        <v>85</v>
      </c>
      <c r="M143" s="231" t="s">
        <v>87</v>
      </c>
      <c r="N143" s="233"/>
      <c r="O143" s="233"/>
      <c r="P143" s="232" t="s">
        <v>1454</v>
      </c>
      <c r="Q143" s="231" t="s">
        <v>34</v>
      </c>
      <c r="R143" s="230">
        <v>46301</v>
      </c>
      <c r="S143" s="231" t="s">
        <v>94</v>
      </c>
      <c r="T143" s="234"/>
      <c r="U143" s="234"/>
    </row>
    <row r="144" spans="1:21" ht="12.75">
      <c r="A144" s="230">
        <v>46302</v>
      </c>
      <c r="B144" s="231" t="s">
        <v>112</v>
      </c>
      <c r="C144" s="231" t="s">
        <v>306</v>
      </c>
      <c r="D144" s="231" t="s">
        <v>1455</v>
      </c>
      <c r="E144" s="232" t="s">
        <v>1456</v>
      </c>
      <c r="F144" s="231" t="s">
        <v>88</v>
      </c>
      <c r="G144" s="230">
        <v>46226</v>
      </c>
      <c r="H144" s="233"/>
      <c r="I144" s="234"/>
      <c r="J144" s="234"/>
      <c r="K144" s="234"/>
      <c r="L144" s="231" t="s">
        <v>108</v>
      </c>
      <c r="M144" s="231" t="s">
        <v>53</v>
      </c>
      <c r="N144" s="231" t="s">
        <v>66</v>
      </c>
      <c r="O144" s="233"/>
      <c r="P144" s="232" t="s">
        <v>1459</v>
      </c>
      <c r="Q144" s="231" t="s">
        <v>34</v>
      </c>
      <c r="R144" s="230">
        <v>46302</v>
      </c>
      <c r="S144" s="231" t="s">
        <v>66</v>
      </c>
      <c r="T144" s="234"/>
      <c r="U144" s="234"/>
    </row>
    <row r="145" spans="1:21" ht="12.75">
      <c r="A145" s="230">
        <v>46302</v>
      </c>
      <c r="B145" s="231" t="s">
        <v>70</v>
      </c>
      <c r="C145" s="231" t="s">
        <v>1460</v>
      </c>
      <c r="D145" s="231" t="s">
        <v>1461</v>
      </c>
      <c r="E145" s="232" t="s">
        <v>1462</v>
      </c>
      <c r="F145" s="231" t="s">
        <v>88</v>
      </c>
      <c r="G145" s="230">
        <v>46201</v>
      </c>
      <c r="H145" s="233"/>
      <c r="I145" s="234"/>
      <c r="J145" s="234"/>
      <c r="K145" s="234"/>
      <c r="L145" s="231" t="s">
        <v>86</v>
      </c>
      <c r="M145" s="231" t="s">
        <v>626</v>
      </c>
      <c r="N145" s="231" t="s">
        <v>89</v>
      </c>
      <c r="O145" s="233"/>
      <c r="P145" s="232" t="s">
        <v>1463</v>
      </c>
      <c r="Q145" s="231" t="s">
        <v>34</v>
      </c>
      <c r="R145" s="230">
        <v>46302</v>
      </c>
      <c r="S145" s="231" t="s">
        <v>89</v>
      </c>
      <c r="T145" s="234"/>
      <c r="U145" s="234"/>
    </row>
    <row r="146" spans="1:21" ht="12.75">
      <c r="A146" s="230">
        <v>46302</v>
      </c>
      <c r="B146" s="234"/>
      <c r="C146" s="231" t="s">
        <v>646</v>
      </c>
      <c r="D146" s="231" t="s">
        <v>1466</v>
      </c>
      <c r="E146" s="232" t="s">
        <v>1467</v>
      </c>
      <c r="F146" s="231" t="s">
        <v>88</v>
      </c>
      <c r="G146" s="230">
        <v>46302</v>
      </c>
      <c r="H146" s="233"/>
      <c r="I146" s="234"/>
      <c r="J146" s="234"/>
      <c r="K146" s="234"/>
      <c r="L146" s="231" t="s">
        <v>85</v>
      </c>
      <c r="M146" s="231" t="s">
        <v>87</v>
      </c>
      <c r="N146" s="231" t="s">
        <v>328</v>
      </c>
      <c r="O146" s="233"/>
      <c r="P146" s="232" t="s">
        <v>1468</v>
      </c>
      <c r="Q146" s="231" t="s">
        <v>34</v>
      </c>
      <c r="R146" s="230">
        <v>46302</v>
      </c>
      <c r="S146" s="231" t="s">
        <v>328</v>
      </c>
      <c r="T146" s="234"/>
      <c r="U146" s="234"/>
    </row>
    <row r="147" spans="1:21" ht="12.75">
      <c r="A147" s="230">
        <v>46302</v>
      </c>
      <c r="B147" s="234"/>
      <c r="C147" s="231" t="s">
        <v>636</v>
      </c>
      <c r="D147" s="231" t="s">
        <v>1469</v>
      </c>
      <c r="E147" s="232" t="s">
        <v>1470</v>
      </c>
      <c r="F147" s="231" t="s">
        <v>88</v>
      </c>
      <c r="G147" s="230">
        <v>46302</v>
      </c>
      <c r="H147" s="233"/>
      <c r="I147" s="231" t="s">
        <v>1471</v>
      </c>
      <c r="J147" s="231" t="s">
        <v>1473</v>
      </c>
      <c r="K147" s="234"/>
      <c r="L147" s="231" t="s">
        <v>108</v>
      </c>
      <c r="M147" s="231" t="s">
        <v>53</v>
      </c>
      <c r="N147" s="231" t="s">
        <v>109</v>
      </c>
      <c r="O147" s="233"/>
      <c r="P147" s="232" t="s">
        <v>1475</v>
      </c>
      <c r="Q147" s="231" t="s">
        <v>34</v>
      </c>
      <c r="R147" s="230">
        <v>46302</v>
      </c>
      <c r="S147" s="231" t="s">
        <v>109</v>
      </c>
      <c r="T147" s="234"/>
      <c r="U147" s="234"/>
    </row>
    <row r="148" spans="1:21" ht="12.75">
      <c r="A148" s="230">
        <v>46302</v>
      </c>
      <c r="B148" s="234"/>
      <c r="C148" s="231" t="s">
        <v>359</v>
      </c>
      <c r="D148" s="231" t="s">
        <v>1476</v>
      </c>
      <c r="E148" s="232" t="s">
        <v>1477</v>
      </c>
      <c r="F148" s="231" t="s">
        <v>88</v>
      </c>
      <c r="G148" s="233"/>
      <c r="H148" s="233"/>
      <c r="I148" s="234"/>
      <c r="J148" s="234"/>
      <c r="K148" s="234"/>
      <c r="L148" s="231" t="s">
        <v>86</v>
      </c>
      <c r="M148" s="231" t="s">
        <v>626</v>
      </c>
      <c r="N148" s="231" t="s">
        <v>94</v>
      </c>
      <c r="O148" s="233"/>
      <c r="P148" s="232" t="s">
        <v>1478</v>
      </c>
      <c r="Q148" s="231" t="s">
        <v>34</v>
      </c>
      <c r="R148" s="230">
        <v>46302</v>
      </c>
      <c r="S148" s="231" t="s">
        <v>94</v>
      </c>
      <c r="T148" s="234"/>
      <c r="U148" s="234"/>
    </row>
    <row r="149" spans="1:21" ht="12.75">
      <c r="A149" s="230">
        <v>46302</v>
      </c>
      <c r="B149" s="234"/>
      <c r="C149" s="231" t="s">
        <v>1374</v>
      </c>
      <c r="D149" s="231" t="s">
        <v>1479</v>
      </c>
      <c r="E149" s="232" t="s">
        <v>1480</v>
      </c>
      <c r="F149" s="231" t="s">
        <v>88</v>
      </c>
      <c r="G149" s="233"/>
      <c r="H149" s="233"/>
      <c r="I149" s="234"/>
      <c r="J149" s="234"/>
      <c r="K149" s="234"/>
      <c r="L149" s="231" t="s">
        <v>108</v>
      </c>
      <c r="M149" s="231" t="s">
        <v>53</v>
      </c>
      <c r="N149" s="231" t="s">
        <v>94</v>
      </c>
      <c r="O149" s="233"/>
      <c r="P149" s="232" t="s">
        <v>1483</v>
      </c>
      <c r="Q149" s="231" t="s">
        <v>34</v>
      </c>
      <c r="R149" s="230">
        <v>46302</v>
      </c>
      <c r="S149" s="231" t="s">
        <v>94</v>
      </c>
      <c r="T149" s="234"/>
      <c r="U149" s="234"/>
    </row>
    <row r="150" spans="1:21" ht="12.75">
      <c r="A150" s="230">
        <v>46302</v>
      </c>
      <c r="B150" s="234"/>
      <c r="C150" s="231" t="s">
        <v>175</v>
      </c>
      <c r="D150" s="231" t="s">
        <v>1484</v>
      </c>
      <c r="E150" s="232" t="s">
        <v>1485</v>
      </c>
      <c r="F150" s="231" t="s">
        <v>88</v>
      </c>
      <c r="G150" s="233"/>
      <c r="H150" s="233"/>
      <c r="I150" s="234"/>
      <c r="J150" s="234"/>
      <c r="K150" s="234"/>
      <c r="L150" s="231" t="s">
        <v>86</v>
      </c>
      <c r="M150" s="231" t="s">
        <v>626</v>
      </c>
      <c r="N150" s="231" t="s">
        <v>94</v>
      </c>
      <c r="O150" s="233"/>
      <c r="P150" s="232" t="s">
        <v>1486</v>
      </c>
      <c r="Q150" s="231" t="s">
        <v>34</v>
      </c>
      <c r="R150" s="230">
        <v>46302</v>
      </c>
      <c r="S150" s="231" t="s">
        <v>94</v>
      </c>
      <c r="T150" s="234"/>
      <c r="U150" s="234"/>
    </row>
    <row r="151" spans="1:21" ht="12.75">
      <c r="A151" s="230">
        <v>46302</v>
      </c>
      <c r="B151" s="234"/>
      <c r="C151" s="231" t="s">
        <v>175</v>
      </c>
      <c r="D151" s="231" t="s">
        <v>1488</v>
      </c>
      <c r="E151" s="232" t="s">
        <v>1489</v>
      </c>
      <c r="F151" s="231" t="s">
        <v>88</v>
      </c>
      <c r="G151" s="233"/>
      <c r="H151" s="233"/>
      <c r="I151" s="234"/>
      <c r="J151" s="234"/>
      <c r="K151" s="234"/>
      <c r="L151" s="231" t="s">
        <v>86</v>
      </c>
      <c r="M151" s="231" t="s">
        <v>626</v>
      </c>
      <c r="N151" s="231" t="s">
        <v>94</v>
      </c>
      <c r="O151" s="233"/>
      <c r="P151" s="232" t="s">
        <v>1492</v>
      </c>
      <c r="Q151" s="231" t="s">
        <v>34</v>
      </c>
      <c r="R151" s="230">
        <v>46302</v>
      </c>
      <c r="S151" s="231" t="s">
        <v>94</v>
      </c>
      <c r="T151" s="234"/>
      <c r="U151" s="234"/>
    </row>
    <row r="152" spans="1:21" ht="12.75">
      <c r="A152" s="230">
        <v>46302</v>
      </c>
      <c r="B152" s="234"/>
      <c r="C152" s="231" t="s">
        <v>175</v>
      </c>
      <c r="D152" s="231" t="s">
        <v>1493</v>
      </c>
      <c r="E152" s="232" t="s">
        <v>1494</v>
      </c>
      <c r="F152" s="231" t="s">
        <v>88</v>
      </c>
      <c r="G152" s="233"/>
      <c r="H152" s="233"/>
      <c r="I152" s="234"/>
      <c r="J152" s="234"/>
      <c r="K152" s="234"/>
      <c r="L152" s="231" t="s">
        <v>86</v>
      </c>
      <c r="M152" s="231" t="s">
        <v>626</v>
      </c>
      <c r="N152" s="231" t="s">
        <v>94</v>
      </c>
      <c r="O152" s="233"/>
      <c r="P152" s="232" t="s">
        <v>1495</v>
      </c>
      <c r="Q152" s="231" t="s">
        <v>34</v>
      </c>
      <c r="R152" s="230">
        <v>46302</v>
      </c>
      <c r="S152" s="231" t="s">
        <v>94</v>
      </c>
      <c r="T152" s="234"/>
      <c r="U152" s="234"/>
    </row>
    <row r="153" spans="1:21" ht="12.75">
      <c r="A153" s="230">
        <v>46302</v>
      </c>
      <c r="B153" s="234"/>
      <c r="C153" s="231" t="s">
        <v>175</v>
      </c>
      <c r="D153" s="231" t="s">
        <v>1497</v>
      </c>
      <c r="E153" s="232" t="s">
        <v>1498</v>
      </c>
      <c r="F153" s="231" t="s">
        <v>88</v>
      </c>
      <c r="G153" s="233"/>
      <c r="H153" s="233"/>
      <c r="I153" s="234"/>
      <c r="J153" s="234"/>
      <c r="K153" s="234"/>
      <c r="L153" s="231" t="s">
        <v>86</v>
      </c>
      <c r="M153" s="231" t="s">
        <v>626</v>
      </c>
      <c r="N153" s="231" t="s">
        <v>94</v>
      </c>
      <c r="O153" s="233"/>
      <c r="P153" s="232" t="s">
        <v>1499</v>
      </c>
      <c r="Q153" s="231" t="s">
        <v>34</v>
      </c>
      <c r="R153" s="230">
        <v>46302</v>
      </c>
      <c r="S153" s="231" t="s">
        <v>94</v>
      </c>
      <c r="T153" s="234"/>
      <c r="U153" s="234"/>
    </row>
    <row r="154" spans="1:21" ht="12.75">
      <c r="A154" s="230">
        <v>46302</v>
      </c>
      <c r="B154" s="234"/>
      <c r="C154" s="231" t="s">
        <v>359</v>
      </c>
      <c r="D154" s="231" t="s">
        <v>1500</v>
      </c>
      <c r="E154" s="232" t="s">
        <v>1501</v>
      </c>
      <c r="F154" s="231" t="s">
        <v>88</v>
      </c>
      <c r="G154" s="233"/>
      <c r="H154" s="233"/>
      <c r="I154" s="234"/>
      <c r="J154" s="234"/>
      <c r="K154" s="234"/>
      <c r="L154" s="231" t="s">
        <v>86</v>
      </c>
      <c r="M154" s="231" t="s">
        <v>626</v>
      </c>
      <c r="N154" s="231" t="s">
        <v>94</v>
      </c>
      <c r="O154" s="233"/>
      <c r="P154" s="232" t="s">
        <v>1502</v>
      </c>
      <c r="Q154" s="231" t="s">
        <v>34</v>
      </c>
      <c r="R154" s="230">
        <v>46302</v>
      </c>
      <c r="S154" s="231" t="s">
        <v>94</v>
      </c>
      <c r="T154" s="234"/>
      <c r="U154" s="234"/>
    </row>
    <row r="155" spans="1:21" ht="12.75">
      <c r="A155" s="230">
        <v>46302</v>
      </c>
      <c r="B155" s="234"/>
      <c r="C155" s="231" t="s">
        <v>359</v>
      </c>
      <c r="D155" s="231" t="s">
        <v>1504</v>
      </c>
      <c r="E155" s="232" t="s">
        <v>1505</v>
      </c>
      <c r="F155" s="231" t="s">
        <v>88</v>
      </c>
      <c r="G155" s="233"/>
      <c r="H155" s="233"/>
      <c r="I155" s="234"/>
      <c r="J155" s="234"/>
      <c r="K155" s="234"/>
      <c r="L155" s="231" t="s">
        <v>86</v>
      </c>
      <c r="M155" s="231" t="s">
        <v>626</v>
      </c>
      <c r="N155" s="231" t="s">
        <v>94</v>
      </c>
      <c r="O155" s="233"/>
      <c r="P155" s="232" t="s">
        <v>1506</v>
      </c>
      <c r="Q155" s="231" t="s">
        <v>34</v>
      </c>
      <c r="R155" s="230">
        <v>46302</v>
      </c>
      <c r="S155" s="231" t="s">
        <v>94</v>
      </c>
      <c r="T155" s="234"/>
      <c r="U155" s="234"/>
    </row>
    <row r="156" spans="1:21" ht="12.75">
      <c r="A156" s="230">
        <v>46302</v>
      </c>
      <c r="B156" s="234"/>
      <c r="C156" s="231" t="s">
        <v>1507</v>
      </c>
      <c r="D156" s="231" t="s">
        <v>1508</v>
      </c>
      <c r="E156" s="232" t="s">
        <v>1509</v>
      </c>
      <c r="F156" s="231" t="s">
        <v>88</v>
      </c>
      <c r="G156" s="233"/>
      <c r="H156" s="233"/>
      <c r="I156" s="234"/>
      <c r="J156" s="234"/>
      <c r="K156" s="234"/>
      <c r="L156" s="231" t="s">
        <v>52</v>
      </c>
      <c r="M156" s="231" t="s">
        <v>53</v>
      </c>
      <c r="N156" s="230" t="s">
        <v>55</v>
      </c>
      <c r="O156" s="233"/>
      <c r="P156" s="232" t="s">
        <v>1509</v>
      </c>
      <c r="Q156" s="231" t="s">
        <v>34</v>
      </c>
      <c r="R156" s="230">
        <v>46302</v>
      </c>
      <c r="S156" s="230" t="s">
        <v>55</v>
      </c>
      <c r="T156" s="234"/>
      <c r="U156" s="234"/>
    </row>
    <row r="157" spans="1:21" ht="12.75">
      <c r="A157" s="230">
        <v>46302</v>
      </c>
      <c r="B157" s="234"/>
      <c r="C157" s="231" t="s">
        <v>646</v>
      </c>
      <c r="D157" s="231" t="s">
        <v>1511</v>
      </c>
      <c r="E157" s="232" t="s">
        <v>1467</v>
      </c>
      <c r="F157" s="231" t="s">
        <v>88</v>
      </c>
      <c r="G157" s="233"/>
      <c r="H157" s="233"/>
      <c r="I157" s="234"/>
      <c r="J157" s="234"/>
      <c r="K157" s="234"/>
      <c r="L157" s="231" t="s">
        <v>85</v>
      </c>
      <c r="M157" s="231" t="s">
        <v>87</v>
      </c>
      <c r="N157" s="230" t="s">
        <v>328</v>
      </c>
      <c r="O157" s="233"/>
      <c r="P157" s="232" t="s">
        <v>1467</v>
      </c>
      <c r="Q157" s="231" t="s">
        <v>34</v>
      </c>
      <c r="R157" s="230">
        <v>46302</v>
      </c>
      <c r="S157" s="230" t="s">
        <v>328</v>
      </c>
      <c r="T157" s="234"/>
      <c r="U157" s="234"/>
    </row>
    <row r="158" spans="1:21" ht="12.75">
      <c r="A158" s="230">
        <v>46302</v>
      </c>
      <c r="B158" s="234"/>
      <c r="C158" s="231" t="s">
        <v>1512</v>
      </c>
      <c r="D158" s="231" t="s">
        <v>1513</v>
      </c>
      <c r="E158" s="232" t="s">
        <v>1514</v>
      </c>
      <c r="F158" s="231" t="s">
        <v>88</v>
      </c>
      <c r="G158" s="233"/>
      <c r="H158" s="233"/>
      <c r="I158" s="234"/>
      <c r="J158" s="234"/>
      <c r="K158" s="234"/>
      <c r="L158" s="231" t="s">
        <v>85</v>
      </c>
      <c r="M158" s="231" t="s">
        <v>87</v>
      </c>
      <c r="N158" s="230" t="s">
        <v>375</v>
      </c>
      <c r="O158" s="233"/>
      <c r="P158" s="232" t="s">
        <v>1516</v>
      </c>
      <c r="Q158" s="231" t="s">
        <v>34</v>
      </c>
      <c r="R158" s="230">
        <v>46302</v>
      </c>
      <c r="S158" s="230" t="s">
        <v>375</v>
      </c>
      <c r="T158" s="234"/>
      <c r="U158" s="234"/>
    </row>
    <row r="159" spans="1:21" ht="12.75">
      <c r="A159" s="230">
        <v>46302</v>
      </c>
      <c r="B159" s="234"/>
      <c r="C159" s="231" t="s">
        <v>1512</v>
      </c>
      <c r="D159" s="231" t="s">
        <v>1517</v>
      </c>
      <c r="E159" s="232" t="s">
        <v>1518</v>
      </c>
      <c r="F159" s="231" t="s">
        <v>88</v>
      </c>
      <c r="G159" s="233"/>
      <c r="H159" s="233"/>
      <c r="I159" s="234"/>
      <c r="J159" s="234"/>
      <c r="K159" s="234"/>
      <c r="L159" s="231" t="s">
        <v>85</v>
      </c>
      <c r="M159" s="231" t="s">
        <v>87</v>
      </c>
      <c r="N159" s="230" t="s">
        <v>375</v>
      </c>
      <c r="O159" s="233"/>
      <c r="P159" s="232" t="s">
        <v>1516</v>
      </c>
      <c r="Q159" s="231" t="s">
        <v>34</v>
      </c>
      <c r="R159" s="230">
        <v>46302</v>
      </c>
      <c r="S159" s="230" t="s">
        <v>375</v>
      </c>
      <c r="T159" s="234"/>
      <c r="U159" s="234"/>
    </row>
    <row r="160" spans="1:21" ht="12.75">
      <c r="A160" s="230">
        <v>46302</v>
      </c>
      <c r="B160" s="234"/>
      <c r="C160" s="231" t="s">
        <v>156</v>
      </c>
      <c r="D160" s="231" t="s">
        <v>1520</v>
      </c>
      <c r="E160" s="232" t="s">
        <v>1521</v>
      </c>
      <c r="F160" s="231" t="s">
        <v>88</v>
      </c>
      <c r="G160" s="233"/>
      <c r="H160" s="233"/>
      <c r="I160" s="234"/>
      <c r="J160" s="234"/>
      <c r="K160" s="234"/>
      <c r="L160" s="231" t="s">
        <v>108</v>
      </c>
      <c r="M160" s="231" t="s">
        <v>53</v>
      </c>
      <c r="N160" s="230" t="s">
        <v>55</v>
      </c>
      <c r="O160" s="233"/>
      <c r="P160" s="232" t="s">
        <v>1521</v>
      </c>
      <c r="Q160" s="231" t="s">
        <v>34</v>
      </c>
      <c r="R160" s="230">
        <v>46302</v>
      </c>
      <c r="S160" s="230" t="s">
        <v>55</v>
      </c>
      <c r="T160" s="234"/>
      <c r="U160" s="234"/>
    </row>
    <row r="161" spans="1:21" ht="12.75">
      <c r="A161" s="230">
        <v>46302</v>
      </c>
      <c r="B161" s="234"/>
      <c r="C161" s="231" t="s">
        <v>164</v>
      </c>
      <c r="D161" s="231" t="s">
        <v>1523</v>
      </c>
      <c r="E161" s="232" t="s">
        <v>1524</v>
      </c>
      <c r="F161" s="231" t="s">
        <v>88</v>
      </c>
      <c r="G161" s="233"/>
      <c r="H161" s="233"/>
      <c r="I161" s="234"/>
      <c r="J161" s="234"/>
      <c r="K161" s="234"/>
      <c r="L161" s="231" t="s">
        <v>108</v>
      </c>
      <c r="M161" s="231" t="s">
        <v>53</v>
      </c>
      <c r="N161" s="230" t="s">
        <v>55</v>
      </c>
      <c r="O161" s="233"/>
      <c r="P161" s="232" t="s">
        <v>1524</v>
      </c>
      <c r="Q161" s="231" t="s">
        <v>34</v>
      </c>
      <c r="R161" s="230">
        <v>46302</v>
      </c>
      <c r="S161" s="230" t="s">
        <v>55</v>
      </c>
      <c r="T161" s="234"/>
      <c r="U161" s="234"/>
    </row>
    <row r="162" spans="1:21" ht="12.75">
      <c r="A162" s="230">
        <v>46302</v>
      </c>
      <c r="B162" s="234"/>
      <c r="C162" s="231" t="s">
        <v>279</v>
      </c>
      <c r="D162" s="231" t="s">
        <v>1527</v>
      </c>
      <c r="E162" s="232" t="s">
        <v>1528</v>
      </c>
      <c r="F162" s="231" t="s">
        <v>88</v>
      </c>
      <c r="G162" s="233"/>
      <c r="H162" s="233"/>
      <c r="I162" s="234"/>
      <c r="J162" s="234"/>
      <c r="K162" s="234"/>
      <c r="L162" s="231" t="s">
        <v>52</v>
      </c>
      <c r="M162" s="231" t="s">
        <v>631</v>
      </c>
      <c r="N162" s="230" t="s">
        <v>55</v>
      </c>
      <c r="O162" s="233"/>
      <c r="P162" s="232" t="s">
        <v>1528</v>
      </c>
      <c r="Q162" s="231" t="s">
        <v>34</v>
      </c>
      <c r="R162" s="230">
        <v>46302</v>
      </c>
      <c r="S162" s="230" t="s">
        <v>55</v>
      </c>
      <c r="T162" s="234"/>
      <c r="U162" s="234"/>
    </row>
    <row r="163" spans="1:21" ht="12.75">
      <c r="A163" s="230">
        <v>46302</v>
      </c>
      <c r="B163" s="234"/>
      <c r="C163" s="231" t="s">
        <v>470</v>
      </c>
      <c r="D163" s="231" t="s">
        <v>1529</v>
      </c>
      <c r="E163" s="232" t="s">
        <v>1530</v>
      </c>
      <c r="F163" s="231" t="s">
        <v>88</v>
      </c>
      <c r="G163" s="233"/>
      <c r="H163" s="233"/>
      <c r="I163" s="234"/>
      <c r="J163" s="234"/>
      <c r="K163" s="234"/>
      <c r="L163" s="231" t="s">
        <v>86</v>
      </c>
      <c r="M163" s="231" t="s">
        <v>626</v>
      </c>
      <c r="N163" s="230" t="s">
        <v>55</v>
      </c>
      <c r="O163" s="233"/>
      <c r="P163" s="232" t="s">
        <v>1530</v>
      </c>
      <c r="Q163" s="231" t="s">
        <v>34</v>
      </c>
      <c r="R163" s="230">
        <v>46302</v>
      </c>
      <c r="S163" s="230" t="s">
        <v>55</v>
      </c>
      <c r="T163" s="234"/>
      <c r="U163" s="234"/>
    </row>
    <row r="164" spans="1:21" ht="12.75">
      <c r="A164" s="230">
        <v>46302</v>
      </c>
      <c r="B164" s="234"/>
      <c r="C164" s="231" t="s">
        <v>470</v>
      </c>
      <c r="D164" s="231" t="s">
        <v>1532</v>
      </c>
      <c r="E164" s="232" t="s">
        <v>1533</v>
      </c>
      <c r="F164" s="231" t="s">
        <v>88</v>
      </c>
      <c r="G164" s="233"/>
      <c r="H164" s="233"/>
      <c r="I164" s="234"/>
      <c r="J164" s="234"/>
      <c r="K164" s="234"/>
      <c r="L164" s="231" t="s">
        <v>86</v>
      </c>
      <c r="M164" s="231" t="s">
        <v>626</v>
      </c>
      <c r="N164" s="230" t="s">
        <v>55</v>
      </c>
      <c r="O164" s="233"/>
      <c r="P164" s="232" t="s">
        <v>1533</v>
      </c>
      <c r="Q164" s="231" t="s">
        <v>34</v>
      </c>
      <c r="R164" s="230">
        <v>46302</v>
      </c>
      <c r="S164" s="230" t="s">
        <v>55</v>
      </c>
      <c r="T164" s="234"/>
      <c r="U164" s="234"/>
    </row>
    <row r="165" spans="1:21" ht="12.75">
      <c r="A165" s="230">
        <v>46302</v>
      </c>
      <c r="B165" s="234"/>
      <c r="C165" s="231" t="s">
        <v>1426</v>
      </c>
      <c r="D165" s="231" t="s">
        <v>1535</v>
      </c>
      <c r="E165" s="232" t="s">
        <v>1536</v>
      </c>
      <c r="F165" s="231" t="s">
        <v>88</v>
      </c>
      <c r="G165" s="233"/>
      <c r="H165" s="233"/>
      <c r="I165" s="234"/>
      <c r="J165" s="234"/>
      <c r="K165" s="234"/>
      <c r="L165" s="231" t="s">
        <v>108</v>
      </c>
      <c r="M165" s="231" t="s">
        <v>53</v>
      </c>
      <c r="N165" s="230" t="s">
        <v>55</v>
      </c>
      <c r="O165" s="233"/>
      <c r="P165" s="232" t="s">
        <v>1536</v>
      </c>
      <c r="Q165" s="231" t="s">
        <v>34</v>
      </c>
      <c r="R165" s="230">
        <v>46302</v>
      </c>
      <c r="S165" s="230" t="s">
        <v>55</v>
      </c>
      <c r="T165" s="234"/>
      <c r="U165" s="234"/>
    </row>
    <row r="166" spans="1:21" ht="12.75">
      <c r="A166" s="230">
        <v>46302</v>
      </c>
      <c r="B166" s="234"/>
      <c r="C166" s="231" t="s">
        <v>1537</v>
      </c>
      <c r="D166" s="231" t="s">
        <v>1538</v>
      </c>
      <c r="E166" s="232" t="s">
        <v>1539</v>
      </c>
      <c r="F166" s="231" t="s">
        <v>88</v>
      </c>
      <c r="G166" s="233"/>
      <c r="H166" s="233"/>
      <c r="I166" s="234"/>
      <c r="J166" s="234"/>
      <c r="K166" s="234"/>
      <c r="L166" s="231" t="s">
        <v>86</v>
      </c>
      <c r="M166" s="231" t="s">
        <v>626</v>
      </c>
      <c r="N166" s="230" t="s">
        <v>958</v>
      </c>
      <c r="O166" s="233"/>
      <c r="P166" s="232" t="s">
        <v>1539</v>
      </c>
      <c r="Q166" s="231" t="s">
        <v>34</v>
      </c>
      <c r="R166" s="230">
        <v>46302</v>
      </c>
      <c r="S166" s="230" t="s">
        <v>958</v>
      </c>
      <c r="T166" s="234"/>
      <c r="U166" s="234"/>
    </row>
    <row r="167" spans="1:21" ht="12.75">
      <c r="A167" s="230">
        <v>46302</v>
      </c>
      <c r="B167" s="234"/>
      <c r="C167" s="231" t="s">
        <v>474</v>
      </c>
      <c r="D167" s="231" t="s">
        <v>1542</v>
      </c>
      <c r="E167" s="232" t="s">
        <v>1543</v>
      </c>
      <c r="F167" s="231" t="s">
        <v>88</v>
      </c>
      <c r="G167" s="233"/>
      <c r="H167" s="233"/>
      <c r="I167" s="234"/>
      <c r="J167" s="234"/>
      <c r="K167" s="234"/>
      <c r="L167" s="231" t="s">
        <v>86</v>
      </c>
      <c r="M167" s="231" t="s">
        <v>631</v>
      </c>
      <c r="N167" s="230" t="s">
        <v>94</v>
      </c>
      <c r="O167" s="233"/>
      <c r="P167" s="232" t="s">
        <v>1543</v>
      </c>
      <c r="Q167" s="231" t="s">
        <v>34</v>
      </c>
      <c r="R167" s="230">
        <v>46302</v>
      </c>
      <c r="S167" s="230" t="s">
        <v>94</v>
      </c>
      <c r="T167" s="234"/>
      <c r="U167" s="234"/>
    </row>
    <row r="168" spans="1:21" ht="12.75">
      <c r="A168" s="230">
        <v>46302</v>
      </c>
      <c r="B168" s="234"/>
      <c r="C168" s="231" t="s">
        <v>1537</v>
      </c>
      <c r="D168" s="231" t="s">
        <v>1538</v>
      </c>
      <c r="E168" s="232" t="s">
        <v>1539</v>
      </c>
      <c r="F168" s="231" t="s">
        <v>88</v>
      </c>
      <c r="G168" s="233"/>
      <c r="H168" s="233"/>
      <c r="I168" s="234"/>
      <c r="J168" s="234"/>
      <c r="K168" s="234"/>
      <c r="L168" s="231" t="s">
        <v>86</v>
      </c>
      <c r="M168" s="231" t="s">
        <v>626</v>
      </c>
      <c r="N168" s="230" t="s">
        <v>958</v>
      </c>
      <c r="O168" s="233"/>
      <c r="P168" s="232" t="s">
        <v>1539</v>
      </c>
      <c r="Q168" s="231" t="s">
        <v>34</v>
      </c>
      <c r="R168" s="230">
        <v>46302</v>
      </c>
      <c r="S168" s="231" t="s">
        <v>958</v>
      </c>
      <c r="T168" s="234"/>
      <c r="U168" s="234"/>
    </row>
    <row r="169" spans="1:21" ht="12.75">
      <c r="A169" s="230">
        <v>46302</v>
      </c>
      <c r="B169" s="234"/>
      <c r="C169" s="231" t="s">
        <v>474</v>
      </c>
      <c r="D169" s="231" t="s">
        <v>1542</v>
      </c>
      <c r="E169" s="232" t="s">
        <v>1543</v>
      </c>
      <c r="F169" s="231" t="s">
        <v>88</v>
      </c>
      <c r="G169" s="233"/>
      <c r="H169" s="233"/>
      <c r="I169" s="234"/>
      <c r="J169" s="234"/>
      <c r="K169" s="234"/>
      <c r="L169" s="231" t="s">
        <v>86</v>
      </c>
      <c r="M169" s="231" t="s">
        <v>626</v>
      </c>
      <c r="N169" s="230" t="s">
        <v>94</v>
      </c>
      <c r="O169" s="233"/>
      <c r="P169" s="232" t="s">
        <v>1543</v>
      </c>
      <c r="Q169" s="231" t="s">
        <v>34</v>
      </c>
      <c r="R169" s="230">
        <v>46302</v>
      </c>
      <c r="S169" s="231" t="s">
        <v>94</v>
      </c>
      <c r="T169" s="234"/>
      <c r="U169" s="234"/>
    </row>
    <row r="170" spans="1:21" ht="12.75">
      <c r="A170" s="230">
        <v>46302</v>
      </c>
      <c r="B170" s="234"/>
      <c r="C170" s="231" t="s">
        <v>232</v>
      </c>
      <c r="D170" s="231" t="s">
        <v>1546</v>
      </c>
      <c r="E170" s="232" t="s">
        <v>1547</v>
      </c>
      <c r="F170" s="231" t="s">
        <v>88</v>
      </c>
      <c r="G170" s="233"/>
      <c r="H170" s="233"/>
      <c r="I170" s="234"/>
      <c r="J170" s="234"/>
      <c r="K170" s="234"/>
      <c r="L170" s="231" t="s">
        <v>86</v>
      </c>
      <c r="M170" s="231" t="s">
        <v>626</v>
      </c>
      <c r="N170" s="230" t="s">
        <v>111</v>
      </c>
      <c r="O170" s="233"/>
      <c r="P170" s="232" t="s">
        <v>1547</v>
      </c>
      <c r="Q170" s="231" t="s">
        <v>34</v>
      </c>
      <c r="R170" s="230">
        <v>46302</v>
      </c>
      <c r="S170" s="231" t="s">
        <v>111</v>
      </c>
      <c r="T170" s="234"/>
      <c r="U170" s="234"/>
    </row>
    <row r="171" spans="1:21" ht="12.75">
      <c r="A171" s="230">
        <v>46302</v>
      </c>
      <c r="B171" s="234"/>
      <c r="C171" s="231" t="s">
        <v>1550</v>
      </c>
      <c r="D171" s="231" t="s">
        <v>1551</v>
      </c>
      <c r="E171" s="232" t="s">
        <v>1552</v>
      </c>
      <c r="F171" s="231" t="s">
        <v>88</v>
      </c>
      <c r="G171" s="233"/>
      <c r="H171" s="233"/>
      <c r="I171" s="234"/>
      <c r="J171" s="234"/>
      <c r="K171" s="234"/>
      <c r="L171" s="231" t="s">
        <v>86</v>
      </c>
      <c r="M171" s="231" t="s">
        <v>626</v>
      </c>
      <c r="N171" s="230" t="s">
        <v>111</v>
      </c>
      <c r="O171" s="233"/>
      <c r="P171" s="232" t="s">
        <v>1552</v>
      </c>
      <c r="Q171" s="231" t="s">
        <v>34</v>
      </c>
      <c r="R171" s="230">
        <v>46302</v>
      </c>
      <c r="S171" s="231" t="s">
        <v>111</v>
      </c>
      <c r="T171" s="234"/>
      <c r="U171" s="234"/>
    </row>
    <row r="172" spans="1:21" ht="12.75">
      <c r="A172" s="230">
        <v>46303</v>
      </c>
      <c r="B172" s="231" t="s">
        <v>100</v>
      </c>
      <c r="C172" s="231" t="s">
        <v>101</v>
      </c>
      <c r="D172" s="231" t="s">
        <v>1553</v>
      </c>
      <c r="E172" s="232" t="s">
        <v>1554</v>
      </c>
      <c r="F172" s="231" t="s">
        <v>88</v>
      </c>
      <c r="G172" s="233"/>
      <c r="H172" s="233"/>
      <c r="I172" s="234"/>
      <c r="J172" s="234"/>
      <c r="K172" s="234"/>
      <c r="L172" s="231" t="s">
        <v>108</v>
      </c>
      <c r="M172" s="231" t="s">
        <v>53</v>
      </c>
      <c r="N172" s="234"/>
      <c r="O172" s="233"/>
      <c r="P172" s="232" t="s">
        <v>1555</v>
      </c>
      <c r="Q172" s="231" t="s">
        <v>34</v>
      </c>
      <c r="R172" s="230">
        <v>46303</v>
      </c>
      <c r="S172" s="231" t="s">
        <v>55</v>
      </c>
      <c r="T172" s="234"/>
      <c r="U172" s="234"/>
    </row>
    <row r="173" spans="1:21" ht="12.75">
      <c r="A173" s="230">
        <v>46303</v>
      </c>
      <c r="B173" s="234"/>
      <c r="C173" s="231" t="s">
        <v>760</v>
      </c>
      <c r="D173" s="231" t="s">
        <v>1557</v>
      </c>
      <c r="E173" s="232" t="s">
        <v>1558</v>
      </c>
      <c r="F173" s="231" t="s">
        <v>88</v>
      </c>
      <c r="G173" s="233"/>
      <c r="H173" s="233"/>
      <c r="I173" s="234"/>
      <c r="J173" s="234"/>
      <c r="K173" s="234"/>
      <c r="L173" s="231" t="s">
        <v>52</v>
      </c>
      <c r="M173" s="231" t="s">
        <v>53</v>
      </c>
      <c r="N173" s="233"/>
      <c r="O173" s="233"/>
      <c r="P173" s="232" t="s">
        <v>1559</v>
      </c>
      <c r="Q173" s="231" t="s">
        <v>34</v>
      </c>
      <c r="R173" s="230">
        <v>46303</v>
      </c>
      <c r="S173" s="231" t="s">
        <v>109</v>
      </c>
      <c r="T173" s="234"/>
      <c r="U173" s="234"/>
    </row>
    <row r="174" spans="1:21" ht="12.75">
      <c r="A174" s="230">
        <v>46303</v>
      </c>
      <c r="B174" s="231" t="s">
        <v>59</v>
      </c>
      <c r="C174" s="231" t="s">
        <v>292</v>
      </c>
      <c r="D174" s="231" t="s">
        <v>1560</v>
      </c>
      <c r="E174" s="232" t="s">
        <v>1561</v>
      </c>
      <c r="F174" s="231" t="s">
        <v>88</v>
      </c>
      <c r="G174" s="233"/>
      <c r="H174" s="233"/>
      <c r="I174" s="234"/>
      <c r="J174" s="234"/>
      <c r="K174" s="234"/>
      <c r="L174" s="231" t="s">
        <v>52</v>
      </c>
      <c r="M174" s="231" t="s">
        <v>53</v>
      </c>
      <c r="N174" s="233"/>
      <c r="O174" s="233"/>
      <c r="P174" s="232" t="s">
        <v>1563</v>
      </c>
      <c r="Q174" s="231" t="s">
        <v>34</v>
      </c>
      <c r="R174" s="230">
        <v>46303</v>
      </c>
      <c r="S174" s="231" t="s">
        <v>409</v>
      </c>
      <c r="T174" s="234"/>
      <c r="U174" s="234"/>
    </row>
    <row r="175" spans="1:21" ht="12.75">
      <c r="A175" s="230">
        <v>46303</v>
      </c>
      <c r="B175" s="231" t="s">
        <v>59</v>
      </c>
      <c r="C175" s="231" t="s">
        <v>292</v>
      </c>
      <c r="D175" s="231" t="s">
        <v>1565</v>
      </c>
      <c r="E175" s="232" t="s">
        <v>1566</v>
      </c>
      <c r="F175" s="231" t="s">
        <v>88</v>
      </c>
      <c r="G175" s="233"/>
      <c r="H175" s="233"/>
      <c r="I175" s="234"/>
      <c r="J175" s="234"/>
      <c r="K175" s="234"/>
      <c r="L175" s="231" t="s">
        <v>52</v>
      </c>
      <c r="M175" s="231" t="s">
        <v>53</v>
      </c>
      <c r="N175" s="233"/>
      <c r="O175" s="233"/>
      <c r="P175" s="232" t="s">
        <v>1567</v>
      </c>
      <c r="Q175" s="231" t="s">
        <v>34</v>
      </c>
      <c r="R175" s="230">
        <v>46303</v>
      </c>
      <c r="S175" s="231" t="s">
        <v>409</v>
      </c>
      <c r="T175" s="234"/>
      <c r="U175" s="234"/>
    </row>
    <row r="176" spans="1:21" ht="12.75">
      <c r="A176" s="230">
        <v>46303</v>
      </c>
      <c r="B176" s="231" t="s">
        <v>112</v>
      </c>
      <c r="C176" s="231" t="s">
        <v>364</v>
      </c>
      <c r="D176" s="231" t="s">
        <v>1568</v>
      </c>
      <c r="E176" s="232" t="s">
        <v>1569</v>
      </c>
      <c r="F176" s="231" t="s">
        <v>88</v>
      </c>
      <c r="G176" s="233"/>
      <c r="H176" s="233"/>
      <c r="I176" s="234"/>
      <c r="J176" s="234"/>
      <c r="K176" s="234"/>
      <c r="L176" s="231" t="s">
        <v>108</v>
      </c>
      <c r="M176" s="231" t="s">
        <v>53</v>
      </c>
      <c r="N176" s="234"/>
      <c r="O176" s="233"/>
      <c r="P176" s="232" t="s">
        <v>1570</v>
      </c>
      <c r="Q176" s="231" t="s">
        <v>34</v>
      </c>
      <c r="R176" s="230">
        <v>46303</v>
      </c>
      <c r="S176" s="231" t="s">
        <v>409</v>
      </c>
      <c r="T176" s="234"/>
      <c r="U176" s="234"/>
    </row>
    <row r="177" spans="1:21" ht="12.75">
      <c r="A177" s="230">
        <v>46303</v>
      </c>
      <c r="B177" s="231" t="s">
        <v>112</v>
      </c>
      <c r="C177" s="231" t="s">
        <v>364</v>
      </c>
      <c r="D177" s="231" t="s">
        <v>1573</v>
      </c>
      <c r="E177" s="232" t="s">
        <v>1574</v>
      </c>
      <c r="F177" s="231" t="s">
        <v>88</v>
      </c>
      <c r="G177" s="233"/>
      <c r="H177" s="233"/>
      <c r="I177" s="234"/>
      <c r="J177" s="234"/>
      <c r="K177" s="234"/>
      <c r="L177" s="231" t="s">
        <v>108</v>
      </c>
      <c r="M177" s="231" t="s">
        <v>53</v>
      </c>
      <c r="N177" s="234"/>
      <c r="O177" s="233"/>
      <c r="P177" s="232" t="s">
        <v>1575</v>
      </c>
      <c r="Q177" s="231" t="s">
        <v>34</v>
      </c>
      <c r="R177" s="230">
        <v>46303</v>
      </c>
      <c r="S177" s="231" t="s">
        <v>409</v>
      </c>
      <c r="T177" s="234"/>
      <c r="U177" s="234"/>
    </row>
    <row r="178" spans="1:21" ht="12.75">
      <c r="A178" s="230">
        <v>46303</v>
      </c>
      <c r="B178" s="231" t="s">
        <v>112</v>
      </c>
      <c r="C178" s="231" t="s">
        <v>364</v>
      </c>
      <c r="D178" s="231" t="s">
        <v>1576</v>
      </c>
      <c r="E178" s="232" t="s">
        <v>1577</v>
      </c>
      <c r="F178" s="231" t="s">
        <v>88</v>
      </c>
      <c r="G178" s="233"/>
      <c r="H178" s="233"/>
      <c r="I178" s="234"/>
      <c r="J178" s="234"/>
      <c r="K178" s="234"/>
      <c r="L178" s="231" t="s">
        <v>108</v>
      </c>
      <c r="M178" s="231" t="s">
        <v>53</v>
      </c>
      <c r="N178" s="234"/>
      <c r="O178" s="233"/>
      <c r="P178" s="232" t="s">
        <v>1579</v>
      </c>
      <c r="Q178" s="231" t="s">
        <v>34</v>
      </c>
      <c r="R178" s="230">
        <v>46303</v>
      </c>
      <c r="S178" s="231" t="s">
        <v>409</v>
      </c>
      <c r="T178" s="234"/>
      <c r="U178" s="234"/>
    </row>
    <row r="179" spans="1:21" ht="12.75">
      <c r="A179" s="230">
        <v>46303</v>
      </c>
      <c r="B179" s="231" t="s">
        <v>112</v>
      </c>
      <c r="C179" s="231" t="s">
        <v>364</v>
      </c>
      <c r="D179" s="231" t="s">
        <v>1580</v>
      </c>
      <c r="E179" s="232" t="s">
        <v>1581</v>
      </c>
      <c r="F179" s="231" t="s">
        <v>88</v>
      </c>
      <c r="G179" s="233"/>
      <c r="H179" s="233"/>
      <c r="I179" s="234"/>
      <c r="J179" s="234"/>
      <c r="K179" s="234"/>
      <c r="L179" s="231" t="s">
        <v>108</v>
      </c>
      <c r="M179" s="231" t="s">
        <v>53</v>
      </c>
      <c r="N179" s="234"/>
      <c r="O179" s="233"/>
      <c r="P179" s="232" t="s">
        <v>1579</v>
      </c>
      <c r="Q179" s="231" t="s">
        <v>34</v>
      </c>
      <c r="R179" s="230">
        <v>46303</v>
      </c>
      <c r="S179" s="231" t="s">
        <v>409</v>
      </c>
      <c r="T179" s="234"/>
      <c r="U179" s="234"/>
    </row>
    <row r="180" spans="1:21" ht="12.75">
      <c r="A180" s="230">
        <v>46303</v>
      </c>
      <c r="B180" s="234"/>
      <c r="C180" s="231" t="s">
        <v>126</v>
      </c>
      <c r="D180" s="231" t="s">
        <v>1584</v>
      </c>
      <c r="E180" s="232" t="s">
        <v>1585</v>
      </c>
      <c r="F180" s="231" t="s">
        <v>88</v>
      </c>
      <c r="G180" s="233"/>
      <c r="H180" s="233"/>
      <c r="I180" s="234"/>
      <c r="J180" s="234"/>
      <c r="K180" s="234"/>
      <c r="L180" s="231" t="s">
        <v>52</v>
      </c>
      <c r="M180" s="231" t="s">
        <v>53</v>
      </c>
      <c r="N180" s="234"/>
      <c r="O180" s="233"/>
      <c r="P180" s="232"/>
      <c r="Q180" s="231" t="s">
        <v>34</v>
      </c>
      <c r="R180" s="230">
        <v>46303</v>
      </c>
      <c r="S180" s="231" t="s">
        <v>94</v>
      </c>
      <c r="T180" s="234"/>
      <c r="U180" s="234"/>
    </row>
    <row r="181" spans="1:21" ht="12.75">
      <c r="A181" s="230">
        <v>46303</v>
      </c>
      <c r="B181" s="234"/>
      <c r="C181" s="231" t="s">
        <v>126</v>
      </c>
      <c r="D181" s="231" t="s">
        <v>1587</v>
      </c>
      <c r="E181" s="232" t="s">
        <v>1589</v>
      </c>
      <c r="F181" s="231" t="s">
        <v>88</v>
      </c>
      <c r="G181" s="233"/>
      <c r="H181" s="233"/>
      <c r="I181" s="234"/>
      <c r="J181" s="234"/>
      <c r="K181" s="234"/>
      <c r="L181" s="231" t="s">
        <v>52</v>
      </c>
      <c r="M181" s="231" t="s">
        <v>53</v>
      </c>
      <c r="N181" s="233"/>
      <c r="O181" s="233"/>
      <c r="P181" s="232"/>
      <c r="Q181" s="231" t="s">
        <v>34</v>
      </c>
      <c r="R181" s="230">
        <v>46303</v>
      </c>
      <c r="S181" s="231" t="s">
        <v>94</v>
      </c>
      <c r="T181" s="234"/>
      <c r="U181" s="234"/>
    </row>
    <row r="182" spans="1:21" ht="12.75">
      <c r="A182" s="230">
        <v>46303</v>
      </c>
      <c r="B182" s="234"/>
      <c r="C182" s="231" t="s">
        <v>126</v>
      </c>
      <c r="D182" s="231" t="s">
        <v>1590</v>
      </c>
      <c r="E182" s="232" t="s">
        <v>1591</v>
      </c>
      <c r="F182" s="231" t="s">
        <v>88</v>
      </c>
      <c r="G182" s="233"/>
      <c r="H182" s="233"/>
      <c r="I182" s="234"/>
      <c r="J182" s="234"/>
      <c r="K182" s="234"/>
      <c r="L182" s="231" t="s">
        <v>52</v>
      </c>
      <c r="M182" s="231" t="s">
        <v>53</v>
      </c>
      <c r="N182" s="233"/>
      <c r="O182" s="233"/>
      <c r="P182" s="232"/>
      <c r="Q182" s="231" t="s">
        <v>34</v>
      </c>
      <c r="R182" s="230">
        <v>46303</v>
      </c>
      <c r="S182" s="231" t="s">
        <v>94</v>
      </c>
      <c r="T182" s="234"/>
      <c r="U182" s="234"/>
    </row>
    <row r="183" spans="1:21" ht="12.75">
      <c r="A183" s="230">
        <v>46303</v>
      </c>
      <c r="B183" s="234"/>
      <c r="C183" s="231" t="s">
        <v>126</v>
      </c>
      <c r="D183" s="231" t="s">
        <v>1594</v>
      </c>
      <c r="E183" s="232" t="s">
        <v>1595</v>
      </c>
      <c r="F183" s="231" t="s">
        <v>88</v>
      </c>
      <c r="G183" s="233"/>
      <c r="H183" s="233"/>
      <c r="I183" s="234"/>
      <c r="J183" s="234"/>
      <c r="K183" s="234"/>
      <c r="L183" s="231" t="s">
        <v>52</v>
      </c>
      <c r="M183" s="231" t="s">
        <v>53</v>
      </c>
      <c r="N183" s="233"/>
      <c r="O183" s="233"/>
      <c r="P183" s="232"/>
      <c r="Q183" s="231" t="s">
        <v>34</v>
      </c>
      <c r="R183" s="230">
        <v>46303</v>
      </c>
      <c r="S183" s="231" t="s">
        <v>94</v>
      </c>
      <c r="T183" s="234"/>
      <c r="U183" s="234"/>
    </row>
    <row r="184" spans="1:21" ht="12.75">
      <c r="A184" s="230">
        <v>46303</v>
      </c>
      <c r="B184" s="234"/>
      <c r="C184" s="231" t="s">
        <v>126</v>
      </c>
      <c r="D184" s="231" t="s">
        <v>1598</v>
      </c>
      <c r="E184" s="232" t="s">
        <v>1599</v>
      </c>
      <c r="F184" s="231" t="s">
        <v>88</v>
      </c>
      <c r="G184" s="233"/>
      <c r="H184" s="233"/>
      <c r="I184" s="234"/>
      <c r="J184" s="234"/>
      <c r="K184" s="234"/>
      <c r="L184" s="231" t="s">
        <v>52</v>
      </c>
      <c r="M184" s="231" t="s">
        <v>53</v>
      </c>
      <c r="N184" s="233"/>
      <c r="O184" s="233"/>
      <c r="P184" s="232"/>
      <c r="Q184" s="231" t="s">
        <v>34</v>
      </c>
      <c r="R184" s="230">
        <v>46303</v>
      </c>
      <c r="S184" s="231" t="s">
        <v>94</v>
      </c>
      <c r="T184" s="234"/>
      <c r="U184" s="234"/>
    </row>
    <row r="185" spans="1:21" ht="12.75">
      <c r="A185" s="230">
        <v>46303</v>
      </c>
      <c r="B185" s="234"/>
      <c r="C185" s="231" t="s">
        <v>126</v>
      </c>
      <c r="D185" s="231" t="s">
        <v>1601</v>
      </c>
      <c r="E185" s="232" t="s">
        <v>1602</v>
      </c>
      <c r="F185" s="231" t="s">
        <v>88</v>
      </c>
      <c r="G185" s="233"/>
      <c r="H185" s="233"/>
      <c r="I185" s="234"/>
      <c r="J185" s="234"/>
      <c r="K185" s="234"/>
      <c r="L185" s="231" t="s">
        <v>52</v>
      </c>
      <c r="M185" s="231" t="s">
        <v>53</v>
      </c>
      <c r="N185" s="233"/>
      <c r="O185" s="233"/>
      <c r="P185" s="232"/>
      <c r="Q185" s="231" t="s">
        <v>34</v>
      </c>
      <c r="R185" s="230">
        <v>46303</v>
      </c>
      <c r="S185" s="231" t="s">
        <v>94</v>
      </c>
      <c r="T185" s="234"/>
      <c r="U185" s="234"/>
    </row>
    <row r="186" spans="1:21" ht="12.75">
      <c r="A186" s="230">
        <v>46303</v>
      </c>
      <c r="B186" s="234"/>
      <c r="C186" s="231" t="s">
        <v>227</v>
      </c>
      <c r="D186" s="231" t="s">
        <v>1605</v>
      </c>
      <c r="E186" s="232" t="s">
        <v>1606</v>
      </c>
      <c r="F186" s="231" t="s">
        <v>88</v>
      </c>
      <c r="G186" s="233"/>
      <c r="H186" s="233"/>
      <c r="I186" s="234"/>
      <c r="J186" s="234"/>
      <c r="K186" s="234"/>
      <c r="L186" s="231" t="s">
        <v>52</v>
      </c>
      <c r="M186" s="231" t="s">
        <v>53</v>
      </c>
      <c r="N186" s="233"/>
      <c r="O186" s="233"/>
      <c r="P186" s="232"/>
      <c r="Q186" s="231" t="s">
        <v>34</v>
      </c>
      <c r="R186" s="230">
        <v>46303</v>
      </c>
      <c r="S186" s="231" t="s">
        <v>94</v>
      </c>
      <c r="T186" s="234"/>
      <c r="U186" s="234"/>
    </row>
    <row r="187" spans="1:21" ht="12.75">
      <c r="A187" s="230">
        <v>46303</v>
      </c>
      <c r="B187" s="234"/>
      <c r="C187" s="231" t="s">
        <v>550</v>
      </c>
      <c r="D187" s="231" t="s">
        <v>1608</v>
      </c>
      <c r="E187" s="232" t="s">
        <v>1610</v>
      </c>
      <c r="F187" s="231" t="s">
        <v>88</v>
      </c>
      <c r="G187" s="233"/>
      <c r="H187" s="233"/>
      <c r="I187" s="234"/>
      <c r="J187" s="234"/>
      <c r="K187" s="234"/>
      <c r="L187" s="231" t="s">
        <v>86</v>
      </c>
      <c r="M187" s="231" t="s">
        <v>626</v>
      </c>
      <c r="N187" s="233"/>
      <c r="O187" s="233"/>
      <c r="P187" s="232"/>
      <c r="Q187" s="231" t="s">
        <v>34</v>
      </c>
      <c r="R187" s="230">
        <v>46303</v>
      </c>
      <c r="S187" s="231" t="s">
        <v>94</v>
      </c>
      <c r="T187" s="234"/>
      <c r="U187" s="234"/>
    </row>
    <row r="188" spans="1:21" ht="12.75">
      <c r="A188" s="230">
        <v>46303</v>
      </c>
      <c r="B188" s="234"/>
      <c r="C188" s="231" t="s">
        <v>175</v>
      </c>
      <c r="D188" s="231" t="s">
        <v>1612</v>
      </c>
      <c r="E188" s="232" t="s">
        <v>1613</v>
      </c>
      <c r="F188" s="231" t="s">
        <v>88</v>
      </c>
      <c r="G188" s="233"/>
      <c r="H188" s="233"/>
      <c r="I188" s="234"/>
      <c r="J188" s="234"/>
      <c r="K188" s="234"/>
      <c r="L188" s="231" t="s">
        <v>86</v>
      </c>
      <c r="M188" s="231" t="s">
        <v>626</v>
      </c>
      <c r="N188" s="233"/>
      <c r="O188" s="233"/>
      <c r="P188" s="232"/>
      <c r="Q188" s="231" t="s">
        <v>34</v>
      </c>
      <c r="R188" s="230">
        <v>46303</v>
      </c>
      <c r="S188" s="231" t="s">
        <v>94</v>
      </c>
      <c r="T188" s="234"/>
      <c r="U188" s="234"/>
    </row>
    <row r="189" spans="1:21" ht="12.75">
      <c r="A189" s="230">
        <v>46303</v>
      </c>
      <c r="B189" s="234"/>
      <c r="C189" s="231" t="s">
        <v>1615</v>
      </c>
      <c r="D189" s="231" t="s">
        <v>1617</v>
      </c>
      <c r="E189" s="232" t="s">
        <v>1619</v>
      </c>
      <c r="F189" s="231" t="s">
        <v>88</v>
      </c>
      <c r="G189" s="233"/>
      <c r="H189" s="233"/>
      <c r="I189" s="234"/>
      <c r="J189" s="234"/>
      <c r="K189" s="234"/>
      <c r="L189" s="231" t="s">
        <v>85</v>
      </c>
      <c r="M189" s="231" t="s">
        <v>87</v>
      </c>
      <c r="N189" s="233"/>
      <c r="O189" s="233"/>
      <c r="P189" s="238" t="s">
        <v>1620</v>
      </c>
      <c r="Q189" s="231" t="s">
        <v>34</v>
      </c>
      <c r="R189" s="230">
        <v>46303</v>
      </c>
      <c r="S189" s="231" t="s">
        <v>214</v>
      </c>
      <c r="T189" s="234"/>
      <c r="U189" s="234"/>
    </row>
    <row r="190" spans="1:21" ht="12.75">
      <c r="A190" s="230">
        <v>46303</v>
      </c>
      <c r="B190" s="234"/>
      <c r="C190" s="267" t="s">
        <v>198</v>
      </c>
      <c r="D190" s="267" t="s">
        <v>1621</v>
      </c>
      <c r="E190" s="268" t="s">
        <v>1622</v>
      </c>
      <c r="F190" s="231" t="s">
        <v>88</v>
      </c>
      <c r="G190" s="233"/>
      <c r="H190" s="233"/>
      <c r="I190" s="234"/>
      <c r="J190" s="234"/>
      <c r="K190" s="234"/>
      <c r="L190" s="231" t="s">
        <v>52</v>
      </c>
      <c r="M190" s="231" t="s">
        <v>53</v>
      </c>
      <c r="N190" s="233"/>
      <c r="O190" s="233"/>
      <c r="P190" s="232" t="s">
        <v>1623</v>
      </c>
      <c r="Q190" s="231" t="s">
        <v>34</v>
      </c>
      <c r="R190" s="230">
        <v>46303</v>
      </c>
      <c r="S190" s="231" t="s">
        <v>55</v>
      </c>
      <c r="T190" s="234"/>
      <c r="U190" s="234"/>
    </row>
    <row r="191" spans="1:21" ht="12.75">
      <c r="A191" s="230">
        <v>46303</v>
      </c>
      <c r="B191" s="234"/>
      <c r="C191" s="267" t="s">
        <v>198</v>
      </c>
      <c r="D191" s="267" t="s">
        <v>1625</v>
      </c>
      <c r="E191" s="268" t="s">
        <v>1626</v>
      </c>
      <c r="F191" s="231" t="s">
        <v>88</v>
      </c>
      <c r="G191" s="233"/>
      <c r="H191" s="233"/>
      <c r="I191" s="234"/>
      <c r="J191" s="234"/>
      <c r="K191" s="234"/>
      <c r="L191" s="231" t="s">
        <v>52</v>
      </c>
      <c r="M191" s="231" t="s">
        <v>53</v>
      </c>
      <c r="N191" s="233"/>
      <c r="O191" s="233"/>
      <c r="P191" s="232" t="s">
        <v>1628</v>
      </c>
      <c r="Q191" s="231" t="s">
        <v>34</v>
      </c>
      <c r="R191" s="230">
        <v>46303</v>
      </c>
      <c r="S191" s="231" t="s">
        <v>55</v>
      </c>
      <c r="T191" s="234"/>
      <c r="U191" s="234"/>
    </row>
    <row r="192" spans="1:21" ht="12.75">
      <c r="A192" s="230">
        <v>46303</v>
      </c>
      <c r="B192" s="234"/>
      <c r="C192" s="267" t="s">
        <v>1630</v>
      </c>
      <c r="D192" s="267" t="s">
        <v>1631</v>
      </c>
      <c r="E192" s="268" t="s">
        <v>1632</v>
      </c>
      <c r="F192" s="231" t="s">
        <v>88</v>
      </c>
      <c r="G192" s="233"/>
      <c r="H192" s="233"/>
      <c r="I192" s="234"/>
      <c r="J192" s="234"/>
      <c r="K192" s="234"/>
      <c r="L192" s="231" t="s">
        <v>52</v>
      </c>
      <c r="M192" s="231" t="s">
        <v>53</v>
      </c>
      <c r="N192" s="233"/>
      <c r="O192" s="233"/>
      <c r="P192" s="232" t="s">
        <v>1633</v>
      </c>
      <c r="Q192" s="231" t="s">
        <v>34</v>
      </c>
      <c r="R192" s="230">
        <v>46303</v>
      </c>
      <c r="S192" s="231" t="s">
        <v>55</v>
      </c>
      <c r="T192" s="234"/>
      <c r="U192" s="234"/>
    </row>
    <row r="193" spans="1:21" ht="12.75">
      <c r="A193" s="230">
        <v>46303</v>
      </c>
      <c r="B193" s="234"/>
      <c r="C193" s="267" t="s">
        <v>1630</v>
      </c>
      <c r="D193" s="267" t="s">
        <v>1635</v>
      </c>
      <c r="E193" s="271" t="s">
        <v>1637</v>
      </c>
      <c r="F193" s="231" t="s">
        <v>88</v>
      </c>
      <c r="G193" s="233"/>
      <c r="H193" s="233"/>
      <c r="I193" s="234"/>
      <c r="J193" s="234"/>
      <c r="K193" s="234"/>
      <c r="L193" s="231" t="s">
        <v>52</v>
      </c>
      <c r="M193" s="231" t="s">
        <v>53</v>
      </c>
      <c r="N193" s="233"/>
      <c r="O193" s="233"/>
      <c r="P193" s="232" t="s">
        <v>1638</v>
      </c>
      <c r="Q193" s="231" t="s">
        <v>34</v>
      </c>
      <c r="R193" s="230">
        <v>46303</v>
      </c>
      <c r="S193" s="231" t="s">
        <v>55</v>
      </c>
      <c r="T193" s="234"/>
      <c r="U193" s="234"/>
    </row>
    <row r="194" spans="1:21" ht="12.75">
      <c r="A194" s="230">
        <v>46303</v>
      </c>
      <c r="B194" s="234"/>
      <c r="C194" s="274" t="s">
        <v>971</v>
      </c>
      <c r="D194" s="285" t="s">
        <v>1640</v>
      </c>
      <c r="E194" s="232" t="s">
        <v>1641</v>
      </c>
      <c r="F194" s="231" t="s">
        <v>88</v>
      </c>
      <c r="G194" s="233"/>
      <c r="H194" s="233"/>
      <c r="I194" s="234"/>
      <c r="J194" s="234"/>
      <c r="K194" s="234"/>
      <c r="L194" s="231" t="s">
        <v>52</v>
      </c>
      <c r="M194" s="231" t="s">
        <v>53</v>
      </c>
      <c r="N194" s="233"/>
      <c r="O194" s="233"/>
      <c r="P194" s="232" t="s">
        <v>1643</v>
      </c>
      <c r="Q194" s="231" t="s">
        <v>34</v>
      </c>
      <c r="R194" s="230">
        <v>46303</v>
      </c>
      <c r="S194" s="231" t="s">
        <v>55</v>
      </c>
      <c r="T194" s="234"/>
      <c r="U194" s="234"/>
    </row>
    <row r="195" spans="1:21" ht="12.75">
      <c r="A195" s="230">
        <v>46303</v>
      </c>
      <c r="B195" s="234"/>
      <c r="C195" s="267" t="s">
        <v>971</v>
      </c>
      <c r="D195" s="286" t="s">
        <v>1644</v>
      </c>
      <c r="E195" s="232" t="s">
        <v>1645</v>
      </c>
      <c r="F195" s="231" t="s">
        <v>88</v>
      </c>
      <c r="G195" s="233"/>
      <c r="H195" s="233"/>
      <c r="I195" s="234"/>
      <c r="J195" s="234"/>
      <c r="K195" s="234"/>
      <c r="L195" s="231" t="s">
        <v>52</v>
      </c>
      <c r="M195" s="231" t="s">
        <v>53</v>
      </c>
      <c r="N195" s="233"/>
      <c r="O195" s="233"/>
      <c r="P195" s="232" t="s">
        <v>1647</v>
      </c>
      <c r="Q195" s="231" t="s">
        <v>34</v>
      </c>
      <c r="R195" s="230">
        <v>46303</v>
      </c>
      <c r="S195" s="231" t="s">
        <v>55</v>
      </c>
      <c r="T195" s="234"/>
      <c r="U195" s="234"/>
    </row>
    <row r="196" spans="1:21" ht="12.75">
      <c r="A196" s="230">
        <v>46303</v>
      </c>
      <c r="B196" s="234"/>
      <c r="C196" s="231" t="s">
        <v>364</v>
      </c>
      <c r="D196" s="231" t="s">
        <v>1648</v>
      </c>
      <c r="E196" s="232" t="s">
        <v>1649</v>
      </c>
      <c r="F196" s="231" t="s">
        <v>88</v>
      </c>
      <c r="G196" s="233"/>
      <c r="H196" s="233"/>
      <c r="I196" s="234"/>
      <c r="J196" s="234"/>
      <c r="K196" s="234"/>
      <c r="L196" s="231" t="s">
        <v>108</v>
      </c>
      <c r="M196" s="231" t="s">
        <v>53</v>
      </c>
      <c r="N196" s="233"/>
      <c r="O196" s="233"/>
      <c r="P196" s="237" t="s">
        <v>1650</v>
      </c>
      <c r="Q196" s="231" t="s">
        <v>34</v>
      </c>
      <c r="R196" s="230">
        <v>46303</v>
      </c>
      <c r="S196" s="231" t="s">
        <v>55</v>
      </c>
      <c r="T196" s="234"/>
      <c r="U196" s="234"/>
    </row>
    <row r="197" spans="1:21" ht="12.75">
      <c r="A197" s="230">
        <v>46303</v>
      </c>
      <c r="B197" s="234"/>
      <c r="C197" s="231" t="s">
        <v>1651</v>
      </c>
      <c r="D197" s="231" t="s">
        <v>1652</v>
      </c>
      <c r="E197" s="232" t="s">
        <v>1127</v>
      </c>
      <c r="F197" s="231" t="s">
        <v>88</v>
      </c>
      <c r="G197" s="233"/>
      <c r="H197" s="233"/>
      <c r="I197" s="234"/>
      <c r="J197" s="234"/>
      <c r="K197" s="234"/>
      <c r="L197" s="231" t="s">
        <v>86</v>
      </c>
      <c r="M197" s="231" t="s">
        <v>631</v>
      </c>
      <c r="N197" s="233"/>
      <c r="O197" s="233"/>
      <c r="P197" s="232" t="s">
        <v>1655</v>
      </c>
      <c r="Q197" s="231" t="s">
        <v>34</v>
      </c>
      <c r="R197" s="230">
        <v>46303</v>
      </c>
      <c r="S197" s="231" t="s">
        <v>111</v>
      </c>
      <c r="T197" s="234"/>
      <c r="U197" s="234"/>
    </row>
    <row r="198" spans="1:21" ht="12.75">
      <c r="A198" s="230">
        <v>46303</v>
      </c>
      <c r="B198" s="234"/>
      <c r="C198" s="231" t="s">
        <v>1651</v>
      </c>
      <c r="D198" s="231" t="s">
        <v>1656</v>
      </c>
      <c r="E198" s="232" t="s">
        <v>1657</v>
      </c>
      <c r="F198" s="231" t="s">
        <v>88</v>
      </c>
      <c r="G198" s="233"/>
      <c r="H198" s="233"/>
      <c r="I198" s="234"/>
      <c r="J198" s="234"/>
      <c r="K198" s="234"/>
      <c r="L198" s="231" t="s">
        <v>86</v>
      </c>
      <c r="M198" s="231" t="s">
        <v>631</v>
      </c>
      <c r="N198" s="233"/>
      <c r="O198" s="233"/>
      <c r="P198" s="238" t="s">
        <v>1658</v>
      </c>
      <c r="Q198" s="231" t="s">
        <v>34</v>
      </c>
      <c r="R198" s="230">
        <v>46303</v>
      </c>
      <c r="S198" s="231" t="s">
        <v>111</v>
      </c>
      <c r="T198" s="234"/>
      <c r="U198" s="234"/>
    </row>
    <row r="199" spans="1:21" ht="12.75">
      <c r="A199" s="230">
        <v>46303</v>
      </c>
      <c r="B199" s="234"/>
      <c r="C199" s="231" t="s">
        <v>1651</v>
      </c>
      <c r="D199" s="231" t="s">
        <v>1660</v>
      </c>
      <c r="E199" s="232" t="s">
        <v>1662</v>
      </c>
      <c r="F199" s="231" t="s">
        <v>88</v>
      </c>
      <c r="G199" s="233"/>
      <c r="H199" s="233"/>
      <c r="I199" s="234"/>
      <c r="J199" s="234"/>
      <c r="K199" s="234"/>
      <c r="L199" s="231" t="s">
        <v>86</v>
      </c>
      <c r="M199" s="231" t="s">
        <v>631</v>
      </c>
      <c r="N199" s="233"/>
      <c r="O199" s="233"/>
      <c r="P199" s="232" t="s">
        <v>1663</v>
      </c>
      <c r="Q199" s="231" t="s">
        <v>34</v>
      </c>
      <c r="R199" s="230">
        <v>46303</v>
      </c>
      <c r="S199" s="231" t="s">
        <v>111</v>
      </c>
      <c r="T199" s="234"/>
      <c r="U199" s="234"/>
    </row>
    <row r="200" spans="1:21" ht="12.75">
      <c r="A200" s="230">
        <v>46303</v>
      </c>
      <c r="B200" s="234"/>
      <c r="C200" s="231" t="s">
        <v>390</v>
      </c>
      <c r="D200" s="231" t="s">
        <v>1664</v>
      </c>
      <c r="E200" s="232" t="s">
        <v>1665</v>
      </c>
      <c r="F200" s="231" t="s">
        <v>88</v>
      </c>
      <c r="G200" s="233"/>
      <c r="H200" s="233"/>
      <c r="I200" s="234"/>
      <c r="J200" s="234"/>
      <c r="K200" s="234"/>
      <c r="L200" s="231" t="s">
        <v>52</v>
      </c>
      <c r="M200" s="231" t="s">
        <v>53</v>
      </c>
      <c r="N200" s="233"/>
      <c r="O200" s="233"/>
      <c r="P200" s="238" t="s">
        <v>1665</v>
      </c>
      <c r="Q200" s="231" t="s">
        <v>34</v>
      </c>
      <c r="R200" s="230">
        <v>46303</v>
      </c>
      <c r="S200" s="231" t="s">
        <v>55</v>
      </c>
      <c r="T200" s="234"/>
      <c r="U200" s="234"/>
    </row>
    <row r="201" spans="1:21" ht="12.75">
      <c r="A201" s="230">
        <v>46303</v>
      </c>
      <c r="B201" s="234"/>
      <c r="C201" s="231" t="s">
        <v>588</v>
      </c>
      <c r="D201" s="231" t="s">
        <v>1666</v>
      </c>
      <c r="E201" s="232" t="s">
        <v>1667</v>
      </c>
      <c r="F201" s="231" t="s">
        <v>88</v>
      </c>
      <c r="G201" s="233"/>
      <c r="H201" s="233"/>
      <c r="I201" s="234"/>
      <c r="J201" s="234"/>
      <c r="K201" s="234"/>
      <c r="L201" s="231" t="s">
        <v>108</v>
      </c>
      <c r="M201" s="231" t="s">
        <v>53</v>
      </c>
      <c r="N201" s="233"/>
      <c r="O201" s="233"/>
      <c r="P201" s="238" t="s">
        <v>1667</v>
      </c>
      <c r="Q201" s="231" t="s">
        <v>34</v>
      </c>
      <c r="R201" s="230">
        <v>46303</v>
      </c>
      <c r="S201" s="231" t="s">
        <v>55</v>
      </c>
      <c r="T201" s="234"/>
      <c r="U201" s="234"/>
    </row>
    <row r="202" spans="1:21" ht="12.75">
      <c r="A202" s="230">
        <v>46303</v>
      </c>
      <c r="B202" s="234"/>
      <c r="C202" s="231" t="s">
        <v>776</v>
      </c>
      <c r="D202" s="231" t="s">
        <v>1669</v>
      </c>
      <c r="E202" s="232" t="s">
        <v>1670</v>
      </c>
      <c r="F202" s="231" t="s">
        <v>88</v>
      </c>
      <c r="G202" s="233"/>
      <c r="H202" s="233"/>
      <c r="I202" s="234"/>
      <c r="J202" s="234"/>
      <c r="K202" s="234"/>
      <c r="L202" s="231" t="s">
        <v>108</v>
      </c>
      <c r="M202" s="231" t="s">
        <v>53</v>
      </c>
      <c r="N202" s="233"/>
      <c r="O202" s="233"/>
      <c r="P202" s="238" t="s">
        <v>1670</v>
      </c>
      <c r="Q202" s="231" t="s">
        <v>34</v>
      </c>
      <c r="R202" s="230">
        <v>46303</v>
      </c>
      <c r="S202" s="231" t="s">
        <v>55</v>
      </c>
      <c r="T202" s="234"/>
      <c r="U202" s="234"/>
    </row>
    <row r="203" spans="1:21" ht="12.75">
      <c r="A203" s="230">
        <v>46303</v>
      </c>
      <c r="B203" s="234"/>
      <c r="C203" s="231" t="s">
        <v>628</v>
      </c>
      <c r="D203" s="231" t="s">
        <v>1671</v>
      </c>
      <c r="E203" s="232" t="s">
        <v>1672</v>
      </c>
      <c r="F203" s="231" t="s">
        <v>88</v>
      </c>
      <c r="G203" s="233"/>
      <c r="H203" s="233"/>
      <c r="I203" s="234"/>
      <c r="J203" s="234"/>
      <c r="K203" s="234"/>
      <c r="L203" s="231" t="s">
        <v>86</v>
      </c>
      <c r="M203" s="231" t="s">
        <v>631</v>
      </c>
      <c r="N203" s="233"/>
      <c r="O203" s="233"/>
      <c r="P203" s="232" t="s">
        <v>1672</v>
      </c>
      <c r="Q203" s="231" t="s">
        <v>34</v>
      </c>
      <c r="R203" s="230">
        <v>46303</v>
      </c>
      <c r="S203" s="231" t="s">
        <v>317</v>
      </c>
      <c r="T203" s="234"/>
      <c r="U203" s="234"/>
    </row>
    <row r="204" spans="1:21" ht="12.75">
      <c r="A204" s="230">
        <v>46303</v>
      </c>
      <c r="B204" s="234"/>
      <c r="C204" s="231" t="s">
        <v>1615</v>
      </c>
      <c r="D204" s="231" t="s">
        <v>1675</v>
      </c>
      <c r="E204" s="232" t="s">
        <v>1676</v>
      </c>
      <c r="F204" s="231" t="s">
        <v>88</v>
      </c>
      <c r="G204" s="233"/>
      <c r="H204" s="233"/>
      <c r="I204" s="234"/>
      <c r="J204" s="234"/>
      <c r="K204" s="234"/>
      <c r="L204" s="231" t="s">
        <v>85</v>
      </c>
      <c r="M204" s="231" t="s">
        <v>87</v>
      </c>
      <c r="N204" s="233"/>
      <c r="O204" s="233"/>
      <c r="P204" s="232" t="s">
        <v>1676</v>
      </c>
      <c r="Q204" s="231" t="s">
        <v>34</v>
      </c>
      <c r="R204" s="230">
        <v>46303</v>
      </c>
      <c r="S204" s="231" t="s">
        <v>214</v>
      </c>
      <c r="T204" s="234"/>
      <c r="U204" s="234"/>
    </row>
    <row r="205" spans="1:21" ht="12.75">
      <c r="A205" s="230">
        <v>46303</v>
      </c>
      <c r="B205" s="234"/>
      <c r="C205" s="231" t="s">
        <v>312</v>
      </c>
      <c r="D205" s="231" t="s">
        <v>1677</v>
      </c>
      <c r="E205" s="232" t="s">
        <v>1678</v>
      </c>
      <c r="F205" s="231" t="s">
        <v>88</v>
      </c>
      <c r="G205" s="233"/>
      <c r="H205" s="233"/>
      <c r="I205" s="234"/>
      <c r="J205" s="234"/>
      <c r="K205" s="234"/>
      <c r="L205" s="231" t="s">
        <v>86</v>
      </c>
      <c r="M205" s="231" t="s">
        <v>631</v>
      </c>
      <c r="N205" s="233"/>
      <c r="O205" s="233"/>
      <c r="P205" s="232" t="s">
        <v>1679</v>
      </c>
      <c r="Q205" s="231" t="s">
        <v>34</v>
      </c>
      <c r="R205" s="230">
        <v>46303</v>
      </c>
      <c r="S205" s="231" t="s">
        <v>111</v>
      </c>
      <c r="T205" s="234"/>
      <c r="U205" s="234"/>
    </row>
    <row r="206" spans="1:21" ht="12.75">
      <c r="A206" s="230">
        <v>46303</v>
      </c>
      <c r="B206" s="234"/>
      <c r="C206" s="231" t="s">
        <v>1053</v>
      </c>
      <c r="D206" s="231" t="s">
        <v>1680</v>
      </c>
      <c r="E206" s="232" t="s">
        <v>1681</v>
      </c>
      <c r="F206" s="231" t="s">
        <v>88</v>
      </c>
      <c r="G206" s="233"/>
      <c r="H206" s="233"/>
      <c r="I206" s="234"/>
      <c r="J206" s="234"/>
      <c r="K206" s="234"/>
      <c r="L206" s="231" t="s">
        <v>85</v>
      </c>
      <c r="M206" s="231" t="s">
        <v>87</v>
      </c>
      <c r="N206" s="233"/>
      <c r="O206" s="233"/>
      <c r="P206" s="238" t="s">
        <v>1683</v>
      </c>
      <c r="Q206" s="231" t="s">
        <v>34</v>
      </c>
      <c r="R206" s="230">
        <v>46303</v>
      </c>
      <c r="S206" s="231" t="s">
        <v>111</v>
      </c>
      <c r="T206" s="234"/>
      <c r="U206" s="234"/>
    </row>
    <row r="207" spans="1:21" ht="12.75">
      <c r="A207" s="230">
        <v>46304</v>
      </c>
      <c r="B207" s="231" t="s">
        <v>112</v>
      </c>
      <c r="C207" s="231" t="s">
        <v>1378</v>
      </c>
      <c r="D207" s="231" t="s">
        <v>1685</v>
      </c>
      <c r="E207" s="232" t="s">
        <v>1686</v>
      </c>
      <c r="F207" s="231" t="s">
        <v>88</v>
      </c>
      <c r="G207" s="233"/>
      <c r="H207" s="233"/>
      <c r="I207" s="234"/>
      <c r="J207" s="234"/>
      <c r="K207" s="234"/>
      <c r="L207" s="231" t="s">
        <v>108</v>
      </c>
      <c r="M207" s="231" t="s">
        <v>53</v>
      </c>
      <c r="N207" s="233"/>
      <c r="O207" s="233"/>
      <c r="P207" s="232" t="s">
        <v>1687</v>
      </c>
      <c r="Q207" s="231" t="s">
        <v>34</v>
      </c>
      <c r="R207" s="230">
        <v>46304</v>
      </c>
      <c r="S207" s="231" t="s">
        <v>66</v>
      </c>
      <c r="T207" s="234"/>
      <c r="U207" s="234"/>
    </row>
    <row r="208" spans="1:21" ht="12.75">
      <c r="A208" s="230">
        <v>46304</v>
      </c>
      <c r="B208" s="231" t="s">
        <v>112</v>
      </c>
      <c r="C208" s="231" t="s">
        <v>1378</v>
      </c>
      <c r="D208" s="231" t="s">
        <v>1688</v>
      </c>
      <c r="E208" s="232" t="s">
        <v>1689</v>
      </c>
      <c r="F208" s="231" t="s">
        <v>88</v>
      </c>
      <c r="G208" s="233"/>
      <c r="H208" s="233"/>
      <c r="I208" s="234"/>
      <c r="J208" s="234"/>
      <c r="K208" s="234"/>
      <c r="L208" s="231" t="s">
        <v>108</v>
      </c>
      <c r="M208" s="231" t="s">
        <v>53</v>
      </c>
      <c r="N208" s="233"/>
      <c r="O208" s="233"/>
      <c r="P208" s="232" t="s">
        <v>1690</v>
      </c>
      <c r="Q208" s="231" t="s">
        <v>34</v>
      </c>
      <c r="R208" s="230">
        <v>46304</v>
      </c>
      <c r="S208" s="231" t="s">
        <v>66</v>
      </c>
      <c r="T208" s="234"/>
      <c r="U208" s="234"/>
    </row>
    <row r="209" spans="1:21" ht="12.75">
      <c r="A209" s="230">
        <v>46304</v>
      </c>
      <c r="B209" s="234"/>
      <c r="C209" s="231" t="s">
        <v>60</v>
      </c>
      <c r="D209" s="231" t="s">
        <v>1691</v>
      </c>
      <c r="E209" s="232" t="s">
        <v>1693</v>
      </c>
      <c r="F209" s="231" t="s">
        <v>88</v>
      </c>
      <c r="G209" s="233"/>
      <c r="H209" s="233"/>
      <c r="I209" s="234"/>
      <c r="J209" s="234"/>
      <c r="K209" s="234"/>
      <c r="L209" s="231" t="s">
        <v>52</v>
      </c>
      <c r="M209" s="231" t="s">
        <v>53</v>
      </c>
      <c r="N209" s="233"/>
      <c r="O209" s="233"/>
      <c r="P209" s="238" t="s">
        <v>1694</v>
      </c>
      <c r="Q209" s="231" t="s">
        <v>34</v>
      </c>
      <c r="R209" s="230">
        <v>46304</v>
      </c>
      <c r="S209" s="231" t="s">
        <v>55</v>
      </c>
      <c r="T209" s="234"/>
      <c r="U209" s="234"/>
    </row>
    <row r="210" spans="1:21" ht="12.75">
      <c r="A210" s="230">
        <v>46304</v>
      </c>
      <c r="B210" s="234"/>
      <c r="C210" s="231" t="s">
        <v>60</v>
      </c>
      <c r="D210" s="231" t="s">
        <v>1696</v>
      </c>
      <c r="E210" s="232" t="s">
        <v>1697</v>
      </c>
      <c r="F210" s="231" t="s">
        <v>88</v>
      </c>
      <c r="G210" s="233"/>
      <c r="H210" s="233"/>
      <c r="I210" s="234"/>
      <c r="J210" s="234"/>
      <c r="K210" s="234"/>
      <c r="L210" s="231" t="s">
        <v>52</v>
      </c>
      <c r="M210" s="231" t="s">
        <v>53</v>
      </c>
      <c r="N210" s="233"/>
      <c r="O210" s="233"/>
      <c r="P210" s="237" t="s">
        <v>1698</v>
      </c>
      <c r="Q210" s="231" t="s">
        <v>34</v>
      </c>
      <c r="R210" s="230">
        <v>46304</v>
      </c>
      <c r="S210" s="231" t="s">
        <v>55</v>
      </c>
      <c r="T210" s="234"/>
      <c r="U210" s="234"/>
    </row>
    <row r="211" spans="1:21" ht="12.75">
      <c r="A211" s="230">
        <v>46304</v>
      </c>
      <c r="B211" s="234"/>
      <c r="C211" s="231" t="s">
        <v>859</v>
      </c>
      <c r="D211" s="231" t="s">
        <v>1699</v>
      </c>
      <c r="E211" s="232" t="s">
        <v>1700</v>
      </c>
      <c r="F211" s="231" t="s">
        <v>88</v>
      </c>
      <c r="G211" s="233"/>
      <c r="H211" s="233"/>
      <c r="I211" s="234"/>
      <c r="J211" s="234"/>
      <c r="K211" s="234"/>
      <c r="L211" s="231" t="s">
        <v>52</v>
      </c>
      <c r="M211" s="231" t="s">
        <v>631</v>
      </c>
      <c r="N211" s="233"/>
      <c r="O211" s="233"/>
      <c r="P211" s="232" t="s">
        <v>1701</v>
      </c>
      <c r="Q211" s="231" t="s">
        <v>34</v>
      </c>
      <c r="R211" s="230">
        <v>46304</v>
      </c>
      <c r="S211" s="231" t="s">
        <v>55</v>
      </c>
      <c r="T211" s="234"/>
      <c r="U211" s="234"/>
    </row>
    <row r="212" spans="1:21" ht="12.75">
      <c r="A212" s="230">
        <v>46304</v>
      </c>
      <c r="B212" s="234"/>
      <c r="C212" s="231" t="s">
        <v>859</v>
      </c>
      <c r="D212" s="231" t="s">
        <v>1702</v>
      </c>
      <c r="E212" s="232" t="s">
        <v>1704</v>
      </c>
      <c r="F212" s="231" t="s">
        <v>88</v>
      </c>
      <c r="G212" s="233"/>
      <c r="H212" s="233"/>
      <c r="I212" s="234"/>
      <c r="J212" s="234"/>
      <c r="K212" s="234"/>
      <c r="L212" s="231" t="s">
        <v>52</v>
      </c>
      <c r="M212" s="231" t="s">
        <v>631</v>
      </c>
      <c r="N212" s="233"/>
      <c r="O212" s="233"/>
      <c r="P212" s="232" t="s">
        <v>1706</v>
      </c>
      <c r="Q212" s="231" t="s">
        <v>34</v>
      </c>
      <c r="R212" s="230">
        <v>46304</v>
      </c>
      <c r="S212" s="231" t="s">
        <v>55</v>
      </c>
      <c r="T212" s="234"/>
      <c r="U212" s="234"/>
    </row>
    <row r="213" spans="1:21" ht="12.75">
      <c r="A213" s="230">
        <v>46304</v>
      </c>
      <c r="B213" s="234"/>
      <c r="C213" s="231" t="s">
        <v>292</v>
      </c>
      <c r="D213" s="231" t="s">
        <v>1707</v>
      </c>
      <c r="E213" s="232" t="s">
        <v>1708</v>
      </c>
      <c r="F213" s="231" t="s">
        <v>88</v>
      </c>
      <c r="G213" s="233"/>
      <c r="H213" s="233"/>
      <c r="I213" s="234"/>
      <c r="J213" s="234"/>
      <c r="K213" s="234"/>
      <c r="L213" s="231" t="s">
        <v>52</v>
      </c>
      <c r="M213" s="231" t="s">
        <v>53</v>
      </c>
      <c r="N213" s="233"/>
      <c r="O213" s="233"/>
      <c r="P213" s="232" t="s">
        <v>1709</v>
      </c>
      <c r="Q213" s="231" t="s">
        <v>34</v>
      </c>
      <c r="R213" s="230">
        <v>46304</v>
      </c>
      <c r="S213" s="231" t="s">
        <v>322</v>
      </c>
      <c r="T213" s="234"/>
      <c r="U213" s="234"/>
    </row>
    <row r="214" spans="1:21" ht="12.75">
      <c r="A214" s="230">
        <v>46304</v>
      </c>
      <c r="B214" s="234"/>
      <c r="C214" s="231" t="s">
        <v>292</v>
      </c>
      <c r="D214" s="231" t="s">
        <v>1710</v>
      </c>
      <c r="E214" s="232" t="s">
        <v>1711</v>
      </c>
      <c r="F214" s="231" t="s">
        <v>88</v>
      </c>
      <c r="G214" s="233"/>
      <c r="H214" s="233"/>
      <c r="I214" s="234"/>
      <c r="J214" s="234"/>
      <c r="K214" s="234"/>
      <c r="L214" s="231" t="s">
        <v>52</v>
      </c>
      <c r="M214" s="231" t="s">
        <v>53</v>
      </c>
      <c r="N214" s="233"/>
      <c r="O214" s="233"/>
      <c r="P214" s="232" t="s">
        <v>1712</v>
      </c>
      <c r="Q214" s="231" t="s">
        <v>34</v>
      </c>
      <c r="R214" s="230">
        <v>46304</v>
      </c>
      <c r="S214" s="231" t="s">
        <v>322</v>
      </c>
      <c r="T214" s="234"/>
      <c r="U214" s="234"/>
    </row>
    <row r="215" spans="1:21" ht="12.75">
      <c r="A215" s="230">
        <v>46304</v>
      </c>
      <c r="B215" s="234"/>
      <c r="C215" s="231" t="s">
        <v>390</v>
      </c>
      <c r="D215" s="231" t="s">
        <v>1715</v>
      </c>
      <c r="E215" s="232" t="s">
        <v>1716</v>
      </c>
      <c r="F215" s="231" t="s">
        <v>88</v>
      </c>
      <c r="G215" s="233"/>
      <c r="H215" s="233"/>
      <c r="I215" s="234"/>
      <c r="J215" s="234"/>
      <c r="K215" s="234"/>
      <c r="L215" s="231" t="s">
        <v>52</v>
      </c>
      <c r="M215" s="231" t="s">
        <v>53</v>
      </c>
      <c r="N215" s="233"/>
      <c r="O215" s="233"/>
      <c r="P215" s="232" t="s">
        <v>1717</v>
      </c>
      <c r="Q215" s="231" t="s">
        <v>34</v>
      </c>
      <c r="R215" s="230">
        <v>46304</v>
      </c>
      <c r="S215" s="231" t="s">
        <v>66</v>
      </c>
      <c r="T215" s="234"/>
      <c r="U215" s="234"/>
    </row>
    <row r="216" spans="1:21" ht="12.75">
      <c r="A216" s="230">
        <v>46304</v>
      </c>
      <c r="B216" s="234"/>
      <c r="C216" s="231" t="s">
        <v>418</v>
      </c>
      <c r="D216" s="231" t="s">
        <v>1718</v>
      </c>
      <c r="E216" s="232" t="s">
        <v>1719</v>
      </c>
      <c r="F216" s="231" t="s">
        <v>88</v>
      </c>
      <c r="G216" s="233"/>
      <c r="H216" s="233"/>
      <c r="I216" s="234"/>
      <c r="J216" s="234"/>
      <c r="K216" s="234"/>
      <c r="L216" s="231" t="s">
        <v>86</v>
      </c>
      <c r="M216" s="231" t="s">
        <v>631</v>
      </c>
      <c r="N216" s="233"/>
      <c r="O216" s="233"/>
      <c r="P216" s="237" t="s">
        <v>1720</v>
      </c>
      <c r="Q216" s="231" t="s">
        <v>34</v>
      </c>
      <c r="R216" s="230">
        <v>46304</v>
      </c>
      <c r="S216" s="231" t="s">
        <v>55</v>
      </c>
      <c r="T216" s="234"/>
      <c r="U216" s="234"/>
    </row>
    <row r="217" spans="1:21" ht="12.75">
      <c r="A217" s="230">
        <v>46304</v>
      </c>
      <c r="B217" s="234"/>
      <c r="C217" s="231" t="s">
        <v>418</v>
      </c>
      <c r="D217" s="231" t="s">
        <v>1721</v>
      </c>
      <c r="E217" s="232" t="s">
        <v>1722</v>
      </c>
      <c r="F217" s="231" t="s">
        <v>88</v>
      </c>
      <c r="G217" s="233"/>
      <c r="H217" s="233"/>
      <c r="I217" s="234"/>
      <c r="J217" s="234"/>
      <c r="K217" s="234"/>
      <c r="L217" s="231" t="s">
        <v>86</v>
      </c>
      <c r="M217" s="231" t="s">
        <v>631</v>
      </c>
      <c r="N217" s="233"/>
      <c r="O217" s="233"/>
      <c r="P217" s="237" t="s">
        <v>1724</v>
      </c>
      <c r="Q217" s="231" t="s">
        <v>34</v>
      </c>
      <c r="R217" s="230">
        <v>46304</v>
      </c>
      <c r="S217" s="231" t="s">
        <v>55</v>
      </c>
      <c r="T217" s="234"/>
      <c r="U217" s="234"/>
    </row>
    <row r="218" spans="1:21" ht="12.75">
      <c r="A218" s="230">
        <v>46304</v>
      </c>
      <c r="B218" s="234"/>
      <c r="C218" s="231" t="s">
        <v>418</v>
      </c>
      <c r="D218" s="231" t="s">
        <v>1725</v>
      </c>
      <c r="E218" s="232" t="s">
        <v>1726</v>
      </c>
      <c r="F218" s="231" t="s">
        <v>88</v>
      </c>
      <c r="G218" s="233"/>
      <c r="H218" s="233"/>
      <c r="I218" s="234"/>
      <c r="J218" s="234"/>
      <c r="K218" s="234"/>
      <c r="L218" s="231" t="s">
        <v>86</v>
      </c>
      <c r="M218" s="231" t="s">
        <v>631</v>
      </c>
      <c r="N218" s="233"/>
      <c r="O218" s="233"/>
      <c r="P218" s="237" t="s">
        <v>1727</v>
      </c>
      <c r="Q218" s="231" t="s">
        <v>34</v>
      </c>
      <c r="R218" s="230">
        <v>46304</v>
      </c>
      <c r="S218" s="231" t="s">
        <v>55</v>
      </c>
      <c r="T218" s="234"/>
      <c r="U218" s="234"/>
    </row>
    <row r="219" spans="1:21" ht="12.75">
      <c r="A219" s="230">
        <v>46304</v>
      </c>
      <c r="B219" s="234"/>
      <c r="C219" s="231" t="s">
        <v>279</v>
      </c>
      <c r="D219" s="231" t="s">
        <v>1728</v>
      </c>
      <c r="E219" s="232" t="s">
        <v>1729</v>
      </c>
      <c r="F219" s="231" t="s">
        <v>88</v>
      </c>
      <c r="G219" s="233"/>
      <c r="H219" s="233"/>
      <c r="I219" s="234"/>
      <c r="J219" s="234"/>
      <c r="K219" s="234"/>
      <c r="L219" s="231" t="s">
        <v>86</v>
      </c>
      <c r="M219" s="231" t="s">
        <v>631</v>
      </c>
      <c r="N219" s="233"/>
      <c r="O219" s="233"/>
      <c r="P219" s="232" t="s">
        <v>1730</v>
      </c>
      <c r="Q219" s="231" t="s">
        <v>34</v>
      </c>
      <c r="R219" s="230">
        <v>46304</v>
      </c>
      <c r="S219" s="231" t="s">
        <v>55</v>
      </c>
      <c r="T219" s="234"/>
      <c r="U219" s="234"/>
    </row>
    <row r="220" spans="1:21" ht="12.75">
      <c r="A220" s="230">
        <v>46304</v>
      </c>
      <c r="B220" s="234"/>
      <c r="C220" s="231" t="s">
        <v>113</v>
      </c>
      <c r="D220" s="231" t="s">
        <v>1731</v>
      </c>
      <c r="E220" s="232" t="s">
        <v>1733</v>
      </c>
      <c r="F220" s="231" t="s">
        <v>88</v>
      </c>
      <c r="G220" s="233"/>
      <c r="H220" s="233"/>
      <c r="I220" s="234"/>
      <c r="J220" s="234"/>
      <c r="K220" s="234"/>
      <c r="L220" s="231" t="s">
        <v>108</v>
      </c>
      <c r="M220" s="231" t="s">
        <v>53</v>
      </c>
      <c r="N220" s="233"/>
      <c r="O220" s="233"/>
      <c r="P220" s="232" t="s">
        <v>1734</v>
      </c>
      <c r="Q220" s="231" t="s">
        <v>34</v>
      </c>
      <c r="R220" s="230">
        <v>46304</v>
      </c>
      <c r="S220" s="231" t="s">
        <v>55</v>
      </c>
      <c r="T220" s="234"/>
      <c r="U220" s="234"/>
    </row>
    <row r="221" spans="1:21" ht="12.75">
      <c r="A221" s="230">
        <v>46304</v>
      </c>
      <c r="B221" s="234"/>
      <c r="C221" s="231" t="s">
        <v>527</v>
      </c>
      <c r="D221" s="231" t="s">
        <v>1735</v>
      </c>
      <c r="E221" s="232" t="s">
        <v>1736</v>
      </c>
      <c r="F221" s="231" t="s">
        <v>88</v>
      </c>
      <c r="G221" s="233"/>
      <c r="H221" s="233"/>
      <c r="I221" s="234"/>
      <c r="J221" s="234"/>
      <c r="K221" s="234"/>
      <c r="L221" s="231" t="s">
        <v>108</v>
      </c>
      <c r="M221" s="231" t="s">
        <v>53</v>
      </c>
      <c r="N221" s="233"/>
      <c r="O221" s="233"/>
      <c r="P221" s="232" t="s">
        <v>1737</v>
      </c>
      <c r="Q221" s="231" t="s">
        <v>34</v>
      </c>
      <c r="R221" s="230">
        <v>46304</v>
      </c>
      <c r="S221" s="231" t="s">
        <v>375</v>
      </c>
      <c r="T221" s="234"/>
      <c r="U221" s="234"/>
    </row>
    <row r="222" spans="1:21" ht="12.75">
      <c r="A222" s="230">
        <v>46304</v>
      </c>
      <c r="B222" s="234"/>
      <c r="C222" s="231" t="s">
        <v>1444</v>
      </c>
      <c r="D222" s="231" t="s">
        <v>1738</v>
      </c>
      <c r="E222" s="238" t="s">
        <v>1740</v>
      </c>
      <c r="F222" s="231" t="s">
        <v>88</v>
      </c>
      <c r="G222" s="233"/>
      <c r="H222" s="233"/>
      <c r="I222" s="234"/>
      <c r="J222" s="234"/>
      <c r="K222" s="234"/>
      <c r="L222" s="231" t="s">
        <v>52</v>
      </c>
      <c r="M222" s="231" t="s">
        <v>53</v>
      </c>
      <c r="N222" s="233"/>
      <c r="O222" s="233"/>
      <c r="P222" s="232" t="s">
        <v>1741</v>
      </c>
      <c r="Q222" s="231" t="s">
        <v>34</v>
      </c>
      <c r="R222" s="230">
        <v>46304</v>
      </c>
      <c r="S222" s="231" t="s">
        <v>322</v>
      </c>
      <c r="T222" s="234"/>
      <c r="U222" s="234"/>
    </row>
    <row r="223" spans="1:21" ht="12.75">
      <c r="A223" s="230">
        <v>46304</v>
      </c>
      <c r="B223" s="234"/>
      <c r="C223" s="231" t="s">
        <v>382</v>
      </c>
      <c r="D223" s="286" t="s">
        <v>1742</v>
      </c>
      <c r="E223" s="232" t="s">
        <v>1743</v>
      </c>
      <c r="F223" s="231" t="s">
        <v>88</v>
      </c>
      <c r="G223" s="233"/>
      <c r="H223" s="233"/>
      <c r="I223" s="234"/>
      <c r="J223" s="234"/>
      <c r="K223" s="234"/>
      <c r="L223" s="231" t="s">
        <v>108</v>
      </c>
      <c r="M223" s="231" t="s">
        <v>53</v>
      </c>
      <c r="N223" s="233"/>
      <c r="O223" s="233"/>
      <c r="P223" s="232" t="s">
        <v>1744</v>
      </c>
      <c r="Q223" s="231" t="s">
        <v>34</v>
      </c>
      <c r="R223" s="230">
        <v>46304</v>
      </c>
      <c r="S223" s="231" t="s">
        <v>55</v>
      </c>
      <c r="T223" s="234"/>
      <c r="U223" s="234"/>
    </row>
    <row r="224" spans="1:21" ht="12.75">
      <c r="A224" s="230">
        <v>46304</v>
      </c>
      <c r="B224" s="234"/>
      <c r="C224" s="231" t="s">
        <v>382</v>
      </c>
      <c r="D224" s="285" t="s">
        <v>1746</v>
      </c>
      <c r="E224" s="232" t="s">
        <v>1747</v>
      </c>
      <c r="F224" s="231" t="s">
        <v>88</v>
      </c>
      <c r="G224" s="233"/>
      <c r="H224" s="233"/>
      <c r="I224" s="234"/>
      <c r="J224" s="234"/>
      <c r="K224" s="234"/>
      <c r="L224" s="231" t="s">
        <v>108</v>
      </c>
      <c r="M224" s="231" t="s">
        <v>53</v>
      </c>
      <c r="N224" s="233"/>
      <c r="O224" s="233"/>
      <c r="P224" s="232" t="s">
        <v>1748</v>
      </c>
      <c r="Q224" s="231" t="s">
        <v>34</v>
      </c>
      <c r="R224" s="230">
        <v>46304</v>
      </c>
      <c r="S224" s="231" t="s">
        <v>55</v>
      </c>
      <c r="T224" s="234"/>
      <c r="U224" s="234"/>
    </row>
    <row r="225" spans="1:21" ht="12.75">
      <c r="A225" s="230">
        <v>46304</v>
      </c>
      <c r="B225" s="234"/>
      <c r="C225" s="231" t="s">
        <v>596</v>
      </c>
      <c r="D225" s="231" t="s">
        <v>1749</v>
      </c>
      <c r="E225" s="238" t="s">
        <v>1750</v>
      </c>
      <c r="F225" s="231" t="s">
        <v>88</v>
      </c>
      <c r="G225" s="233"/>
      <c r="H225" s="233"/>
      <c r="I225" s="234"/>
      <c r="J225" s="234"/>
      <c r="K225" s="234"/>
      <c r="L225" s="231" t="s">
        <v>108</v>
      </c>
      <c r="M225" s="231" t="s">
        <v>53</v>
      </c>
      <c r="N225" s="233"/>
      <c r="O225" s="233"/>
      <c r="P225" s="232" t="s">
        <v>1750</v>
      </c>
      <c r="Q225" s="231" t="s">
        <v>34</v>
      </c>
      <c r="R225" s="230">
        <v>46304</v>
      </c>
      <c r="S225" s="231" t="s">
        <v>317</v>
      </c>
      <c r="T225" s="234"/>
      <c r="U225" s="234"/>
    </row>
    <row r="226" spans="1:21" ht="12.75">
      <c r="A226" s="230">
        <v>46305</v>
      </c>
      <c r="B226" s="231" t="s">
        <v>28</v>
      </c>
      <c r="C226" s="231" t="s">
        <v>1447</v>
      </c>
      <c r="D226" s="231" t="s">
        <v>1752</v>
      </c>
      <c r="E226" s="232" t="s">
        <v>1753</v>
      </c>
      <c r="F226" s="231" t="s">
        <v>88</v>
      </c>
      <c r="G226" s="233"/>
      <c r="H226" s="233"/>
      <c r="I226" s="231" t="s">
        <v>1754</v>
      </c>
      <c r="J226" s="231" t="s">
        <v>1755</v>
      </c>
      <c r="K226" s="234"/>
      <c r="L226" s="231" t="s">
        <v>108</v>
      </c>
      <c r="M226" s="231" t="s">
        <v>53</v>
      </c>
      <c r="N226" s="233"/>
      <c r="O226" s="233"/>
      <c r="P226" s="232" t="s">
        <v>1757</v>
      </c>
      <c r="Q226" s="231" t="s">
        <v>34</v>
      </c>
      <c r="R226" s="230">
        <v>46305</v>
      </c>
      <c r="S226" s="231" t="s">
        <v>66</v>
      </c>
      <c r="T226" s="234"/>
      <c r="U226" s="234"/>
    </row>
    <row r="227" spans="1:21" ht="12.75">
      <c r="A227" s="230">
        <v>46305</v>
      </c>
      <c r="B227" s="234"/>
      <c r="C227" s="231" t="s">
        <v>210</v>
      </c>
      <c r="D227" s="231" t="s">
        <v>1758</v>
      </c>
      <c r="E227" s="232" t="s">
        <v>1759</v>
      </c>
      <c r="F227" s="231" t="s">
        <v>88</v>
      </c>
      <c r="G227" s="233"/>
      <c r="H227" s="233"/>
      <c r="I227" s="234"/>
      <c r="J227" s="234"/>
      <c r="K227" s="234"/>
      <c r="L227" s="231" t="s">
        <v>85</v>
      </c>
      <c r="M227" s="231" t="s">
        <v>1236</v>
      </c>
      <c r="N227" s="233"/>
      <c r="O227" s="233"/>
      <c r="P227" s="232" t="s">
        <v>1760</v>
      </c>
      <c r="Q227" s="231" t="s">
        <v>34</v>
      </c>
      <c r="R227" s="230">
        <v>46305</v>
      </c>
      <c r="S227" s="231" t="s">
        <v>214</v>
      </c>
      <c r="T227" s="234"/>
      <c r="U227" s="234"/>
    </row>
    <row r="228" spans="1:21" ht="12.75">
      <c r="A228" s="230">
        <v>46305</v>
      </c>
      <c r="B228" s="234"/>
      <c r="C228" s="231" t="s">
        <v>944</v>
      </c>
      <c r="D228" s="231" t="s">
        <v>1762</v>
      </c>
      <c r="E228" s="232" t="s">
        <v>1763</v>
      </c>
      <c r="F228" s="231" t="s">
        <v>88</v>
      </c>
      <c r="G228" s="233"/>
      <c r="H228" s="233"/>
      <c r="I228" s="234"/>
      <c r="J228" s="234"/>
      <c r="K228" s="234"/>
      <c r="L228" s="231" t="s">
        <v>85</v>
      </c>
      <c r="M228" s="231" t="s">
        <v>1236</v>
      </c>
      <c r="N228" s="233"/>
      <c r="O228" s="233"/>
      <c r="P228" s="232" t="s">
        <v>1766</v>
      </c>
      <c r="Q228" s="231" t="s">
        <v>34</v>
      </c>
      <c r="R228" s="230">
        <v>46305</v>
      </c>
      <c r="S228" s="231" t="s">
        <v>214</v>
      </c>
      <c r="T228" s="234"/>
      <c r="U228" s="234"/>
    </row>
    <row r="229" spans="1:21" ht="12.75">
      <c r="A229" s="230">
        <v>46305</v>
      </c>
      <c r="B229" s="234"/>
      <c r="C229" s="274" t="s">
        <v>1352</v>
      </c>
      <c r="D229" s="287" t="s">
        <v>1768</v>
      </c>
      <c r="E229" s="232" t="s">
        <v>1769</v>
      </c>
      <c r="F229" s="231" t="s">
        <v>88</v>
      </c>
      <c r="G229" s="233"/>
      <c r="H229" s="233"/>
      <c r="I229" s="234"/>
      <c r="J229" s="234"/>
      <c r="K229" s="234"/>
      <c r="L229" s="231" t="s">
        <v>86</v>
      </c>
      <c r="M229" s="231" t="s">
        <v>404</v>
      </c>
      <c r="N229" s="233"/>
      <c r="O229" s="233"/>
      <c r="P229" s="232" t="s">
        <v>1771</v>
      </c>
      <c r="Q229" s="231" t="s">
        <v>34</v>
      </c>
      <c r="R229" s="230">
        <v>46305</v>
      </c>
      <c r="S229" s="231" t="s">
        <v>94</v>
      </c>
      <c r="T229" s="234"/>
      <c r="U229" s="234"/>
    </row>
    <row r="230" spans="1:21" ht="12.75">
      <c r="A230" s="230">
        <v>46305</v>
      </c>
      <c r="B230" s="234"/>
      <c r="C230" s="274" t="s">
        <v>1627</v>
      </c>
      <c r="D230" s="287" t="s">
        <v>1774</v>
      </c>
      <c r="E230" s="232" t="s">
        <v>1775</v>
      </c>
      <c r="F230" s="231" t="s">
        <v>88</v>
      </c>
      <c r="G230" s="233"/>
      <c r="H230" s="233"/>
      <c r="I230" s="234"/>
      <c r="J230" s="234"/>
      <c r="K230" s="234"/>
      <c r="L230" s="231" t="s">
        <v>86</v>
      </c>
      <c r="M230" s="231" t="s">
        <v>90</v>
      </c>
      <c r="N230" s="233"/>
      <c r="O230" s="233"/>
      <c r="P230" s="232" t="s">
        <v>1776</v>
      </c>
      <c r="Q230" s="231" t="s">
        <v>34</v>
      </c>
      <c r="R230" s="230">
        <v>46305</v>
      </c>
      <c r="S230" s="231" t="s">
        <v>94</v>
      </c>
      <c r="T230" s="234"/>
      <c r="U230" s="234"/>
    </row>
    <row r="231" spans="1:21" ht="12.75">
      <c r="A231" s="230">
        <v>46305</v>
      </c>
      <c r="B231" s="234"/>
      <c r="C231" s="274" t="s">
        <v>1137</v>
      </c>
      <c r="D231" s="287" t="s">
        <v>1777</v>
      </c>
      <c r="E231" s="232" t="s">
        <v>1778</v>
      </c>
      <c r="F231" s="231" t="s">
        <v>88</v>
      </c>
      <c r="G231" s="233"/>
      <c r="H231" s="233"/>
      <c r="I231" s="234"/>
      <c r="J231" s="234"/>
      <c r="K231" s="234"/>
      <c r="L231" s="231" t="s">
        <v>86</v>
      </c>
      <c r="M231" s="231" t="s">
        <v>90</v>
      </c>
      <c r="N231" s="233"/>
      <c r="O231" s="233"/>
      <c r="P231" s="232" t="s">
        <v>1781</v>
      </c>
      <c r="Q231" s="231" t="s">
        <v>34</v>
      </c>
      <c r="R231" s="230">
        <v>46305</v>
      </c>
      <c r="S231" s="231" t="s">
        <v>94</v>
      </c>
      <c r="T231" s="234"/>
      <c r="U231" s="234"/>
    </row>
    <row r="232" spans="1:21" ht="12.75">
      <c r="A232" s="230">
        <v>46305</v>
      </c>
      <c r="B232" s="234"/>
      <c r="C232" s="274" t="s">
        <v>1148</v>
      </c>
      <c r="D232" s="287" t="s">
        <v>1782</v>
      </c>
      <c r="E232" s="232" t="s">
        <v>1783</v>
      </c>
      <c r="F232" s="231" t="s">
        <v>88</v>
      </c>
      <c r="G232" s="233"/>
      <c r="H232" s="233"/>
      <c r="I232" s="234"/>
      <c r="J232" s="234"/>
      <c r="K232" s="234"/>
      <c r="L232" s="231" t="s">
        <v>86</v>
      </c>
      <c r="M232" s="231" t="s">
        <v>90</v>
      </c>
      <c r="N232" s="233"/>
      <c r="O232" s="233"/>
      <c r="P232" s="232" t="s">
        <v>1776</v>
      </c>
      <c r="Q232" s="231" t="s">
        <v>34</v>
      </c>
      <c r="R232" s="230">
        <v>46305</v>
      </c>
      <c r="S232" s="231" t="s">
        <v>94</v>
      </c>
      <c r="T232" s="234"/>
      <c r="U232" s="234"/>
    </row>
    <row r="233" spans="1:21" ht="12.75">
      <c r="A233" s="230">
        <v>46305</v>
      </c>
      <c r="B233" s="234"/>
      <c r="C233" s="274" t="s">
        <v>470</v>
      </c>
      <c r="D233" s="287" t="s">
        <v>1784</v>
      </c>
      <c r="E233" s="232" t="s">
        <v>1786</v>
      </c>
      <c r="F233" s="231" t="s">
        <v>88</v>
      </c>
      <c r="G233" s="233"/>
      <c r="H233" s="233"/>
      <c r="I233" s="234"/>
      <c r="J233" s="234"/>
      <c r="K233" s="234"/>
      <c r="L233" s="231" t="s">
        <v>86</v>
      </c>
      <c r="M233" s="231" t="s">
        <v>90</v>
      </c>
      <c r="N233" s="233"/>
      <c r="O233" s="233"/>
      <c r="P233" s="232" t="s">
        <v>1788</v>
      </c>
      <c r="Q233" s="231" t="s">
        <v>34</v>
      </c>
      <c r="R233" s="230">
        <v>46305</v>
      </c>
      <c r="S233" s="231" t="s">
        <v>94</v>
      </c>
      <c r="T233" s="234"/>
      <c r="U233" s="234"/>
    </row>
    <row r="234" spans="1:21" ht="12.75">
      <c r="A234" s="230">
        <v>46305</v>
      </c>
      <c r="B234" s="234"/>
      <c r="C234" s="274" t="s">
        <v>1789</v>
      </c>
      <c r="D234" s="287" t="s">
        <v>1790</v>
      </c>
      <c r="E234" s="232" t="s">
        <v>1791</v>
      </c>
      <c r="F234" s="231" t="s">
        <v>88</v>
      </c>
      <c r="G234" s="233"/>
      <c r="H234" s="233"/>
      <c r="I234" s="234"/>
      <c r="J234" s="234"/>
      <c r="K234" s="234"/>
      <c r="L234" s="231" t="s">
        <v>86</v>
      </c>
      <c r="M234" s="231" t="s">
        <v>90</v>
      </c>
      <c r="N234" s="233"/>
      <c r="O234" s="233"/>
      <c r="P234" s="232" t="s">
        <v>1792</v>
      </c>
      <c r="Q234" s="231" t="s">
        <v>34</v>
      </c>
      <c r="R234" s="230">
        <v>46305</v>
      </c>
      <c r="S234" s="231" t="s">
        <v>94</v>
      </c>
      <c r="T234" s="234"/>
      <c r="U234" s="234"/>
    </row>
    <row r="235" spans="1:21" ht="12.75">
      <c r="A235" s="230">
        <v>46305</v>
      </c>
      <c r="B235" s="234"/>
      <c r="C235" s="274" t="s">
        <v>227</v>
      </c>
      <c r="D235" s="287" t="s">
        <v>1795</v>
      </c>
      <c r="E235" s="232" t="s">
        <v>1796</v>
      </c>
      <c r="F235" s="231" t="s">
        <v>88</v>
      </c>
      <c r="G235" s="233"/>
      <c r="H235" s="233"/>
      <c r="I235" s="234"/>
      <c r="J235" s="234"/>
      <c r="K235" s="234"/>
      <c r="L235" s="231" t="s">
        <v>52</v>
      </c>
      <c r="M235" s="231" t="s">
        <v>90</v>
      </c>
      <c r="N235" s="233"/>
      <c r="O235" s="233"/>
      <c r="P235" s="232" t="s">
        <v>1797</v>
      </c>
      <c r="Q235" s="231" t="s">
        <v>34</v>
      </c>
      <c r="R235" s="230">
        <v>46305</v>
      </c>
      <c r="S235" s="231" t="s">
        <v>94</v>
      </c>
      <c r="T235" s="234"/>
      <c r="U235" s="234"/>
    </row>
    <row r="236" spans="1:21" ht="12.75">
      <c r="A236" s="230">
        <v>46305</v>
      </c>
      <c r="B236" s="234"/>
      <c r="C236" s="274" t="s">
        <v>330</v>
      </c>
      <c r="D236" s="287" t="s">
        <v>1798</v>
      </c>
      <c r="E236" s="232" t="s">
        <v>1799</v>
      </c>
      <c r="F236" s="231" t="s">
        <v>88</v>
      </c>
      <c r="G236" s="233"/>
      <c r="H236" s="233"/>
      <c r="I236" s="234"/>
      <c r="J236" s="234"/>
      <c r="K236" s="234"/>
      <c r="L236" s="231" t="s">
        <v>86</v>
      </c>
      <c r="M236" s="231" t="s">
        <v>90</v>
      </c>
      <c r="N236" s="233"/>
      <c r="O236" s="233"/>
      <c r="P236" s="232" t="s">
        <v>1802</v>
      </c>
      <c r="Q236" s="231" t="s">
        <v>34</v>
      </c>
      <c r="R236" s="230">
        <v>46305</v>
      </c>
      <c r="S236" s="231" t="s">
        <v>94</v>
      </c>
      <c r="T236" s="234"/>
      <c r="U236" s="234"/>
    </row>
    <row r="237" spans="1:21" ht="12.75">
      <c r="A237" s="230">
        <v>46305</v>
      </c>
      <c r="B237" s="234"/>
      <c r="C237" s="274" t="s">
        <v>965</v>
      </c>
      <c r="D237" s="287" t="s">
        <v>1803</v>
      </c>
      <c r="E237" s="232" t="s">
        <v>1804</v>
      </c>
      <c r="F237" s="231" t="s">
        <v>88</v>
      </c>
      <c r="G237" s="233"/>
      <c r="H237" s="233"/>
      <c r="I237" s="234"/>
      <c r="J237" s="234"/>
      <c r="K237" s="234"/>
      <c r="L237" s="231" t="s">
        <v>52</v>
      </c>
      <c r="M237" s="231" t="s">
        <v>53</v>
      </c>
      <c r="N237" s="233"/>
      <c r="O237" s="233"/>
      <c r="P237" s="232" t="s">
        <v>1805</v>
      </c>
      <c r="Q237" s="231" t="s">
        <v>34</v>
      </c>
      <c r="R237" s="230">
        <v>46305</v>
      </c>
      <c r="S237" s="231" t="s">
        <v>94</v>
      </c>
      <c r="T237" s="234"/>
      <c r="U237" s="234"/>
    </row>
    <row r="238" spans="1:21" ht="12.75">
      <c r="A238" s="230">
        <v>46305</v>
      </c>
      <c r="B238" s="234"/>
      <c r="C238" s="274" t="s">
        <v>394</v>
      </c>
      <c r="D238" s="287" t="s">
        <v>1806</v>
      </c>
      <c r="E238" s="236" t="s">
        <v>1807</v>
      </c>
      <c r="F238" s="231" t="s">
        <v>88</v>
      </c>
      <c r="G238" s="233"/>
      <c r="H238" s="233"/>
      <c r="I238" s="234"/>
      <c r="J238" s="234"/>
      <c r="K238" s="234"/>
      <c r="L238" s="231" t="s">
        <v>52</v>
      </c>
      <c r="M238" s="231" t="s">
        <v>90</v>
      </c>
      <c r="N238" s="233"/>
      <c r="O238" s="233"/>
      <c r="P238" s="232" t="s">
        <v>1810</v>
      </c>
      <c r="Q238" s="231" t="s">
        <v>34</v>
      </c>
      <c r="R238" s="230">
        <v>46305</v>
      </c>
      <c r="S238" s="231" t="s">
        <v>94</v>
      </c>
      <c r="T238" s="234"/>
      <c r="U238" s="234"/>
    </row>
    <row r="239" spans="1:21" ht="12.75">
      <c r="A239" s="230">
        <v>46305</v>
      </c>
      <c r="B239" s="234"/>
      <c r="C239" s="274" t="s">
        <v>527</v>
      </c>
      <c r="D239" s="287" t="s">
        <v>1811</v>
      </c>
      <c r="E239" s="232" t="s">
        <v>1812</v>
      </c>
      <c r="F239" s="231" t="s">
        <v>88</v>
      </c>
      <c r="G239" s="233"/>
      <c r="H239" s="233"/>
      <c r="I239" s="234"/>
      <c r="J239" s="234"/>
      <c r="K239" s="234"/>
      <c r="L239" s="231" t="s">
        <v>108</v>
      </c>
      <c r="M239" s="231" t="s">
        <v>53</v>
      </c>
      <c r="N239" s="233"/>
      <c r="O239" s="233"/>
      <c r="P239" s="232" t="s">
        <v>1813</v>
      </c>
      <c r="Q239" s="231" t="s">
        <v>34</v>
      </c>
      <c r="R239" s="230">
        <v>46305</v>
      </c>
      <c r="S239" s="231" t="s">
        <v>94</v>
      </c>
      <c r="T239" s="234"/>
      <c r="U239" s="234"/>
    </row>
    <row r="240" spans="1:21" ht="12.75">
      <c r="A240" s="230">
        <v>46305</v>
      </c>
      <c r="B240" s="234"/>
      <c r="C240" s="231" t="s">
        <v>1253</v>
      </c>
      <c r="D240" s="231" t="s">
        <v>1815</v>
      </c>
      <c r="E240" s="232" t="s">
        <v>1817</v>
      </c>
      <c r="F240" s="231" t="s">
        <v>88</v>
      </c>
      <c r="G240" s="233"/>
      <c r="H240" s="233"/>
      <c r="I240" s="234"/>
      <c r="J240" s="234"/>
      <c r="K240" s="234"/>
      <c r="L240" s="231" t="s">
        <v>85</v>
      </c>
      <c r="M240" s="231" t="s">
        <v>87</v>
      </c>
      <c r="N240" s="233"/>
      <c r="O240" s="233"/>
      <c r="P240" s="232" t="s">
        <v>1817</v>
      </c>
      <c r="Q240" s="231" t="s">
        <v>34</v>
      </c>
      <c r="R240" s="230">
        <v>46305</v>
      </c>
      <c r="S240" s="231" t="s">
        <v>328</v>
      </c>
      <c r="T240" s="234"/>
      <c r="U240" s="234"/>
    </row>
    <row r="241" spans="1:21" ht="12.75">
      <c r="A241" s="230">
        <v>46305</v>
      </c>
      <c r="B241" s="234"/>
      <c r="C241" s="231" t="s">
        <v>944</v>
      </c>
      <c r="D241" s="231" t="s">
        <v>1762</v>
      </c>
      <c r="E241" s="232" t="s">
        <v>1818</v>
      </c>
      <c r="F241" s="231" t="s">
        <v>88</v>
      </c>
      <c r="G241" s="233"/>
      <c r="H241" s="233"/>
      <c r="I241" s="234"/>
      <c r="J241" s="234"/>
      <c r="K241" s="234"/>
      <c r="L241" s="231" t="s">
        <v>85</v>
      </c>
      <c r="M241" s="231" t="s">
        <v>87</v>
      </c>
      <c r="N241" s="233"/>
      <c r="O241" s="233"/>
      <c r="P241" s="232" t="s">
        <v>1818</v>
      </c>
      <c r="Q241" s="231" t="s">
        <v>34</v>
      </c>
      <c r="R241" s="230">
        <v>46305</v>
      </c>
      <c r="S241" s="231" t="s">
        <v>214</v>
      </c>
      <c r="T241" s="234"/>
      <c r="U241" s="234"/>
    </row>
    <row r="242" spans="1:21" ht="12.75">
      <c r="A242" s="230">
        <v>46305</v>
      </c>
      <c r="B242" s="234"/>
      <c r="C242" s="231" t="s">
        <v>210</v>
      </c>
      <c r="D242" s="231" t="s">
        <v>1758</v>
      </c>
      <c r="E242" s="232" t="s">
        <v>1824</v>
      </c>
      <c r="F242" s="231" t="s">
        <v>88</v>
      </c>
      <c r="G242" s="233"/>
      <c r="H242" s="233"/>
      <c r="I242" s="234"/>
      <c r="J242" s="234"/>
      <c r="K242" s="234"/>
      <c r="L242" s="231" t="s">
        <v>85</v>
      </c>
      <c r="M242" s="231" t="s">
        <v>87</v>
      </c>
      <c r="N242" s="233"/>
      <c r="O242" s="233"/>
      <c r="P242" s="232" t="s">
        <v>1824</v>
      </c>
      <c r="Q242" s="231" t="s">
        <v>34</v>
      </c>
      <c r="R242" s="230">
        <v>46305</v>
      </c>
      <c r="S242" s="231" t="s">
        <v>214</v>
      </c>
      <c r="T242" s="234"/>
      <c r="U242" s="234"/>
    </row>
    <row r="243" spans="1:21" ht="12.75">
      <c r="A243" s="230">
        <v>46305</v>
      </c>
      <c r="B243" s="234"/>
      <c r="C243" s="231" t="s">
        <v>1406</v>
      </c>
      <c r="D243" s="231" t="s">
        <v>1825</v>
      </c>
      <c r="E243" s="232" t="s">
        <v>1826</v>
      </c>
      <c r="F243" s="231" t="s">
        <v>88</v>
      </c>
      <c r="G243" s="233"/>
      <c r="H243" s="233"/>
      <c r="I243" s="234"/>
      <c r="J243" s="234"/>
      <c r="K243" s="234"/>
      <c r="L243" s="231" t="s">
        <v>52</v>
      </c>
      <c r="M243" s="231" t="s">
        <v>53</v>
      </c>
      <c r="N243" s="233"/>
      <c r="O243" s="233"/>
      <c r="P243" s="232" t="s">
        <v>1826</v>
      </c>
      <c r="Q243" s="231" t="s">
        <v>34</v>
      </c>
      <c r="R243" s="230">
        <v>46305</v>
      </c>
      <c r="S243" s="231" t="s">
        <v>55</v>
      </c>
      <c r="T243" s="234"/>
      <c r="U243" s="234"/>
    </row>
    <row r="244" spans="1:21" ht="12.75">
      <c r="A244" s="230">
        <v>46305</v>
      </c>
      <c r="B244" s="234"/>
      <c r="C244" s="231" t="s">
        <v>859</v>
      </c>
      <c r="D244" s="231" t="s">
        <v>1829</v>
      </c>
      <c r="E244" s="232" t="s">
        <v>1830</v>
      </c>
      <c r="F244" s="231" t="s">
        <v>88</v>
      </c>
      <c r="G244" s="233"/>
      <c r="H244" s="233"/>
      <c r="I244" s="234"/>
      <c r="J244" s="234"/>
      <c r="K244" s="234"/>
      <c r="L244" s="231" t="s">
        <v>52</v>
      </c>
      <c r="M244" s="231" t="s">
        <v>53</v>
      </c>
      <c r="N244" s="233"/>
      <c r="O244" s="233"/>
      <c r="P244" s="232" t="s">
        <v>1830</v>
      </c>
      <c r="Q244" s="231" t="s">
        <v>34</v>
      </c>
      <c r="R244" s="230">
        <v>46305</v>
      </c>
      <c r="S244" s="231" t="s">
        <v>55</v>
      </c>
      <c r="T244" s="234"/>
      <c r="U244" s="234"/>
    </row>
    <row r="245" spans="1:21" ht="12.75">
      <c r="A245" s="230">
        <v>46305</v>
      </c>
      <c r="B245" s="234"/>
      <c r="C245" s="231" t="s">
        <v>246</v>
      </c>
      <c r="D245" s="231" t="s">
        <v>1833</v>
      </c>
      <c r="E245" s="232" t="s">
        <v>1834</v>
      </c>
      <c r="F245" s="231" t="s">
        <v>88</v>
      </c>
      <c r="G245" s="233"/>
      <c r="H245" s="233"/>
      <c r="I245" s="234"/>
      <c r="J245" s="234"/>
      <c r="K245" s="234"/>
      <c r="L245" s="231" t="s">
        <v>52</v>
      </c>
      <c r="M245" s="231" t="s">
        <v>53</v>
      </c>
      <c r="N245" s="233"/>
      <c r="O245" s="233"/>
      <c r="P245" s="232" t="s">
        <v>1834</v>
      </c>
      <c r="Q245" s="231" t="s">
        <v>34</v>
      </c>
      <c r="R245" s="230">
        <v>46305</v>
      </c>
      <c r="S245" s="231" t="s">
        <v>55</v>
      </c>
      <c r="T245" s="234"/>
      <c r="U245" s="234"/>
    </row>
    <row r="246" spans="1:21" ht="12.75">
      <c r="A246" s="230">
        <v>46305</v>
      </c>
      <c r="B246" s="234"/>
      <c r="C246" s="231" t="s">
        <v>144</v>
      </c>
      <c r="D246" s="231" t="s">
        <v>1835</v>
      </c>
      <c r="E246" s="232" t="s">
        <v>1836</v>
      </c>
      <c r="F246" s="231" t="s">
        <v>88</v>
      </c>
      <c r="G246" s="233"/>
      <c r="H246" s="233"/>
      <c r="I246" s="234"/>
      <c r="J246" s="234"/>
      <c r="K246" s="234"/>
      <c r="L246" s="231" t="s">
        <v>52</v>
      </c>
      <c r="M246" s="231" t="s">
        <v>53</v>
      </c>
      <c r="N246" s="233"/>
      <c r="O246" s="233"/>
      <c r="P246" s="232" t="s">
        <v>1836</v>
      </c>
      <c r="Q246" s="231" t="s">
        <v>34</v>
      </c>
      <c r="R246" s="230">
        <v>46305</v>
      </c>
      <c r="S246" s="231" t="s">
        <v>55</v>
      </c>
      <c r="T246" s="234"/>
      <c r="U246" s="234"/>
    </row>
    <row r="247" spans="1:21" ht="12.75">
      <c r="A247" s="230">
        <v>46305</v>
      </c>
      <c r="B247" s="234"/>
      <c r="C247" s="231" t="s">
        <v>656</v>
      </c>
      <c r="D247" s="231" t="s">
        <v>1839</v>
      </c>
      <c r="E247" s="232" t="s">
        <v>1840</v>
      </c>
      <c r="F247" s="231" t="s">
        <v>88</v>
      </c>
      <c r="G247" s="233"/>
      <c r="H247" s="233"/>
      <c r="I247" s="234"/>
      <c r="J247" s="234"/>
      <c r="K247" s="234"/>
      <c r="L247" s="231" t="s">
        <v>52</v>
      </c>
      <c r="M247" s="231" t="s">
        <v>53</v>
      </c>
      <c r="N247" s="233"/>
      <c r="O247" s="233"/>
      <c r="P247" s="232" t="s">
        <v>1841</v>
      </c>
      <c r="Q247" s="231" t="s">
        <v>34</v>
      </c>
      <c r="R247" s="230">
        <v>46305</v>
      </c>
      <c r="S247" s="231" t="s">
        <v>89</v>
      </c>
      <c r="T247" s="234"/>
      <c r="U247" s="234"/>
    </row>
    <row r="248" spans="1:21" ht="12.75">
      <c r="A248" s="230">
        <v>46305</v>
      </c>
      <c r="B248" s="234"/>
      <c r="C248" s="231" t="s">
        <v>656</v>
      </c>
      <c r="D248" s="231" t="s">
        <v>1843</v>
      </c>
      <c r="E248" s="232" t="s">
        <v>1844</v>
      </c>
      <c r="F248" s="231" t="s">
        <v>88</v>
      </c>
      <c r="G248" s="233"/>
      <c r="H248" s="233"/>
      <c r="I248" s="234"/>
      <c r="J248" s="234"/>
      <c r="K248" s="234"/>
      <c r="L248" s="231" t="s">
        <v>52</v>
      </c>
      <c r="M248" s="231" t="s">
        <v>53</v>
      </c>
      <c r="N248" s="233"/>
      <c r="O248" s="233"/>
      <c r="P248" s="232" t="s">
        <v>1845</v>
      </c>
      <c r="Q248" s="231" t="s">
        <v>34</v>
      </c>
      <c r="R248" s="230">
        <v>46305</v>
      </c>
      <c r="S248" s="231" t="s">
        <v>89</v>
      </c>
      <c r="T248" s="234"/>
      <c r="U248" s="234"/>
    </row>
    <row r="249" spans="1:21" ht="12.75">
      <c r="A249" s="230">
        <v>46305</v>
      </c>
      <c r="B249" s="234"/>
      <c r="C249" s="231" t="s">
        <v>261</v>
      </c>
      <c r="D249" s="231" t="s">
        <v>1847</v>
      </c>
      <c r="E249" s="232" t="s">
        <v>1848</v>
      </c>
      <c r="F249" s="231" t="s">
        <v>88</v>
      </c>
      <c r="G249" s="233"/>
      <c r="H249" s="233"/>
      <c r="I249" s="234"/>
      <c r="J249" s="234"/>
      <c r="K249" s="234"/>
      <c r="L249" s="231" t="s">
        <v>52</v>
      </c>
      <c r="M249" s="231" t="s">
        <v>53</v>
      </c>
      <c r="N249" s="233"/>
      <c r="O249" s="233"/>
      <c r="P249" s="232" t="s">
        <v>1851</v>
      </c>
      <c r="Q249" s="231" t="s">
        <v>34</v>
      </c>
      <c r="R249" s="230">
        <v>46305</v>
      </c>
      <c r="S249" s="231" t="s">
        <v>55</v>
      </c>
      <c r="T249" s="234"/>
      <c r="U249" s="234"/>
    </row>
    <row r="250" spans="1:21" ht="12.75">
      <c r="A250" s="230">
        <v>46305</v>
      </c>
      <c r="B250" s="234"/>
      <c r="C250" s="231" t="s">
        <v>1323</v>
      </c>
      <c r="D250" s="231" t="s">
        <v>1852</v>
      </c>
      <c r="E250" s="232" t="s">
        <v>1853</v>
      </c>
      <c r="F250" s="231" t="s">
        <v>88</v>
      </c>
      <c r="G250" s="233"/>
      <c r="H250" s="233"/>
      <c r="I250" s="234"/>
      <c r="J250" s="234"/>
      <c r="K250" s="234"/>
      <c r="L250" s="231" t="s">
        <v>108</v>
      </c>
      <c r="M250" s="231" t="s">
        <v>53</v>
      </c>
      <c r="N250" s="233"/>
      <c r="O250" s="233"/>
      <c r="P250" s="232" t="s">
        <v>1853</v>
      </c>
      <c r="Q250" s="231" t="s">
        <v>34</v>
      </c>
      <c r="R250" s="230">
        <v>46305</v>
      </c>
      <c r="S250" s="231" t="s">
        <v>55</v>
      </c>
      <c r="T250" s="234"/>
      <c r="U250" s="234"/>
    </row>
    <row r="251" spans="1:21" ht="12.75">
      <c r="A251" s="230">
        <v>46305</v>
      </c>
      <c r="B251" s="234"/>
      <c r="C251" s="231" t="s">
        <v>296</v>
      </c>
      <c r="D251" s="231" t="s">
        <v>1856</v>
      </c>
      <c r="E251" s="232" t="s">
        <v>1857</v>
      </c>
      <c r="F251" s="231" t="s">
        <v>88</v>
      </c>
      <c r="G251" s="233"/>
      <c r="H251" s="233"/>
      <c r="I251" s="234"/>
      <c r="J251" s="234"/>
      <c r="K251" s="234"/>
      <c r="L251" s="231" t="s">
        <v>108</v>
      </c>
      <c r="M251" s="231" t="s">
        <v>53</v>
      </c>
      <c r="N251" s="233"/>
      <c r="O251" s="233"/>
      <c r="P251" s="232" t="s">
        <v>1857</v>
      </c>
      <c r="Q251" s="231" t="s">
        <v>34</v>
      </c>
      <c r="R251" s="230">
        <v>46305</v>
      </c>
      <c r="S251" s="231" t="s">
        <v>55</v>
      </c>
      <c r="T251" s="234"/>
      <c r="U251" s="234"/>
    </row>
    <row r="252" spans="1:21" ht="12.75">
      <c r="A252" s="230">
        <v>46305</v>
      </c>
      <c r="B252" s="234"/>
      <c r="C252" s="231" t="s">
        <v>302</v>
      </c>
      <c r="D252" s="231" t="s">
        <v>1858</v>
      </c>
      <c r="E252" s="232" t="s">
        <v>1859</v>
      </c>
      <c r="F252" s="231" t="s">
        <v>88</v>
      </c>
      <c r="G252" s="233"/>
      <c r="H252" s="233"/>
      <c r="I252" s="234"/>
      <c r="J252" s="234"/>
      <c r="K252" s="234"/>
      <c r="L252" s="231" t="s">
        <v>108</v>
      </c>
      <c r="M252" s="231" t="s">
        <v>53</v>
      </c>
      <c r="N252" s="233"/>
      <c r="O252" s="233"/>
      <c r="P252" s="232" t="s">
        <v>1859</v>
      </c>
      <c r="Q252" s="231" t="s">
        <v>34</v>
      </c>
      <c r="R252" s="230">
        <v>46305</v>
      </c>
      <c r="S252" s="231" t="s">
        <v>55</v>
      </c>
      <c r="T252" s="234"/>
      <c r="U252" s="234"/>
    </row>
    <row r="253" spans="1:21" ht="12.75">
      <c r="A253" s="230">
        <v>46305</v>
      </c>
      <c r="B253" s="234"/>
      <c r="C253" s="231" t="s">
        <v>984</v>
      </c>
      <c r="D253" s="231" t="s">
        <v>1862</v>
      </c>
      <c r="E253" s="232" t="s">
        <v>1863</v>
      </c>
      <c r="F253" s="231" t="s">
        <v>88</v>
      </c>
      <c r="G253" s="233"/>
      <c r="H253" s="233"/>
      <c r="I253" s="234"/>
      <c r="J253" s="234"/>
      <c r="K253" s="234"/>
      <c r="L253" s="231" t="s">
        <v>108</v>
      </c>
      <c r="M253" s="231" t="s">
        <v>53</v>
      </c>
      <c r="N253" s="233"/>
      <c r="O253" s="233"/>
      <c r="P253" s="232" t="s">
        <v>1863</v>
      </c>
      <c r="Q253" s="231" t="s">
        <v>34</v>
      </c>
      <c r="R253" s="230">
        <v>46305</v>
      </c>
      <c r="S253" s="231" t="s">
        <v>958</v>
      </c>
      <c r="T253" s="234"/>
      <c r="U253" s="234"/>
    </row>
    <row r="254" spans="1:21" ht="12.75">
      <c r="A254" s="230">
        <v>46306</v>
      </c>
      <c r="B254" s="235" t="s">
        <v>431</v>
      </c>
      <c r="C254" s="231" t="s">
        <v>992</v>
      </c>
      <c r="D254" s="231" t="s">
        <v>1866</v>
      </c>
      <c r="E254" s="232" t="s">
        <v>1867</v>
      </c>
      <c r="F254" s="231" t="s">
        <v>88</v>
      </c>
      <c r="G254" s="230">
        <v>46305</v>
      </c>
      <c r="H254" s="233"/>
      <c r="I254" s="234"/>
      <c r="J254" s="234"/>
      <c r="K254" s="234"/>
      <c r="L254" s="231" t="s">
        <v>85</v>
      </c>
      <c r="M254" s="231" t="s">
        <v>706</v>
      </c>
      <c r="N254" s="231" t="s">
        <v>677</v>
      </c>
      <c r="O254" s="233"/>
      <c r="P254" s="232" t="s">
        <v>1868</v>
      </c>
      <c r="Q254" s="231" t="s">
        <v>34</v>
      </c>
      <c r="R254" s="230">
        <v>46306</v>
      </c>
      <c r="S254" s="231" t="s">
        <v>677</v>
      </c>
      <c r="T254" s="234"/>
      <c r="U254" s="234"/>
    </row>
    <row r="255" spans="1:21" ht="12.75">
      <c r="A255" s="230">
        <v>46306</v>
      </c>
      <c r="B255" s="231" t="s">
        <v>59</v>
      </c>
      <c r="C255" s="231" t="s">
        <v>390</v>
      </c>
      <c r="D255" s="231" t="s">
        <v>1869</v>
      </c>
      <c r="E255" s="232" t="s">
        <v>1870</v>
      </c>
      <c r="F255" s="231" t="s">
        <v>88</v>
      </c>
      <c r="G255" s="230">
        <v>46274</v>
      </c>
      <c r="H255" s="233"/>
      <c r="I255" s="234"/>
      <c r="J255" s="234"/>
      <c r="K255" s="234"/>
      <c r="L255" s="231" t="s">
        <v>52</v>
      </c>
      <c r="M255" s="231" t="s">
        <v>53</v>
      </c>
      <c r="N255" s="231" t="s">
        <v>66</v>
      </c>
      <c r="O255" s="233"/>
      <c r="P255" s="232" t="s">
        <v>1873</v>
      </c>
      <c r="Q255" s="231" t="s">
        <v>34</v>
      </c>
      <c r="R255" s="230">
        <v>46306</v>
      </c>
      <c r="S255" s="231" t="s">
        <v>66</v>
      </c>
      <c r="T255" s="234"/>
      <c r="U255" s="234"/>
    </row>
    <row r="256" spans="1:21" ht="12.75">
      <c r="A256" s="230">
        <v>46306</v>
      </c>
      <c r="B256" s="234"/>
      <c r="C256" s="231" t="s">
        <v>1611</v>
      </c>
      <c r="D256" s="231" t="s">
        <v>1874</v>
      </c>
      <c r="E256" s="232" t="s">
        <v>1875</v>
      </c>
      <c r="F256" s="231" t="s">
        <v>88</v>
      </c>
      <c r="G256" s="230">
        <v>46270</v>
      </c>
      <c r="H256" s="233"/>
      <c r="I256" s="234"/>
      <c r="J256" s="234"/>
      <c r="K256" s="234"/>
      <c r="L256" s="231" t="s">
        <v>52</v>
      </c>
      <c r="M256" s="231" t="s">
        <v>90</v>
      </c>
      <c r="N256" s="231" t="s">
        <v>55</v>
      </c>
      <c r="O256" s="233"/>
      <c r="P256" s="232" t="s">
        <v>1876</v>
      </c>
      <c r="Q256" s="231" t="s">
        <v>34</v>
      </c>
      <c r="R256" s="230">
        <v>46306</v>
      </c>
      <c r="S256" s="231" t="s">
        <v>55</v>
      </c>
      <c r="T256" s="234"/>
      <c r="U256" s="234"/>
    </row>
    <row r="257" spans="1:21" ht="12.75">
      <c r="A257" s="230">
        <v>46306</v>
      </c>
      <c r="B257" s="234"/>
      <c r="C257" s="231" t="s">
        <v>1611</v>
      </c>
      <c r="D257" s="231" t="s">
        <v>1879</v>
      </c>
      <c r="E257" s="232" t="s">
        <v>1880</v>
      </c>
      <c r="F257" s="231" t="s">
        <v>88</v>
      </c>
      <c r="G257" s="230">
        <v>46242</v>
      </c>
      <c r="H257" s="233"/>
      <c r="I257" s="234"/>
      <c r="J257" s="234"/>
      <c r="K257" s="234"/>
      <c r="L257" s="231" t="s">
        <v>52</v>
      </c>
      <c r="M257" s="231" t="s">
        <v>90</v>
      </c>
      <c r="N257" s="231" t="s">
        <v>55</v>
      </c>
      <c r="O257" s="233"/>
      <c r="P257" s="232" t="s">
        <v>1881</v>
      </c>
      <c r="Q257" s="231" t="s">
        <v>34</v>
      </c>
      <c r="R257" s="230">
        <v>46306</v>
      </c>
      <c r="S257" s="231" t="s">
        <v>55</v>
      </c>
      <c r="T257" s="234"/>
      <c r="U257" s="234"/>
    </row>
    <row r="258" spans="1:21" ht="12.75">
      <c r="A258" s="230">
        <v>46306</v>
      </c>
      <c r="B258" s="234"/>
      <c r="C258" s="231" t="s">
        <v>882</v>
      </c>
      <c r="D258" s="231" t="s">
        <v>1883</v>
      </c>
      <c r="E258" s="232" t="s">
        <v>1884</v>
      </c>
      <c r="F258" s="231" t="s">
        <v>88</v>
      </c>
      <c r="G258" s="230">
        <v>46301</v>
      </c>
      <c r="H258" s="233"/>
      <c r="I258" s="234"/>
      <c r="J258" s="234"/>
      <c r="K258" s="234"/>
      <c r="L258" s="231" t="s">
        <v>108</v>
      </c>
      <c r="M258" s="231" t="s">
        <v>53</v>
      </c>
      <c r="N258" s="231" t="s">
        <v>55</v>
      </c>
      <c r="O258" s="233"/>
      <c r="P258" s="232" t="s">
        <v>1885</v>
      </c>
      <c r="Q258" s="231" t="s">
        <v>34</v>
      </c>
      <c r="R258" s="230">
        <v>46306</v>
      </c>
      <c r="S258" s="231" t="s">
        <v>55</v>
      </c>
      <c r="T258" s="234"/>
      <c r="U258" s="234"/>
    </row>
    <row r="259" spans="1:21" ht="12.75">
      <c r="A259" s="230">
        <v>46306</v>
      </c>
      <c r="B259" s="234"/>
      <c r="C259" s="231" t="s">
        <v>296</v>
      </c>
      <c r="D259" s="231" t="s">
        <v>1888</v>
      </c>
      <c r="E259" s="232" t="s">
        <v>1889</v>
      </c>
      <c r="F259" s="231" t="s">
        <v>88</v>
      </c>
      <c r="G259" s="230">
        <v>46304</v>
      </c>
      <c r="H259" s="233"/>
      <c r="I259" s="234"/>
      <c r="J259" s="234"/>
      <c r="K259" s="234"/>
      <c r="L259" s="231" t="s">
        <v>108</v>
      </c>
      <c r="M259" s="231" t="s">
        <v>53</v>
      </c>
      <c r="N259" s="231" t="s">
        <v>55</v>
      </c>
      <c r="O259" s="233"/>
      <c r="P259" s="232" t="s">
        <v>1892</v>
      </c>
      <c r="Q259" s="231" t="s">
        <v>34</v>
      </c>
      <c r="R259" s="230">
        <v>46306</v>
      </c>
      <c r="S259" s="231" t="s">
        <v>55</v>
      </c>
      <c r="T259" s="234"/>
      <c r="U259" s="234"/>
    </row>
    <row r="260" spans="1:21" ht="12.75">
      <c r="A260" s="230">
        <v>46306</v>
      </c>
      <c r="B260" s="234"/>
      <c r="C260" s="231" t="s">
        <v>296</v>
      </c>
      <c r="D260" s="231" t="s">
        <v>1894</v>
      </c>
      <c r="E260" s="232" t="s">
        <v>1895</v>
      </c>
      <c r="F260" s="231" t="s">
        <v>88</v>
      </c>
      <c r="G260" s="230">
        <v>46298</v>
      </c>
      <c r="H260" s="233"/>
      <c r="I260" s="234"/>
      <c r="J260" s="234"/>
      <c r="K260" s="234"/>
      <c r="L260" s="231" t="s">
        <v>108</v>
      </c>
      <c r="M260" s="231" t="s">
        <v>53</v>
      </c>
      <c r="N260" s="231" t="s">
        <v>55</v>
      </c>
      <c r="O260" s="233"/>
      <c r="P260" s="232" t="s">
        <v>1896</v>
      </c>
      <c r="Q260" s="231" t="s">
        <v>34</v>
      </c>
      <c r="R260" s="230">
        <v>46306</v>
      </c>
      <c r="S260" s="231" t="s">
        <v>55</v>
      </c>
      <c r="T260" s="234"/>
      <c r="U260" s="234"/>
    </row>
    <row r="261" spans="1:21" ht="12.75">
      <c r="A261" s="230">
        <v>46306</v>
      </c>
      <c r="B261" s="234"/>
      <c r="C261" s="231" t="s">
        <v>296</v>
      </c>
      <c r="D261" s="231" t="s">
        <v>1899</v>
      </c>
      <c r="E261" s="232" t="s">
        <v>1900</v>
      </c>
      <c r="F261" s="231" t="s">
        <v>88</v>
      </c>
      <c r="G261" s="230">
        <v>46304</v>
      </c>
      <c r="H261" s="233"/>
      <c r="I261" s="234"/>
      <c r="J261" s="234"/>
      <c r="K261" s="234"/>
      <c r="L261" s="231" t="s">
        <v>108</v>
      </c>
      <c r="M261" s="231" t="s">
        <v>53</v>
      </c>
      <c r="N261" s="231" t="s">
        <v>55</v>
      </c>
      <c r="O261" s="233"/>
      <c r="P261" s="232" t="s">
        <v>1901</v>
      </c>
      <c r="Q261" s="231" t="s">
        <v>34</v>
      </c>
      <c r="R261" s="230">
        <v>46306</v>
      </c>
      <c r="S261" s="231" t="s">
        <v>55</v>
      </c>
      <c r="T261" s="234"/>
      <c r="U261" s="234"/>
    </row>
    <row r="262" spans="1:21" ht="12.75">
      <c r="A262" s="230">
        <v>46306</v>
      </c>
      <c r="B262" s="234"/>
      <c r="C262" s="274" t="s">
        <v>1097</v>
      </c>
      <c r="D262" s="287" t="s">
        <v>1903</v>
      </c>
      <c r="E262" s="238" t="s">
        <v>1905</v>
      </c>
      <c r="F262" s="231" t="s">
        <v>88</v>
      </c>
      <c r="G262" s="230">
        <v>46297</v>
      </c>
      <c r="H262" s="233"/>
      <c r="I262" s="234"/>
      <c r="J262" s="234"/>
      <c r="K262" s="234"/>
      <c r="L262" s="231" t="s">
        <v>108</v>
      </c>
      <c r="M262" s="231" t="s">
        <v>53</v>
      </c>
      <c r="N262" s="231" t="s">
        <v>94</v>
      </c>
      <c r="O262" s="233"/>
      <c r="P262" s="232" t="s">
        <v>1906</v>
      </c>
      <c r="Q262" s="231" t="s">
        <v>34</v>
      </c>
      <c r="R262" s="230">
        <v>46306</v>
      </c>
      <c r="S262" s="231" t="s">
        <v>55</v>
      </c>
      <c r="T262" s="234"/>
      <c r="U262" s="234"/>
    </row>
    <row r="263" spans="1:21" ht="12.75">
      <c r="A263" s="230">
        <v>46306</v>
      </c>
      <c r="B263" s="234"/>
      <c r="C263" s="231" t="s">
        <v>232</v>
      </c>
      <c r="D263" s="231" t="s">
        <v>1909</v>
      </c>
      <c r="E263" s="232" t="s">
        <v>1910</v>
      </c>
      <c r="F263" s="231" t="s">
        <v>88</v>
      </c>
      <c r="G263" s="230">
        <v>46302</v>
      </c>
      <c r="H263" s="233"/>
      <c r="I263" s="234"/>
      <c r="J263" s="234"/>
      <c r="K263" s="234"/>
      <c r="L263" s="231" t="s">
        <v>86</v>
      </c>
      <c r="M263" s="231" t="s">
        <v>626</v>
      </c>
      <c r="N263" s="231" t="s">
        <v>328</v>
      </c>
      <c r="O263" s="233"/>
      <c r="P263" s="232" t="s">
        <v>1911</v>
      </c>
      <c r="Q263" s="231" t="s">
        <v>34</v>
      </c>
      <c r="R263" s="230">
        <v>46306</v>
      </c>
      <c r="S263" s="231" t="s">
        <v>328</v>
      </c>
      <c r="T263" s="234"/>
      <c r="U263" s="234"/>
    </row>
    <row r="264" spans="1:21" ht="12.75">
      <c r="A264" s="230">
        <v>46306</v>
      </c>
      <c r="B264" s="234"/>
      <c r="C264" s="231" t="s">
        <v>232</v>
      </c>
      <c r="D264" s="231" t="s">
        <v>1912</v>
      </c>
      <c r="E264" s="232" t="s">
        <v>1913</v>
      </c>
      <c r="F264" s="231" t="s">
        <v>88</v>
      </c>
      <c r="G264" s="230">
        <v>46303</v>
      </c>
      <c r="H264" s="233"/>
      <c r="I264" s="234"/>
      <c r="J264" s="234"/>
      <c r="K264" s="234"/>
      <c r="L264" s="231" t="s">
        <v>86</v>
      </c>
      <c r="M264" s="231" t="s">
        <v>626</v>
      </c>
      <c r="N264" s="231" t="s">
        <v>328</v>
      </c>
      <c r="O264" s="233"/>
      <c r="P264" s="232" t="s">
        <v>1916</v>
      </c>
      <c r="Q264" s="231" t="s">
        <v>34</v>
      </c>
      <c r="R264" s="230">
        <v>46306</v>
      </c>
      <c r="S264" s="231" t="s">
        <v>328</v>
      </c>
      <c r="T264" s="234"/>
      <c r="U264" s="234"/>
    </row>
    <row r="265" spans="1:21" ht="12.75">
      <c r="A265" s="230">
        <v>46306</v>
      </c>
      <c r="B265" s="234"/>
      <c r="C265" s="231" t="s">
        <v>747</v>
      </c>
      <c r="D265" s="231" t="s">
        <v>1917</v>
      </c>
      <c r="E265" s="232" t="s">
        <v>1918</v>
      </c>
      <c r="F265" s="231" t="s">
        <v>88</v>
      </c>
      <c r="G265" s="231" t="s">
        <v>1919</v>
      </c>
      <c r="H265" s="233"/>
      <c r="I265" s="234"/>
      <c r="J265" s="234"/>
      <c r="K265" s="234"/>
      <c r="L265" s="231" t="s">
        <v>86</v>
      </c>
      <c r="M265" s="231" t="s">
        <v>631</v>
      </c>
      <c r="N265" s="231" t="s">
        <v>328</v>
      </c>
      <c r="O265" s="233"/>
      <c r="P265" s="232" t="s">
        <v>1921</v>
      </c>
      <c r="Q265" s="231" t="s">
        <v>34</v>
      </c>
      <c r="R265" s="230">
        <v>46306</v>
      </c>
      <c r="S265" s="231" t="s">
        <v>328</v>
      </c>
      <c r="T265" s="234"/>
      <c r="U265" s="234"/>
    </row>
    <row r="266" spans="1:21" ht="12.75">
      <c r="A266" s="230">
        <v>46306</v>
      </c>
      <c r="B266" s="234"/>
      <c r="C266" s="231" t="s">
        <v>1630</v>
      </c>
      <c r="D266" s="231" t="s">
        <v>1923</v>
      </c>
      <c r="E266" s="232" t="s">
        <v>1924</v>
      </c>
      <c r="F266" s="231" t="s">
        <v>88</v>
      </c>
      <c r="G266" s="230">
        <v>46134</v>
      </c>
      <c r="H266" s="233"/>
      <c r="I266" s="234"/>
      <c r="J266" s="234"/>
      <c r="K266" s="234"/>
      <c r="L266" s="231" t="s">
        <v>52</v>
      </c>
      <c r="M266" s="231" t="s">
        <v>53</v>
      </c>
      <c r="N266" s="231" t="s">
        <v>328</v>
      </c>
      <c r="O266" s="233"/>
      <c r="P266" s="232" t="s">
        <v>1925</v>
      </c>
      <c r="Q266" s="231" t="s">
        <v>34</v>
      </c>
      <c r="R266" s="230">
        <v>46306</v>
      </c>
      <c r="S266" s="231" t="s">
        <v>328</v>
      </c>
      <c r="T266" s="234"/>
      <c r="U266" s="234"/>
    </row>
    <row r="267" spans="1:21" ht="12.75">
      <c r="A267" s="230">
        <v>46306</v>
      </c>
      <c r="B267" s="234"/>
      <c r="C267" s="231" t="s">
        <v>349</v>
      </c>
      <c r="D267" s="231" t="s">
        <v>350</v>
      </c>
      <c r="E267" s="232" t="s">
        <v>351</v>
      </c>
      <c r="F267" s="231" t="s">
        <v>88</v>
      </c>
      <c r="G267" s="233"/>
      <c r="H267" s="233"/>
      <c r="I267" s="234"/>
      <c r="J267" s="234"/>
      <c r="K267" s="234"/>
      <c r="L267" s="231" t="s">
        <v>52</v>
      </c>
      <c r="M267" s="231" t="s">
        <v>53</v>
      </c>
      <c r="N267" s="233"/>
      <c r="O267" s="233"/>
      <c r="P267" s="232" t="s">
        <v>1926</v>
      </c>
      <c r="Q267" s="231" t="s">
        <v>34</v>
      </c>
      <c r="R267" s="230">
        <v>46306</v>
      </c>
      <c r="S267" s="231" t="s">
        <v>55</v>
      </c>
      <c r="T267" s="234"/>
      <c r="U267" s="234"/>
    </row>
    <row r="268" spans="1:21" ht="12.75">
      <c r="A268" s="230">
        <v>46306</v>
      </c>
      <c r="B268" s="234"/>
      <c r="C268" s="231" t="s">
        <v>1630</v>
      </c>
      <c r="D268" s="231" t="s">
        <v>1927</v>
      </c>
      <c r="E268" s="232" t="s">
        <v>1928</v>
      </c>
      <c r="F268" s="231" t="s">
        <v>88</v>
      </c>
      <c r="G268" s="233"/>
      <c r="H268" s="233"/>
      <c r="I268" s="234"/>
      <c r="J268" s="234"/>
      <c r="K268" s="234"/>
      <c r="L268" s="231" t="s">
        <v>52</v>
      </c>
      <c r="M268" s="231" t="s">
        <v>53</v>
      </c>
      <c r="N268" s="233"/>
      <c r="O268" s="233"/>
      <c r="P268" s="232" t="s">
        <v>1928</v>
      </c>
      <c r="Q268" s="231" t="s">
        <v>34</v>
      </c>
      <c r="R268" s="230">
        <v>46306</v>
      </c>
      <c r="S268" s="231" t="s">
        <v>328</v>
      </c>
      <c r="T268" s="234"/>
      <c r="U268" s="234"/>
    </row>
    <row r="269" spans="1:21" ht="12.75">
      <c r="A269" s="230">
        <v>46306</v>
      </c>
      <c r="B269" s="234"/>
      <c r="C269" s="231" t="s">
        <v>1932</v>
      </c>
      <c r="D269" s="231" t="s">
        <v>1933</v>
      </c>
      <c r="E269" s="232" t="s">
        <v>1934</v>
      </c>
      <c r="F269" s="231" t="s">
        <v>88</v>
      </c>
      <c r="G269" s="233"/>
      <c r="H269" s="233"/>
      <c r="I269" s="234"/>
      <c r="J269" s="234"/>
      <c r="K269" s="234"/>
      <c r="L269" s="231" t="s">
        <v>52</v>
      </c>
      <c r="M269" s="231" t="s">
        <v>53</v>
      </c>
      <c r="N269" s="233"/>
      <c r="O269" s="233"/>
      <c r="P269" s="232" t="s">
        <v>1935</v>
      </c>
      <c r="Q269" s="231" t="s">
        <v>34</v>
      </c>
      <c r="R269" s="230">
        <v>46306</v>
      </c>
      <c r="S269" s="231" t="s">
        <v>328</v>
      </c>
      <c r="T269" s="234"/>
      <c r="U269" s="234"/>
    </row>
    <row r="270" spans="1:21" ht="12.75">
      <c r="A270" s="230">
        <v>46306</v>
      </c>
      <c r="B270" s="234"/>
      <c r="C270" s="231" t="s">
        <v>227</v>
      </c>
      <c r="D270" s="231" t="s">
        <v>1937</v>
      </c>
      <c r="E270" s="232" t="s">
        <v>1939</v>
      </c>
      <c r="F270" s="231" t="s">
        <v>88</v>
      </c>
      <c r="G270" s="233"/>
      <c r="H270" s="233"/>
      <c r="I270" s="234"/>
      <c r="J270" s="234"/>
      <c r="K270" s="234"/>
      <c r="L270" s="231" t="s">
        <v>52</v>
      </c>
      <c r="M270" s="231" t="s">
        <v>53</v>
      </c>
      <c r="N270" s="233"/>
      <c r="O270" s="233"/>
      <c r="P270" s="232" t="s">
        <v>1939</v>
      </c>
      <c r="Q270" s="231" t="s">
        <v>34</v>
      </c>
      <c r="R270" s="230">
        <v>46306</v>
      </c>
      <c r="S270" s="231" t="s">
        <v>94</v>
      </c>
      <c r="T270" s="234"/>
      <c r="U270" s="234"/>
    </row>
    <row r="271" spans="1:21" ht="12.75">
      <c r="A271" s="230">
        <v>46306</v>
      </c>
      <c r="B271" s="234"/>
      <c r="C271" s="231" t="s">
        <v>979</v>
      </c>
      <c r="D271" s="231" t="s">
        <v>1940</v>
      </c>
      <c r="E271" s="232" t="s">
        <v>1941</v>
      </c>
      <c r="F271" s="231" t="s">
        <v>88</v>
      </c>
      <c r="G271" s="233"/>
      <c r="H271" s="233"/>
      <c r="I271" s="234"/>
      <c r="J271" s="234"/>
      <c r="K271" s="234"/>
      <c r="L271" s="231" t="s">
        <v>85</v>
      </c>
      <c r="M271" s="231" t="s">
        <v>706</v>
      </c>
      <c r="N271" s="233"/>
      <c r="O271" s="233"/>
      <c r="P271" s="232" t="s">
        <v>1941</v>
      </c>
      <c r="Q271" s="231" t="s">
        <v>34</v>
      </c>
      <c r="R271" s="230">
        <v>46306</v>
      </c>
      <c r="S271" s="231" t="s">
        <v>677</v>
      </c>
      <c r="T271" s="234"/>
      <c r="U271" s="234"/>
    </row>
    <row r="272" spans="1:21" ht="12.75">
      <c r="A272" s="230">
        <v>46306</v>
      </c>
      <c r="B272" s="234"/>
      <c r="C272" s="231" t="s">
        <v>780</v>
      </c>
      <c r="D272" s="231" t="s">
        <v>1945</v>
      </c>
      <c r="E272" s="232" t="s">
        <v>1946</v>
      </c>
      <c r="F272" s="231" t="s">
        <v>88</v>
      </c>
      <c r="G272" s="233"/>
      <c r="H272" s="233"/>
      <c r="I272" s="234"/>
      <c r="J272" s="234"/>
      <c r="K272" s="234"/>
      <c r="L272" s="231" t="s">
        <v>85</v>
      </c>
      <c r="M272" s="231" t="s">
        <v>706</v>
      </c>
      <c r="N272" s="233"/>
      <c r="O272" s="233"/>
      <c r="P272" s="232" t="s">
        <v>1946</v>
      </c>
      <c r="Q272" s="231" t="s">
        <v>34</v>
      </c>
      <c r="R272" s="230">
        <v>46306</v>
      </c>
      <c r="S272" s="231" t="s">
        <v>214</v>
      </c>
      <c r="T272" s="234"/>
      <c r="U272" s="234"/>
    </row>
    <row r="273" spans="1:21" ht="12.75">
      <c r="A273" s="230">
        <v>46306</v>
      </c>
      <c r="B273" s="234"/>
      <c r="C273" s="231" t="s">
        <v>780</v>
      </c>
      <c r="D273" s="231" t="s">
        <v>1947</v>
      </c>
      <c r="E273" s="232" t="s">
        <v>1948</v>
      </c>
      <c r="F273" s="231" t="s">
        <v>88</v>
      </c>
      <c r="G273" s="233"/>
      <c r="H273" s="233"/>
      <c r="I273" s="234"/>
      <c r="J273" s="234"/>
      <c r="K273" s="234"/>
      <c r="L273" s="231" t="s">
        <v>85</v>
      </c>
      <c r="M273" s="231" t="s">
        <v>706</v>
      </c>
      <c r="N273" s="233"/>
      <c r="O273" s="233"/>
      <c r="P273" s="232" t="s">
        <v>1948</v>
      </c>
      <c r="Q273" s="231" t="s">
        <v>34</v>
      </c>
      <c r="R273" s="230">
        <v>46306</v>
      </c>
      <c r="S273" s="231" t="s">
        <v>214</v>
      </c>
      <c r="T273" s="234"/>
      <c r="U273" s="234"/>
    </row>
    <row r="274" spans="1:21" ht="12.75">
      <c r="A274" s="230">
        <v>46306</v>
      </c>
      <c r="B274" s="234"/>
      <c r="C274" s="231" t="s">
        <v>1950</v>
      </c>
      <c r="D274" s="231" t="s">
        <v>1951</v>
      </c>
      <c r="E274" s="232" t="s">
        <v>1952</v>
      </c>
      <c r="F274" s="231" t="s">
        <v>88</v>
      </c>
      <c r="G274" s="233"/>
      <c r="H274" s="233"/>
      <c r="I274" s="234"/>
      <c r="J274" s="234"/>
      <c r="K274" s="234"/>
      <c r="L274" s="231" t="s">
        <v>85</v>
      </c>
      <c r="M274" s="231" t="s">
        <v>706</v>
      </c>
      <c r="N274" s="233"/>
      <c r="O274" s="233"/>
      <c r="P274" s="232" t="s">
        <v>1952</v>
      </c>
      <c r="Q274" s="231" t="s">
        <v>34</v>
      </c>
      <c r="R274" s="230">
        <v>46306</v>
      </c>
      <c r="S274" s="231" t="s">
        <v>958</v>
      </c>
      <c r="T274" s="234"/>
      <c r="U274" s="234"/>
    </row>
    <row r="275" spans="1:21" ht="12.75">
      <c r="A275" s="230">
        <v>46306</v>
      </c>
      <c r="B275" s="234"/>
      <c r="C275" s="231" t="s">
        <v>1955</v>
      </c>
      <c r="D275" s="231" t="s">
        <v>1956</v>
      </c>
      <c r="E275" s="232" t="s">
        <v>1957</v>
      </c>
      <c r="F275" s="231" t="s">
        <v>88</v>
      </c>
      <c r="G275" s="233"/>
      <c r="H275" s="233"/>
      <c r="I275" s="234"/>
      <c r="J275" s="234"/>
      <c r="K275" s="234"/>
      <c r="L275" s="231" t="s">
        <v>108</v>
      </c>
      <c r="M275" s="231" t="s">
        <v>53</v>
      </c>
      <c r="N275" s="233"/>
      <c r="O275" s="233"/>
      <c r="P275" s="232" t="s">
        <v>1957</v>
      </c>
      <c r="Q275" s="231" t="s">
        <v>34</v>
      </c>
      <c r="R275" s="230">
        <v>46306</v>
      </c>
      <c r="S275" s="231" t="s">
        <v>214</v>
      </c>
      <c r="T275" s="234"/>
      <c r="U275" s="234"/>
    </row>
    <row r="276" spans="1:21" ht="12.75">
      <c r="A276" s="230">
        <v>46306</v>
      </c>
      <c r="B276" s="234"/>
      <c r="C276" s="231" t="s">
        <v>1097</v>
      </c>
      <c r="D276" s="231" t="s">
        <v>1958</v>
      </c>
      <c r="E276" s="232" t="s">
        <v>1959</v>
      </c>
      <c r="F276" s="231" t="s">
        <v>88</v>
      </c>
      <c r="G276" s="233"/>
      <c r="H276" s="233"/>
      <c r="I276" s="234"/>
      <c r="J276" s="234"/>
      <c r="K276" s="234"/>
      <c r="L276" s="231" t="s">
        <v>108</v>
      </c>
      <c r="M276" s="231" t="s">
        <v>53</v>
      </c>
      <c r="N276" s="233"/>
      <c r="O276" s="233"/>
      <c r="P276" s="232" t="s">
        <v>1961</v>
      </c>
      <c r="Q276" s="231" t="s">
        <v>34</v>
      </c>
      <c r="R276" s="230">
        <v>46306</v>
      </c>
      <c r="S276" s="231" t="s">
        <v>94</v>
      </c>
      <c r="T276" s="234"/>
      <c r="U276" s="234"/>
    </row>
    <row r="277" spans="1:21" ht="12.75">
      <c r="A277" s="230">
        <v>46306</v>
      </c>
      <c r="B277" s="234"/>
      <c r="C277" s="231" t="s">
        <v>302</v>
      </c>
      <c r="D277" s="231" t="s">
        <v>1967</v>
      </c>
      <c r="E277" s="232" t="s">
        <v>1968</v>
      </c>
      <c r="F277" s="231" t="s">
        <v>88</v>
      </c>
      <c r="G277" s="233"/>
      <c r="H277" s="233"/>
      <c r="I277" s="234"/>
      <c r="J277" s="234"/>
      <c r="K277" s="234"/>
      <c r="L277" s="231" t="s">
        <v>108</v>
      </c>
      <c r="M277" s="231" t="s">
        <v>53</v>
      </c>
      <c r="N277" s="233"/>
      <c r="O277" s="233"/>
      <c r="P277" s="232" t="s">
        <v>1969</v>
      </c>
      <c r="Q277" s="231" t="s">
        <v>34</v>
      </c>
      <c r="R277" s="230">
        <v>46306</v>
      </c>
      <c r="S277" s="231" t="s">
        <v>55</v>
      </c>
      <c r="T277" s="234"/>
      <c r="U277" s="234"/>
    </row>
    <row r="278" spans="1:21" ht="12.75">
      <c r="A278" s="230">
        <v>46306</v>
      </c>
      <c r="B278" s="234"/>
      <c r="C278" s="231" t="s">
        <v>926</v>
      </c>
      <c r="D278" s="231" t="s">
        <v>1970</v>
      </c>
      <c r="E278" s="232" t="s">
        <v>1972</v>
      </c>
      <c r="F278" s="231" t="s">
        <v>88</v>
      </c>
      <c r="G278" s="233"/>
      <c r="H278" s="233"/>
      <c r="I278" s="234"/>
      <c r="J278" s="234"/>
      <c r="K278" s="234"/>
      <c r="L278" s="231" t="s">
        <v>108</v>
      </c>
      <c r="M278" s="231" t="s">
        <v>53</v>
      </c>
      <c r="N278" s="233"/>
      <c r="O278" s="233"/>
      <c r="P278" s="232" t="s">
        <v>1974</v>
      </c>
      <c r="Q278" s="231" t="s">
        <v>34</v>
      </c>
      <c r="R278" s="230">
        <v>46306</v>
      </c>
      <c r="S278" s="231" t="s">
        <v>55</v>
      </c>
      <c r="T278" s="234"/>
      <c r="U278" s="234"/>
    </row>
    <row r="279" spans="1:21" ht="12.75">
      <c r="A279" s="230">
        <v>46306</v>
      </c>
      <c r="B279" s="234"/>
      <c r="C279" s="231" t="s">
        <v>926</v>
      </c>
      <c r="D279" s="231" t="s">
        <v>1975</v>
      </c>
      <c r="E279" s="232" t="s">
        <v>1976</v>
      </c>
      <c r="F279" s="231" t="s">
        <v>88</v>
      </c>
      <c r="G279" s="233"/>
      <c r="H279" s="233"/>
      <c r="I279" s="234"/>
      <c r="J279" s="234"/>
      <c r="K279" s="234"/>
      <c r="L279" s="231" t="s">
        <v>108</v>
      </c>
      <c r="M279" s="231" t="s">
        <v>53</v>
      </c>
      <c r="N279" s="233"/>
      <c r="O279" s="233"/>
      <c r="P279" s="232" t="s">
        <v>1977</v>
      </c>
      <c r="Q279" s="231" t="s">
        <v>34</v>
      </c>
      <c r="R279" s="230">
        <v>46306</v>
      </c>
      <c r="S279" s="231" t="s">
        <v>55</v>
      </c>
      <c r="T279" s="234"/>
      <c r="U279" s="234"/>
    </row>
    <row r="280" spans="1:21" ht="12.75">
      <c r="A280" s="230">
        <v>46307</v>
      </c>
      <c r="B280" s="234"/>
      <c r="C280" s="231" t="s">
        <v>75</v>
      </c>
      <c r="D280" s="231" t="s">
        <v>1981</v>
      </c>
      <c r="E280" s="232" t="s">
        <v>1982</v>
      </c>
      <c r="F280" s="231" t="s">
        <v>88</v>
      </c>
      <c r="G280" s="233"/>
      <c r="H280" s="233"/>
      <c r="I280" s="234"/>
      <c r="J280" s="234"/>
      <c r="K280" s="234"/>
      <c r="L280" s="231" t="s">
        <v>86</v>
      </c>
      <c r="M280" s="231">
        <v>737</v>
      </c>
      <c r="N280" s="231" t="s">
        <v>55</v>
      </c>
      <c r="O280" s="233"/>
      <c r="P280" s="232" t="s">
        <v>1983</v>
      </c>
      <c r="Q280" s="231" t="s">
        <v>34</v>
      </c>
      <c r="R280" s="230">
        <v>46307</v>
      </c>
      <c r="S280" s="231" t="s">
        <v>55</v>
      </c>
      <c r="T280" s="234"/>
      <c r="U280" s="234"/>
    </row>
    <row r="281" spans="1:21" ht="12.75">
      <c r="A281" s="230">
        <v>46307</v>
      </c>
      <c r="B281" s="234"/>
      <c r="C281" s="231" t="s">
        <v>418</v>
      </c>
      <c r="D281" s="231" t="s">
        <v>1985</v>
      </c>
      <c r="E281" s="232" t="s">
        <v>1986</v>
      </c>
      <c r="F281" s="231" t="s">
        <v>88</v>
      </c>
      <c r="G281" s="233"/>
      <c r="H281" s="233"/>
      <c r="I281" s="234"/>
      <c r="J281" s="234"/>
      <c r="K281" s="234"/>
      <c r="L281" s="231" t="s">
        <v>86</v>
      </c>
      <c r="M281" s="231">
        <v>737</v>
      </c>
      <c r="N281" s="231" t="s">
        <v>94</v>
      </c>
      <c r="O281" s="233"/>
      <c r="P281" s="232" t="s">
        <v>1990</v>
      </c>
      <c r="Q281" s="231" t="s">
        <v>34</v>
      </c>
      <c r="R281" s="230">
        <v>46307</v>
      </c>
      <c r="S281" s="231" t="s">
        <v>94</v>
      </c>
      <c r="T281" s="234"/>
      <c r="U281" s="234"/>
    </row>
    <row r="282" spans="1:21" ht="12.75">
      <c r="A282" s="230">
        <v>46307</v>
      </c>
      <c r="B282" s="231" t="s">
        <v>173</v>
      </c>
      <c r="C282" s="231" t="s">
        <v>406</v>
      </c>
      <c r="D282" s="231" t="s">
        <v>1991</v>
      </c>
      <c r="E282" s="232" t="s">
        <v>1992</v>
      </c>
      <c r="F282" s="231" t="s">
        <v>88</v>
      </c>
      <c r="G282" s="233"/>
      <c r="H282" s="233"/>
      <c r="I282" s="234"/>
      <c r="J282" s="234"/>
      <c r="K282" s="234"/>
      <c r="L282" s="231" t="s">
        <v>52</v>
      </c>
      <c r="M282" s="231" t="s">
        <v>53</v>
      </c>
      <c r="N282" s="234"/>
      <c r="O282" s="233"/>
      <c r="P282" s="232" t="s">
        <v>1993</v>
      </c>
      <c r="Q282" s="231" t="s">
        <v>34</v>
      </c>
      <c r="R282" s="230">
        <v>46307</v>
      </c>
      <c r="S282" s="231" t="s">
        <v>409</v>
      </c>
      <c r="T282" s="234"/>
      <c r="U282" s="234"/>
    </row>
    <row r="283" spans="1:21" ht="12.75">
      <c r="A283" s="230">
        <v>46307</v>
      </c>
      <c r="B283" s="231" t="s">
        <v>100</v>
      </c>
      <c r="C283" s="231" t="s">
        <v>296</v>
      </c>
      <c r="D283" s="231" t="s">
        <v>1996</v>
      </c>
      <c r="E283" s="232" t="s">
        <v>1997</v>
      </c>
      <c r="F283" s="231" t="s">
        <v>88</v>
      </c>
      <c r="G283" s="233"/>
      <c r="H283" s="233"/>
      <c r="I283" s="234"/>
      <c r="J283" s="234"/>
      <c r="K283" s="234"/>
      <c r="L283" s="231" t="s">
        <v>108</v>
      </c>
      <c r="M283" s="231" t="s">
        <v>53</v>
      </c>
      <c r="N283" s="234"/>
      <c r="O283" s="233"/>
      <c r="P283" s="232" t="s">
        <v>1998</v>
      </c>
      <c r="Q283" s="231" t="s">
        <v>34</v>
      </c>
      <c r="R283" s="230">
        <v>46307</v>
      </c>
      <c r="S283" s="231" t="s">
        <v>409</v>
      </c>
      <c r="T283" s="234"/>
      <c r="U283" s="234"/>
    </row>
    <row r="284" spans="1:21" ht="12.75">
      <c r="A284" s="230">
        <v>46307</v>
      </c>
      <c r="B284" s="234"/>
      <c r="C284" s="231" t="s">
        <v>1955</v>
      </c>
      <c r="D284" s="231" t="s">
        <v>1999</v>
      </c>
      <c r="E284" s="232" t="s">
        <v>2001</v>
      </c>
      <c r="F284" s="231" t="s">
        <v>88</v>
      </c>
      <c r="G284" s="233"/>
      <c r="H284" s="233"/>
      <c r="I284" s="234"/>
      <c r="J284" s="234"/>
      <c r="K284" s="234"/>
      <c r="L284" s="231" t="s">
        <v>108</v>
      </c>
      <c r="M284" s="231" t="s">
        <v>53</v>
      </c>
      <c r="N284" s="233"/>
      <c r="O284" s="233"/>
      <c r="P284" s="232" t="s">
        <v>2003</v>
      </c>
      <c r="Q284" s="231" t="s">
        <v>34</v>
      </c>
      <c r="R284" s="230">
        <v>46307</v>
      </c>
      <c r="S284" s="231" t="s">
        <v>375</v>
      </c>
      <c r="T284" s="234"/>
      <c r="U284" s="234"/>
    </row>
    <row r="285" spans="1:21" ht="12.75">
      <c r="A285" s="230">
        <v>46307</v>
      </c>
      <c r="B285" s="234"/>
      <c r="C285" s="231" t="s">
        <v>349</v>
      </c>
      <c r="D285" s="231" t="s">
        <v>2005</v>
      </c>
      <c r="E285" s="232" t="s">
        <v>2006</v>
      </c>
      <c r="F285" s="231" t="s">
        <v>88</v>
      </c>
      <c r="G285" s="233"/>
      <c r="H285" s="233"/>
      <c r="I285" s="234"/>
      <c r="J285" s="234"/>
      <c r="K285" s="234"/>
      <c r="L285" s="231" t="s">
        <v>52</v>
      </c>
      <c r="M285" s="231" t="s">
        <v>53</v>
      </c>
      <c r="N285" s="233"/>
      <c r="O285" s="233"/>
      <c r="P285" s="232" t="s">
        <v>757</v>
      </c>
      <c r="Q285" s="231" t="s">
        <v>34</v>
      </c>
      <c r="R285" s="230">
        <v>46307</v>
      </c>
      <c r="S285" s="231" t="s">
        <v>89</v>
      </c>
      <c r="T285" s="234"/>
      <c r="U285" s="234"/>
    </row>
    <row r="286" spans="1:21" ht="12.75">
      <c r="A286" s="230">
        <v>46307</v>
      </c>
      <c r="B286" s="234"/>
      <c r="C286" s="231" t="s">
        <v>217</v>
      </c>
      <c r="D286" s="231" t="s">
        <v>2009</v>
      </c>
      <c r="E286" s="232" t="s">
        <v>2010</v>
      </c>
      <c r="F286" s="231" t="s">
        <v>88</v>
      </c>
      <c r="G286" s="233"/>
      <c r="H286" s="233"/>
      <c r="I286" s="234"/>
      <c r="J286" s="234"/>
      <c r="K286" s="234"/>
      <c r="L286" s="231" t="s">
        <v>108</v>
      </c>
      <c r="M286" s="231" t="s">
        <v>53</v>
      </c>
      <c r="N286" s="233"/>
      <c r="O286" s="233"/>
      <c r="P286" s="232" t="s">
        <v>2011</v>
      </c>
      <c r="Q286" s="231" t="s">
        <v>34</v>
      </c>
      <c r="R286" s="230">
        <v>46307</v>
      </c>
      <c r="S286" s="231" t="s">
        <v>55</v>
      </c>
      <c r="T286" s="234"/>
      <c r="U286" s="234"/>
    </row>
    <row r="287" spans="1:21" ht="12.75">
      <c r="A287" s="230">
        <v>46307</v>
      </c>
      <c r="B287" s="234"/>
      <c r="C287" s="231" t="s">
        <v>901</v>
      </c>
      <c r="D287" s="231" t="s">
        <v>2012</v>
      </c>
      <c r="E287" s="232" t="s">
        <v>2015</v>
      </c>
      <c r="F287" s="231" t="s">
        <v>88</v>
      </c>
      <c r="G287" s="233"/>
      <c r="H287" s="233"/>
      <c r="I287" s="234"/>
      <c r="J287" s="234"/>
      <c r="K287" s="234"/>
      <c r="L287" s="231" t="s">
        <v>108</v>
      </c>
      <c r="M287" s="231" t="s">
        <v>53</v>
      </c>
      <c r="N287" s="233"/>
      <c r="O287" s="233"/>
      <c r="P287" s="232" t="s">
        <v>2016</v>
      </c>
      <c r="Q287" s="231" t="s">
        <v>34</v>
      </c>
      <c r="R287" s="230">
        <v>46307</v>
      </c>
      <c r="S287" s="231" t="s">
        <v>55</v>
      </c>
      <c r="T287" s="234"/>
      <c r="U287" s="234"/>
    </row>
    <row r="288" spans="1:21" ht="12.75">
      <c r="A288" s="230">
        <v>46307</v>
      </c>
      <c r="B288" s="234"/>
      <c r="C288" s="231" t="s">
        <v>406</v>
      </c>
      <c r="D288" s="231" t="s">
        <v>1991</v>
      </c>
      <c r="E288" s="232" t="s">
        <v>2019</v>
      </c>
      <c r="F288" s="231" t="s">
        <v>88</v>
      </c>
      <c r="G288" s="233"/>
      <c r="H288" s="233"/>
      <c r="I288" s="234"/>
      <c r="J288" s="234"/>
      <c r="K288" s="234"/>
      <c r="L288" s="231" t="s">
        <v>52</v>
      </c>
      <c r="M288" s="231" t="s">
        <v>53</v>
      </c>
      <c r="N288" s="233"/>
      <c r="O288" s="233"/>
      <c r="P288" s="232" t="s">
        <v>2020</v>
      </c>
      <c r="Q288" s="231" t="s">
        <v>34</v>
      </c>
      <c r="R288" s="230">
        <v>46307</v>
      </c>
      <c r="S288" s="231" t="s">
        <v>409</v>
      </c>
      <c r="T288" s="234"/>
      <c r="U288" s="234"/>
    </row>
    <row r="289" spans="1:21" ht="12.75">
      <c r="A289" s="230">
        <v>46307</v>
      </c>
      <c r="B289" s="234"/>
      <c r="C289" s="231" t="s">
        <v>296</v>
      </c>
      <c r="D289" s="231" t="s">
        <v>1996</v>
      </c>
      <c r="E289" s="232" t="s">
        <v>2023</v>
      </c>
      <c r="F289" s="231" t="s">
        <v>88</v>
      </c>
      <c r="G289" s="233"/>
      <c r="H289" s="233"/>
      <c r="I289" s="234"/>
      <c r="J289" s="234"/>
      <c r="K289" s="234"/>
      <c r="L289" s="231" t="s">
        <v>108</v>
      </c>
      <c r="M289" s="231" t="s">
        <v>53</v>
      </c>
      <c r="N289" s="233"/>
      <c r="O289" s="233"/>
      <c r="P289" s="232" t="s">
        <v>2024</v>
      </c>
      <c r="Q289" s="231" t="s">
        <v>34</v>
      </c>
      <c r="R289" s="230">
        <v>46307</v>
      </c>
      <c r="S289" s="231" t="s">
        <v>409</v>
      </c>
      <c r="T289" s="234"/>
      <c r="U289" s="234"/>
    </row>
    <row r="290" spans="1:21" ht="12.75">
      <c r="A290" s="230">
        <v>46307</v>
      </c>
      <c r="B290" s="234"/>
      <c r="C290" s="231" t="s">
        <v>418</v>
      </c>
      <c r="D290" s="231" t="s">
        <v>1985</v>
      </c>
      <c r="E290" s="236" t="s">
        <v>2026</v>
      </c>
      <c r="F290" s="231" t="s">
        <v>88</v>
      </c>
      <c r="G290" s="233"/>
      <c r="H290" s="233"/>
      <c r="I290" s="234"/>
      <c r="J290" s="234"/>
      <c r="K290" s="234"/>
      <c r="L290" s="231" t="s">
        <v>86</v>
      </c>
      <c r="M290" s="231" t="s">
        <v>631</v>
      </c>
      <c r="N290" s="233"/>
      <c r="O290" s="233"/>
      <c r="P290" s="232" t="s">
        <v>2027</v>
      </c>
      <c r="Q290" s="231" t="s">
        <v>34</v>
      </c>
      <c r="R290" s="230">
        <v>46307</v>
      </c>
      <c r="S290" s="231" t="s">
        <v>94</v>
      </c>
      <c r="T290" s="234"/>
      <c r="U290" s="234"/>
    </row>
    <row r="291" spans="1:21" ht="12.75">
      <c r="A291" s="230">
        <v>46307</v>
      </c>
      <c r="B291" s="234"/>
      <c r="C291" s="231" t="s">
        <v>2030</v>
      </c>
      <c r="D291" s="231" t="s">
        <v>2031</v>
      </c>
      <c r="E291" s="232" t="s">
        <v>2032</v>
      </c>
      <c r="F291" s="231" t="s">
        <v>88</v>
      </c>
      <c r="G291" s="233"/>
      <c r="H291" s="233"/>
      <c r="I291" s="234"/>
      <c r="J291" s="234"/>
      <c r="K291" s="234"/>
      <c r="L291" s="231" t="s">
        <v>52</v>
      </c>
      <c r="M291" s="231" t="s">
        <v>53</v>
      </c>
      <c r="N291" s="233"/>
      <c r="O291" s="233"/>
      <c r="P291" s="238" t="s">
        <v>2033</v>
      </c>
      <c r="Q291" s="231" t="s">
        <v>34</v>
      </c>
      <c r="R291" s="230">
        <v>46307</v>
      </c>
      <c r="S291" s="231" t="s">
        <v>111</v>
      </c>
      <c r="T291" s="234"/>
      <c r="U291" s="234"/>
    </row>
    <row r="292" spans="1:21" ht="12.75">
      <c r="A292" s="230">
        <v>46307</v>
      </c>
      <c r="B292" s="234"/>
      <c r="C292" s="231" t="s">
        <v>1320</v>
      </c>
      <c r="D292" s="231" t="s">
        <v>2036</v>
      </c>
      <c r="E292" s="232" t="s">
        <v>2037</v>
      </c>
      <c r="F292" s="231" t="s">
        <v>88</v>
      </c>
      <c r="G292" s="233"/>
      <c r="H292" s="233"/>
      <c r="I292" s="234"/>
      <c r="J292" s="234"/>
      <c r="K292" s="234"/>
      <c r="L292" s="231" t="s">
        <v>86</v>
      </c>
      <c r="M292" s="231" t="s">
        <v>631</v>
      </c>
      <c r="N292" s="233"/>
      <c r="O292" s="233"/>
      <c r="P292" s="232" t="s">
        <v>2038</v>
      </c>
      <c r="Q292" s="231" t="s">
        <v>34</v>
      </c>
      <c r="R292" s="230">
        <v>46307</v>
      </c>
      <c r="S292" s="231" t="s">
        <v>111</v>
      </c>
      <c r="T292" s="234"/>
      <c r="U292" s="234"/>
    </row>
    <row r="293" spans="1:21" ht="12.75">
      <c r="A293" s="230">
        <v>46307</v>
      </c>
      <c r="B293" s="234"/>
      <c r="C293" s="231" t="s">
        <v>1320</v>
      </c>
      <c r="D293" s="231" t="s">
        <v>2041</v>
      </c>
      <c r="E293" s="232" t="s">
        <v>2042</v>
      </c>
      <c r="F293" s="231" t="s">
        <v>88</v>
      </c>
      <c r="G293" s="233"/>
      <c r="H293" s="233"/>
      <c r="I293" s="234"/>
      <c r="J293" s="234"/>
      <c r="K293" s="234"/>
      <c r="L293" s="231" t="s">
        <v>86</v>
      </c>
      <c r="M293" s="231" t="s">
        <v>631</v>
      </c>
      <c r="N293" s="233"/>
      <c r="O293" s="233"/>
      <c r="P293" s="232" t="s">
        <v>2043</v>
      </c>
      <c r="Q293" s="231" t="s">
        <v>34</v>
      </c>
      <c r="R293" s="230">
        <v>46307</v>
      </c>
      <c r="S293" s="231" t="s">
        <v>111</v>
      </c>
      <c r="T293" s="234"/>
      <c r="U293" s="234"/>
    </row>
    <row r="294" spans="1:21" ht="12.75">
      <c r="A294" s="230">
        <v>46307</v>
      </c>
      <c r="B294" s="234"/>
      <c r="C294" s="231" t="s">
        <v>2046</v>
      </c>
      <c r="D294" s="231" t="s">
        <v>2047</v>
      </c>
      <c r="E294" s="232" t="s">
        <v>2048</v>
      </c>
      <c r="F294" s="231" t="s">
        <v>88</v>
      </c>
      <c r="G294" s="233"/>
      <c r="H294" s="233"/>
      <c r="I294" s="234"/>
      <c r="J294" s="234"/>
      <c r="K294" s="234"/>
      <c r="L294" s="231" t="s">
        <v>85</v>
      </c>
      <c r="M294" s="231" t="s">
        <v>87</v>
      </c>
      <c r="N294" s="233"/>
      <c r="O294" s="233"/>
      <c r="P294" s="232" t="s">
        <v>2049</v>
      </c>
      <c r="Q294" s="231" t="s">
        <v>34</v>
      </c>
      <c r="R294" s="230">
        <v>46307</v>
      </c>
      <c r="S294" s="231" t="s">
        <v>111</v>
      </c>
      <c r="T294" s="234"/>
      <c r="U294" s="234"/>
    </row>
    <row r="295" spans="1:21" ht="12.75">
      <c r="A295" s="305">
        <v>46307</v>
      </c>
      <c r="B295" s="306"/>
      <c r="C295" s="307" t="s">
        <v>126</v>
      </c>
      <c r="D295" s="307" t="s">
        <v>2054</v>
      </c>
      <c r="E295" s="308" t="s">
        <v>2055</v>
      </c>
      <c r="F295" s="306" t="s">
        <v>88</v>
      </c>
      <c r="G295" s="306"/>
      <c r="H295" s="306"/>
      <c r="I295" s="306"/>
      <c r="J295" s="306"/>
      <c r="K295" s="306"/>
      <c r="L295" s="309" t="s">
        <v>52</v>
      </c>
      <c r="M295" s="309" t="s">
        <v>53</v>
      </c>
      <c r="N295" s="306"/>
      <c r="O295" s="306"/>
      <c r="P295" s="307" t="s">
        <v>2058</v>
      </c>
      <c r="Q295" s="306" t="s">
        <v>34</v>
      </c>
      <c r="R295" s="305">
        <v>46307</v>
      </c>
      <c r="S295" s="309" t="s">
        <v>55</v>
      </c>
      <c r="T295" s="306"/>
      <c r="U295" s="306"/>
    </row>
    <row r="296" spans="1:21" ht="48">
      <c r="A296" s="310">
        <v>46308</v>
      </c>
      <c r="B296" s="75" t="s">
        <v>100</v>
      </c>
      <c r="C296" s="75" t="s">
        <v>776</v>
      </c>
      <c r="D296" s="311" t="s">
        <v>2060</v>
      </c>
      <c r="E296" s="75" t="s">
        <v>2061</v>
      </c>
      <c r="F296" s="75" t="s">
        <v>88</v>
      </c>
      <c r="G296" s="310">
        <v>46217</v>
      </c>
      <c r="H296" s="312"/>
      <c r="I296" s="313"/>
      <c r="J296" s="313"/>
      <c r="K296" s="313"/>
      <c r="L296" s="75" t="s">
        <v>108</v>
      </c>
      <c r="M296" s="75" t="s">
        <v>53</v>
      </c>
      <c r="N296" s="75" t="s">
        <v>66</v>
      </c>
      <c r="O296" s="312"/>
      <c r="P296" s="75" t="s">
        <v>2062</v>
      </c>
      <c r="Q296" s="75" t="s">
        <v>34</v>
      </c>
      <c r="R296" s="310">
        <v>46308</v>
      </c>
      <c r="S296" s="75" t="s">
        <v>66</v>
      </c>
      <c r="T296" s="313"/>
      <c r="U296" s="313"/>
    </row>
    <row r="297" spans="1:21" ht="36">
      <c r="A297" s="310">
        <v>46308</v>
      </c>
      <c r="B297" s="75" t="s">
        <v>100</v>
      </c>
      <c r="C297" s="75" t="s">
        <v>776</v>
      </c>
      <c r="D297" s="75" t="s">
        <v>2065</v>
      </c>
      <c r="E297" s="75" t="s">
        <v>2066</v>
      </c>
      <c r="F297" s="75" t="s">
        <v>88</v>
      </c>
      <c r="G297" s="310">
        <v>46078</v>
      </c>
      <c r="H297" s="312"/>
      <c r="I297" s="313"/>
      <c r="J297" s="313"/>
      <c r="K297" s="313"/>
      <c r="L297" s="75" t="s">
        <v>108</v>
      </c>
      <c r="M297" s="75" t="s">
        <v>53</v>
      </c>
      <c r="N297" s="75" t="s">
        <v>66</v>
      </c>
      <c r="O297" s="312"/>
      <c r="P297" s="75" t="s">
        <v>2070</v>
      </c>
      <c r="Q297" s="75" t="s">
        <v>34</v>
      </c>
      <c r="R297" s="310">
        <v>46308</v>
      </c>
      <c r="S297" s="75" t="s">
        <v>66</v>
      </c>
      <c r="T297" s="313"/>
      <c r="U297" s="313"/>
    </row>
    <row r="298" spans="1:21" ht="24">
      <c r="A298" s="310">
        <v>46308</v>
      </c>
      <c r="B298" s="75" t="s">
        <v>100</v>
      </c>
      <c r="C298" s="75" t="s">
        <v>776</v>
      </c>
      <c r="D298" s="75" t="s">
        <v>2071</v>
      </c>
      <c r="E298" s="75" t="s">
        <v>2072</v>
      </c>
      <c r="F298" s="75" t="s">
        <v>88</v>
      </c>
      <c r="G298" s="310">
        <v>46177</v>
      </c>
      <c r="H298" s="312"/>
      <c r="I298" s="313"/>
      <c r="J298" s="313"/>
      <c r="K298" s="313"/>
      <c r="L298" s="75" t="s">
        <v>108</v>
      </c>
      <c r="M298" s="75" t="s">
        <v>53</v>
      </c>
      <c r="N298" s="75" t="s">
        <v>66</v>
      </c>
      <c r="O298" s="312"/>
      <c r="P298" s="75" t="s">
        <v>2073</v>
      </c>
      <c r="Q298" s="75" t="s">
        <v>34</v>
      </c>
      <c r="R298" s="310">
        <v>46308</v>
      </c>
      <c r="S298" s="75" t="s">
        <v>66</v>
      </c>
      <c r="T298" s="313"/>
      <c r="U298" s="313"/>
    </row>
    <row r="299" spans="1:21" ht="12.75">
      <c r="A299" s="310">
        <v>46308</v>
      </c>
      <c r="B299" s="75" t="s">
        <v>100</v>
      </c>
      <c r="C299" s="75" t="s">
        <v>776</v>
      </c>
      <c r="D299" s="75" t="s">
        <v>2076</v>
      </c>
      <c r="E299" s="75" t="s">
        <v>2077</v>
      </c>
      <c r="F299" s="75" t="s">
        <v>88</v>
      </c>
      <c r="G299" s="310">
        <v>46183</v>
      </c>
      <c r="H299" s="312"/>
      <c r="I299" s="313"/>
      <c r="J299" s="313"/>
      <c r="K299" s="313"/>
      <c r="L299" s="75" t="s">
        <v>108</v>
      </c>
      <c r="M299" s="75" t="s">
        <v>53</v>
      </c>
      <c r="N299" s="75" t="s">
        <v>66</v>
      </c>
      <c r="O299" s="312"/>
      <c r="P299" s="75" t="s">
        <v>2078</v>
      </c>
      <c r="Q299" s="75" t="s">
        <v>34</v>
      </c>
      <c r="R299" s="310">
        <v>46308</v>
      </c>
      <c r="S299" s="75" t="s">
        <v>66</v>
      </c>
      <c r="T299" s="313"/>
      <c r="U299" s="313"/>
    </row>
    <row r="300" spans="1:21" ht="24">
      <c r="A300" s="310">
        <v>46308</v>
      </c>
      <c r="B300" s="75" t="s">
        <v>100</v>
      </c>
      <c r="C300" s="75" t="s">
        <v>776</v>
      </c>
      <c r="D300" s="75" t="s">
        <v>2079</v>
      </c>
      <c r="E300" s="75" t="s">
        <v>2080</v>
      </c>
      <c r="F300" s="75" t="s">
        <v>88</v>
      </c>
      <c r="G300" s="310">
        <v>46186</v>
      </c>
      <c r="H300" s="312"/>
      <c r="I300" s="313"/>
      <c r="J300" s="313"/>
      <c r="K300" s="313"/>
      <c r="L300" s="75" t="s">
        <v>108</v>
      </c>
      <c r="M300" s="75" t="s">
        <v>53</v>
      </c>
      <c r="N300" s="75" t="s">
        <v>66</v>
      </c>
      <c r="O300" s="312"/>
      <c r="P300" s="75" t="s">
        <v>2083</v>
      </c>
      <c r="Q300" s="75" t="s">
        <v>34</v>
      </c>
      <c r="R300" s="310">
        <v>46308</v>
      </c>
      <c r="S300" s="75" t="s">
        <v>66</v>
      </c>
      <c r="T300" s="313"/>
      <c r="U300" s="313"/>
    </row>
    <row r="301" spans="1:21" ht="24">
      <c r="A301" s="310">
        <v>46308</v>
      </c>
      <c r="B301" s="75" t="s">
        <v>70</v>
      </c>
      <c r="C301" s="75" t="s">
        <v>1460</v>
      </c>
      <c r="D301" s="75" t="s">
        <v>2084</v>
      </c>
      <c r="E301" s="75" t="s">
        <v>2085</v>
      </c>
      <c r="F301" s="75" t="s">
        <v>88</v>
      </c>
      <c r="G301" s="310">
        <v>46092</v>
      </c>
      <c r="H301" s="312"/>
      <c r="I301" s="313"/>
      <c r="J301" s="313"/>
      <c r="K301" s="313"/>
      <c r="L301" s="75" t="s">
        <v>108</v>
      </c>
      <c r="M301" s="75" t="s">
        <v>53</v>
      </c>
      <c r="N301" s="75" t="s">
        <v>409</v>
      </c>
      <c r="O301" s="312"/>
      <c r="P301" s="75" t="s">
        <v>2086</v>
      </c>
      <c r="Q301" s="75" t="s">
        <v>34</v>
      </c>
      <c r="R301" s="310">
        <v>46308</v>
      </c>
      <c r="S301" s="75" t="s">
        <v>409</v>
      </c>
      <c r="T301" s="313"/>
      <c r="U301" s="313"/>
    </row>
    <row r="302" spans="1:21" ht="24">
      <c r="A302" s="310">
        <v>46308</v>
      </c>
      <c r="B302" s="313"/>
      <c r="C302" s="75" t="s">
        <v>60</v>
      </c>
      <c r="D302" s="75" t="s">
        <v>241</v>
      </c>
      <c r="E302" s="75" t="s">
        <v>2089</v>
      </c>
      <c r="F302" s="75" t="s">
        <v>88</v>
      </c>
      <c r="G302" s="310">
        <v>46177</v>
      </c>
      <c r="H302" s="312"/>
      <c r="I302" s="313"/>
      <c r="J302" s="313"/>
      <c r="K302" s="313"/>
      <c r="L302" s="75" t="s">
        <v>52</v>
      </c>
      <c r="M302" s="75" t="s">
        <v>53</v>
      </c>
      <c r="N302" s="75" t="s">
        <v>66</v>
      </c>
      <c r="O302" s="312"/>
      <c r="P302" s="75" t="s">
        <v>2090</v>
      </c>
      <c r="Q302" s="75" t="s">
        <v>34</v>
      </c>
      <c r="R302" s="310">
        <v>46308</v>
      </c>
      <c r="S302" s="75" t="s">
        <v>66</v>
      </c>
      <c r="T302" s="313"/>
      <c r="U302" s="313"/>
    </row>
    <row r="303" spans="1:21" ht="60">
      <c r="A303" s="310">
        <v>46308</v>
      </c>
      <c r="B303" s="313"/>
      <c r="C303" s="314" t="s">
        <v>564</v>
      </c>
      <c r="D303" s="315" t="s">
        <v>567</v>
      </c>
      <c r="E303" s="75" t="s">
        <v>2091</v>
      </c>
      <c r="F303" s="75" t="s">
        <v>88</v>
      </c>
      <c r="G303" s="312"/>
      <c r="H303" s="312"/>
      <c r="I303" s="313"/>
      <c r="J303" s="313"/>
      <c r="K303" s="313"/>
      <c r="L303" s="75" t="s">
        <v>108</v>
      </c>
      <c r="M303" s="75" t="s">
        <v>53</v>
      </c>
      <c r="N303" s="75" t="s">
        <v>94</v>
      </c>
      <c r="O303" s="312"/>
      <c r="P303" s="75" t="s">
        <v>2094</v>
      </c>
      <c r="Q303" s="75" t="s">
        <v>34</v>
      </c>
      <c r="R303" s="310">
        <v>46308</v>
      </c>
      <c r="S303" s="75" t="s">
        <v>94</v>
      </c>
      <c r="T303" s="313"/>
      <c r="U303" s="313"/>
    </row>
    <row r="304" spans="1:21" ht="48">
      <c r="A304" s="310">
        <v>46308</v>
      </c>
      <c r="B304" s="313"/>
      <c r="C304" s="314" t="s">
        <v>564</v>
      </c>
      <c r="D304" s="315" t="s">
        <v>565</v>
      </c>
      <c r="E304" s="75" t="s">
        <v>2095</v>
      </c>
      <c r="F304" s="75" t="s">
        <v>88</v>
      </c>
      <c r="G304" s="312"/>
      <c r="H304" s="312"/>
      <c r="I304" s="313"/>
      <c r="J304" s="313"/>
      <c r="K304" s="313"/>
      <c r="L304" s="75" t="s">
        <v>108</v>
      </c>
      <c r="M304" s="75" t="s">
        <v>53</v>
      </c>
      <c r="N304" s="75" t="s">
        <v>94</v>
      </c>
      <c r="O304" s="312"/>
      <c r="P304" s="75" t="s">
        <v>2096</v>
      </c>
      <c r="Q304" s="75" t="s">
        <v>34</v>
      </c>
      <c r="R304" s="310">
        <v>46308</v>
      </c>
      <c r="S304" s="75" t="s">
        <v>94</v>
      </c>
      <c r="T304" s="313"/>
      <c r="U304" s="313"/>
    </row>
    <row r="305" spans="1:21" ht="36">
      <c r="A305" s="310">
        <v>46308</v>
      </c>
      <c r="B305" s="313"/>
      <c r="C305" s="75" t="s">
        <v>319</v>
      </c>
      <c r="D305" s="75" t="s">
        <v>320</v>
      </c>
      <c r="E305" s="75" t="s">
        <v>562</v>
      </c>
      <c r="F305" s="75" t="s">
        <v>88</v>
      </c>
      <c r="G305" s="312"/>
      <c r="H305" s="312"/>
      <c r="I305" s="313"/>
      <c r="J305" s="313"/>
      <c r="K305" s="313"/>
      <c r="L305" s="75" t="s">
        <v>52</v>
      </c>
      <c r="M305" s="75" t="s">
        <v>53</v>
      </c>
      <c r="N305" s="312"/>
      <c r="O305" s="312"/>
      <c r="P305" s="75" t="s">
        <v>2099</v>
      </c>
      <c r="Q305" s="75" t="s">
        <v>34</v>
      </c>
      <c r="R305" s="310">
        <v>46308</v>
      </c>
      <c r="S305" s="75" t="s">
        <v>322</v>
      </c>
      <c r="T305" s="313"/>
      <c r="U305" s="313"/>
    </row>
    <row r="306" spans="1:21" ht="36">
      <c r="A306" s="310">
        <v>46308</v>
      </c>
      <c r="B306" s="313"/>
      <c r="C306" s="75" t="s">
        <v>390</v>
      </c>
      <c r="D306" s="75" t="s">
        <v>569</v>
      </c>
      <c r="E306" s="75" t="s">
        <v>570</v>
      </c>
      <c r="F306" s="75" t="s">
        <v>88</v>
      </c>
      <c r="G306" s="312"/>
      <c r="H306" s="312"/>
      <c r="I306" s="313"/>
      <c r="J306" s="313"/>
      <c r="K306" s="313"/>
      <c r="L306" s="75" t="s">
        <v>52</v>
      </c>
      <c r="M306" s="75" t="s">
        <v>53</v>
      </c>
      <c r="N306" s="312"/>
      <c r="O306" s="312"/>
      <c r="P306" s="75" t="s">
        <v>2100</v>
      </c>
      <c r="Q306" s="75" t="s">
        <v>34</v>
      </c>
      <c r="R306" s="310">
        <v>46308</v>
      </c>
      <c r="S306" s="75" t="s">
        <v>322</v>
      </c>
      <c r="T306" s="313"/>
      <c r="U306" s="313"/>
    </row>
    <row r="307" spans="1:21" ht="24">
      <c r="A307" s="310">
        <v>46308</v>
      </c>
      <c r="B307" s="313"/>
      <c r="C307" s="75" t="s">
        <v>390</v>
      </c>
      <c r="D307" s="75" t="s">
        <v>391</v>
      </c>
      <c r="E307" s="75" t="s">
        <v>571</v>
      </c>
      <c r="F307" s="75" t="s">
        <v>88</v>
      </c>
      <c r="G307" s="312"/>
      <c r="H307" s="312"/>
      <c r="I307" s="313"/>
      <c r="J307" s="313"/>
      <c r="K307" s="313"/>
      <c r="L307" s="75" t="s">
        <v>52</v>
      </c>
      <c r="M307" s="75" t="s">
        <v>53</v>
      </c>
      <c r="N307" s="312"/>
      <c r="O307" s="312"/>
      <c r="P307" s="75" t="s">
        <v>2103</v>
      </c>
      <c r="Q307" s="75" t="s">
        <v>34</v>
      </c>
      <c r="R307" s="310">
        <v>46308</v>
      </c>
      <c r="S307" s="75" t="s">
        <v>322</v>
      </c>
      <c r="T307" s="313"/>
      <c r="U307" s="313"/>
    </row>
    <row r="308" spans="1:21" ht="24">
      <c r="A308" s="310">
        <v>46308</v>
      </c>
      <c r="B308" s="313"/>
      <c r="C308" s="75" t="s">
        <v>29</v>
      </c>
      <c r="D308" s="75" t="s">
        <v>582</v>
      </c>
      <c r="E308" s="75" t="s">
        <v>583</v>
      </c>
      <c r="F308" s="75" t="s">
        <v>88</v>
      </c>
      <c r="G308" s="312"/>
      <c r="H308" s="312"/>
      <c r="I308" s="313"/>
      <c r="J308" s="313"/>
      <c r="K308" s="313"/>
      <c r="L308" s="75" t="s">
        <v>52</v>
      </c>
      <c r="M308" s="75" t="s">
        <v>53</v>
      </c>
      <c r="N308" s="312"/>
      <c r="O308" s="312"/>
      <c r="P308" s="75" t="s">
        <v>2105</v>
      </c>
      <c r="Q308" s="75" t="s">
        <v>34</v>
      </c>
      <c r="R308" s="310">
        <v>46308</v>
      </c>
      <c r="S308" s="75" t="s">
        <v>55</v>
      </c>
      <c r="T308" s="313"/>
      <c r="U308" s="313"/>
    </row>
    <row r="309" spans="1:21" ht="24">
      <c r="A309" s="310">
        <v>46308</v>
      </c>
      <c r="B309" s="313"/>
      <c r="C309" s="75" t="s">
        <v>550</v>
      </c>
      <c r="D309" s="75" t="s">
        <v>552</v>
      </c>
      <c r="E309" s="75" t="s">
        <v>553</v>
      </c>
      <c r="F309" s="75" t="s">
        <v>88</v>
      </c>
      <c r="G309" s="312"/>
      <c r="H309" s="312"/>
      <c r="I309" s="313"/>
      <c r="J309" s="313"/>
      <c r="K309" s="313"/>
      <c r="L309" s="75" t="s">
        <v>86</v>
      </c>
      <c r="M309" s="75" t="s">
        <v>631</v>
      </c>
      <c r="N309" s="312"/>
      <c r="O309" s="312"/>
      <c r="P309" s="75" t="s">
        <v>2106</v>
      </c>
      <c r="Q309" s="75" t="s">
        <v>34</v>
      </c>
      <c r="R309" s="310">
        <v>46308</v>
      </c>
      <c r="S309" s="75" t="s">
        <v>111</v>
      </c>
      <c r="T309" s="313"/>
      <c r="U309" s="313"/>
    </row>
    <row r="310" spans="1:21" ht="36">
      <c r="A310" s="310">
        <v>46308</v>
      </c>
      <c r="B310" s="313"/>
      <c r="C310" s="75" t="s">
        <v>418</v>
      </c>
      <c r="D310" s="75" t="s">
        <v>554</v>
      </c>
      <c r="E310" s="75" t="s">
        <v>555</v>
      </c>
      <c r="F310" s="75" t="s">
        <v>88</v>
      </c>
      <c r="G310" s="312"/>
      <c r="H310" s="312"/>
      <c r="I310" s="313"/>
      <c r="J310" s="313"/>
      <c r="K310" s="313"/>
      <c r="L310" s="75" t="s">
        <v>86</v>
      </c>
      <c r="M310" s="75" t="s">
        <v>631</v>
      </c>
      <c r="N310" s="312"/>
      <c r="O310" s="312"/>
      <c r="P310" s="75" t="s">
        <v>2109</v>
      </c>
      <c r="Q310" s="75" t="s">
        <v>34</v>
      </c>
      <c r="R310" s="310">
        <v>46308</v>
      </c>
      <c r="S310" s="75" t="s">
        <v>111</v>
      </c>
      <c r="T310" s="313"/>
      <c r="U310" s="313"/>
    </row>
    <row r="311" spans="1:21" ht="36">
      <c r="A311" s="310">
        <v>46308</v>
      </c>
      <c r="B311" s="313"/>
      <c r="C311" s="75" t="s">
        <v>577</v>
      </c>
      <c r="D311" s="75" t="s">
        <v>578</v>
      </c>
      <c r="E311" s="75" t="s">
        <v>579</v>
      </c>
      <c r="F311" s="75" t="s">
        <v>88</v>
      </c>
      <c r="G311" s="312"/>
      <c r="H311" s="312"/>
      <c r="I311" s="313"/>
      <c r="J311" s="313"/>
      <c r="K311" s="313"/>
      <c r="L311" s="75" t="s">
        <v>86</v>
      </c>
      <c r="M311" s="75" t="s">
        <v>2112</v>
      </c>
      <c r="N311" s="312"/>
      <c r="O311" s="312"/>
      <c r="P311" s="75" t="s">
        <v>2113</v>
      </c>
      <c r="Q311" s="75" t="s">
        <v>34</v>
      </c>
      <c r="R311" s="310">
        <v>46308</v>
      </c>
      <c r="S311" s="75" t="s">
        <v>55</v>
      </c>
      <c r="T311" s="313"/>
      <c r="U311" s="313"/>
    </row>
    <row r="312" spans="1:21" ht="48">
      <c r="A312" s="310">
        <v>46308</v>
      </c>
      <c r="B312" s="313"/>
      <c r="C312" s="75" t="s">
        <v>564</v>
      </c>
      <c r="D312" s="75" t="s">
        <v>565</v>
      </c>
      <c r="E312" s="75" t="s">
        <v>566</v>
      </c>
      <c r="F312" s="75" t="s">
        <v>88</v>
      </c>
      <c r="G312" s="312"/>
      <c r="H312" s="312"/>
      <c r="I312" s="313"/>
      <c r="J312" s="313"/>
      <c r="K312" s="313"/>
      <c r="L312" s="75" t="s">
        <v>108</v>
      </c>
      <c r="M312" s="75" t="s">
        <v>53</v>
      </c>
      <c r="N312" s="312"/>
      <c r="O312" s="312"/>
      <c r="P312" s="75" t="s">
        <v>2096</v>
      </c>
      <c r="Q312" s="75" t="s">
        <v>34</v>
      </c>
      <c r="R312" s="310">
        <v>46308</v>
      </c>
      <c r="S312" s="75" t="s">
        <v>94</v>
      </c>
      <c r="T312" s="313"/>
      <c r="U312" s="313"/>
    </row>
    <row r="313" spans="1:21" ht="60">
      <c r="A313" s="310">
        <v>46308</v>
      </c>
      <c r="B313" s="313"/>
      <c r="C313" s="75" t="s">
        <v>564</v>
      </c>
      <c r="D313" s="75" t="s">
        <v>567</v>
      </c>
      <c r="E313" s="75" t="s">
        <v>568</v>
      </c>
      <c r="F313" s="75" t="s">
        <v>88</v>
      </c>
      <c r="G313" s="312"/>
      <c r="H313" s="312"/>
      <c r="I313" s="313"/>
      <c r="J313" s="313"/>
      <c r="K313" s="313"/>
      <c r="L313" s="75" t="s">
        <v>108</v>
      </c>
      <c r="M313" s="75" t="s">
        <v>53</v>
      </c>
      <c r="N313" s="312"/>
      <c r="O313" s="312"/>
      <c r="P313" s="75" t="s">
        <v>2094</v>
      </c>
      <c r="Q313" s="75" t="s">
        <v>34</v>
      </c>
      <c r="R313" s="310">
        <v>46308</v>
      </c>
      <c r="S313" s="75" t="s">
        <v>94</v>
      </c>
      <c r="T313" s="313"/>
      <c r="U313" s="313"/>
    </row>
    <row r="314" spans="1:21" ht="36">
      <c r="A314" s="310">
        <v>46308</v>
      </c>
      <c r="B314" s="313"/>
      <c r="C314" s="75" t="s">
        <v>182</v>
      </c>
      <c r="D314" s="75" t="s">
        <v>580</v>
      </c>
      <c r="E314" s="75" t="s">
        <v>581</v>
      </c>
      <c r="F314" s="75" t="s">
        <v>88</v>
      </c>
      <c r="G314" s="312"/>
      <c r="H314" s="312"/>
      <c r="I314" s="313"/>
      <c r="J314" s="313"/>
      <c r="K314" s="313"/>
      <c r="L314" s="75" t="s">
        <v>108</v>
      </c>
      <c r="M314" s="75" t="s">
        <v>53</v>
      </c>
      <c r="N314" s="312"/>
      <c r="O314" s="312"/>
      <c r="P314" s="75" t="s">
        <v>2119</v>
      </c>
      <c r="Q314" s="75" t="s">
        <v>34</v>
      </c>
      <c r="R314" s="310">
        <v>46308</v>
      </c>
      <c r="S314" s="75" t="s">
        <v>55</v>
      </c>
      <c r="T314" s="313"/>
      <c r="U314" s="313"/>
    </row>
    <row r="315" spans="1:21" ht="36">
      <c r="A315" s="310">
        <v>46308</v>
      </c>
      <c r="B315" s="313"/>
      <c r="C315" s="75" t="s">
        <v>249</v>
      </c>
      <c r="D315" s="75" t="s">
        <v>557</v>
      </c>
      <c r="E315" s="75" t="s">
        <v>558</v>
      </c>
      <c r="F315" s="75" t="s">
        <v>88</v>
      </c>
      <c r="G315" s="312"/>
      <c r="H315" s="312"/>
      <c r="I315" s="313"/>
      <c r="J315" s="313"/>
      <c r="K315" s="313"/>
      <c r="L315" s="75" t="s">
        <v>85</v>
      </c>
      <c r="M315" s="75" t="s">
        <v>87</v>
      </c>
      <c r="N315" s="312"/>
      <c r="O315" s="312"/>
      <c r="P315" s="75" t="s">
        <v>2121</v>
      </c>
      <c r="Q315" s="75" t="s">
        <v>34</v>
      </c>
      <c r="R315" s="310">
        <v>46308</v>
      </c>
      <c r="S315" s="75" t="s">
        <v>111</v>
      </c>
      <c r="T315" s="313"/>
      <c r="U315" s="313"/>
    </row>
    <row r="316" spans="1:21" ht="36">
      <c r="A316" s="310">
        <v>46308</v>
      </c>
      <c r="B316" s="313"/>
      <c r="C316" s="75" t="s">
        <v>559</v>
      </c>
      <c r="D316" s="75" t="s">
        <v>560</v>
      </c>
      <c r="E316" s="75" t="s">
        <v>561</v>
      </c>
      <c r="F316" s="75" t="s">
        <v>88</v>
      </c>
      <c r="G316" s="312"/>
      <c r="H316" s="312"/>
      <c r="I316" s="313"/>
      <c r="J316" s="313"/>
      <c r="K316" s="313"/>
      <c r="L316" s="75" t="s">
        <v>85</v>
      </c>
      <c r="M316" s="75" t="s">
        <v>87</v>
      </c>
      <c r="N316" s="312"/>
      <c r="O316" s="312"/>
      <c r="P316" s="75" t="s">
        <v>2124</v>
      </c>
      <c r="Q316" s="75" t="s">
        <v>34</v>
      </c>
      <c r="R316" s="310">
        <v>46308</v>
      </c>
      <c r="S316" s="75" t="s">
        <v>111</v>
      </c>
      <c r="T316" s="313"/>
      <c r="U316" s="313"/>
    </row>
    <row r="317" spans="1:21" ht="48">
      <c r="A317" s="310">
        <v>46308</v>
      </c>
      <c r="B317" s="313"/>
      <c r="C317" s="75" t="s">
        <v>249</v>
      </c>
      <c r="D317" s="75" t="s">
        <v>572</v>
      </c>
      <c r="E317" s="75" t="s">
        <v>573</v>
      </c>
      <c r="F317" s="75" t="s">
        <v>88</v>
      </c>
      <c r="G317" s="312"/>
      <c r="H317" s="312"/>
      <c r="I317" s="313"/>
      <c r="J317" s="313"/>
      <c r="K317" s="313"/>
      <c r="L317" s="75" t="s">
        <v>85</v>
      </c>
      <c r="M317" s="75" t="s">
        <v>87</v>
      </c>
      <c r="N317" s="312"/>
      <c r="O317" s="312"/>
      <c r="P317" s="75" t="s">
        <v>2127</v>
      </c>
      <c r="Q317" s="75" t="s">
        <v>34</v>
      </c>
      <c r="R317" s="310">
        <v>46308</v>
      </c>
      <c r="S317" s="75" t="s">
        <v>111</v>
      </c>
      <c r="T317" s="313"/>
      <c r="U317" s="313"/>
    </row>
    <row r="318" spans="1:21" ht="12.75">
      <c r="A318" s="310">
        <v>46308</v>
      </c>
      <c r="B318" s="313"/>
      <c r="C318" s="75" t="s">
        <v>198</v>
      </c>
      <c r="D318" s="75" t="s">
        <v>2131</v>
      </c>
      <c r="E318" s="75" t="s">
        <v>2132</v>
      </c>
      <c r="F318" s="75" t="s">
        <v>88</v>
      </c>
      <c r="G318" s="312"/>
      <c r="H318" s="312"/>
      <c r="I318" s="313"/>
      <c r="J318" s="313"/>
      <c r="K318" s="313"/>
      <c r="L318" s="75" t="s">
        <v>52</v>
      </c>
      <c r="M318" s="75" t="s">
        <v>53</v>
      </c>
      <c r="N318" s="312"/>
      <c r="O318" s="312"/>
      <c r="P318" s="75" t="s">
        <v>2133</v>
      </c>
      <c r="Q318" s="75" t="s">
        <v>34</v>
      </c>
      <c r="R318" s="310">
        <v>46308</v>
      </c>
      <c r="S318" s="75" t="s">
        <v>55</v>
      </c>
      <c r="T318" s="313"/>
      <c r="U318" s="313"/>
    </row>
    <row r="319" spans="1:21" ht="60">
      <c r="A319" s="310">
        <v>46308</v>
      </c>
      <c r="B319" s="313"/>
      <c r="C319" s="75" t="s">
        <v>155</v>
      </c>
      <c r="D319" s="75" t="s">
        <v>2136</v>
      </c>
      <c r="E319" s="75" t="s">
        <v>2137</v>
      </c>
      <c r="F319" s="75" t="s">
        <v>88</v>
      </c>
      <c r="G319" s="312"/>
      <c r="H319" s="312"/>
      <c r="I319" s="313"/>
      <c r="J319" s="313"/>
      <c r="K319" s="313"/>
      <c r="L319" s="75" t="s">
        <v>52</v>
      </c>
      <c r="M319" s="75" t="s">
        <v>53</v>
      </c>
      <c r="N319" s="312"/>
      <c r="O319" s="312"/>
      <c r="P319" s="75" t="s">
        <v>2138</v>
      </c>
      <c r="Q319" s="75" t="s">
        <v>34</v>
      </c>
      <c r="R319" s="310">
        <v>46308</v>
      </c>
      <c r="S319" s="75" t="s">
        <v>55</v>
      </c>
      <c r="T319" s="313"/>
      <c r="U319" s="313"/>
    </row>
    <row r="320" spans="1:21" ht="24">
      <c r="A320" s="310">
        <v>46308</v>
      </c>
      <c r="B320" s="313"/>
      <c r="C320" s="75" t="s">
        <v>1137</v>
      </c>
      <c r="D320" s="75" t="s">
        <v>2139</v>
      </c>
      <c r="E320" s="75" t="s">
        <v>2140</v>
      </c>
      <c r="F320" s="75" t="s">
        <v>88</v>
      </c>
      <c r="G320" s="312"/>
      <c r="H320" s="312"/>
      <c r="I320" s="313"/>
      <c r="J320" s="313"/>
      <c r="K320" s="313"/>
      <c r="L320" s="75" t="s">
        <v>86</v>
      </c>
      <c r="M320" s="75" t="s">
        <v>631</v>
      </c>
      <c r="N320" s="312"/>
      <c r="O320" s="312"/>
      <c r="P320" s="75" t="s">
        <v>2142</v>
      </c>
      <c r="Q320" s="75" t="s">
        <v>34</v>
      </c>
      <c r="R320" s="310">
        <v>46308</v>
      </c>
      <c r="S320" s="75" t="s">
        <v>317</v>
      </c>
      <c r="T320" s="313"/>
      <c r="U320" s="313"/>
    </row>
    <row r="321" spans="1:21" ht="120">
      <c r="A321" s="310">
        <v>46308</v>
      </c>
      <c r="B321" s="313"/>
      <c r="C321" s="75" t="s">
        <v>1137</v>
      </c>
      <c r="D321" s="75" t="s">
        <v>2143</v>
      </c>
      <c r="E321" s="75" t="s">
        <v>2144</v>
      </c>
      <c r="F321" s="75" t="s">
        <v>88</v>
      </c>
      <c r="G321" s="312"/>
      <c r="H321" s="312"/>
      <c r="I321" s="313"/>
      <c r="J321" s="313"/>
      <c r="K321" s="313"/>
      <c r="L321" s="75" t="s">
        <v>86</v>
      </c>
      <c r="M321" s="75" t="s">
        <v>631</v>
      </c>
      <c r="N321" s="312"/>
      <c r="O321" s="312"/>
      <c r="P321" s="75" t="s">
        <v>2146</v>
      </c>
      <c r="Q321" s="75" t="s">
        <v>34</v>
      </c>
      <c r="R321" s="310">
        <v>46308</v>
      </c>
      <c r="S321" s="75" t="s">
        <v>317</v>
      </c>
      <c r="T321" s="313"/>
      <c r="U321" s="313"/>
    </row>
    <row r="322" spans="1:21" ht="36">
      <c r="A322" s="310">
        <v>46308</v>
      </c>
      <c r="B322" s="313"/>
      <c r="C322" s="75" t="s">
        <v>2150</v>
      </c>
      <c r="D322" s="75" t="s">
        <v>2151</v>
      </c>
      <c r="E322" s="75" t="s">
        <v>2152</v>
      </c>
      <c r="F322" s="75" t="s">
        <v>88</v>
      </c>
      <c r="G322" s="312"/>
      <c r="H322" s="312"/>
      <c r="I322" s="313"/>
      <c r="J322" s="313"/>
      <c r="K322" s="313"/>
      <c r="L322" s="75" t="s">
        <v>52</v>
      </c>
      <c r="M322" s="75" t="s">
        <v>53</v>
      </c>
      <c r="N322" s="312"/>
      <c r="O322" s="312"/>
      <c r="P322" s="75" t="s">
        <v>2153</v>
      </c>
      <c r="Q322" s="75" t="s">
        <v>34</v>
      </c>
      <c r="R322" s="310">
        <v>46308</v>
      </c>
      <c r="S322" s="75" t="s">
        <v>322</v>
      </c>
      <c r="T322" s="313"/>
      <c r="U322" s="313"/>
    </row>
    <row r="323" spans="1:21" ht="24">
      <c r="A323" s="310">
        <v>46308</v>
      </c>
      <c r="B323" s="313"/>
      <c r="C323" s="75" t="s">
        <v>839</v>
      </c>
      <c r="D323" s="75" t="s">
        <v>2154</v>
      </c>
      <c r="E323" s="75" t="s">
        <v>2156</v>
      </c>
      <c r="F323" s="75" t="s">
        <v>88</v>
      </c>
      <c r="G323" s="312"/>
      <c r="H323" s="312"/>
      <c r="I323" s="313"/>
      <c r="J323" s="313"/>
      <c r="K323" s="313"/>
      <c r="L323" s="75" t="s">
        <v>86</v>
      </c>
      <c r="M323" s="75" t="s">
        <v>626</v>
      </c>
      <c r="N323" s="312"/>
      <c r="O323" s="312"/>
      <c r="P323" s="75" t="s">
        <v>2158</v>
      </c>
      <c r="Q323" s="75" t="s">
        <v>34</v>
      </c>
      <c r="R323" s="310">
        <v>46308</v>
      </c>
      <c r="S323" s="75" t="s">
        <v>958</v>
      </c>
      <c r="T323" s="313"/>
      <c r="U323" s="313"/>
    </row>
    <row r="324" spans="1:21" ht="24">
      <c r="A324" s="310">
        <v>46308</v>
      </c>
      <c r="B324" s="313"/>
      <c r="C324" s="75" t="s">
        <v>2159</v>
      </c>
      <c r="D324" s="75" t="s">
        <v>2160</v>
      </c>
      <c r="E324" s="75" t="s">
        <v>2161</v>
      </c>
      <c r="F324" s="75" t="s">
        <v>88</v>
      </c>
      <c r="G324" s="312"/>
      <c r="H324" s="312"/>
      <c r="I324" s="313"/>
      <c r="J324" s="313"/>
      <c r="K324" s="313"/>
      <c r="L324" s="75" t="s">
        <v>86</v>
      </c>
      <c r="M324" s="75" t="s">
        <v>404</v>
      </c>
      <c r="N324" s="312"/>
      <c r="O324" s="312"/>
      <c r="P324" s="75" t="s">
        <v>2162</v>
      </c>
      <c r="Q324" s="75" t="s">
        <v>34</v>
      </c>
      <c r="R324" s="310">
        <v>46308</v>
      </c>
      <c r="S324" s="75" t="s">
        <v>94</v>
      </c>
      <c r="T324" s="313"/>
      <c r="U324" s="313"/>
    </row>
    <row r="325" spans="1:21" ht="36">
      <c r="A325" s="310">
        <v>46308</v>
      </c>
      <c r="B325" s="313"/>
      <c r="C325" s="75" t="s">
        <v>250</v>
      </c>
      <c r="D325" s="75" t="s">
        <v>2165</v>
      </c>
      <c r="E325" s="75" t="s">
        <v>2166</v>
      </c>
      <c r="F325" s="75" t="s">
        <v>88</v>
      </c>
      <c r="G325" s="312"/>
      <c r="H325" s="312"/>
      <c r="I325" s="313"/>
      <c r="J325" s="313"/>
      <c r="K325" s="313"/>
      <c r="L325" s="75" t="s">
        <v>52</v>
      </c>
      <c r="M325" s="75" t="s">
        <v>53</v>
      </c>
      <c r="N325" s="312"/>
      <c r="O325" s="312"/>
      <c r="P325" s="75" t="s">
        <v>2167</v>
      </c>
      <c r="Q325" s="75" t="s">
        <v>34</v>
      </c>
      <c r="R325" s="310">
        <v>46308</v>
      </c>
      <c r="S325" s="75" t="s">
        <v>94</v>
      </c>
      <c r="T325" s="313"/>
      <c r="U325" s="313"/>
    </row>
    <row r="326" spans="1:21" ht="24">
      <c r="A326" s="310">
        <v>46308</v>
      </c>
      <c r="B326" s="313"/>
      <c r="C326" s="75" t="s">
        <v>2168</v>
      </c>
      <c r="D326" s="75" t="s">
        <v>2169</v>
      </c>
      <c r="E326" s="75" t="s">
        <v>2171</v>
      </c>
      <c r="F326" s="75" t="s">
        <v>88</v>
      </c>
      <c r="G326" s="312"/>
      <c r="H326" s="312"/>
      <c r="I326" s="313"/>
      <c r="J326" s="313"/>
      <c r="K326" s="313"/>
      <c r="L326" s="75" t="s">
        <v>85</v>
      </c>
      <c r="M326" s="75" t="s">
        <v>87</v>
      </c>
      <c r="N326" s="312"/>
      <c r="O326" s="312"/>
      <c r="P326" s="75" t="s">
        <v>2172</v>
      </c>
      <c r="Q326" s="75" t="s">
        <v>34</v>
      </c>
      <c r="R326" s="310">
        <v>46308</v>
      </c>
      <c r="S326" s="75" t="s">
        <v>111</v>
      </c>
      <c r="T326" s="313"/>
      <c r="U326" s="313"/>
    </row>
    <row r="327" spans="1:21" ht="24">
      <c r="A327" s="310">
        <v>46308</v>
      </c>
      <c r="B327" s="313"/>
      <c r="C327" s="75" t="s">
        <v>1221</v>
      </c>
      <c r="D327" s="75" t="s">
        <v>2173</v>
      </c>
      <c r="E327" s="75" t="s">
        <v>2174</v>
      </c>
      <c r="F327" s="75" t="s">
        <v>88</v>
      </c>
      <c r="G327" s="312"/>
      <c r="H327" s="312"/>
      <c r="I327" s="313"/>
      <c r="J327" s="313"/>
      <c r="K327" s="313"/>
      <c r="L327" s="75" t="s">
        <v>52</v>
      </c>
      <c r="M327" s="75" t="s">
        <v>53</v>
      </c>
      <c r="N327" s="312"/>
      <c r="O327" s="312"/>
      <c r="P327" s="75" t="s">
        <v>2175</v>
      </c>
      <c r="Q327" s="75" t="s">
        <v>34</v>
      </c>
      <c r="R327" s="310">
        <v>46308</v>
      </c>
      <c r="S327" s="75" t="s">
        <v>55</v>
      </c>
      <c r="T327" s="313"/>
      <c r="U327" s="313"/>
    </row>
    <row r="328" spans="1:21" ht="36">
      <c r="A328" s="310">
        <v>46308</v>
      </c>
      <c r="B328" s="313"/>
      <c r="C328" s="75" t="s">
        <v>292</v>
      </c>
      <c r="D328" s="75" t="s">
        <v>2178</v>
      </c>
      <c r="E328" s="75" t="s">
        <v>2179</v>
      </c>
      <c r="F328" s="75" t="s">
        <v>88</v>
      </c>
      <c r="G328" s="312"/>
      <c r="H328" s="312"/>
      <c r="I328" s="313"/>
      <c r="J328" s="313"/>
      <c r="K328" s="313"/>
      <c r="L328" s="75" t="s">
        <v>52</v>
      </c>
      <c r="M328" s="75" t="s">
        <v>53</v>
      </c>
      <c r="N328" s="312"/>
      <c r="O328" s="312"/>
      <c r="P328" s="75" t="s">
        <v>2180</v>
      </c>
      <c r="Q328" s="75" t="s">
        <v>34</v>
      </c>
      <c r="R328" s="310">
        <v>46308</v>
      </c>
      <c r="S328" s="75" t="s">
        <v>322</v>
      </c>
      <c r="T328" s="313"/>
      <c r="U328" s="313"/>
    </row>
    <row r="329" spans="1:21" ht="36">
      <c r="A329" s="310">
        <v>46308</v>
      </c>
      <c r="B329" s="313"/>
      <c r="C329" s="75" t="s">
        <v>292</v>
      </c>
      <c r="D329" s="75" t="s">
        <v>2181</v>
      </c>
      <c r="E329" s="75" t="s">
        <v>2182</v>
      </c>
      <c r="F329" s="75" t="s">
        <v>88</v>
      </c>
      <c r="G329" s="312"/>
      <c r="H329" s="312"/>
      <c r="I329" s="313"/>
      <c r="J329" s="313"/>
      <c r="K329" s="313"/>
      <c r="L329" s="75" t="s">
        <v>52</v>
      </c>
      <c r="M329" s="75" t="s">
        <v>53</v>
      </c>
      <c r="N329" s="312"/>
      <c r="O329" s="312"/>
      <c r="P329" s="75" t="s">
        <v>2185</v>
      </c>
      <c r="Q329" s="75" t="s">
        <v>34</v>
      </c>
      <c r="R329" s="310">
        <v>46308</v>
      </c>
      <c r="S329" s="75" t="s">
        <v>322</v>
      </c>
      <c r="T329" s="313"/>
      <c r="U329" s="313"/>
    </row>
    <row r="330" spans="1:21" ht="36">
      <c r="A330" s="310">
        <v>46308</v>
      </c>
      <c r="B330" s="313"/>
      <c r="C330" s="75" t="s">
        <v>292</v>
      </c>
      <c r="D330" s="75" t="s">
        <v>2186</v>
      </c>
      <c r="E330" s="75" t="s">
        <v>2187</v>
      </c>
      <c r="F330" s="75" t="s">
        <v>88</v>
      </c>
      <c r="G330" s="312"/>
      <c r="H330" s="312"/>
      <c r="I330" s="313"/>
      <c r="J330" s="313"/>
      <c r="K330" s="313"/>
      <c r="L330" s="75" t="s">
        <v>52</v>
      </c>
      <c r="M330" s="75" t="s">
        <v>53</v>
      </c>
      <c r="N330" s="312"/>
      <c r="O330" s="312"/>
      <c r="P330" s="75" t="s">
        <v>2188</v>
      </c>
      <c r="Q330" s="75" t="s">
        <v>34</v>
      </c>
      <c r="R330" s="310">
        <v>46308</v>
      </c>
      <c r="S330" s="75" t="s">
        <v>322</v>
      </c>
      <c r="T330" s="313"/>
      <c r="U330" s="313"/>
    </row>
    <row r="331" spans="1:21" ht="36">
      <c r="A331" s="310">
        <v>46308</v>
      </c>
      <c r="B331" s="313"/>
      <c r="C331" s="75" t="s">
        <v>656</v>
      </c>
      <c r="D331" s="75" t="s">
        <v>2190</v>
      </c>
      <c r="E331" s="75" t="s">
        <v>2191</v>
      </c>
      <c r="F331" s="75" t="s">
        <v>88</v>
      </c>
      <c r="G331" s="312"/>
      <c r="H331" s="312"/>
      <c r="I331" s="313"/>
      <c r="J331" s="313"/>
      <c r="K331" s="313"/>
      <c r="L331" s="75" t="s">
        <v>52</v>
      </c>
      <c r="M331" s="75" t="s">
        <v>53</v>
      </c>
      <c r="N331" s="312"/>
      <c r="O331" s="312"/>
      <c r="P331" s="75" t="s">
        <v>2192</v>
      </c>
      <c r="Q331" s="75" t="s">
        <v>34</v>
      </c>
      <c r="R331" s="310">
        <v>46308</v>
      </c>
      <c r="S331" s="75" t="s">
        <v>66</v>
      </c>
      <c r="T331" s="313"/>
      <c r="U331" s="313"/>
    </row>
    <row r="332" spans="1:21" ht="36">
      <c r="A332" s="310">
        <v>46308</v>
      </c>
      <c r="B332" s="313"/>
      <c r="C332" s="75" t="s">
        <v>656</v>
      </c>
      <c r="D332" s="75" t="s">
        <v>2195</v>
      </c>
      <c r="E332" s="75" t="s">
        <v>2196</v>
      </c>
      <c r="F332" s="75" t="s">
        <v>88</v>
      </c>
      <c r="G332" s="312"/>
      <c r="H332" s="312"/>
      <c r="I332" s="313"/>
      <c r="J332" s="313"/>
      <c r="K332" s="313"/>
      <c r="L332" s="75" t="s">
        <v>52</v>
      </c>
      <c r="M332" s="75" t="s">
        <v>53</v>
      </c>
      <c r="N332" s="312"/>
      <c r="O332" s="312"/>
      <c r="P332" s="75" t="s">
        <v>2197</v>
      </c>
      <c r="Q332" s="75" t="s">
        <v>34</v>
      </c>
      <c r="R332" s="310">
        <v>46308</v>
      </c>
      <c r="S332" s="75" t="s">
        <v>66</v>
      </c>
      <c r="T332" s="313"/>
      <c r="U332" s="313"/>
    </row>
    <row r="333" spans="1:21" ht="36">
      <c r="A333" s="310">
        <v>46308</v>
      </c>
      <c r="B333" s="313"/>
      <c r="C333" s="75" t="s">
        <v>168</v>
      </c>
      <c r="D333" s="75" t="s">
        <v>2199</v>
      </c>
      <c r="E333" s="75" t="s">
        <v>2200</v>
      </c>
      <c r="F333" s="75" t="s">
        <v>88</v>
      </c>
      <c r="G333" s="312"/>
      <c r="H333" s="312"/>
      <c r="I333" s="313"/>
      <c r="J333" s="313"/>
      <c r="K333" s="313"/>
      <c r="L333" s="75" t="s">
        <v>52</v>
      </c>
      <c r="M333" s="75" t="s">
        <v>53</v>
      </c>
      <c r="N333" s="312"/>
      <c r="O333" s="312"/>
      <c r="P333" s="75" t="s">
        <v>2201</v>
      </c>
      <c r="Q333" s="75" t="s">
        <v>34</v>
      </c>
      <c r="R333" s="310">
        <v>46308</v>
      </c>
      <c r="S333" s="75" t="s">
        <v>55</v>
      </c>
      <c r="T333" s="313"/>
      <c r="U333" s="313"/>
    </row>
    <row r="334" spans="1:21" ht="24">
      <c r="A334" s="310">
        <v>46308</v>
      </c>
      <c r="B334" s="313"/>
      <c r="C334" s="75" t="s">
        <v>1444</v>
      </c>
      <c r="D334" s="75" t="s">
        <v>2204</v>
      </c>
      <c r="E334" s="75" t="s">
        <v>2205</v>
      </c>
      <c r="F334" s="75" t="s">
        <v>88</v>
      </c>
      <c r="G334" s="312"/>
      <c r="H334" s="312"/>
      <c r="I334" s="313"/>
      <c r="J334" s="313"/>
      <c r="K334" s="313"/>
      <c r="L334" s="75" t="s">
        <v>52</v>
      </c>
      <c r="M334" s="75" t="s">
        <v>53</v>
      </c>
      <c r="N334" s="312"/>
      <c r="O334" s="312"/>
      <c r="P334" s="75" t="s">
        <v>2206</v>
      </c>
      <c r="Q334" s="75" t="s">
        <v>34</v>
      </c>
      <c r="R334" s="310">
        <v>46308</v>
      </c>
      <c r="S334" s="75" t="s">
        <v>322</v>
      </c>
      <c r="T334" s="313"/>
      <c r="U334" s="313"/>
    </row>
    <row r="335" spans="1:21" ht="36">
      <c r="A335" s="310">
        <v>46308</v>
      </c>
      <c r="B335" s="313"/>
      <c r="C335" s="75" t="s">
        <v>153</v>
      </c>
      <c r="D335" s="75" t="s">
        <v>2209</v>
      </c>
      <c r="E335" s="316" t="s">
        <v>2210</v>
      </c>
      <c r="F335" s="75" t="s">
        <v>88</v>
      </c>
      <c r="G335" s="312"/>
      <c r="H335" s="312"/>
      <c r="I335" s="313"/>
      <c r="J335" s="313"/>
      <c r="K335" s="313"/>
      <c r="L335" s="75" t="s">
        <v>108</v>
      </c>
      <c r="M335" s="75" t="s">
        <v>53</v>
      </c>
      <c r="N335" s="312"/>
      <c r="O335" s="312"/>
      <c r="P335" s="75" t="s">
        <v>2211</v>
      </c>
      <c r="Q335" s="75" t="s">
        <v>34</v>
      </c>
      <c r="R335" s="310">
        <v>46308</v>
      </c>
      <c r="S335" s="75" t="s">
        <v>162</v>
      </c>
      <c r="T335" s="313"/>
      <c r="U335" s="313"/>
    </row>
    <row r="336" spans="1:21" ht="12.75">
      <c r="E336" s="317"/>
      <c r="P336" s="317"/>
    </row>
    <row r="337" spans="5:16" ht="12.75">
      <c r="E337" s="317"/>
      <c r="P337" s="317"/>
    </row>
    <row r="338" spans="5:16" ht="12.75">
      <c r="E338" s="317"/>
      <c r="P338" s="317"/>
    </row>
    <row r="339" spans="5:16" ht="12.75">
      <c r="E339" s="317"/>
      <c r="P339" s="317"/>
    </row>
    <row r="340" spans="5:16" ht="12.75">
      <c r="E340" s="317"/>
      <c r="P340" s="317"/>
    </row>
    <row r="341" spans="5:16" ht="12.75">
      <c r="E341" s="317"/>
      <c r="P341" s="317"/>
    </row>
    <row r="342" spans="5:16" ht="12.75">
      <c r="E342" s="317"/>
      <c r="P342" s="317"/>
    </row>
    <row r="343" spans="5:16" ht="12.75">
      <c r="E343" s="317"/>
      <c r="P343" s="317"/>
    </row>
    <row r="344" spans="5:16" ht="12.75">
      <c r="E344" s="317"/>
      <c r="P344" s="317"/>
    </row>
    <row r="345" spans="5:16" ht="12.75">
      <c r="E345" s="317"/>
      <c r="P345" s="317"/>
    </row>
    <row r="346" spans="5:16" ht="12.75">
      <c r="E346" s="317"/>
      <c r="P346" s="317"/>
    </row>
    <row r="347" spans="5:16" ht="12.75">
      <c r="E347" s="317"/>
      <c r="P347" s="317"/>
    </row>
    <row r="348" spans="5:16" ht="12.75">
      <c r="E348" s="317"/>
      <c r="P348" s="317"/>
    </row>
    <row r="349" spans="5:16" ht="12.75">
      <c r="E349" s="317"/>
      <c r="P349" s="317"/>
    </row>
    <row r="350" spans="5:16" ht="12.75">
      <c r="E350" s="317"/>
      <c r="P350" s="317"/>
    </row>
    <row r="351" spans="5:16" ht="12.75">
      <c r="E351" s="317"/>
      <c r="P351" s="317"/>
    </row>
    <row r="352" spans="5:16" ht="12.75">
      <c r="E352" s="317"/>
      <c r="P352" s="317"/>
    </row>
    <row r="353" spans="5:16" ht="12.75">
      <c r="E353" s="317"/>
      <c r="P353" s="317"/>
    </row>
    <row r="354" spans="5:16" ht="12.75">
      <c r="E354" s="317"/>
      <c r="P354" s="317"/>
    </row>
    <row r="355" spans="5:16" ht="12.75">
      <c r="E355" s="317"/>
      <c r="P355" s="317"/>
    </row>
    <row r="356" spans="5:16" ht="12.75">
      <c r="E356" s="317"/>
      <c r="P356" s="317"/>
    </row>
    <row r="357" spans="5:16" ht="12.75">
      <c r="E357" s="317"/>
      <c r="P357" s="317"/>
    </row>
    <row r="358" spans="5:16" ht="12.75">
      <c r="E358" s="317"/>
      <c r="P358" s="317"/>
    </row>
    <row r="359" spans="5:16" ht="12.75">
      <c r="E359" s="317"/>
      <c r="P359" s="317"/>
    </row>
    <row r="360" spans="5:16" ht="12.75">
      <c r="E360" s="317"/>
      <c r="P360" s="317"/>
    </row>
    <row r="361" spans="5:16" ht="12.75">
      <c r="E361" s="317"/>
      <c r="P361" s="317"/>
    </row>
    <row r="362" spans="5:16" ht="12.75">
      <c r="E362" s="317"/>
      <c r="P362" s="317"/>
    </row>
    <row r="363" spans="5:16" ht="12.75">
      <c r="E363" s="317"/>
      <c r="P363" s="317"/>
    </row>
    <row r="364" spans="5:16" ht="12.75">
      <c r="E364" s="317"/>
      <c r="P364" s="317"/>
    </row>
    <row r="365" spans="5:16" ht="12.75">
      <c r="E365" s="317"/>
      <c r="P365" s="317"/>
    </row>
    <row r="366" spans="5:16" ht="12.75">
      <c r="E366" s="317"/>
      <c r="P366" s="317"/>
    </row>
    <row r="367" spans="5:16" ht="12.75">
      <c r="E367" s="317"/>
      <c r="P367" s="317"/>
    </row>
    <row r="368" spans="5:16" ht="12.75">
      <c r="E368" s="317"/>
      <c r="P368" s="317"/>
    </row>
    <row r="369" spans="5:16" ht="12.75">
      <c r="E369" s="317"/>
      <c r="P369" s="317"/>
    </row>
    <row r="370" spans="5:16" ht="12.75">
      <c r="E370" s="317"/>
      <c r="P370" s="317"/>
    </row>
    <row r="371" spans="5:16" ht="12.75">
      <c r="E371" s="317"/>
      <c r="P371" s="317"/>
    </row>
    <row r="372" spans="5:16" ht="12.75">
      <c r="E372" s="317"/>
      <c r="P372" s="317"/>
    </row>
    <row r="373" spans="5:16" ht="12.75">
      <c r="E373" s="317"/>
      <c r="P373" s="317"/>
    </row>
    <row r="374" spans="5:16" ht="12.75">
      <c r="E374" s="317"/>
      <c r="P374" s="317"/>
    </row>
    <row r="375" spans="5:16" ht="12.75">
      <c r="E375" s="317"/>
      <c r="P375" s="317"/>
    </row>
    <row r="376" spans="5:16" ht="12.75">
      <c r="E376" s="317"/>
      <c r="P376" s="317"/>
    </row>
    <row r="377" spans="5:16" ht="12.75">
      <c r="E377" s="317"/>
      <c r="P377" s="317"/>
    </row>
    <row r="378" spans="5:16" ht="12.75">
      <c r="E378" s="317"/>
      <c r="P378" s="317"/>
    </row>
    <row r="379" spans="5:16" ht="12.75">
      <c r="E379" s="317"/>
      <c r="P379" s="317"/>
    </row>
    <row r="380" spans="5:16" ht="12.75">
      <c r="E380" s="317"/>
      <c r="P380" s="317"/>
    </row>
    <row r="381" spans="5:16" ht="12.75">
      <c r="E381" s="317"/>
      <c r="P381" s="317"/>
    </row>
    <row r="382" spans="5:16" ht="12.75">
      <c r="E382" s="317"/>
      <c r="P382" s="317"/>
    </row>
    <row r="383" spans="5:16" ht="12.75">
      <c r="E383" s="317"/>
      <c r="P383" s="317"/>
    </row>
    <row r="384" spans="5:16" ht="12.75">
      <c r="E384" s="317"/>
      <c r="P384" s="317"/>
    </row>
    <row r="385" spans="5:16" ht="12.75">
      <c r="E385" s="317"/>
      <c r="P385" s="317"/>
    </row>
    <row r="386" spans="5:16" ht="12.75">
      <c r="E386" s="317"/>
      <c r="P386" s="317"/>
    </row>
    <row r="387" spans="5:16" ht="12.75">
      <c r="E387" s="317"/>
      <c r="P387" s="317"/>
    </row>
    <row r="388" spans="5:16" ht="12.75">
      <c r="E388" s="317"/>
      <c r="P388" s="317"/>
    </row>
    <row r="389" spans="5:16" ht="12.75">
      <c r="E389" s="317"/>
      <c r="P389" s="317"/>
    </row>
    <row r="390" spans="5:16" ht="12.75">
      <c r="E390" s="317"/>
      <c r="P390" s="317"/>
    </row>
    <row r="391" spans="5:16" ht="12.75">
      <c r="E391" s="317"/>
      <c r="P391" s="317"/>
    </row>
    <row r="392" spans="5:16" ht="12.75">
      <c r="E392" s="317"/>
      <c r="P392" s="317"/>
    </row>
    <row r="393" spans="5:16" ht="12.75">
      <c r="E393" s="317"/>
      <c r="P393" s="317"/>
    </row>
    <row r="394" spans="5:16" ht="12.75">
      <c r="E394" s="317"/>
      <c r="P394" s="317"/>
    </row>
    <row r="395" spans="5:16" ht="12.75">
      <c r="E395" s="317"/>
      <c r="P395" s="317"/>
    </row>
    <row r="396" spans="5:16" ht="12.75">
      <c r="E396" s="317"/>
      <c r="P396" s="317"/>
    </row>
    <row r="397" spans="5:16" ht="12.75">
      <c r="E397" s="317"/>
      <c r="P397" s="317"/>
    </row>
    <row r="398" spans="5:16" ht="12.75">
      <c r="E398" s="317"/>
      <c r="P398" s="317"/>
    </row>
    <row r="399" spans="5:16" ht="12.75">
      <c r="E399" s="317"/>
      <c r="P399" s="317"/>
    </row>
    <row r="400" spans="5:16" ht="12.75">
      <c r="E400" s="317"/>
      <c r="P400" s="317"/>
    </row>
    <row r="401" spans="5:16" ht="12.75">
      <c r="E401" s="317"/>
      <c r="P401" s="317"/>
    </row>
    <row r="402" spans="5:16" ht="12.75">
      <c r="E402" s="317"/>
      <c r="P402" s="317"/>
    </row>
    <row r="403" spans="5:16" ht="12.75">
      <c r="E403" s="317"/>
      <c r="P403" s="317"/>
    </row>
    <row r="404" spans="5:16" ht="12.75">
      <c r="E404" s="317"/>
      <c r="P404" s="317"/>
    </row>
    <row r="405" spans="5:16" ht="12.75">
      <c r="E405" s="317"/>
      <c r="P405" s="317"/>
    </row>
    <row r="406" spans="5:16" ht="12.75">
      <c r="E406" s="317"/>
      <c r="P406" s="317"/>
    </row>
    <row r="407" spans="5:16" ht="12.75">
      <c r="E407" s="317"/>
      <c r="P407" s="317"/>
    </row>
    <row r="408" spans="5:16" ht="12.75">
      <c r="E408" s="317"/>
      <c r="P408" s="317"/>
    </row>
    <row r="409" spans="5:16" ht="12.75">
      <c r="E409" s="317"/>
      <c r="P409" s="317"/>
    </row>
    <row r="410" spans="5:16" ht="12.75">
      <c r="E410" s="317"/>
      <c r="P410" s="317"/>
    </row>
    <row r="411" spans="5:16" ht="12.75">
      <c r="E411" s="317"/>
      <c r="P411" s="317"/>
    </row>
    <row r="412" spans="5:16" ht="12.75">
      <c r="E412" s="317"/>
      <c r="P412" s="317"/>
    </row>
    <row r="413" spans="5:16" ht="12.75">
      <c r="E413" s="317"/>
      <c r="P413" s="317"/>
    </row>
    <row r="414" spans="5:16" ht="12.75">
      <c r="E414" s="317"/>
      <c r="P414" s="317"/>
    </row>
    <row r="415" spans="5:16" ht="12.75">
      <c r="E415" s="317"/>
      <c r="P415" s="317"/>
    </row>
    <row r="416" spans="5:16" ht="12.75">
      <c r="E416" s="317"/>
      <c r="P416" s="317"/>
    </row>
    <row r="417" spans="5:16" ht="12.75">
      <c r="E417" s="317"/>
      <c r="P417" s="317"/>
    </row>
    <row r="418" spans="5:16" ht="12.75">
      <c r="E418" s="317"/>
      <c r="P418" s="317"/>
    </row>
    <row r="419" spans="5:16" ht="12.75">
      <c r="E419" s="317"/>
      <c r="P419" s="317"/>
    </row>
    <row r="420" spans="5:16" ht="12.75">
      <c r="E420" s="317"/>
      <c r="P420" s="317"/>
    </row>
    <row r="421" spans="5:16" ht="12.75">
      <c r="E421" s="317"/>
      <c r="P421" s="317"/>
    </row>
    <row r="422" spans="5:16" ht="12.75">
      <c r="E422" s="317"/>
      <c r="P422" s="317"/>
    </row>
    <row r="423" spans="5:16" ht="12.75">
      <c r="E423" s="317"/>
      <c r="P423" s="317"/>
    </row>
    <row r="424" spans="5:16" ht="12.75">
      <c r="E424" s="317"/>
      <c r="P424" s="317"/>
    </row>
    <row r="425" spans="5:16" ht="12.75">
      <c r="E425" s="317"/>
      <c r="P425" s="317"/>
    </row>
    <row r="426" spans="5:16" ht="12.75">
      <c r="E426" s="317"/>
      <c r="P426" s="317"/>
    </row>
    <row r="427" spans="5:16" ht="12.75">
      <c r="E427" s="317"/>
      <c r="P427" s="317"/>
    </row>
    <row r="428" spans="5:16" ht="12.75">
      <c r="E428" s="317"/>
      <c r="P428" s="317"/>
    </row>
    <row r="429" spans="5:16" ht="12.75">
      <c r="E429" s="317"/>
      <c r="P429" s="317"/>
    </row>
    <row r="430" spans="5:16" ht="12.75">
      <c r="E430" s="317"/>
      <c r="P430" s="317"/>
    </row>
    <row r="431" spans="5:16" ht="12.75">
      <c r="E431" s="317"/>
      <c r="P431" s="317"/>
    </row>
    <row r="432" spans="5:16" ht="12.75">
      <c r="E432" s="317"/>
      <c r="P432" s="317"/>
    </row>
    <row r="433" spans="5:16" ht="12.75">
      <c r="E433" s="317"/>
      <c r="P433" s="317"/>
    </row>
    <row r="434" spans="5:16" ht="12.75">
      <c r="E434" s="317"/>
      <c r="P434" s="317"/>
    </row>
    <row r="435" spans="5:16" ht="12.75">
      <c r="E435" s="317"/>
      <c r="P435" s="317"/>
    </row>
    <row r="436" spans="5:16" ht="12.75">
      <c r="E436" s="317"/>
      <c r="P436" s="317"/>
    </row>
    <row r="437" spans="5:16" ht="12.75">
      <c r="E437" s="317"/>
      <c r="P437" s="317"/>
    </row>
    <row r="438" spans="5:16" ht="12.75">
      <c r="E438" s="317"/>
      <c r="P438" s="317"/>
    </row>
    <row r="439" spans="5:16" ht="12.75">
      <c r="E439" s="317"/>
      <c r="P439" s="317"/>
    </row>
    <row r="440" spans="5:16" ht="12.75">
      <c r="E440" s="317"/>
      <c r="P440" s="317"/>
    </row>
    <row r="441" spans="5:16" ht="12.75">
      <c r="E441" s="317"/>
      <c r="P441" s="317"/>
    </row>
    <row r="442" spans="5:16" ht="12.75">
      <c r="E442" s="317"/>
      <c r="P442" s="317"/>
    </row>
    <row r="443" spans="5:16" ht="12.75">
      <c r="E443" s="317"/>
      <c r="P443" s="317"/>
    </row>
    <row r="444" spans="5:16" ht="12.75">
      <c r="E444" s="317"/>
      <c r="P444" s="317"/>
    </row>
    <row r="445" spans="5:16" ht="12.75">
      <c r="E445" s="317"/>
      <c r="P445" s="317"/>
    </row>
    <row r="446" spans="5:16" ht="12.75">
      <c r="E446" s="317"/>
      <c r="P446" s="317"/>
    </row>
    <row r="447" spans="5:16" ht="12.75">
      <c r="E447" s="317"/>
      <c r="P447" s="317"/>
    </row>
    <row r="448" spans="5:16" ht="12.75">
      <c r="E448" s="317"/>
      <c r="P448" s="317"/>
    </row>
    <row r="449" spans="5:16" ht="12.75">
      <c r="E449" s="317"/>
      <c r="P449" s="317"/>
    </row>
    <row r="450" spans="5:16" ht="12.75">
      <c r="E450" s="317"/>
      <c r="P450" s="317"/>
    </row>
    <row r="451" spans="5:16" ht="12.75">
      <c r="E451" s="317"/>
      <c r="P451" s="317"/>
    </row>
    <row r="452" spans="5:16" ht="12.75">
      <c r="E452" s="317"/>
      <c r="P452" s="317"/>
    </row>
    <row r="453" spans="5:16" ht="12.75">
      <c r="E453" s="317"/>
      <c r="P453" s="317"/>
    </row>
    <row r="454" spans="5:16" ht="12.75">
      <c r="E454" s="317"/>
      <c r="P454" s="317"/>
    </row>
    <row r="455" spans="5:16" ht="12.75">
      <c r="E455" s="317"/>
      <c r="P455" s="317"/>
    </row>
    <row r="456" spans="5:16" ht="12.75">
      <c r="E456" s="317"/>
      <c r="P456" s="317"/>
    </row>
    <row r="457" spans="5:16" ht="12.75">
      <c r="E457" s="317"/>
      <c r="P457" s="317"/>
    </row>
    <row r="458" spans="5:16" ht="12.75">
      <c r="E458" s="317"/>
      <c r="P458" s="317"/>
    </row>
    <row r="459" spans="5:16" ht="12.75">
      <c r="E459" s="317"/>
      <c r="P459" s="317"/>
    </row>
    <row r="460" spans="5:16" ht="12.75">
      <c r="E460" s="317"/>
      <c r="P460" s="317"/>
    </row>
    <row r="461" spans="5:16" ht="12.75">
      <c r="E461" s="317"/>
      <c r="P461" s="317"/>
    </row>
    <row r="462" spans="5:16" ht="12.75">
      <c r="E462" s="317"/>
      <c r="P462" s="317"/>
    </row>
    <row r="463" spans="5:16" ht="12.75">
      <c r="E463" s="317"/>
      <c r="P463" s="317"/>
    </row>
    <row r="464" spans="5:16" ht="12.75">
      <c r="E464" s="317"/>
      <c r="P464" s="317"/>
    </row>
    <row r="465" spans="5:16" ht="12.75">
      <c r="E465" s="317"/>
      <c r="P465" s="317"/>
    </row>
    <row r="466" spans="5:16" ht="12.75">
      <c r="E466" s="317"/>
      <c r="P466" s="317"/>
    </row>
    <row r="467" spans="5:16" ht="12.75">
      <c r="E467" s="317"/>
      <c r="P467" s="317"/>
    </row>
    <row r="468" spans="5:16" ht="12.75">
      <c r="E468" s="317"/>
      <c r="P468" s="317"/>
    </row>
    <row r="469" spans="5:16" ht="12.75">
      <c r="E469" s="317"/>
      <c r="P469" s="317"/>
    </row>
    <row r="470" spans="5:16" ht="12.75">
      <c r="E470" s="317"/>
      <c r="P470" s="317"/>
    </row>
    <row r="471" spans="5:16" ht="12.75">
      <c r="E471" s="317"/>
      <c r="P471" s="317"/>
    </row>
    <row r="472" spans="5:16" ht="12.75">
      <c r="E472" s="317"/>
      <c r="P472" s="317"/>
    </row>
    <row r="473" spans="5:16" ht="12.75">
      <c r="E473" s="317"/>
      <c r="P473" s="317"/>
    </row>
    <row r="474" spans="5:16" ht="12.75">
      <c r="E474" s="317"/>
      <c r="P474" s="317"/>
    </row>
    <row r="475" spans="5:16" ht="12.75">
      <c r="E475" s="317"/>
      <c r="P475" s="317"/>
    </row>
    <row r="476" spans="5:16" ht="12.75">
      <c r="E476" s="317"/>
      <c r="P476" s="317"/>
    </row>
    <row r="477" spans="5:16" ht="12.75">
      <c r="E477" s="317"/>
      <c r="P477" s="317"/>
    </row>
    <row r="478" spans="5:16" ht="12.75">
      <c r="E478" s="317"/>
      <c r="P478" s="317"/>
    </row>
    <row r="479" spans="5:16" ht="12.75">
      <c r="E479" s="317"/>
      <c r="P479" s="317"/>
    </row>
    <row r="480" spans="5:16" ht="12.75">
      <c r="E480" s="317"/>
      <c r="P480" s="317"/>
    </row>
    <row r="481" spans="5:16" ht="12.75">
      <c r="E481" s="317"/>
      <c r="P481" s="317"/>
    </row>
    <row r="482" spans="5:16" ht="12.75">
      <c r="E482" s="317"/>
      <c r="P482" s="317"/>
    </row>
    <row r="483" spans="5:16" ht="12.75">
      <c r="E483" s="317"/>
      <c r="P483" s="317"/>
    </row>
    <row r="484" spans="5:16" ht="12.75">
      <c r="E484" s="317"/>
      <c r="P484" s="317"/>
    </row>
    <row r="485" spans="5:16" ht="12.75">
      <c r="E485" s="317"/>
      <c r="P485" s="317"/>
    </row>
    <row r="486" spans="5:16" ht="12.75">
      <c r="E486" s="317"/>
      <c r="P486" s="317"/>
    </row>
    <row r="487" spans="5:16" ht="12.75">
      <c r="E487" s="317"/>
      <c r="P487" s="317"/>
    </row>
    <row r="488" spans="5:16" ht="12.75">
      <c r="E488" s="317"/>
      <c r="P488" s="317"/>
    </row>
    <row r="489" spans="5:16" ht="12.75">
      <c r="E489" s="317"/>
      <c r="P489" s="317"/>
    </row>
    <row r="490" spans="5:16" ht="12.75">
      <c r="E490" s="317"/>
      <c r="P490" s="317"/>
    </row>
    <row r="491" spans="5:16" ht="12.75">
      <c r="E491" s="317"/>
      <c r="P491" s="317"/>
    </row>
    <row r="492" spans="5:16" ht="12.75">
      <c r="E492" s="317"/>
      <c r="P492" s="317"/>
    </row>
    <row r="493" spans="5:16" ht="12.75">
      <c r="E493" s="317"/>
      <c r="P493" s="317"/>
    </row>
    <row r="494" spans="5:16" ht="12.75">
      <c r="E494" s="317"/>
      <c r="P494" s="317"/>
    </row>
    <row r="495" spans="5:16" ht="12.75">
      <c r="E495" s="317"/>
      <c r="P495" s="317"/>
    </row>
    <row r="496" spans="5:16" ht="12.75">
      <c r="E496" s="317"/>
      <c r="P496" s="317"/>
    </row>
    <row r="497" spans="5:16" ht="12.75">
      <c r="E497" s="317"/>
      <c r="P497" s="317"/>
    </row>
    <row r="498" spans="5:16" ht="12.75">
      <c r="E498" s="317"/>
      <c r="P498" s="317"/>
    </row>
    <row r="499" spans="5:16" ht="12.75">
      <c r="E499" s="317"/>
      <c r="P499" s="317"/>
    </row>
    <row r="500" spans="5:16" ht="12.75">
      <c r="E500" s="317"/>
      <c r="P500" s="317"/>
    </row>
    <row r="501" spans="5:16" ht="12.75">
      <c r="E501" s="317"/>
      <c r="P501" s="317"/>
    </row>
    <row r="502" spans="5:16" ht="12.75">
      <c r="E502" s="317"/>
      <c r="P502" s="317"/>
    </row>
    <row r="503" spans="5:16" ht="12.75">
      <c r="E503" s="317"/>
      <c r="P503" s="317"/>
    </row>
    <row r="504" spans="5:16" ht="12.75">
      <c r="E504" s="317"/>
      <c r="P504" s="317"/>
    </row>
    <row r="505" spans="5:16" ht="12.75">
      <c r="E505" s="317"/>
      <c r="P505" s="317"/>
    </row>
    <row r="506" spans="5:16" ht="12.75">
      <c r="E506" s="317"/>
      <c r="P506" s="317"/>
    </row>
    <row r="507" spans="5:16" ht="12.75">
      <c r="E507" s="317"/>
      <c r="P507" s="317"/>
    </row>
    <row r="508" spans="5:16" ht="12.75">
      <c r="E508" s="317"/>
      <c r="P508" s="317"/>
    </row>
    <row r="509" spans="5:16" ht="12.75">
      <c r="E509" s="317"/>
      <c r="P509" s="317"/>
    </row>
    <row r="510" spans="5:16" ht="12.75">
      <c r="E510" s="317"/>
      <c r="P510" s="317"/>
    </row>
    <row r="511" spans="5:16" ht="12.75">
      <c r="E511" s="317"/>
      <c r="P511" s="317"/>
    </row>
    <row r="512" spans="5:16" ht="12.75">
      <c r="E512" s="317"/>
      <c r="P512" s="317"/>
    </row>
    <row r="513" spans="5:16" ht="12.75">
      <c r="E513" s="317"/>
      <c r="P513" s="317"/>
    </row>
    <row r="514" spans="5:16" ht="12.75">
      <c r="E514" s="317"/>
      <c r="P514" s="317"/>
    </row>
    <row r="515" spans="5:16" ht="12.75">
      <c r="E515" s="317"/>
      <c r="P515" s="317"/>
    </row>
    <row r="516" spans="5:16" ht="12.75">
      <c r="E516" s="317"/>
      <c r="P516" s="317"/>
    </row>
    <row r="517" spans="5:16" ht="12.75">
      <c r="E517" s="317"/>
      <c r="P517" s="317"/>
    </row>
    <row r="518" spans="5:16" ht="12.75">
      <c r="E518" s="317"/>
      <c r="P518" s="317"/>
    </row>
    <row r="519" spans="5:16" ht="12.75">
      <c r="E519" s="317"/>
      <c r="P519" s="317"/>
    </row>
    <row r="520" spans="5:16" ht="12.75">
      <c r="E520" s="317"/>
      <c r="P520" s="317"/>
    </row>
    <row r="521" spans="5:16" ht="12.75">
      <c r="E521" s="317"/>
      <c r="P521" s="317"/>
    </row>
    <row r="522" spans="5:16" ht="12.75">
      <c r="E522" s="317"/>
      <c r="P522" s="317"/>
    </row>
    <row r="523" spans="5:16" ht="12.75">
      <c r="E523" s="317"/>
      <c r="P523" s="317"/>
    </row>
    <row r="524" spans="5:16" ht="12.75">
      <c r="E524" s="317"/>
      <c r="P524" s="317"/>
    </row>
    <row r="525" spans="5:16" ht="12.75">
      <c r="E525" s="317"/>
      <c r="P525" s="317"/>
    </row>
    <row r="526" spans="5:16" ht="12.75">
      <c r="E526" s="317"/>
      <c r="P526" s="317"/>
    </row>
    <row r="527" spans="5:16" ht="12.75">
      <c r="E527" s="317"/>
      <c r="P527" s="317"/>
    </row>
    <row r="528" spans="5:16" ht="12.75">
      <c r="E528" s="317"/>
      <c r="P528" s="317"/>
    </row>
    <row r="529" spans="5:16" ht="12.75">
      <c r="E529" s="317"/>
      <c r="P529" s="317"/>
    </row>
    <row r="530" spans="5:16" ht="12.75">
      <c r="E530" s="317"/>
      <c r="P530" s="317"/>
    </row>
    <row r="531" spans="5:16" ht="12.75">
      <c r="E531" s="317"/>
      <c r="P531" s="317"/>
    </row>
    <row r="532" spans="5:16" ht="12.75">
      <c r="E532" s="317"/>
      <c r="P532" s="317"/>
    </row>
    <row r="533" spans="5:16" ht="12.75">
      <c r="E533" s="317"/>
      <c r="P533" s="317"/>
    </row>
    <row r="534" spans="5:16" ht="12.75">
      <c r="E534" s="317"/>
      <c r="P534" s="317"/>
    </row>
    <row r="535" spans="5:16" ht="12.75">
      <c r="E535" s="317"/>
      <c r="P535" s="317"/>
    </row>
    <row r="536" spans="5:16" ht="12.75">
      <c r="E536" s="317"/>
      <c r="P536" s="317"/>
    </row>
    <row r="537" spans="5:16" ht="12.75">
      <c r="E537" s="317"/>
      <c r="P537" s="317"/>
    </row>
    <row r="538" spans="5:16" ht="12.75">
      <c r="E538" s="317"/>
      <c r="P538" s="317"/>
    </row>
    <row r="539" spans="5:16" ht="12.75">
      <c r="E539" s="317"/>
      <c r="P539" s="317"/>
    </row>
    <row r="540" spans="5:16" ht="12.75">
      <c r="E540" s="317"/>
      <c r="P540" s="317"/>
    </row>
    <row r="541" spans="5:16" ht="12.75">
      <c r="E541" s="317"/>
      <c r="P541" s="317"/>
    </row>
    <row r="542" spans="5:16" ht="12.75">
      <c r="E542" s="317"/>
      <c r="P542" s="317"/>
    </row>
    <row r="543" spans="5:16" ht="12.75">
      <c r="E543" s="317"/>
      <c r="P543" s="317"/>
    </row>
    <row r="544" spans="5:16" ht="12.75">
      <c r="E544" s="317"/>
      <c r="P544" s="317"/>
    </row>
    <row r="545" spans="5:16" ht="12.75">
      <c r="E545" s="317"/>
      <c r="P545" s="317"/>
    </row>
    <row r="546" spans="5:16" ht="12.75">
      <c r="E546" s="317"/>
      <c r="P546" s="317"/>
    </row>
    <row r="547" spans="5:16" ht="12.75">
      <c r="E547" s="317"/>
      <c r="P547" s="317"/>
    </row>
    <row r="548" spans="5:16" ht="12.75">
      <c r="E548" s="317"/>
      <c r="P548" s="317"/>
    </row>
    <row r="549" spans="5:16" ht="12.75">
      <c r="E549" s="317"/>
      <c r="P549" s="317"/>
    </row>
    <row r="550" spans="5:16" ht="12.75">
      <c r="E550" s="317"/>
      <c r="P550" s="317"/>
    </row>
    <row r="551" spans="5:16" ht="12.75">
      <c r="E551" s="317"/>
      <c r="P551" s="317"/>
    </row>
    <row r="552" spans="5:16" ht="12.75">
      <c r="E552" s="317"/>
      <c r="P552" s="317"/>
    </row>
    <row r="553" spans="5:16" ht="12.75">
      <c r="E553" s="317"/>
      <c r="P553" s="317"/>
    </row>
    <row r="554" spans="5:16" ht="12.75">
      <c r="E554" s="317"/>
      <c r="P554" s="317"/>
    </row>
    <row r="555" spans="5:16" ht="12.75">
      <c r="E555" s="317"/>
      <c r="P555" s="317"/>
    </row>
    <row r="556" spans="5:16" ht="12.75">
      <c r="E556" s="317"/>
      <c r="P556" s="317"/>
    </row>
    <row r="557" spans="5:16" ht="12.75">
      <c r="E557" s="317"/>
      <c r="P557" s="317"/>
    </row>
    <row r="558" spans="5:16" ht="12.75">
      <c r="E558" s="317"/>
      <c r="P558" s="317"/>
    </row>
    <row r="559" spans="5:16" ht="12.75">
      <c r="E559" s="317"/>
      <c r="P559" s="317"/>
    </row>
    <row r="560" spans="5:16" ht="12.75">
      <c r="E560" s="317"/>
      <c r="P560" s="317"/>
    </row>
    <row r="561" spans="5:16" ht="12.75">
      <c r="E561" s="317"/>
      <c r="P561" s="317"/>
    </row>
    <row r="562" spans="5:16" ht="12.75">
      <c r="E562" s="317"/>
      <c r="P562" s="317"/>
    </row>
    <row r="563" spans="5:16" ht="12.75">
      <c r="E563" s="317"/>
      <c r="P563" s="317"/>
    </row>
    <row r="564" spans="5:16" ht="12.75">
      <c r="E564" s="317"/>
      <c r="P564" s="317"/>
    </row>
    <row r="565" spans="5:16" ht="12.75">
      <c r="E565" s="317"/>
      <c r="P565" s="317"/>
    </row>
    <row r="566" spans="5:16" ht="12.75">
      <c r="E566" s="317"/>
      <c r="P566" s="317"/>
    </row>
    <row r="567" spans="5:16" ht="12.75">
      <c r="E567" s="317"/>
      <c r="P567" s="317"/>
    </row>
    <row r="568" spans="5:16" ht="12.75">
      <c r="E568" s="317"/>
      <c r="P568" s="317"/>
    </row>
    <row r="569" spans="5:16" ht="12.75">
      <c r="E569" s="317"/>
      <c r="P569" s="317"/>
    </row>
    <row r="570" spans="5:16" ht="12.75">
      <c r="E570" s="317"/>
      <c r="P570" s="317"/>
    </row>
    <row r="571" spans="5:16" ht="12.75">
      <c r="E571" s="317"/>
      <c r="P571" s="317"/>
    </row>
    <row r="572" spans="5:16" ht="12.75">
      <c r="E572" s="317"/>
      <c r="P572" s="317"/>
    </row>
    <row r="573" spans="5:16" ht="12.75">
      <c r="E573" s="317"/>
      <c r="P573" s="317"/>
    </row>
    <row r="574" spans="5:16" ht="12.75">
      <c r="E574" s="317"/>
      <c r="P574" s="317"/>
    </row>
    <row r="575" spans="5:16" ht="12.75">
      <c r="E575" s="317"/>
      <c r="P575" s="317"/>
    </row>
    <row r="576" spans="5:16" ht="12.75">
      <c r="E576" s="317"/>
      <c r="P576" s="317"/>
    </row>
    <row r="577" spans="5:16" ht="12.75">
      <c r="E577" s="317"/>
      <c r="P577" s="317"/>
    </row>
    <row r="578" spans="5:16" ht="12.75">
      <c r="E578" s="317"/>
      <c r="P578" s="317"/>
    </row>
    <row r="579" spans="5:16" ht="12.75">
      <c r="E579" s="317"/>
      <c r="P579" s="317"/>
    </row>
    <row r="580" spans="5:16" ht="12.75">
      <c r="E580" s="317"/>
      <c r="P580" s="317"/>
    </row>
    <row r="581" spans="5:16" ht="12.75">
      <c r="E581" s="317"/>
      <c r="P581" s="317"/>
    </row>
    <row r="582" spans="5:16" ht="12.75">
      <c r="E582" s="317"/>
      <c r="P582" s="317"/>
    </row>
    <row r="583" spans="5:16" ht="12.75">
      <c r="E583" s="317"/>
      <c r="P583" s="317"/>
    </row>
    <row r="584" spans="5:16" ht="12.75">
      <c r="E584" s="317"/>
      <c r="P584" s="317"/>
    </row>
    <row r="585" spans="5:16" ht="12.75">
      <c r="E585" s="317"/>
      <c r="P585" s="317"/>
    </row>
    <row r="586" spans="5:16" ht="12.75">
      <c r="E586" s="317"/>
      <c r="P586" s="317"/>
    </row>
    <row r="587" spans="5:16" ht="12.75">
      <c r="E587" s="317"/>
      <c r="P587" s="317"/>
    </row>
    <row r="588" spans="5:16" ht="12.75">
      <c r="E588" s="317"/>
      <c r="P588" s="317"/>
    </row>
    <row r="589" spans="5:16" ht="12.75">
      <c r="E589" s="317"/>
      <c r="P589" s="317"/>
    </row>
    <row r="590" spans="5:16" ht="12.75">
      <c r="E590" s="317"/>
      <c r="P590" s="317"/>
    </row>
    <row r="591" spans="5:16" ht="12.75">
      <c r="E591" s="317"/>
      <c r="P591" s="317"/>
    </row>
    <row r="592" spans="5:16" ht="12.75">
      <c r="E592" s="317"/>
      <c r="P592" s="317"/>
    </row>
    <row r="593" spans="5:16" ht="12.75">
      <c r="E593" s="317"/>
      <c r="P593" s="317"/>
    </row>
    <row r="594" spans="5:16" ht="12.75">
      <c r="E594" s="317"/>
      <c r="P594" s="317"/>
    </row>
    <row r="595" spans="5:16" ht="12.75">
      <c r="E595" s="317"/>
      <c r="P595" s="317"/>
    </row>
    <row r="596" spans="5:16" ht="12.75">
      <c r="E596" s="317"/>
      <c r="P596" s="317"/>
    </row>
    <row r="597" spans="5:16" ht="12.75">
      <c r="E597" s="317"/>
      <c r="P597" s="317"/>
    </row>
    <row r="598" spans="5:16" ht="12.75">
      <c r="E598" s="317"/>
      <c r="P598" s="317"/>
    </row>
    <row r="599" spans="5:16" ht="12.75">
      <c r="E599" s="317"/>
      <c r="P599" s="317"/>
    </row>
    <row r="600" spans="5:16" ht="12.75">
      <c r="E600" s="317"/>
      <c r="P600" s="317"/>
    </row>
    <row r="601" spans="5:16" ht="12.75">
      <c r="E601" s="317"/>
      <c r="P601" s="317"/>
    </row>
    <row r="602" spans="5:16" ht="12.75">
      <c r="E602" s="317"/>
      <c r="P602" s="317"/>
    </row>
    <row r="603" spans="5:16" ht="12.75">
      <c r="E603" s="317"/>
      <c r="P603" s="317"/>
    </row>
    <row r="604" spans="5:16" ht="12.75">
      <c r="E604" s="317"/>
      <c r="P604" s="317"/>
    </row>
    <row r="605" spans="5:16" ht="12.75">
      <c r="E605" s="317"/>
      <c r="P605" s="317"/>
    </row>
    <row r="606" spans="5:16" ht="12.75">
      <c r="E606" s="317"/>
      <c r="P606" s="317"/>
    </row>
    <row r="607" spans="5:16" ht="12.75">
      <c r="E607" s="317"/>
      <c r="P607" s="317"/>
    </row>
    <row r="608" spans="5:16" ht="12.75">
      <c r="E608" s="317"/>
      <c r="P608" s="317"/>
    </row>
    <row r="609" spans="5:16" ht="12.75">
      <c r="E609" s="317"/>
      <c r="P609" s="317"/>
    </row>
    <row r="610" spans="5:16" ht="12.75">
      <c r="E610" s="317"/>
      <c r="P610" s="317"/>
    </row>
    <row r="611" spans="5:16" ht="12.75">
      <c r="E611" s="317"/>
      <c r="P611" s="317"/>
    </row>
    <row r="612" spans="5:16" ht="12.75">
      <c r="E612" s="317"/>
      <c r="P612" s="317"/>
    </row>
    <row r="613" spans="5:16" ht="12.75">
      <c r="E613" s="317"/>
      <c r="P613" s="317"/>
    </row>
    <row r="614" spans="5:16" ht="12.75">
      <c r="E614" s="317"/>
      <c r="P614" s="317"/>
    </row>
    <row r="615" spans="5:16" ht="12.75">
      <c r="E615" s="317"/>
      <c r="P615" s="317"/>
    </row>
    <row r="616" spans="5:16" ht="12.75">
      <c r="E616" s="317"/>
      <c r="P616" s="317"/>
    </row>
    <row r="617" spans="5:16" ht="12.75">
      <c r="E617" s="317"/>
      <c r="P617" s="317"/>
    </row>
    <row r="618" spans="5:16" ht="12.75">
      <c r="E618" s="317"/>
      <c r="P618" s="317"/>
    </row>
    <row r="619" spans="5:16" ht="12.75">
      <c r="E619" s="317"/>
      <c r="P619" s="317"/>
    </row>
    <row r="620" spans="5:16" ht="12.75">
      <c r="E620" s="317"/>
      <c r="P620" s="317"/>
    </row>
    <row r="621" spans="5:16" ht="12.75">
      <c r="E621" s="317"/>
      <c r="P621" s="317"/>
    </row>
    <row r="622" spans="5:16" ht="12.75">
      <c r="E622" s="317"/>
      <c r="P622" s="317"/>
    </row>
    <row r="623" spans="5:16" ht="12.75">
      <c r="E623" s="317"/>
      <c r="P623" s="317"/>
    </row>
    <row r="624" spans="5:16" ht="12.75">
      <c r="E624" s="317"/>
      <c r="P624" s="317"/>
    </row>
    <row r="625" spans="5:16" ht="12.75">
      <c r="E625" s="317"/>
      <c r="P625" s="317"/>
    </row>
    <row r="626" spans="5:16" ht="12.75">
      <c r="E626" s="317"/>
      <c r="P626" s="317"/>
    </row>
    <row r="627" spans="5:16" ht="12.75">
      <c r="E627" s="317"/>
      <c r="P627" s="317"/>
    </row>
    <row r="628" spans="5:16" ht="12.75">
      <c r="E628" s="317"/>
      <c r="P628" s="317"/>
    </row>
    <row r="629" spans="5:16" ht="12.75">
      <c r="E629" s="317"/>
      <c r="P629" s="317"/>
    </row>
    <row r="630" spans="5:16" ht="12.75">
      <c r="E630" s="317"/>
      <c r="P630" s="317"/>
    </row>
    <row r="631" spans="5:16" ht="12.75">
      <c r="E631" s="317"/>
      <c r="P631" s="317"/>
    </row>
    <row r="632" spans="5:16" ht="12.75">
      <c r="E632" s="317"/>
      <c r="P632" s="317"/>
    </row>
    <row r="633" spans="5:16" ht="12.75">
      <c r="E633" s="317"/>
      <c r="P633" s="317"/>
    </row>
    <row r="634" spans="5:16" ht="12.75">
      <c r="E634" s="317"/>
      <c r="P634" s="317"/>
    </row>
    <row r="635" spans="5:16" ht="12.75">
      <c r="E635" s="317"/>
      <c r="P635" s="317"/>
    </row>
    <row r="636" spans="5:16" ht="12.75">
      <c r="E636" s="317"/>
      <c r="P636" s="317"/>
    </row>
    <row r="637" spans="5:16" ht="12.75">
      <c r="E637" s="317"/>
      <c r="P637" s="317"/>
    </row>
    <row r="638" spans="5:16" ht="12.75">
      <c r="E638" s="317"/>
      <c r="P638" s="317"/>
    </row>
    <row r="639" spans="5:16" ht="12.75">
      <c r="E639" s="317"/>
      <c r="P639" s="317"/>
    </row>
    <row r="640" spans="5:16" ht="12.75">
      <c r="E640" s="317"/>
      <c r="P640" s="317"/>
    </row>
    <row r="641" spans="5:16" ht="12.75">
      <c r="E641" s="317"/>
      <c r="P641" s="317"/>
    </row>
    <row r="642" spans="5:16" ht="12.75">
      <c r="E642" s="317"/>
      <c r="P642" s="317"/>
    </row>
    <row r="643" spans="5:16" ht="12.75">
      <c r="E643" s="317"/>
      <c r="P643" s="317"/>
    </row>
    <row r="644" spans="5:16" ht="12.75">
      <c r="E644" s="317"/>
      <c r="P644" s="317"/>
    </row>
    <row r="645" spans="5:16" ht="12.75">
      <c r="E645" s="317"/>
      <c r="P645" s="317"/>
    </row>
    <row r="646" spans="5:16" ht="12.75">
      <c r="E646" s="317"/>
      <c r="P646" s="317"/>
    </row>
    <row r="647" spans="5:16" ht="12.75">
      <c r="E647" s="317"/>
      <c r="P647" s="317"/>
    </row>
    <row r="648" spans="5:16" ht="12.75">
      <c r="E648" s="317"/>
      <c r="P648" s="317"/>
    </row>
    <row r="649" spans="5:16" ht="12.75">
      <c r="E649" s="317"/>
      <c r="P649" s="317"/>
    </row>
    <row r="650" spans="5:16" ht="12.75">
      <c r="E650" s="317"/>
      <c r="P650" s="317"/>
    </row>
    <row r="651" spans="5:16" ht="12.75">
      <c r="E651" s="317"/>
      <c r="P651" s="317"/>
    </row>
    <row r="652" spans="5:16" ht="12.75">
      <c r="E652" s="317"/>
      <c r="P652" s="317"/>
    </row>
    <row r="653" spans="5:16" ht="12.75">
      <c r="E653" s="317"/>
      <c r="P653" s="317"/>
    </row>
    <row r="654" spans="5:16" ht="12.75">
      <c r="E654" s="317"/>
      <c r="P654" s="317"/>
    </row>
    <row r="655" spans="5:16" ht="12.75">
      <c r="E655" s="317"/>
      <c r="P655" s="317"/>
    </row>
    <row r="656" spans="5:16" ht="12.75">
      <c r="E656" s="317"/>
      <c r="P656" s="317"/>
    </row>
    <row r="657" spans="5:16" ht="12.75">
      <c r="E657" s="317"/>
      <c r="P657" s="317"/>
    </row>
    <row r="658" spans="5:16" ht="12.75">
      <c r="E658" s="317"/>
      <c r="P658" s="317"/>
    </row>
    <row r="659" spans="5:16" ht="12.75">
      <c r="E659" s="317"/>
      <c r="P659" s="317"/>
    </row>
    <row r="660" spans="5:16" ht="12.75">
      <c r="E660" s="317"/>
      <c r="P660" s="317"/>
    </row>
    <row r="661" spans="5:16" ht="12.75">
      <c r="E661" s="317"/>
      <c r="P661" s="317"/>
    </row>
    <row r="662" spans="5:16" ht="12.75">
      <c r="E662" s="317"/>
      <c r="P662" s="317"/>
    </row>
    <row r="663" spans="5:16" ht="12.75">
      <c r="E663" s="317"/>
      <c r="P663" s="317"/>
    </row>
    <row r="664" spans="5:16" ht="12.75">
      <c r="E664" s="317"/>
      <c r="P664" s="317"/>
    </row>
    <row r="665" spans="5:16" ht="12.75">
      <c r="E665" s="317"/>
      <c r="P665" s="317"/>
    </row>
    <row r="666" spans="5:16" ht="12.75">
      <c r="E666" s="317"/>
      <c r="P666" s="317"/>
    </row>
    <row r="667" spans="5:16" ht="12.75">
      <c r="E667" s="317"/>
      <c r="P667" s="317"/>
    </row>
    <row r="668" spans="5:16" ht="12.75">
      <c r="E668" s="317"/>
      <c r="P668" s="317"/>
    </row>
    <row r="669" spans="5:16" ht="12.75">
      <c r="E669" s="317"/>
      <c r="P669" s="317"/>
    </row>
    <row r="670" spans="5:16" ht="12.75">
      <c r="E670" s="317"/>
      <c r="P670" s="317"/>
    </row>
    <row r="671" spans="5:16" ht="12.75">
      <c r="E671" s="317"/>
      <c r="P671" s="317"/>
    </row>
    <row r="672" spans="5:16" ht="12.75">
      <c r="E672" s="317"/>
      <c r="P672" s="317"/>
    </row>
    <row r="673" spans="5:16" ht="12.75">
      <c r="E673" s="317"/>
      <c r="P673" s="317"/>
    </row>
    <row r="674" spans="5:16" ht="12.75">
      <c r="E674" s="317"/>
      <c r="P674" s="317"/>
    </row>
    <row r="675" spans="5:16" ht="12.75">
      <c r="E675" s="317"/>
      <c r="P675" s="317"/>
    </row>
    <row r="676" spans="5:16" ht="12.75">
      <c r="E676" s="317"/>
      <c r="P676" s="317"/>
    </row>
    <row r="677" spans="5:16" ht="12.75">
      <c r="E677" s="317"/>
      <c r="P677" s="317"/>
    </row>
    <row r="678" spans="5:16" ht="12.75">
      <c r="E678" s="317"/>
      <c r="P678" s="317"/>
    </row>
    <row r="679" spans="5:16" ht="12.75">
      <c r="E679" s="317"/>
      <c r="P679" s="317"/>
    </row>
    <row r="680" spans="5:16" ht="12.75">
      <c r="E680" s="317"/>
      <c r="P680" s="317"/>
    </row>
    <row r="681" spans="5:16" ht="12.75">
      <c r="E681" s="317"/>
      <c r="P681" s="317"/>
    </row>
    <row r="682" spans="5:16" ht="12.75">
      <c r="E682" s="317"/>
      <c r="P682" s="317"/>
    </row>
    <row r="683" spans="5:16" ht="12.75">
      <c r="E683" s="317"/>
      <c r="P683" s="317"/>
    </row>
    <row r="684" spans="5:16" ht="12.75">
      <c r="E684" s="317"/>
      <c r="P684" s="317"/>
    </row>
    <row r="685" spans="5:16" ht="12.75">
      <c r="E685" s="317"/>
      <c r="P685" s="317"/>
    </row>
    <row r="686" spans="5:16" ht="12.75">
      <c r="E686" s="317"/>
      <c r="P686" s="317"/>
    </row>
    <row r="687" spans="5:16" ht="12.75">
      <c r="E687" s="317"/>
      <c r="P687" s="317"/>
    </row>
    <row r="688" spans="5:16" ht="12.75">
      <c r="E688" s="317"/>
      <c r="P688" s="317"/>
    </row>
    <row r="689" spans="5:16" ht="12.75">
      <c r="E689" s="317"/>
      <c r="P689" s="317"/>
    </row>
    <row r="690" spans="5:16" ht="12.75">
      <c r="E690" s="317"/>
      <c r="P690" s="317"/>
    </row>
    <row r="691" spans="5:16" ht="12.75">
      <c r="E691" s="317"/>
      <c r="P691" s="317"/>
    </row>
    <row r="692" spans="5:16" ht="12.75">
      <c r="E692" s="317"/>
      <c r="P692" s="317"/>
    </row>
    <row r="693" spans="5:16" ht="12.75">
      <c r="E693" s="317"/>
      <c r="P693" s="317"/>
    </row>
    <row r="694" spans="5:16" ht="12.75">
      <c r="E694" s="317"/>
      <c r="P694" s="317"/>
    </row>
    <row r="695" spans="5:16" ht="12.75">
      <c r="E695" s="317"/>
      <c r="P695" s="317"/>
    </row>
    <row r="696" spans="5:16" ht="12.75">
      <c r="E696" s="317"/>
      <c r="P696" s="317"/>
    </row>
    <row r="697" spans="5:16" ht="12.75">
      <c r="E697" s="317"/>
      <c r="P697" s="317"/>
    </row>
    <row r="698" spans="5:16" ht="12.75">
      <c r="E698" s="317"/>
      <c r="P698" s="317"/>
    </row>
    <row r="699" spans="5:16" ht="12.75">
      <c r="E699" s="317"/>
      <c r="P699" s="317"/>
    </row>
    <row r="700" spans="5:16" ht="12.75">
      <c r="E700" s="317"/>
      <c r="P700" s="317"/>
    </row>
    <row r="701" spans="5:16" ht="12.75">
      <c r="E701" s="317"/>
      <c r="P701" s="317"/>
    </row>
    <row r="702" spans="5:16" ht="12.75">
      <c r="E702" s="317"/>
      <c r="P702" s="317"/>
    </row>
    <row r="703" spans="5:16" ht="12.75">
      <c r="E703" s="317"/>
      <c r="P703" s="317"/>
    </row>
    <row r="704" spans="5:16" ht="12.75">
      <c r="E704" s="317"/>
      <c r="P704" s="317"/>
    </row>
    <row r="705" spans="5:16" ht="12.75">
      <c r="E705" s="317"/>
      <c r="P705" s="317"/>
    </row>
    <row r="706" spans="5:16" ht="12.75">
      <c r="E706" s="317"/>
      <c r="P706" s="317"/>
    </row>
    <row r="707" spans="5:16" ht="12.75">
      <c r="E707" s="317"/>
      <c r="P707" s="317"/>
    </row>
    <row r="708" spans="5:16" ht="12.75">
      <c r="E708" s="317"/>
      <c r="P708" s="317"/>
    </row>
    <row r="709" spans="5:16" ht="12.75">
      <c r="E709" s="317"/>
      <c r="P709" s="317"/>
    </row>
    <row r="710" spans="5:16" ht="12.75">
      <c r="E710" s="317"/>
      <c r="P710" s="317"/>
    </row>
    <row r="711" spans="5:16" ht="12.75">
      <c r="E711" s="317"/>
      <c r="P711" s="317"/>
    </row>
    <row r="712" spans="5:16" ht="12.75">
      <c r="E712" s="317"/>
      <c r="P712" s="317"/>
    </row>
    <row r="713" spans="5:16" ht="12.75">
      <c r="E713" s="317"/>
      <c r="P713" s="317"/>
    </row>
    <row r="714" spans="5:16" ht="12.75">
      <c r="E714" s="317"/>
      <c r="P714" s="317"/>
    </row>
    <row r="715" spans="5:16" ht="12.75">
      <c r="E715" s="317"/>
      <c r="P715" s="317"/>
    </row>
    <row r="716" spans="5:16" ht="12.75">
      <c r="E716" s="317"/>
      <c r="P716" s="317"/>
    </row>
    <row r="717" spans="5:16" ht="12.75">
      <c r="E717" s="317"/>
      <c r="P717" s="317"/>
    </row>
    <row r="718" spans="5:16" ht="12.75">
      <c r="E718" s="317"/>
      <c r="P718" s="317"/>
    </row>
    <row r="719" spans="5:16" ht="12.75">
      <c r="E719" s="317"/>
      <c r="P719" s="317"/>
    </row>
    <row r="720" spans="5:16" ht="12.75">
      <c r="E720" s="317"/>
      <c r="P720" s="317"/>
    </row>
    <row r="721" spans="5:16" ht="12.75">
      <c r="E721" s="317"/>
      <c r="P721" s="317"/>
    </row>
    <row r="722" spans="5:16" ht="12.75">
      <c r="E722" s="317"/>
      <c r="P722" s="317"/>
    </row>
    <row r="723" spans="5:16" ht="12.75">
      <c r="E723" s="317"/>
      <c r="P723" s="317"/>
    </row>
    <row r="724" spans="5:16" ht="12.75">
      <c r="E724" s="317"/>
      <c r="P724" s="317"/>
    </row>
    <row r="725" spans="5:16" ht="12.75">
      <c r="E725" s="317"/>
      <c r="P725" s="317"/>
    </row>
    <row r="726" spans="5:16" ht="12.75">
      <c r="E726" s="317"/>
      <c r="P726" s="317"/>
    </row>
    <row r="727" spans="5:16" ht="12.75">
      <c r="E727" s="317"/>
      <c r="P727" s="317"/>
    </row>
    <row r="728" spans="5:16" ht="12.75">
      <c r="E728" s="317"/>
      <c r="P728" s="317"/>
    </row>
    <row r="729" spans="5:16" ht="12.75">
      <c r="E729" s="317"/>
      <c r="P729" s="317"/>
    </row>
    <row r="730" spans="5:16" ht="12.75">
      <c r="E730" s="317"/>
      <c r="P730" s="317"/>
    </row>
    <row r="731" spans="5:16" ht="12.75">
      <c r="E731" s="317"/>
      <c r="P731" s="317"/>
    </row>
    <row r="732" spans="5:16" ht="12.75">
      <c r="E732" s="317"/>
      <c r="P732" s="317"/>
    </row>
    <row r="733" spans="5:16" ht="12.75">
      <c r="E733" s="317"/>
      <c r="P733" s="317"/>
    </row>
    <row r="734" spans="5:16" ht="12.75">
      <c r="E734" s="317"/>
      <c r="P734" s="317"/>
    </row>
    <row r="735" spans="5:16" ht="12.75">
      <c r="E735" s="317"/>
      <c r="P735" s="317"/>
    </row>
    <row r="736" spans="5:16" ht="12.75">
      <c r="E736" s="317"/>
      <c r="P736" s="317"/>
    </row>
    <row r="737" spans="5:16" ht="12.75">
      <c r="E737" s="317"/>
      <c r="P737" s="317"/>
    </row>
    <row r="738" spans="5:16" ht="12.75">
      <c r="E738" s="317"/>
      <c r="P738" s="317"/>
    </row>
    <row r="739" spans="5:16" ht="12.75">
      <c r="E739" s="317"/>
      <c r="P739" s="317"/>
    </row>
    <row r="740" spans="5:16" ht="12.75">
      <c r="E740" s="317"/>
      <c r="P740" s="317"/>
    </row>
    <row r="741" spans="5:16" ht="12.75">
      <c r="E741" s="317"/>
      <c r="P741" s="317"/>
    </row>
    <row r="742" spans="5:16" ht="12.75">
      <c r="E742" s="317"/>
      <c r="P742" s="317"/>
    </row>
    <row r="743" spans="5:16" ht="12.75">
      <c r="E743" s="317"/>
      <c r="P743" s="317"/>
    </row>
    <row r="744" spans="5:16" ht="12.75">
      <c r="E744" s="317"/>
      <c r="P744" s="317"/>
    </row>
    <row r="745" spans="5:16" ht="12.75">
      <c r="E745" s="317"/>
      <c r="P745" s="317"/>
    </row>
    <row r="746" spans="5:16" ht="12.75">
      <c r="E746" s="317"/>
      <c r="P746" s="317"/>
    </row>
    <row r="747" spans="5:16" ht="12.75">
      <c r="E747" s="317"/>
      <c r="P747" s="317"/>
    </row>
    <row r="748" spans="5:16" ht="12.75">
      <c r="E748" s="317"/>
      <c r="P748" s="317"/>
    </row>
    <row r="749" spans="5:16" ht="12.75">
      <c r="E749" s="317"/>
      <c r="P749" s="317"/>
    </row>
    <row r="750" spans="5:16" ht="12.75">
      <c r="E750" s="317"/>
      <c r="P750" s="317"/>
    </row>
    <row r="751" spans="5:16" ht="12.75">
      <c r="E751" s="317"/>
      <c r="P751" s="317"/>
    </row>
    <row r="752" spans="5:16" ht="12.75">
      <c r="E752" s="317"/>
      <c r="P752" s="317"/>
    </row>
    <row r="753" spans="5:16" ht="12.75">
      <c r="E753" s="317"/>
      <c r="P753" s="317"/>
    </row>
    <row r="754" spans="5:16" ht="12.75">
      <c r="E754" s="317"/>
      <c r="P754" s="317"/>
    </row>
    <row r="755" spans="5:16" ht="12.75">
      <c r="E755" s="317"/>
      <c r="P755" s="317"/>
    </row>
    <row r="756" spans="5:16" ht="12.75">
      <c r="E756" s="317"/>
      <c r="P756" s="317"/>
    </row>
    <row r="757" spans="5:16" ht="12.75">
      <c r="E757" s="317"/>
      <c r="P757" s="317"/>
    </row>
    <row r="758" spans="5:16" ht="12.75">
      <c r="E758" s="317"/>
      <c r="P758" s="317"/>
    </row>
    <row r="759" spans="5:16" ht="12.75">
      <c r="E759" s="317"/>
      <c r="P759" s="317"/>
    </row>
    <row r="760" spans="5:16" ht="12.75">
      <c r="E760" s="317"/>
      <c r="P760" s="317"/>
    </row>
    <row r="761" spans="5:16" ht="12.75">
      <c r="E761" s="317"/>
      <c r="P761" s="317"/>
    </row>
    <row r="762" spans="5:16" ht="12.75">
      <c r="E762" s="317"/>
      <c r="P762" s="317"/>
    </row>
    <row r="763" spans="5:16" ht="12.75">
      <c r="E763" s="317"/>
      <c r="P763" s="317"/>
    </row>
    <row r="764" spans="5:16" ht="12.75">
      <c r="E764" s="317"/>
      <c r="P764" s="317"/>
    </row>
    <row r="765" spans="5:16" ht="12.75">
      <c r="E765" s="317"/>
      <c r="P765" s="317"/>
    </row>
    <row r="766" spans="5:16" ht="12.75">
      <c r="E766" s="317"/>
      <c r="P766" s="317"/>
    </row>
    <row r="767" spans="5:16" ht="12.75">
      <c r="E767" s="317"/>
      <c r="P767" s="317"/>
    </row>
    <row r="768" spans="5:16" ht="12.75">
      <c r="E768" s="317"/>
      <c r="P768" s="317"/>
    </row>
    <row r="769" spans="5:16" ht="12.75">
      <c r="E769" s="317"/>
      <c r="P769" s="317"/>
    </row>
    <row r="770" spans="5:16" ht="12.75">
      <c r="E770" s="317"/>
      <c r="P770" s="317"/>
    </row>
    <row r="771" spans="5:16" ht="12.75">
      <c r="E771" s="317"/>
      <c r="P771" s="317"/>
    </row>
    <row r="772" spans="5:16" ht="12.75">
      <c r="E772" s="317"/>
      <c r="P772" s="317"/>
    </row>
    <row r="773" spans="5:16" ht="12.75">
      <c r="E773" s="317"/>
      <c r="P773" s="317"/>
    </row>
    <row r="774" spans="5:16" ht="12.75">
      <c r="E774" s="317"/>
      <c r="P774" s="317"/>
    </row>
    <row r="775" spans="5:16" ht="12.75">
      <c r="E775" s="317"/>
      <c r="P775" s="317"/>
    </row>
    <row r="776" spans="5:16" ht="12.75">
      <c r="E776" s="317"/>
      <c r="P776" s="317"/>
    </row>
    <row r="777" spans="5:16" ht="12.75">
      <c r="E777" s="317"/>
      <c r="P777" s="317"/>
    </row>
    <row r="778" spans="5:16" ht="12.75">
      <c r="E778" s="317"/>
      <c r="P778" s="317"/>
    </row>
    <row r="779" spans="5:16" ht="12.75">
      <c r="E779" s="317"/>
      <c r="P779" s="317"/>
    </row>
    <row r="780" spans="5:16" ht="12.75">
      <c r="E780" s="317"/>
      <c r="P780" s="317"/>
    </row>
    <row r="781" spans="5:16" ht="12.75">
      <c r="E781" s="317"/>
      <c r="P781" s="317"/>
    </row>
    <row r="782" spans="5:16" ht="12.75">
      <c r="E782" s="317"/>
      <c r="P782" s="317"/>
    </row>
    <row r="783" spans="5:16" ht="12.75">
      <c r="E783" s="317"/>
      <c r="P783" s="317"/>
    </row>
    <row r="784" spans="5:16" ht="12.75">
      <c r="E784" s="317"/>
      <c r="P784" s="317"/>
    </row>
    <row r="785" spans="5:16" ht="12.75">
      <c r="E785" s="317"/>
      <c r="P785" s="317"/>
    </row>
    <row r="786" spans="5:16" ht="12.75">
      <c r="E786" s="317"/>
      <c r="P786" s="317"/>
    </row>
    <row r="787" spans="5:16" ht="12.75">
      <c r="E787" s="317"/>
      <c r="P787" s="317"/>
    </row>
    <row r="788" spans="5:16" ht="12.75">
      <c r="E788" s="317"/>
      <c r="P788" s="317"/>
    </row>
    <row r="789" spans="5:16" ht="12.75">
      <c r="E789" s="317"/>
      <c r="P789" s="317"/>
    </row>
    <row r="790" spans="5:16" ht="12.75">
      <c r="E790" s="317"/>
      <c r="P790" s="317"/>
    </row>
    <row r="791" spans="5:16" ht="12.75">
      <c r="E791" s="317"/>
      <c r="P791" s="317"/>
    </row>
    <row r="792" spans="5:16" ht="12.75">
      <c r="E792" s="317"/>
      <c r="P792" s="317"/>
    </row>
    <row r="793" spans="5:16" ht="12.75">
      <c r="E793" s="317"/>
      <c r="P793" s="317"/>
    </row>
    <row r="794" spans="5:16" ht="12.75">
      <c r="E794" s="317"/>
      <c r="P794" s="317"/>
    </row>
    <row r="795" spans="5:16" ht="12.75">
      <c r="E795" s="317"/>
      <c r="P795" s="317"/>
    </row>
    <row r="796" spans="5:16" ht="12.75">
      <c r="E796" s="317"/>
      <c r="P796" s="317"/>
    </row>
    <row r="797" spans="5:16" ht="12.75">
      <c r="E797" s="317"/>
      <c r="P797" s="317"/>
    </row>
    <row r="798" spans="5:16" ht="12.75">
      <c r="E798" s="317"/>
      <c r="P798" s="317"/>
    </row>
    <row r="799" spans="5:16" ht="12.75">
      <c r="E799" s="317"/>
      <c r="P799" s="317"/>
    </row>
    <row r="800" spans="5:16" ht="12.75">
      <c r="E800" s="317"/>
      <c r="P800" s="317"/>
    </row>
    <row r="801" spans="5:16" ht="12.75">
      <c r="E801" s="317"/>
      <c r="P801" s="317"/>
    </row>
    <row r="802" spans="5:16" ht="12.75">
      <c r="E802" s="317"/>
      <c r="P802" s="317"/>
    </row>
    <row r="803" spans="5:16" ht="12.75">
      <c r="E803" s="317"/>
      <c r="P803" s="317"/>
    </row>
    <row r="804" spans="5:16" ht="12.75">
      <c r="E804" s="317"/>
      <c r="P804" s="317"/>
    </row>
    <row r="805" spans="5:16" ht="12.75">
      <c r="E805" s="317"/>
      <c r="P805" s="317"/>
    </row>
    <row r="806" spans="5:16" ht="12.75">
      <c r="E806" s="317"/>
      <c r="P806" s="317"/>
    </row>
    <row r="807" spans="5:16" ht="12.75">
      <c r="E807" s="317"/>
      <c r="P807" s="317"/>
    </row>
    <row r="808" spans="5:16" ht="12.75">
      <c r="E808" s="317"/>
      <c r="P808" s="317"/>
    </row>
    <row r="809" spans="5:16" ht="12.75">
      <c r="E809" s="317"/>
      <c r="P809" s="317"/>
    </row>
    <row r="810" spans="5:16" ht="12.75">
      <c r="E810" s="317"/>
      <c r="P810" s="317"/>
    </row>
    <row r="811" spans="5:16" ht="12.75">
      <c r="E811" s="317"/>
      <c r="P811" s="317"/>
    </row>
    <row r="812" spans="5:16" ht="12.75">
      <c r="E812" s="317"/>
      <c r="P812" s="317"/>
    </row>
    <row r="813" spans="5:16" ht="12.75">
      <c r="E813" s="317"/>
      <c r="P813" s="317"/>
    </row>
    <row r="814" spans="5:16" ht="12.75">
      <c r="E814" s="317"/>
      <c r="P814" s="317"/>
    </row>
    <row r="815" spans="5:16" ht="12.75">
      <c r="E815" s="317"/>
      <c r="P815" s="317"/>
    </row>
    <row r="816" spans="5:16" ht="12.75">
      <c r="E816" s="317"/>
      <c r="P816" s="317"/>
    </row>
    <row r="817" spans="5:16" ht="12.75">
      <c r="E817" s="317"/>
      <c r="P817" s="317"/>
    </row>
    <row r="818" spans="5:16" ht="12.75">
      <c r="E818" s="317"/>
      <c r="P818" s="317"/>
    </row>
    <row r="819" spans="5:16" ht="12.75">
      <c r="E819" s="317"/>
      <c r="P819" s="317"/>
    </row>
    <row r="820" spans="5:16" ht="12.75">
      <c r="E820" s="317"/>
      <c r="P820" s="317"/>
    </row>
    <row r="821" spans="5:16" ht="12.75">
      <c r="E821" s="317"/>
      <c r="P821" s="317"/>
    </row>
    <row r="822" spans="5:16" ht="12.75">
      <c r="E822" s="317"/>
      <c r="P822" s="317"/>
    </row>
    <row r="823" spans="5:16" ht="12.75">
      <c r="E823" s="317"/>
      <c r="P823" s="317"/>
    </row>
    <row r="824" spans="5:16" ht="12.75">
      <c r="E824" s="317"/>
      <c r="P824" s="317"/>
    </row>
    <row r="825" spans="5:16" ht="12.75">
      <c r="E825" s="317"/>
      <c r="P825" s="317"/>
    </row>
    <row r="826" spans="5:16" ht="12.75">
      <c r="E826" s="317"/>
      <c r="P826" s="317"/>
    </row>
    <row r="827" spans="5:16" ht="12.75">
      <c r="E827" s="317"/>
      <c r="P827" s="317"/>
    </row>
    <row r="828" spans="5:16" ht="12.75">
      <c r="E828" s="317"/>
      <c r="P828" s="317"/>
    </row>
    <row r="829" spans="5:16" ht="12.75">
      <c r="E829" s="317"/>
      <c r="P829" s="317"/>
    </row>
    <row r="830" spans="5:16" ht="12.75">
      <c r="E830" s="317"/>
      <c r="P830" s="317"/>
    </row>
    <row r="831" spans="5:16" ht="12.75">
      <c r="E831" s="317"/>
      <c r="P831" s="317"/>
    </row>
    <row r="832" spans="5:16" ht="12.75">
      <c r="E832" s="317"/>
      <c r="P832" s="317"/>
    </row>
    <row r="833" spans="5:16" ht="12.75">
      <c r="E833" s="317"/>
      <c r="P833" s="317"/>
    </row>
    <row r="834" spans="5:16" ht="12.75">
      <c r="E834" s="317"/>
      <c r="P834" s="317"/>
    </row>
    <row r="835" spans="5:16" ht="12.75">
      <c r="E835" s="317"/>
      <c r="P835" s="317"/>
    </row>
    <row r="836" spans="5:16" ht="12.75">
      <c r="E836" s="317"/>
      <c r="P836" s="317"/>
    </row>
    <row r="837" spans="5:16" ht="12.75">
      <c r="E837" s="317"/>
      <c r="P837" s="317"/>
    </row>
    <row r="838" spans="5:16" ht="12.75">
      <c r="E838" s="317"/>
      <c r="P838" s="317"/>
    </row>
    <row r="839" spans="5:16" ht="12.75">
      <c r="E839" s="317"/>
      <c r="P839" s="317"/>
    </row>
    <row r="840" spans="5:16" ht="12.75">
      <c r="E840" s="317"/>
      <c r="P840" s="317"/>
    </row>
    <row r="841" spans="5:16" ht="12.75">
      <c r="E841" s="317"/>
      <c r="P841" s="317"/>
    </row>
    <row r="842" spans="5:16" ht="12.75">
      <c r="E842" s="317"/>
      <c r="P842" s="317"/>
    </row>
    <row r="843" spans="5:16" ht="12.75">
      <c r="E843" s="317"/>
      <c r="P843" s="317"/>
    </row>
    <row r="844" spans="5:16" ht="12.75">
      <c r="E844" s="317"/>
      <c r="P844" s="317"/>
    </row>
    <row r="845" spans="5:16" ht="12.75">
      <c r="E845" s="317"/>
      <c r="P845" s="317"/>
    </row>
    <row r="846" spans="5:16" ht="12.75">
      <c r="E846" s="317"/>
      <c r="P846" s="317"/>
    </row>
    <row r="847" spans="5:16" ht="12.75">
      <c r="E847" s="317"/>
      <c r="P847" s="317"/>
    </row>
    <row r="848" spans="5:16" ht="12.75">
      <c r="E848" s="317"/>
      <c r="P848" s="317"/>
    </row>
    <row r="849" spans="5:16" ht="12.75">
      <c r="E849" s="317"/>
      <c r="P849" s="317"/>
    </row>
    <row r="850" spans="5:16" ht="12.75">
      <c r="E850" s="317"/>
      <c r="P850" s="317"/>
    </row>
    <row r="851" spans="5:16" ht="12.75">
      <c r="E851" s="317"/>
      <c r="P851" s="317"/>
    </row>
    <row r="852" spans="5:16" ht="12.75">
      <c r="E852" s="317"/>
      <c r="P852" s="317"/>
    </row>
    <row r="853" spans="5:16" ht="12.75">
      <c r="E853" s="317"/>
      <c r="P853" s="317"/>
    </row>
    <row r="854" spans="5:16" ht="12.75">
      <c r="E854" s="317"/>
      <c r="P854" s="317"/>
    </row>
    <row r="855" spans="5:16" ht="12.75">
      <c r="E855" s="317"/>
      <c r="P855" s="317"/>
    </row>
    <row r="856" spans="5:16" ht="12.75">
      <c r="E856" s="317"/>
      <c r="P856" s="317"/>
    </row>
    <row r="857" spans="5:16" ht="12.75">
      <c r="E857" s="317"/>
      <c r="P857" s="317"/>
    </row>
    <row r="858" spans="5:16" ht="12.75">
      <c r="E858" s="317"/>
      <c r="P858" s="317"/>
    </row>
    <row r="859" spans="5:16" ht="12.75">
      <c r="E859" s="317"/>
      <c r="P859" s="317"/>
    </row>
    <row r="860" spans="5:16" ht="12.75">
      <c r="E860" s="317"/>
      <c r="P860" s="317"/>
    </row>
    <row r="861" spans="5:16" ht="12.75">
      <c r="E861" s="317"/>
      <c r="P861" s="317"/>
    </row>
    <row r="862" spans="5:16" ht="12.75">
      <c r="E862" s="317"/>
      <c r="P862" s="317"/>
    </row>
    <row r="863" spans="5:16" ht="12.75">
      <c r="E863" s="317"/>
      <c r="P863" s="317"/>
    </row>
    <row r="864" spans="5:16" ht="12.75">
      <c r="E864" s="317"/>
      <c r="P864" s="317"/>
    </row>
    <row r="865" spans="5:16" ht="12.75">
      <c r="E865" s="317"/>
      <c r="P865" s="317"/>
    </row>
    <row r="866" spans="5:16" ht="12.75">
      <c r="E866" s="317"/>
      <c r="P866" s="317"/>
    </row>
    <row r="867" spans="5:16" ht="12.75">
      <c r="E867" s="317"/>
      <c r="P867" s="317"/>
    </row>
    <row r="868" spans="5:16" ht="12.75">
      <c r="E868" s="317"/>
      <c r="P868" s="317"/>
    </row>
    <row r="869" spans="5:16" ht="12.75">
      <c r="E869" s="317"/>
      <c r="P869" s="317"/>
    </row>
    <row r="870" spans="5:16" ht="12.75">
      <c r="E870" s="317"/>
      <c r="P870" s="317"/>
    </row>
    <row r="871" spans="5:16" ht="12.75">
      <c r="E871" s="317"/>
      <c r="P871" s="317"/>
    </row>
    <row r="872" spans="5:16" ht="12.75">
      <c r="E872" s="317"/>
      <c r="P872" s="317"/>
    </row>
    <row r="873" spans="5:16" ht="12.75">
      <c r="E873" s="317"/>
      <c r="P873" s="317"/>
    </row>
    <row r="874" spans="5:16" ht="12.75">
      <c r="E874" s="317"/>
      <c r="P874" s="317"/>
    </row>
    <row r="875" spans="5:16" ht="12.75">
      <c r="E875" s="317"/>
      <c r="P875" s="317"/>
    </row>
    <row r="876" spans="5:16" ht="12.75">
      <c r="E876" s="317"/>
      <c r="P876" s="317"/>
    </row>
    <row r="877" spans="5:16" ht="12.75">
      <c r="E877" s="317"/>
      <c r="P877" s="317"/>
    </row>
    <row r="878" spans="5:16" ht="12.75">
      <c r="E878" s="317"/>
      <c r="P878" s="317"/>
    </row>
    <row r="879" spans="5:16" ht="12.75">
      <c r="E879" s="317"/>
      <c r="P879" s="317"/>
    </row>
    <row r="880" spans="5:16" ht="12.75">
      <c r="E880" s="317"/>
      <c r="P880" s="317"/>
    </row>
    <row r="881" spans="5:16" ht="12.75">
      <c r="E881" s="317"/>
      <c r="P881" s="317"/>
    </row>
    <row r="882" spans="5:16" ht="12.75">
      <c r="E882" s="317"/>
      <c r="P882" s="317"/>
    </row>
    <row r="883" spans="5:16" ht="12.75">
      <c r="E883" s="317"/>
      <c r="P883" s="317"/>
    </row>
    <row r="884" spans="5:16" ht="12.75">
      <c r="E884" s="317"/>
      <c r="P884" s="317"/>
    </row>
    <row r="885" spans="5:16" ht="12.75">
      <c r="E885" s="317"/>
      <c r="P885" s="317"/>
    </row>
    <row r="886" spans="5:16" ht="12.75">
      <c r="E886" s="317"/>
      <c r="P886" s="317"/>
    </row>
    <row r="887" spans="5:16" ht="12.75">
      <c r="E887" s="317"/>
      <c r="P887" s="317"/>
    </row>
    <row r="888" spans="5:16" ht="12.75">
      <c r="E888" s="317"/>
      <c r="P888" s="317"/>
    </row>
    <row r="889" spans="5:16" ht="12.75">
      <c r="E889" s="317"/>
      <c r="P889" s="317"/>
    </row>
    <row r="890" spans="5:16" ht="12.75">
      <c r="E890" s="317"/>
      <c r="P890" s="317"/>
    </row>
    <row r="891" spans="5:16" ht="12.75">
      <c r="E891" s="317"/>
      <c r="P891" s="317"/>
    </row>
    <row r="892" spans="5:16" ht="12.75">
      <c r="E892" s="317"/>
      <c r="P892" s="317"/>
    </row>
    <row r="893" spans="5:16" ht="12.75">
      <c r="E893" s="317"/>
      <c r="P893" s="317"/>
    </row>
    <row r="894" spans="5:16" ht="12.75">
      <c r="E894" s="317"/>
      <c r="P894" s="317"/>
    </row>
    <row r="895" spans="5:16" ht="12.75">
      <c r="E895" s="317"/>
      <c r="P895" s="317"/>
    </row>
    <row r="896" spans="5:16" ht="12.75">
      <c r="E896" s="317"/>
      <c r="P896" s="317"/>
    </row>
    <row r="897" spans="5:16" ht="12.75">
      <c r="E897" s="317"/>
      <c r="P897" s="317"/>
    </row>
    <row r="898" spans="5:16" ht="12.75">
      <c r="E898" s="317"/>
      <c r="P898" s="317"/>
    </row>
    <row r="899" spans="5:16" ht="12.75">
      <c r="E899" s="317"/>
      <c r="P899" s="317"/>
    </row>
    <row r="900" spans="5:16" ht="12.75">
      <c r="E900" s="317"/>
      <c r="P900" s="317"/>
    </row>
    <row r="901" spans="5:16" ht="12.75">
      <c r="E901" s="317"/>
      <c r="P901" s="317"/>
    </row>
    <row r="902" spans="5:16" ht="12.75">
      <c r="E902" s="317"/>
      <c r="P902" s="317"/>
    </row>
    <row r="903" spans="5:16" ht="12.75">
      <c r="E903" s="317"/>
      <c r="P903" s="317"/>
    </row>
    <row r="904" spans="5:16" ht="12.75">
      <c r="E904" s="317"/>
      <c r="P904" s="317"/>
    </row>
    <row r="905" spans="5:16" ht="12.75">
      <c r="E905" s="317"/>
      <c r="P905" s="317"/>
    </row>
    <row r="906" spans="5:16" ht="12.75">
      <c r="E906" s="317"/>
      <c r="P906" s="317"/>
    </row>
    <row r="907" spans="5:16" ht="12.75">
      <c r="E907" s="317"/>
      <c r="P907" s="317"/>
    </row>
    <row r="908" spans="5:16" ht="12.75">
      <c r="E908" s="317"/>
      <c r="P908" s="317"/>
    </row>
    <row r="909" spans="5:16" ht="12.75">
      <c r="E909" s="317"/>
      <c r="P909" s="317"/>
    </row>
    <row r="910" spans="5:16" ht="12.75">
      <c r="E910" s="317"/>
      <c r="P910" s="317"/>
    </row>
    <row r="911" spans="5:16" ht="12.75">
      <c r="E911" s="317"/>
      <c r="P911" s="317"/>
    </row>
    <row r="912" spans="5:16" ht="12.75">
      <c r="E912" s="317"/>
      <c r="P912" s="317"/>
    </row>
    <row r="913" spans="5:16" ht="12.75">
      <c r="E913" s="317"/>
      <c r="P913" s="317"/>
    </row>
    <row r="914" spans="5:16" ht="12.75">
      <c r="E914" s="317"/>
      <c r="P914" s="317"/>
    </row>
    <row r="915" spans="5:16" ht="12.75">
      <c r="E915" s="317"/>
      <c r="P915" s="317"/>
    </row>
    <row r="916" spans="5:16" ht="12.75">
      <c r="E916" s="317"/>
      <c r="P916" s="317"/>
    </row>
    <row r="917" spans="5:16" ht="12.75">
      <c r="E917" s="317"/>
      <c r="P917" s="317"/>
    </row>
    <row r="918" spans="5:16" ht="12.75">
      <c r="E918" s="317"/>
      <c r="P918" s="317"/>
    </row>
    <row r="919" spans="5:16" ht="12.75">
      <c r="E919" s="317"/>
      <c r="P919" s="317"/>
    </row>
    <row r="920" spans="5:16" ht="12.75">
      <c r="E920" s="317"/>
      <c r="P920" s="317"/>
    </row>
    <row r="921" spans="5:16" ht="12.75">
      <c r="E921" s="317"/>
      <c r="P921" s="317"/>
    </row>
    <row r="922" spans="5:16" ht="12.75">
      <c r="E922" s="317"/>
      <c r="P922" s="317"/>
    </row>
    <row r="923" spans="5:16" ht="12.75">
      <c r="E923" s="317"/>
      <c r="P923" s="317"/>
    </row>
    <row r="924" spans="5:16" ht="12.75">
      <c r="E924" s="317"/>
      <c r="P924" s="317"/>
    </row>
    <row r="925" spans="5:16" ht="12.75">
      <c r="E925" s="317"/>
      <c r="P925" s="317"/>
    </row>
    <row r="926" spans="5:16" ht="12.75">
      <c r="E926" s="317"/>
      <c r="P926" s="317"/>
    </row>
    <row r="927" spans="5:16" ht="12.75">
      <c r="E927" s="317"/>
      <c r="P927" s="317"/>
    </row>
    <row r="928" spans="5:16" ht="12.75">
      <c r="E928" s="317"/>
      <c r="P928" s="317"/>
    </row>
    <row r="929" spans="5:16" ht="12.75">
      <c r="E929" s="317"/>
      <c r="P929" s="317"/>
    </row>
    <row r="930" spans="5:16" ht="12.75">
      <c r="E930" s="317"/>
      <c r="P930" s="317"/>
    </row>
    <row r="931" spans="5:16" ht="12.75">
      <c r="E931" s="317"/>
      <c r="P931" s="317"/>
    </row>
    <row r="932" spans="5:16" ht="12.75">
      <c r="E932" s="317"/>
      <c r="P932" s="317"/>
    </row>
    <row r="933" spans="5:16" ht="12.75">
      <c r="E933" s="317"/>
      <c r="P933" s="317"/>
    </row>
    <row r="934" spans="5:16" ht="12.75">
      <c r="E934" s="317"/>
      <c r="P934" s="317"/>
    </row>
    <row r="935" spans="5:16" ht="12.75">
      <c r="E935" s="317"/>
      <c r="P935" s="317"/>
    </row>
    <row r="936" spans="5:16" ht="12.75">
      <c r="E936" s="317"/>
      <c r="P936" s="317"/>
    </row>
    <row r="937" spans="5:16" ht="12.75">
      <c r="E937" s="317"/>
      <c r="P937" s="317"/>
    </row>
    <row r="938" spans="5:16" ht="12.75">
      <c r="E938" s="317"/>
      <c r="P938" s="317"/>
    </row>
    <row r="939" spans="5:16" ht="12.75">
      <c r="E939" s="317"/>
      <c r="P939" s="317"/>
    </row>
    <row r="940" spans="5:16" ht="12.75">
      <c r="E940" s="317"/>
      <c r="P940" s="317"/>
    </row>
    <row r="941" spans="5:16" ht="12.75">
      <c r="E941" s="317"/>
      <c r="P941" s="317"/>
    </row>
    <row r="942" spans="5:16" ht="12.75">
      <c r="E942" s="317"/>
      <c r="P942" s="317"/>
    </row>
    <row r="943" spans="5:16" ht="12.75">
      <c r="E943" s="317"/>
      <c r="P943" s="317"/>
    </row>
    <row r="944" spans="5:16" ht="12.75">
      <c r="E944" s="317"/>
      <c r="P944" s="317"/>
    </row>
    <row r="945" spans="5:16" ht="12.75">
      <c r="E945" s="317"/>
      <c r="P945" s="317"/>
    </row>
    <row r="946" spans="5:16" ht="12.75">
      <c r="E946" s="317"/>
      <c r="P946" s="317"/>
    </row>
    <row r="947" spans="5:16" ht="12.75">
      <c r="E947" s="317"/>
      <c r="P947" s="317"/>
    </row>
    <row r="948" spans="5:16" ht="12.75">
      <c r="E948" s="317"/>
      <c r="P948" s="317"/>
    </row>
    <row r="949" spans="5:16" ht="12.75">
      <c r="E949" s="317"/>
      <c r="P949" s="317"/>
    </row>
    <row r="950" spans="5:16" ht="12.75">
      <c r="E950" s="317"/>
      <c r="P950" s="317"/>
    </row>
    <row r="951" spans="5:16" ht="12.75">
      <c r="E951" s="317"/>
      <c r="P951" s="317"/>
    </row>
    <row r="952" spans="5:16" ht="12.75">
      <c r="E952" s="317"/>
      <c r="P952" s="317"/>
    </row>
    <row r="953" spans="5:16" ht="12.75">
      <c r="E953" s="317"/>
      <c r="P953" s="317"/>
    </row>
    <row r="954" spans="5:16" ht="12.75">
      <c r="E954" s="317"/>
      <c r="P954" s="317"/>
    </row>
    <row r="955" spans="5:16" ht="12.75">
      <c r="E955" s="317"/>
      <c r="P955" s="317"/>
    </row>
    <row r="956" spans="5:16" ht="12.75">
      <c r="E956" s="317"/>
      <c r="P956" s="317"/>
    </row>
    <row r="957" spans="5:16" ht="12.75">
      <c r="E957" s="317"/>
      <c r="P957" s="317"/>
    </row>
    <row r="958" spans="5:16" ht="12.75">
      <c r="E958" s="317"/>
      <c r="P958" s="317"/>
    </row>
    <row r="959" spans="5:16" ht="12.75">
      <c r="E959" s="317"/>
      <c r="P959" s="317"/>
    </row>
    <row r="960" spans="5:16" ht="12.75">
      <c r="E960" s="317"/>
      <c r="P960" s="317"/>
    </row>
    <row r="961" spans="5:16" ht="12.75">
      <c r="E961" s="317"/>
      <c r="P961" s="317"/>
    </row>
    <row r="962" spans="5:16" ht="12.75">
      <c r="E962" s="317"/>
      <c r="P962" s="317"/>
    </row>
    <row r="963" spans="5:16" ht="12.75">
      <c r="E963" s="317"/>
      <c r="P963" s="317"/>
    </row>
    <row r="964" spans="5:16" ht="12.75">
      <c r="E964" s="317"/>
      <c r="P964" s="317"/>
    </row>
    <row r="965" spans="5:16" ht="12.75">
      <c r="E965" s="317"/>
      <c r="P965" s="317"/>
    </row>
    <row r="966" spans="5:16" ht="12.75">
      <c r="E966" s="317"/>
      <c r="P966" s="317"/>
    </row>
    <row r="967" spans="5:16" ht="12.75">
      <c r="E967" s="317"/>
      <c r="P967" s="317"/>
    </row>
    <row r="968" spans="5:16" ht="12.75">
      <c r="E968" s="317"/>
      <c r="P968" s="317"/>
    </row>
    <row r="969" spans="5:16" ht="12.75">
      <c r="E969" s="317"/>
      <c r="P969" s="317"/>
    </row>
    <row r="970" spans="5:16" ht="12.75">
      <c r="E970" s="317"/>
      <c r="P970" s="317"/>
    </row>
    <row r="971" spans="5:16" ht="12.75">
      <c r="E971" s="317"/>
      <c r="P971" s="317"/>
    </row>
    <row r="972" spans="5:16" ht="12.75">
      <c r="E972" s="317"/>
      <c r="P972" s="317"/>
    </row>
    <row r="973" spans="5:16" ht="12.75">
      <c r="E973" s="317"/>
      <c r="P973" s="317"/>
    </row>
    <row r="974" spans="5:16" ht="12.75">
      <c r="E974" s="317"/>
      <c r="P974" s="317"/>
    </row>
    <row r="975" spans="5:16" ht="12.75">
      <c r="E975" s="317"/>
      <c r="P975" s="317"/>
    </row>
    <row r="976" spans="5:16" ht="12.75">
      <c r="E976" s="317"/>
      <c r="P976" s="317"/>
    </row>
    <row r="977" spans="5:16" ht="12.75">
      <c r="E977" s="317"/>
      <c r="P977" s="317"/>
    </row>
    <row r="978" spans="5:16" ht="12.75">
      <c r="E978" s="317"/>
      <c r="P978" s="317"/>
    </row>
    <row r="979" spans="5:16" ht="12.75">
      <c r="E979" s="317"/>
      <c r="P979" s="317"/>
    </row>
    <row r="980" spans="5:16" ht="12.75">
      <c r="E980" s="317"/>
      <c r="P980" s="317"/>
    </row>
    <row r="981" spans="5:16" ht="12.75">
      <c r="E981" s="317"/>
      <c r="P981" s="317"/>
    </row>
    <row r="982" spans="5:16" ht="12.75">
      <c r="E982" s="317"/>
      <c r="P982" s="317"/>
    </row>
    <row r="983" spans="5:16" ht="12.75">
      <c r="E983" s="317"/>
      <c r="P983" s="317"/>
    </row>
    <row r="984" spans="5:16" ht="12.75">
      <c r="E984" s="317"/>
      <c r="P984" s="317"/>
    </row>
    <row r="985" spans="5:16" ht="12.75">
      <c r="E985" s="317"/>
      <c r="P985" s="317"/>
    </row>
    <row r="986" spans="5:16" ht="12.75">
      <c r="E986" s="317"/>
      <c r="P986" s="317"/>
    </row>
    <row r="987" spans="5:16" ht="12.75">
      <c r="E987" s="317"/>
      <c r="P987" s="317"/>
    </row>
    <row r="988" spans="5:16" ht="12.75">
      <c r="E988" s="317"/>
      <c r="P988" s="317"/>
    </row>
    <row r="989" spans="5:16" ht="12.75">
      <c r="E989" s="317"/>
      <c r="P989" s="317"/>
    </row>
    <row r="990" spans="5:16" ht="12.75">
      <c r="E990" s="317"/>
      <c r="P990" s="317"/>
    </row>
    <row r="991" spans="5:16" ht="12.75">
      <c r="E991" s="317"/>
      <c r="P991" s="317"/>
    </row>
    <row r="992" spans="5:16" ht="12.75">
      <c r="E992" s="317"/>
      <c r="P992" s="317"/>
    </row>
    <row r="993" spans="5:16" ht="12.75">
      <c r="E993" s="317"/>
      <c r="P993" s="317"/>
    </row>
    <row r="994" spans="5:16" ht="12.75">
      <c r="E994" s="317"/>
      <c r="P994" s="317"/>
    </row>
    <row r="995" spans="5:16" ht="12.75">
      <c r="E995" s="317"/>
      <c r="P995" s="317"/>
    </row>
    <row r="996" spans="5:16" ht="12.75">
      <c r="E996" s="317"/>
      <c r="P996" s="317"/>
    </row>
    <row r="997" spans="5:16" ht="12.75">
      <c r="E997" s="317"/>
      <c r="P997" s="317"/>
    </row>
  </sheetData>
  <autoFilter ref="A1:U335"/>
  <conditionalFormatting sqref="C295:E295">
    <cfRule type="expression" dxfId="106" priority="1">
      <formula>$I295="OPEN"</formula>
    </cfRule>
  </conditionalFormatting>
  <conditionalFormatting sqref="C295:E295">
    <cfRule type="expression" dxfId="105" priority="2">
      <formula>$I295="CLOSED"</formula>
    </cfRule>
  </conditionalFormatting>
  <dataValidations count="4">
    <dataValidation type="list" allowBlank="1" showErrorMessage="1" sqref="U2:U28 U30:U294 U296:U335">
      <formula1>"AUTHOR,DEFFECT,GSE,IRR,MP,NS,NT,OCT,TC,WT,WTP"</formula1>
    </dataValidation>
    <dataValidation type="list" allowBlank="1" showErrorMessage="1" sqref="U29">
      <formula1>"AUTHOR,DEFFECT,GSE,IRR,MP,NS,NT,OCT,TC,WT,WTP,LT"</formula1>
    </dataValidation>
    <dataValidation type="custom" allowBlank="1" showDropDown="1" showErrorMessage="1" sqref="R2:R56 R61 R67 R76:R81 R101:R116 R123:R137 R142:R253 R255:R335">
      <formula1>OR(NOT(ISERROR(DATEVALUE(R2))), AND(ISNUMBER(R2), LEFT(CELL("format", R2))="D"))</formula1>
    </dataValidation>
    <dataValidation type="list" allowBlank="1" showErrorMessage="1" sqref="Q123">
      <formula1>"OPEN,CLOSED"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12"/>
  <sheetViews>
    <sheetView workbookViewId="0">
      <pane ySplit="1" topLeftCell="A2" activePane="bottomLeft" state="frozen"/>
      <selection pane="bottomLeft" activeCell="B3" sqref="B3"/>
    </sheetView>
  </sheetViews>
  <sheetFormatPr defaultColWidth="12.5703125" defaultRowHeight="15" customHeight="1"/>
  <cols>
    <col min="1" max="1" width="9.42578125" customWidth="1"/>
    <col min="2" max="2" width="11.5703125" customWidth="1"/>
    <col min="3" max="3" width="9.85546875" customWidth="1"/>
    <col min="4" max="4" width="9.28515625" customWidth="1"/>
    <col min="5" max="5" width="11" customWidth="1"/>
    <col min="6" max="6" width="6" customWidth="1"/>
    <col min="7" max="7" width="8.42578125" customWidth="1"/>
    <col min="8" max="8" width="10.5703125" customWidth="1"/>
    <col min="9" max="9" width="10.42578125" customWidth="1"/>
    <col min="10" max="11" width="9.5703125" customWidth="1"/>
    <col min="12" max="12" width="54.140625" customWidth="1"/>
    <col min="13" max="14" width="11.140625" customWidth="1"/>
    <col min="15" max="19" width="13" customWidth="1"/>
    <col min="20" max="20" width="9.5703125" customWidth="1"/>
    <col min="21" max="21" width="15" customWidth="1"/>
    <col min="22" max="22" width="12.42578125" customWidth="1"/>
  </cols>
  <sheetData>
    <row r="1" spans="1:22" ht="28.5" customHeight="1">
      <c r="A1" s="240" t="s">
        <v>24</v>
      </c>
      <c r="B1" s="240" t="s">
        <v>47</v>
      </c>
      <c r="C1" s="240" t="s">
        <v>689</v>
      </c>
      <c r="D1" s="240" t="s">
        <v>690</v>
      </c>
      <c r="E1" s="240" t="s">
        <v>691</v>
      </c>
      <c r="F1" s="240" t="s">
        <v>546</v>
      </c>
      <c r="G1" s="240" t="s">
        <v>692</v>
      </c>
      <c r="H1" s="240" t="s">
        <v>693</v>
      </c>
      <c r="I1" s="240" t="s">
        <v>456</v>
      </c>
      <c r="J1" s="240" t="s">
        <v>51</v>
      </c>
      <c r="K1" s="241" t="s">
        <v>694</v>
      </c>
      <c r="L1" s="241" t="s">
        <v>695</v>
      </c>
      <c r="M1" s="241" t="s">
        <v>696</v>
      </c>
      <c r="N1" s="241" t="s">
        <v>697</v>
      </c>
      <c r="O1" s="241" t="s">
        <v>698</v>
      </c>
      <c r="P1" s="241" t="s">
        <v>699</v>
      </c>
      <c r="Q1" s="241" t="s">
        <v>700</v>
      </c>
      <c r="R1" s="241" t="s">
        <v>701</v>
      </c>
      <c r="S1" s="241" t="s">
        <v>702</v>
      </c>
      <c r="T1" s="241" t="s">
        <v>703</v>
      </c>
      <c r="U1" s="241" t="s">
        <v>704</v>
      </c>
      <c r="V1" s="241" t="s">
        <v>705</v>
      </c>
    </row>
    <row r="2" spans="1:22" ht="12.75">
      <c r="A2" s="242">
        <v>46307</v>
      </c>
      <c r="B2" s="243" t="s">
        <v>556</v>
      </c>
      <c r="C2" s="243" t="s">
        <v>706</v>
      </c>
      <c r="D2" s="243" t="s">
        <v>451</v>
      </c>
      <c r="E2" s="243" t="s">
        <v>707</v>
      </c>
      <c r="F2" s="243" t="s">
        <v>97</v>
      </c>
      <c r="G2" s="243" t="s">
        <v>708</v>
      </c>
      <c r="H2" s="243" t="s">
        <v>709</v>
      </c>
      <c r="I2" s="244" t="s">
        <v>710</v>
      </c>
      <c r="J2" s="243" t="s">
        <v>34</v>
      </c>
      <c r="K2" s="243" t="s">
        <v>711</v>
      </c>
      <c r="L2" s="245" t="s">
        <v>712</v>
      </c>
      <c r="M2" s="243">
        <v>17.399999999999999</v>
      </c>
      <c r="N2" s="243">
        <v>18.399999999999999</v>
      </c>
      <c r="O2" s="243" t="s">
        <v>713</v>
      </c>
      <c r="P2" s="243" t="s">
        <v>714</v>
      </c>
      <c r="Q2" s="243"/>
      <c r="R2" s="243"/>
      <c r="S2" s="243"/>
      <c r="T2" s="246"/>
      <c r="U2" s="246"/>
      <c r="V2" s="246"/>
    </row>
    <row r="3" spans="1:22" ht="12.75">
      <c r="A3" s="247">
        <v>46307</v>
      </c>
      <c r="B3" s="248" t="s">
        <v>556</v>
      </c>
      <c r="C3" s="248" t="s">
        <v>706</v>
      </c>
      <c r="D3" s="248" t="s">
        <v>451</v>
      </c>
      <c r="E3" s="248" t="s">
        <v>707</v>
      </c>
      <c r="F3" s="248" t="s">
        <v>97</v>
      </c>
      <c r="G3" s="248" t="s">
        <v>708</v>
      </c>
      <c r="H3" s="248" t="s">
        <v>709</v>
      </c>
      <c r="I3" s="249" t="s">
        <v>710</v>
      </c>
      <c r="J3" s="248" t="s">
        <v>34</v>
      </c>
      <c r="K3" s="248" t="s">
        <v>715</v>
      </c>
      <c r="L3" s="250" t="s">
        <v>716</v>
      </c>
      <c r="M3" s="248">
        <v>18.5</v>
      </c>
      <c r="N3" s="248">
        <v>19.2</v>
      </c>
      <c r="O3" s="248" t="s">
        <v>713</v>
      </c>
      <c r="P3" s="248" t="s">
        <v>714</v>
      </c>
      <c r="Q3" s="248"/>
      <c r="R3" s="248"/>
      <c r="S3" s="248"/>
      <c r="T3" s="246"/>
      <c r="U3" s="246"/>
      <c r="V3" s="246"/>
    </row>
    <row r="4" spans="1:22" ht="12.75">
      <c r="A4" s="242">
        <v>46307</v>
      </c>
      <c r="B4" s="243" t="s">
        <v>556</v>
      </c>
      <c r="C4" s="243" t="s">
        <v>706</v>
      </c>
      <c r="D4" s="243" t="s">
        <v>451</v>
      </c>
      <c r="E4" s="243" t="s">
        <v>707</v>
      </c>
      <c r="F4" s="243" t="s">
        <v>97</v>
      </c>
      <c r="G4" s="243" t="s">
        <v>708</v>
      </c>
      <c r="H4" s="243" t="s">
        <v>709</v>
      </c>
      <c r="I4" s="244" t="s">
        <v>710</v>
      </c>
      <c r="J4" s="243" t="s">
        <v>34</v>
      </c>
      <c r="K4" s="243" t="s">
        <v>717</v>
      </c>
      <c r="L4" s="245" t="s">
        <v>718</v>
      </c>
      <c r="M4" s="243">
        <v>19.3</v>
      </c>
      <c r="N4" s="243">
        <v>20</v>
      </c>
      <c r="O4" s="243" t="s">
        <v>713</v>
      </c>
      <c r="P4" s="243" t="s">
        <v>714</v>
      </c>
      <c r="Q4" s="243"/>
      <c r="R4" s="243"/>
      <c r="S4" s="243"/>
      <c r="T4" s="246"/>
      <c r="U4" s="246"/>
      <c r="V4" s="246"/>
    </row>
    <row r="5" spans="1:22" ht="12.75">
      <c r="A5" s="247">
        <v>46307</v>
      </c>
      <c r="B5" s="248" t="s">
        <v>556</v>
      </c>
      <c r="C5" s="248" t="s">
        <v>706</v>
      </c>
      <c r="D5" s="248" t="s">
        <v>451</v>
      </c>
      <c r="E5" s="248" t="s">
        <v>707</v>
      </c>
      <c r="F5" s="248" t="s">
        <v>97</v>
      </c>
      <c r="G5" s="248" t="s">
        <v>708</v>
      </c>
      <c r="H5" s="248" t="s">
        <v>709</v>
      </c>
      <c r="I5" s="249" t="s">
        <v>710</v>
      </c>
      <c r="J5" s="248" t="s">
        <v>34</v>
      </c>
      <c r="K5" s="248" t="s">
        <v>719</v>
      </c>
      <c r="L5" s="250" t="s">
        <v>720</v>
      </c>
      <c r="M5" s="248">
        <v>20.100000000000001</v>
      </c>
      <c r="N5" s="248">
        <v>21.1</v>
      </c>
      <c r="O5" s="248" t="s">
        <v>713</v>
      </c>
      <c r="P5" s="248" t="s">
        <v>714</v>
      </c>
      <c r="Q5" s="248"/>
      <c r="R5" s="248"/>
      <c r="S5" s="248"/>
      <c r="T5" s="246"/>
      <c r="U5" s="246"/>
      <c r="V5" s="246"/>
    </row>
    <row r="6" spans="1:22" ht="12.75">
      <c r="A6" s="242">
        <v>46307</v>
      </c>
      <c r="B6" s="243" t="s">
        <v>549</v>
      </c>
      <c r="C6" s="243" t="s">
        <v>721</v>
      </c>
      <c r="D6" s="243" t="s">
        <v>232</v>
      </c>
      <c r="E6" s="243" t="s">
        <v>707</v>
      </c>
      <c r="F6" s="243" t="s">
        <v>97</v>
      </c>
      <c r="G6" s="243" t="s">
        <v>708</v>
      </c>
      <c r="H6" s="243" t="s">
        <v>709</v>
      </c>
      <c r="I6" s="244" t="s">
        <v>710</v>
      </c>
      <c r="J6" s="243" t="s">
        <v>34</v>
      </c>
      <c r="K6" s="243" t="s">
        <v>722</v>
      </c>
      <c r="L6" s="245" t="s">
        <v>723</v>
      </c>
      <c r="M6" s="243">
        <v>21.2</v>
      </c>
      <c r="N6" s="243">
        <v>22.2</v>
      </c>
      <c r="O6" s="243" t="s">
        <v>713</v>
      </c>
      <c r="P6" s="243" t="s">
        <v>714</v>
      </c>
      <c r="Q6" s="243"/>
      <c r="R6" s="243"/>
      <c r="S6" s="243"/>
      <c r="T6" s="246"/>
      <c r="U6" s="246"/>
      <c r="V6" s="246"/>
    </row>
    <row r="7" spans="1:22" ht="12.75">
      <c r="A7" s="247">
        <v>46307</v>
      </c>
      <c r="B7" s="248" t="s">
        <v>547</v>
      </c>
      <c r="C7" s="248" t="s">
        <v>53</v>
      </c>
      <c r="D7" s="248" t="s">
        <v>223</v>
      </c>
      <c r="E7" s="248" t="s">
        <v>707</v>
      </c>
      <c r="F7" s="248" t="s">
        <v>97</v>
      </c>
      <c r="G7" s="248" t="s">
        <v>708</v>
      </c>
      <c r="H7" s="248" t="s">
        <v>709</v>
      </c>
      <c r="I7" s="249" t="s">
        <v>710</v>
      </c>
      <c r="J7" s="248" t="s">
        <v>34</v>
      </c>
      <c r="K7" s="248" t="s">
        <v>726</v>
      </c>
      <c r="L7" s="250" t="s">
        <v>723</v>
      </c>
      <c r="M7" s="248">
        <v>22.3</v>
      </c>
      <c r="N7" s="248">
        <v>23.3</v>
      </c>
      <c r="O7" s="248" t="s">
        <v>713</v>
      </c>
      <c r="P7" s="248" t="s">
        <v>714</v>
      </c>
      <c r="Q7" s="248"/>
      <c r="R7" s="248"/>
      <c r="S7" s="248"/>
      <c r="T7" s="246"/>
      <c r="U7" s="246"/>
      <c r="V7" s="246"/>
    </row>
    <row r="8" spans="1:22" ht="12.75">
      <c r="A8" s="242">
        <v>46307</v>
      </c>
      <c r="B8" s="243" t="s">
        <v>547</v>
      </c>
      <c r="C8" s="243" t="s">
        <v>53</v>
      </c>
      <c r="D8" s="243" t="s">
        <v>223</v>
      </c>
      <c r="E8" s="243" t="s">
        <v>707</v>
      </c>
      <c r="F8" s="243" t="s">
        <v>97</v>
      </c>
      <c r="G8" s="243" t="s">
        <v>708</v>
      </c>
      <c r="H8" s="243" t="s">
        <v>709</v>
      </c>
      <c r="I8" s="244" t="s">
        <v>710</v>
      </c>
      <c r="J8" s="243" t="s">
        <v>34</v>
      </c>
      <c r="K8" s="243" t="s">
        <v>731</v>
      </c>
      <c r="L8" s="245" t="s">
        <v>732</v>
      </c>
      <c r="M8" s="243">
        <v>23.4</v>
      </c>
      <c r="N8" s="243">
        <v>0.1</v>
      </c>
      <c r="O8" s="243" t="s">
        <v>713</v>
      </c>
      <c r="P8" s="243" t="s">
        <v>714</v>
      </c>
      <c r="Q8" s="243"/>
      <c r="R8" s="243"/>
      <c r="S8" s="243"/>
      <c r="T8" s="246"/>
      <c r="U8" s="246"/>
      <c r="V8" s="246"/>
    </row>
    <row r="9" spans="1:22" ht="12.75">
      <c r="A9" s="247">
        <v>46307</v>
      </c>
      <c r="B9" s="248" t="s">
        <v>549</v>
      </c>
      <c r="C9" s="248" t="s">
        <v>738</v>
      </c>
      <c r="D9" s="248" t="s">
        <v>739</v>
      </c>
      <c r="E9" s="248" t="s">
        <v>707</v>
      </c>
      <c r="F9" s="248" t="s">
        <v>89</v>
      </c>
      <c r="G9" s="248" t="s">
        <v>708</v>
      </c>
      <c r="H9" s="248" t="s">
        <v>740</v>
      </c>
      <c r="I9" s="249" t="s">
        <v>710</v>
      </c>
      <c r="J9" s="248" t="s">
        <v>34</v>
      </c>
      <c r="K9" s="248" t="s">
        <v>741</v>
      </c>
      <c r="L9" s="250" t="s">
        <v>742</v>
      </c>
      <c r="M9" s="256">
        <v>0.75</v>
      </c>
      <c r="N9" s="256">
        <v>0.79166666666666663</v>
      </c>
      <c r="O9" s="248" t="s">
        <v>744</v>
      </c>
      <c r="P9" s="248"/>
      <c r="Q9" s="248"/>
      <c r="R9" s="248"/>
      <c r="S9" s="248"/>
      <c r="T9" s="246"/>
      <c r="U9" s="246"/>
      <c r="V9" s="246"/>
    </row>
    <row r="10" spans="1:22" ht="12.75">
      <c r="A10" s="242">
        <v>46307</v>
      </c>
      <c r="B10" s="243" t="s">
        <v>549</v>
      </c>
      <c r="C10" s="243" t="s">
        <v>746</v>
      </c>
      <c r="D10" s="243" t="s">
        <v>747</v>
      </c>
      <c r="E10" s="243" t="s">
        <v>707</v>
      </c>
      <c r="F10" s="243" t="s">
        <v>89</v>
      </c>
      <c r="G10" s="243" t="s">
        <v>708</v>
      </c>
      <c r="H10" s="243" t="s">
        <v>740</v>
      </c>
      <c r="I10" s="244" t="s">
        <v>710</v>
      </c>
      <c r="J10" s="243" t="s">
        <v>34</v>
      </c>
      <c r="K10" s="243" t="s">
        <v>748</v>
      </c>
      <c r="L10" s="245" t="s">
        <v>749</v>
      </c>
      <c r="M10" s="259">
        <v>0.79861111111111116</v>
      </c>
      <c r="N10" s="259">
        <v>0.80902777777777779</v>
      </c>
      <c r="O10" s="243" t="s">
        <v>744</v>
      </c>
      <c r="P10" s="243"/>
      <c r="Q10" s="243"/>
      <c r="R10" s="243"/>
      <c r="S10" s="243"/>
      <c r="T10" s="246"/>
      <c r="U10" s="246"/>
      <c r="V10" s="246"/>
    </row>
    <row r="11" spans="1:22" ht="12.75">
      <c r="A11" s="247">
        <v>46307</v>
      </c>
      <c r="B11" s="248" t="s">
        <v>549</v>
      </c>
      <c r="C11" s="248" t="s">
        <v>746</v>
      </c>
      <c r="D11" s="248" t="s">
        <v>747</v>
      </c>
      <c r="E11" s="248" t="s">
        <v>707</v>
      </c>
      <c r="F11" s="248" t="s">
        <v>89</v>
      </c>
      <c r="G11" s="248" t="s">
        <v>708</v>
      </c>
      <c r="H11" s="248" t="s">
        <v>740</v>
      </c>
      <c r="I11" s="249" t="s">
        <v>710</v>
      </c>
      <c r="J11" s="248" t="s">
        <v>34</v>
      </c>
      <c r="K11" s="248" t="s">
        <v>753</v>
      </c>
      <c r="L11" s="250" t="s">
        <v>742</v>
      </c>
      <c r="M11" s="256">
        <v>0.80902777777777779</v>
      </c>
      <c r="N11" s="256">
        <v>0.85069444444444442</v>
      </c>
      <c r="O11" s="248" t="s">
        <v>744</v>
      </c>
      <c r="P11" s="248"/>
      <c r="Q11" s="248"/>
      <c r="R11" s="248"/>
      <c r="S11" s="248"/>
      <c r="T11" s="246"/>
      <c r="U11" s="246"/>
      <c r="V11" s="246"/>
    </row>
    <row r="12" spans="1:22" ht="12.75">
      <c r="A12" s="242">
        <v>46307</v>
      </c>
      <c r="B12" s="243" t="s">
        <v>547</v>
      </c>
      <c r="C12" s="243" t="s">
        <v>53</v>
      </c>
      <c r="D12" s="243" t="s">
        <v>349</v>
      </c>
      <c r="E12" s="243" t="s">
        <v>707</v>
      </c>
      <c r="F12" s="243" t="s">
        <v>89</v>
      </c>
      <c r="G12" s="243" t="s">
        <v>708</v>
      </c>
      <c r="H12" s="243" t="s">
        <v>740</v>
      </c>
      <c r="I12" s="244" t="s">
        <v>710</v>
      </c>
      <c r="J12" s="243" t="s">
        <v>34</v>
      </c>
      <c r="K12" s="243" t="s">
        <v>754</v>
      </c>
      <c r="L12" s="245" t="s">
        <v>755</v>
      </c>
      <c r="M12" s="259">
        <v>0.85555555555555551</v>
      </c>
      <c r="N12" s="259">
        <v>0.87013888888888891</v>
      </c>
      <c r="O12" s="243" t="s">
        <v>744</v>
      </c>
      <c r="P12" s="243"/>
      <c r="Q12" s="243"/>
      <c r="R12" s="243"/>
      <c r="S12" s="243"/>
      <c r="T12" s="246"/>
      <c r="U12" s="246"/>
      <c r="V12" s="246"/>
    </row>
    <row r="13" spans="1:22" ht="12.75">
      <c r="A13" s="247">
        <v>46307</v>
      </c>
      <c r="B13" s="248" t="s">
        <v>547</v>
      </c>
      <c r="C13" s="248" t="s">
        <v>53</v>
      </c>
      <c r="D13" s="248" t="s">
        <v>349</v>
      </c>
      <c r="E13" s="248" t="s">
        <v>707</v>
      </c>
      <c r="F13" s="248" t="s">
        <v>89</v>
      </c>
      <c r="G13" s="248" t="s">
        <v>708</v>
      </c>
      <c r="H13" s="248" t="s">
        <v>740</v>
      </c>
      <c r="I13" s="249" t="s">
        <v>710</v>
      </c>
      <c r="J13" s="248" t="s">
        <v>34</v>
      </c>
      <c r="K13" s="248" t="s">
        <v>756</v>
      </c>
      <c r="L13" s="250" t="s">
        <v>757</v>
      </c>
      <c r="M13" s="256">
        <v>0.91319444444444442</v>
      </c>
      <c r="N13" s="256">
        <v>0.93125000000000002</v>
      </c>
      <c r="O13" s="248" t="s">
        <v>744</v>
      </c>
      <c r="P13" s="248"/>
      <c r="Q13" s="248"/>
      <c r="R13" s="248"/>
      <c r="S13" s="248"/>
      <c r="T13" s="246"/>
      <c r="U13" s="246"/>
      <c r="V13" s="246"/>
    </row>
    <row r="14" spans="1:22" ht="12.75">
      <c r="A14" s="242">
        <v>46307</v>
      </c>
      <c r="B14" s="243" t="s">
        <v>547</v>
      </c>
      <c r="C14" s="243" t="s">
        <v>53</v>
      </c>
      <c r="D14" s="243" t="s">
        <v>349</v>
      </c>
      <c r="E14" s="243" t="s">
        <v>707</v>
      </c>
      <c r="F14" s="243" t="s">
        <v>89</v>
      </c>
      <c r="G14" s="243" t="s">
        <v>708</v>
      </c>
      <c r="H14" s="243" t="s">
        <v>740</v>
      </c>
      <c r="I14" s="244" t="s">
        <v>710</v>
      </c>
      <c r="J14" s="243" t="s">
        <v>34</v>
      </c>
      <c r="K14" s="243" t="s">
        <v>758</v>
      </c>
      <c r="L14" s="245" t="s">
        <v>742</v>
      </c>
      <c r="M14" s="259">
        <v>0.93055555555555558</v>
      </c>
      <c r="N14" s="259">
        <v>0.97222222222222221</v>
      </c>
      <c r="O14" s="243" t="s">
        <v>744</v>
      </c>
      <c r="P14" s="243"/>
      <c r="Q14" s="243"/>
      <c r="R14" s="243"/>
      <c r="S14" s="243"/>
      <c r="T14" s="246"/>
      <c r="U14" s="246"/>
      <c r="V14" s="246"/>
    </row>
    <row r="15" spans="1:22" ht="12.75">
      <c r="A15" s="247">
        <v>46307</v>
      </c>
      <c r="B15" s="248" t="s">
        <v>547</v>
      </c>
      <c r="C15" s="248" t="s">
        <v>53</v>
      </c>
      <c r="D15" s="248" t="s">
        <v>760</v>
      </c>
      <c r="E15" s="248" t="s">
        <v>762</v>
      </c>
      <c r="F15" s="248" t="s">
        <v>109</v>
      </c>
      <c r="G15" s="248" t="s">
        <v>764</v>
      </c>
      <c r="H15" s="248" t="s">
        <v>740</v>
      </c>
      <c r="I15" s="249" t="s">
        <v>710</v>
      </c>
      <c r="J15" s="248" t="s">
        <v>34</v>
      </c>
      <c r="K15" s="248" t="s">
        <v>766</v>
      </c>
      <c r="L15" s="250" t="s">
        <v>767</v>
      </c>
      <c r="M15" s="256">
        <v>0.4375</v>
      </c>
      <c r="N15" s="256">
        <v>0.45833333333333331</v>
      </c>
      <c r="O15" s="248" t="s">
        <v>768</v>
      </c>
      <c r="P15" s="248"/>
      <c r="Q15" s="248"/>
      <c r="R15" s="248"/>
      <c r="S15" s="248"/>
      <c r="T15" s="246"/>
      <c r="U15" s="246"/>
      <c r="V15" s="246"/>
    </row>
    <row r="16" spans="1:22" ht="12.75">
      <c r="A16" s="242">
        <v>46307</v>
      </c>
      <c r="B16" s="243" t="s">
        <v>547</v>
      </c>
      <c r="C16" s="243" t="s">
        <v>53</v>
      </c>
      <c r="D16" s="243" t="s">
        <v>760</v>
      </c>
      <c r="E16" s="243" t="s">
        <v>762</v>
      </c>
      <c r="F16" s="243" t="s">
        <v>109</v>
      </c>
      <c r="G16" s="243" t="s">
        <v>764</v>
      </c>
      <c r="H16" s="243" t="s">
        <v>740</v>
      </c>
      <c r="I16" s="244" t="s">
        <v>710</v>
      </c>
      <c r="J16" s="243" t="s">
        <v>34</v>
      </c>
      <c r="K16" s="243" t="s">
        <v>769</v>
      </c>
      <c r="L16" s="245" t="s">
        <v>770</v>
      </c>
      <c r="M16" s="259">
        <v>0.45833333333333331</v>
      </c>
      <c r="N16" s="259">
        <v>0.47916666666666669</v>
      </c>
      <c r="O16" s="243" t="s">
        <v>771</v>
      </c>
      <c r="P16" s="243"/>
      <c r="Q16" s="243"/>
      <c r="R16" s="243"/>
      <c r="S16" s="243"/>
      <c r="T16" s="246"/>
      <c r="U16" s="246"/>
      <c r="V16" s="246"/>
    </row>
    <row r="17" spans="1:22" ht="12.75">
      <c r="A17" s="247">
        <v>46307</v>
      </c>
      <c r="B17" s="248" t="s">
        <v>547</v>
      </c>
      <c r="C17" s="248" t="s">
        <v>53</v>
      </c>
      <c r="D17" s="248" t="s">
        <v>760</v>
      </c>
      <c r="E17" s="248" t="s">
        <v>762</v>
      </c>
      <c r="F17" s="248" t="s">
        <v>109</v>
      </c>
      <c r="G17" s="248" t="s">
        <v>764</v>
      </c>
      <c r="H17" s="248" t="s">
        <v>740</v>
      </c>
      <c r="I17" s="249" t="s">
        <v>710</v>
      </c>
      <c r="J17" s="248" t="s">
        <v>34</v>
      </c>
      <c r="K17" s="248" t="s">
        <v>772</v>
      </c>
      <c r="L17" s="250" t="s">
        <v>773</v>
      </c>
      <c r="M17" s="256">
        <v>0.47916666666666669</v>
      </c>
      <c r="N17" s="256">
        <v>0.5</v>
      </c>
      <c r="O17" s="248" t="s">
        <v>771</v>
      </c>
      <c r="P17" s="248"/>
      <c r="Q17" s="248"/>
      <c r="R17" s="248"/>
      <c r="S17" s="248"/>
      <c r="T17" s="246"/>
      <c r="U17" s="246"/>
      <c r="V17" s="246"/>
    </row>
    <row r="18" spans="1:22" ht="12.75">
      <c r="A18" s="242">
        <v>46307</v>
      </c>
      <c r="B18" s="243" t="s">
        <v>547</v>
      </c>
      <c r="C18" s="243" t="s">
        <v>53</v>
      </c>
      <c r="D18" s="243" t="s">
        <v>760</v>
      </c>
      <c r="E18" s="243" t="s">
        <v>762</v>
      </c>
      <c r="F18" s="243" t="s">
        <v>109</v>
      </c>
      <c r="G18" s="243" t="s">
        <v>764</v>
      </c>
      <c r="H18" s="243" t="s">
        <v>740</v>
      </c>
      <c r="I18" s="244" t="s">
        <v>710</v>
      </c>
      <c r="J18" s="243" t="s">
        <v>34</v>
      </c>
      <c r="K18" s="243" t="s">
        <v>774</v>
      </c>
      <c r="L18" s="245" t="s">
        <v>775</v>
      </c>
      <c r="M18" s="259">
        <v>0.47916666666666669</v>
      </c>
      <c r="N18" s="259">
        <v>0.5</v>
      </c>
      <c r="O18" s="243" t="s">
        <v>768</v>
      </c>
      <c r="P18" s="243"/>
      <c r="Q18" s="243"/>
      <c r="R18" s="243"/>
      <c r="S18" s="243"/>
      <c r="T18" s="246"/>
      <c r="U18" s="246"/>
      <c r="V18" s="246"/>
    </row>
    <row r="19" spans="1:22" ht="12.75">
      <c r="A19" s="247">
        <v>46307</v>
      </c>
      <c r="B19" s="248" t="s">
        <v>563</v>
      </c>
      <c r="C19" s="248" t="s">
        <v>53</v>
      </c>
      <c r="D19" s="248" t="s">
        <v>156</v>
      </c>
      <c r="E19" s="248" t="s">
        <v>707</v>
      </c>
      <c r="F19" s="248" t="s">
        <v>109</v>
      </c>
      <c r="G19" s="248" t="s">
        <v>764</v>
      </c>
      <c r="H19" s="248" t="s">
        <v>740</v>
      </c>
      <c r="I19" s="249" t="s">
        <v>710</v>
      </c>
      <c r="J19" s="248" t="s">
        <v>34</v>
      </c>
      <c r="K19" s="248" t="s">
        <v>781</v>
      </c>
      <c r="L19" s="250" t="s">
        <v>783</v>
      </c>
      <c r="M19" s="256">
        <v>0.625</v>
      </c>
      <c r="N19" s="256">
        <v>0.64583333333333337</v>
      </c>
      <c r="O19" s="248" t="s">
        <v>768</v>
      </c>
      <c r="P19" s="248" t="s">
        <v>768</v>
      </c>
      <c r="Q19" s="248"/>
      <c r="R19" s="248"/>
      <c r="S19" s="248"/>
      <c r="T19" s="246"/>
      <c r="U19" s="246"/>
      <c r="V19" s="246"/>
    </row>
    <row r="20" spans="1:22" ht="12.75">
      <c r="A20" s="242">
        <v>46307</v>
      </c>
      <c r="B20" s="243" t="s">
        <v>563</v>
      </c>
      <c r="C20" s="243" t="s">
        <v>53</v>
      </c>
      <c r="D20" s="243" t="s">
        <v>156</v>
      </c>
      <c r="E20" s="243" t="s">
        <v>707</v>
      </c>
      <c r="F20" s="243" t="s">
        <v>109</v>
      </c>
      <c r="G20" s="243" t="s">
        <v>764</v>
      </c>
      <c r="H20" s="243" t="s">
        <v>709</v>
      </c>
      <c r="I20" s="244" t="s">
        <v>710</v>
      </c>
      <c r="J20" s="243" t="s">
        <v>34</v>
      </c>
      <c r="K20" s="243" t="s">
        <v>790</v>
      </c>
      <c r="L20" s="245" t="s">
        <v>792</v>
      </c>
      <c r="M20" s="259">
        <v>0.64583333333333337</v>
      </c>
      <c r="N20" s="259">
        <v>0.66666666666666663</v>
      </c>
      <c r="O20" s="243" t="s">
        <v>768</v>
      </c>
      <c r="P20" s="243" t="s">
        <v>771</v>
      </c>
      <c r="Q20" s="243"/>
      <c r="R20" s="243"/>
      <c r="S20" s="243"/>
      <c r="T20" s="246"/>
      <c r="U20" s="246"/>
      <c r="V20" s="246"/>
    </row>
    <row r="21" spans="1:22" ht="12.75">
      <c r="A21" s="247">
        <v>46307</v>
      </c>
      <c r="B21" s="248" t="s">
        <v>563</v>
      </c>
      <c r="C21" s="248" t="s">
        <v>53</v>
      </c>
      <c r="D21" s="248" t="s">
        <v>156</v>
      </c>
      <c r="E21" s="248" t="s">
        <v>707</v>
      </c>
      <c r="F21" s="248" t="s">
        <v>109</v>
      </c>
      <c r="G21" s="248" t="s">
        <v>764</v>
      </c>
      <c r="H21" s="248" t="s">
        <v>709</v>
      </c>
      <c r="I21" s="249" t="s">
        <v>710</v>
      </c>
      <c r="J21" s="248" t="s">
        <v>34</v>
      </c>
      <c r="K21" s="248" t="s">
        <v>795</v>
      </c>
      <c r="L21" s="250" t="s">
        <v>796</v>
      </c>
      <c r="M21" s="256">
        <v>0.66666666666666663</v>
      </c>
      <c r="N21" s="256">
        <v>0.6875</v>
      </c>
      <c r="O21" s="248" t="s">
        <v>771</v>
      </c>
      <c r="P21" s="248"/>
      <c r="Q21" s="248"/>
      <c r="R21" s="248"/>
      <c r="S21" s="248"/>
      <c r="T21" s="246"/>
      <c r="U21" s="246"/>
      <c r="V21" s="246"/>
    </row>
    <row r="22" spans="1:22" ht="12.75">
      <c r="A22" s="242">
        <v>46307</v>
      </c>
      <c r="B22" s="243" t="s">
        <v>563</v>
      </c>
      <c r="C22" s="243" t="s">
        <v>53</v>
      </c>
      <c r="D22" s="243" t="s">
        <v>156</v>
      </c>
      <c r="E22" s="243" t="s">
        <v>707</v>
      </c>
      <c r="F22" s="243" t="s">
        <v>109</v>
      </c>
      <c r="G22" s="243" t="s">
        <v>764</v>
      </c>
      <c r="H22" s="243" t="s">
        <v>709</v>
      </c>
      <c r="I22" s="244" t="s">
        <v>710</v>
      </c>
      <c r="J22" s="243" t="s">
        <v>34</v>
      </c>
      <c r="K22" s="243" t="s">
        <v>797</v>
      </c>
      <c r="L22" s="245" t="s">
        <v>798</v>
      </c>
      <c r="M22" s="259">
        <v>0.6875</v>
      </c>
      <c r="N22" s="259">
        <v>0.77083333333333337</v>
      </c>
      <c r="O22" s="243" t="s">
        <v>771</v>
      </c>
      <c r="P22" s="243" t="s">
        <v>768</v>
      </c>
      <c r="Q22" s="243"/>
      <c r="R22" s="243"/>
      <c r="S22" s="243"/>
      <c r="T22" s="246"/>
      <c r="U22" s="246"/>
      <c r="V22" s="246"/>
    </row>
    <row r="23" spans="1:22" ht="12.75">
      <c r="A23" s="247">
        <v>46307</v>
      </c>
      <c r="B23" s="248" t="s">
        <v>563</v>
      </c>
      <c r="C23" s="248" t="s">
        <v>53</v>
      </c>
      <c r="D23" s="248" t="s">
        <v>776</v>
      </c>
      <c r="E23" s="248" t="s">
        <v>707</v>
      </c>
      <c r="F23" s="248" t="s">
        <v>109</v>
      </c>
      <c r="G23" s="248" t="s">
        <v>764</v>
      </c>
      <c r="H23" s="248" t="s">
        <v>740</v>
      </c>
      <c r="I23" s="249" t="s">
        <v>710</v>
      </c>
      <c r="J23" s="248" t="s">
        <v>34</v>
      </c>
      <c r="K23" s="248" t="s">
        <v>799</v>
      </c>
      <c r="L23" s="250" t="s">
        <v>800</v>
      </c>
      <c r="M23" s="256">
        <v>0.77083333333333337</v>
      </c>
      <c r="N23" s="256">
        <v>0.79166666666666663</v>
      </c>
      <c r="O23" s="248" t="s">
        <v>768</v>
      </c>
      <c r="P23" s="248" t="s">
        <v>771</v>
      </c>
      <c r="Q23" s="248"/>
      <c r="R23" s="248"/>
      <c r="S23" s="248"/>
      <c r="T23" s="246"/>
      <c r="U23" s="246"/>
      <c r="V23" s="246"/>
    </row>
    <row r="24" spans="1:22" ht="12.75">
      <c r="A24" s="242">
        <v>46307</v>
      </c>
      <c r="B24" s="243" t="s">
        <v>563</v>
      </c>
      <c r="C24" s="243" t="s">
        <v>53</v>
      </c>
      <c r="D24" s="243" t="s">
        <v>776</v>
      </c>
      <c r="E24" s="243" t="s">
        <v>707</v>
      </c>
      <c r="F24" s="243" t="s">
        <v>109</v>
      </c>
      <c r="G24" s="243" t="s">
        <v>764</v>
      </c>
      <c r="H24" s="243" t="s">
        <v>740</v>
      </c>
      <c r="I24" s="244" t="s">
        <v>710</v>
      </c>
      <c r="J24" s="243" t="s">
        <v>34</v>
      </c>
      <c r="K24" s="243" t="s">
        <v>801</v>
      </c>
      <c r="L24" s="245" t="s">
        <v>802</v>
      </c>
      <c r="M24" s="259">
        <v>0.77083333333333337</v>
      </c>
      <c r="N24" s="259">
        <v>0.79166666666666663</v>
      </c>
      <c r="O24" s="243" t="s">
        <v>771</v>
      </c>
      <c r="P24" s="243" t="s">
        <v>768</v>
      </c>
      <c r="Q24" s="243"/>
      <c r="R24" s="243"/>
      <c r="S24" s="243"/>
      <c r="T24" s="246"/>
      <c r="U24" s="246"/>
      <c r="V24" s="246"/>
    </row>
    <row r="25" spans="1:22" ht="12.75">
      <c r="A25" s="247">
        <v>46307</v>
      </c>
      <c r="B25" s="248" t="s">
        <v>563</v>
      </c>
      <c r="C25" s="248" t="s">
        <v>53</v>
      </c>
      <c r="D25" s="248" t="s">
        <v>776</v>
      </c>
      <c r="E25" s="248" t="s">
        <v>707</v>
      </c>
      <c r="F25" s="248" t="s">
        <v>109</v>
      </c>
      <c r="G25" s="248" t="s">
        <v>764</v>
      </c>
      <c r="H25" s="248" t="s">
        <v>740</v>
      </c>
      <c r="I25" s="249" t="s">
        <v>710</v>
      </c>
      <c r="J25" s="248" t="s">
        <v>34</v>
      </c>
      <c r="K25" s="248" t="s">
        <v>803</v>
      </c>
      <c r="L25" s="250" t="s">
        <v>804</v>
      </c>
      <c r="M25" s="256">
        <v>0.79166666666666663</v>
      </c>
      <c r="N25" s="256">
        <v>0.8125</v>
      </c>
      <c r="O25" s="248" t="s">
        <v>768</v>
      </c>
      <c r="P25" s="248"/>
      <c r="Q25" s="248"/>
      <c r="R25" s="248"/>
      <c r="S25" s="248"/>
      <c r="T25" s="246"/>
      <c r="U25" s="246"/>
      <c r="V25" s="246"/>
    </row>
    <row r="26" spans="1:22" ht="12.75">
      <c r="A26" s="242">
        <v>46307</v>
      </c>
      <c r="B26" s="243" t="s">
        <v>563</v>
      </c>
      <c r="C26" s="243" t="s">
        <v>53</v>
      </c>
      <c r="D26" s="243" t="s">
        <v>776</v>
      </c>
      <c r="E26" s="243" t="s">
        <v>707</v>
      </c>
      <c r="F26" s="243" t="s">
        <v>109</v>
      </c>
      <c r="G26" s="243" t="s">
        <v>764</v>
      </c>
      <c r="H26" s="243" t="s">
        <v>709</v>
      </c>
      <c r="I26" s="244" t="s">
        <v>710</v>
      </c>
      <c r="J26" s="243" t="s">
        <v>34</v>
      </c>
      <c r="K26" s="243" t="s">
        <v>805</v>
      </c>
      <c r="L26" s="245" t="s">
        <v>798</v>
      </c>
      <c r="M26" s="259">
        <v>0.83333333333333337</v>
      </c>
      <c r="N26" s="259">
        <v>0.91666666666666663</v>
      </c>
      <c r="O26" s="243" t="s">
        <v>771</v>
      </c>
      <c r="P26" s="243" t="s">
        <v>768</v>
      </c>
      <c r="Q26" s="243"/>
      <c r="R26" s="243"/>
      <c r="S26" s="243"/>
      <c r="T26" s="246"/>
      <c r="U26" s="246"/>
      <c r="V26" s="246"/>
    </row>
    <row r="27" spans="1:22" ht="12.75">
      <c r="A27" s="247">
        <v>46307</v>
      </c>
      <c r="B27" s="248" t="s">
        <v>547</v>
      </c>
      <c r="C27" s="248" t="s">
        <v>53</v>
      </c>
      <c r="D27" s="248" t="s">
        <v>806</v>
      </c>
      <c r="E27" s="248" t="s">
        <v>707</v>
      </c>
      <c r="F27" s="248" t="s">
        <v>109</v>
      </c>
      <c r="G27" s="248" t="s">
        <v>764</v>
      </c>
      <c r="H27" s="248" t="s">
        <v>740</v>
      </c>
      <c r="I27" s="249" t="s">
        <v>710</v>
      </c>
      <c r="J27" s="248" t="s">
        <v>34</v>
      </c>
      <c r="K27" s="248" t="s">
        <v>807</v>
      </c>
      <c r="L27" s="250" t="s">
        <v>808</v>
      </c>
      <c r="M27" s="256">
        <v>0.91666666666666663</v>
      </c>
      <c r="N27" s="256">
        <v>0.9375</v>
      </c>
      <c r="O27" s="248" t="s">
        <v>768</v>
      </c>
      <c r="P27" s="248"/>
      <c r="Q27" s="248"/>
      <c r="R27" s="248"/>
      <c r="S27" s="248"/>
      <c r="T27" s="246"/>
      <c r="U27" s="246"/>
      <c r="V27" s="246"/>
    </row>
    <row r="28" spans="1:22" ht="12.75">
      <c r="A28" s="242">
        <v>46307</v>
      </c>
      <c r="B28" s="243" t="s">
        <v>547</v>
      </c>
      <c r="C28" s="243" t="s">
        <v>53</v>
      </c>
      <c r="D28" s="243" t="s">
        <v>806</v>
      </c>
      <c r="E28" s="243" t="s">
        <v>707</v>
      </c>
      <c r="F28" s="243" t="s">
        <v>109</v>
      </c>
      <c r="G28" s="243" t="s">
        <v>764</v>
      </c>
      <c r="H28" s="243" t="s">
        <v>709</v>
      </c>
      <c r="I28" s="244" t="s">
        <v>710</v>
      </c>
      <c r="J28" s="243" t="s">
        <v>34</v>
      </c>
      <c r="K28" s="243" t="s">
        <v>809</v>
      </c>
      <c r="L28" s="245" t="s">
        <v>810</v>
      </c>
      <c r="M28" s="259">
        <v>0.91666666666666663</v>
      </c>
      <c r="N28" s="259">
        <v>0.9375</v>
      </c>
      <c r="O28" s="243" t="s">
        <v>771</v>
      </c>
      <c r="P28" s="243"/>
      <c r="Q28" s="243"/>
      <c r="R28" s="243"/>
      <c r="S28" s="243"/>
      <c r="T28" s="246"/>
      <c r="U28" s="246"/>
      <c r="V28" s="246"/>
    </row>
    <row r="29" spans="1:22" ht="12.75">
      <c r="A29" s="247">
        <v>46307</v>
      </c>
      <c r="B29" s="248" t="s">
        <v>547</v>
      </c>
      <c r="C29" s="248" t="s">
        <v>53</v>
      </c>
      <c r="D29" s="248" t="s">
        <v>806</v>
      </c>
      <c r="E29" s="248" t="s">
        <v>707</v>
      </c>
      <c r="F29" s="248" t="s">
        <v>109</v>
      </c>
      <c r="G29" s="248" t="s">
        <v>764</v>
      </c>
      <c r="H29" s="248" t="s">
        <v>709</v>
      </c>
      <c r="I29" s="249" t="s">
        <v>710</v>
      </c>
      <c r="J29" s="248" t="s">
        <v>34</v>
      </c>
      <c r="K29" s="248" t="s">
        <v>811</v>
      </c>
      <c r="L29" s="250" t="s">
        <v>812</v>
      </c>
      <c r="M29" s="256">
        <v>0.9375</v>
      </c>
      <c r="N29" s="256">
        <v>0.95833333333333337</v>
      </c>
      <c r="O29" s="248" t="s">
        <v>768</v>
      </c>
      <c r="P29" s="248"/>
      <c r="Q29" s="248"/>
      <c r="R29" s="248"/>
      <c r="S29" s="248"/>
      <c r="T29" s="246"/>
      <c r="U29" s="246"/>
      <c r="V29" s="246"/>
    </row>
    <row r="30" spans="1:22" ht="12.75">
      <c r="A30" s="242">
        <v>46307</v>
      </c>
      <c r="B30" s="243" t="s">
        <v>547</v>
      </c>
      <c r="C30" s="243" t="s">
        <v>53</v>
      </c>
      <c r="D30" s="243" t="s">
        <v>806</v>
      </c>
      <c r="E30" s="243" t="s">
        <v>707</v>
      </c>
      <c r="F30" s="243" t="s">
        <v>109</v>
      </c>
      <c r="G30" s="243" t="s">
        <v>764</v>
      </c>
      <c r="H30" s="243" t="s">
        <v>709</v>
      </c>
      <c r="I30" s="244" t="s">
        <v>710</v>
      </c>
      <c r="J30" s="243" t="s">
        <v>34</v>
      </c>
      <c r="K30" s="243" t="s">
        <v>813</v>
      </c>
      <c r="L30" s="245" t="s">
        <v>798</v>
      </c>
      <c r="M30" s="259">
        <v>0.95833333333333337</v>
      </c>
      <c r="N30" s="259">
        <v>0</v>
      </c>
      <c r="O30" s="243" t="s">
        <v>771</v>
      </c>
      <c r="P30" s="243" t="s">
        <v>768</v>
      </c>
      <c r="Q30" s="243"/>
      <c r="R30" s="243"/>
      <c r="S30" s="243"/>
      <c r="T30" s="246"/>
      <c r="U30" s="246"/>
      <c r="V30" s="246"/>
    </row>
    <row r="31" spans="1:22" ht="12.75">
      <c r="A31" s="247">
        <v>46307</v>
      </c>
      <c r="B31" s="248" t="s">
        <v>549</v>
      </c>
      <c r="C31" s="248" t="s">
        <v>814</v>
      </c>
      <c r="D31" s="248" t="s">
        <v>359</v>
      </c>
      <c r="E31" s="248" t="s">
        <v>815</v>
      </c>
      <c r="F31" s="248" t="s">
        <v>162</v>
      </c>
      <c r="G31" s="248" t="s">
        <v>708</v>
      </c>
      <c r="H31" s="248" t="s">
        <v>816</v>
      </c>
      <c r="I31" s="249" t="s">
        <v>710</v>
      </c>
      <c r="J31" s="248" t="s">
        <v>34</v>
      </c>
      <c r="K31" s="248" t="s">
        <v>817</v>
      </c>
      <c r="L31" s="250" t="s">
        <v>818</v>
      </c>
      <c r="M31" s="256">
        <v>0.43055555555555558</v>
      </c>
      <c r="N31" s="256">
        <v>0.4548611111111111</v>
      </c>
      <c r="O31" s="248" t="s">
        <v>819</v>
      </c>
      <c r="P31" s="248"/>
      <c r="Q31" s="248"/>
      <c r="R31" s="248"/>
      <c r="S31" s="248"/>
      <c r="T31" s="246"/>
      <c r="U31" s="246"/>
      <c r="V31" s="246"/>
    </row>
    <row r="32" spans="1:22" ht="12.75">
      <c r="A32" s="242">
        <v>46307</v>
      </c>
      <c r="B32" s="243" t="s">
        <v>549</v>
      </c>
      <c r="C32" s="243" t="s">
        <v>404</v>
      </c>
      <c r="D32" s="243" t="s">
        <v>820</v>
      </c>
      <c r="E32" s="243" t="s">
        <v>815</v>
      </c>
      <c r="F32" s="243" t="s">
        <v>162</v>
      </c>
      <c r="G32" s="243" t="s">
        <v>708</v>
      </c>
      <c r="H32" s="243" t="s">
        <v>816</v>
      </c>
      <c r="I32" s="244" t="s">
        <v>710</v>
      </c>
      <c r="J32" s="243" t="s">
        <v>34</v>
      </c>
      <c r="K32" s="243" t="s">
        <v>821</v>
      </c>
      <c r="L32" s="245" t="s">
        <v>818</v>
      </c>
      <c r="M32" s="259">
        <v>0.46180555555555558</v>
      </c>
      <c r="N32" s="259">
        <v>0.49305555555555558</v>
      </c>
      <c r="O32" s="243" t="s">
        <v>819</v>
      </c>
      <c r="P32" s="243"/>
      <c r="Q32" s="243"/>
      <c r="R32" s="243"/>
      <c r="S32" s="243"/>
      <c r="T32" s="246"/>
      <c r="U32" s="246"/>
      <c r="V32" s="246"/>
    </row>
    <row r="33" spans="1:22" ht="12.75">
      <c r="A33" s="247">
        <v>46307</v>
      </c>
      <c r="B33" s="248" t="s">
        <v>563</v>
      </c>
      <c r="C33" s="248" t="s">
        <v>53</v>
      </c>
      <c r="D33" s="248" t="s">
        <v>153</v>
      </c>
      <c r="E33" s="248" t="s">
        <v>707</v>
      </c>
      <c r="F33" s="248" t="s">
        <v>162</v>
      </c>
      <c r="G33" s="248" t="s">
        <v>708</v>
      </c>
      <c r="H33" s="248" t="s">
        <v>816</v>
      </c>
      <c r="I33" s="249" t="s">
        <v>710</v>
      </c>
      <c r="J33" s="248" t="s">
        <v>34</v>
      </c>
      <c r="K33" s="248" t="s">
        <v>822</v>
      </c>
      <c r="L33" s="250" t="s">
        <v>823</v>
      </c>
      <c r="M33" s="256">
        <v>0.73958333333333337</v>
      </c>
      <c r="N33" s="256">
        <v>0.76388888888888884</v>
      </c>
      <c r="O33" s="248" t="s">
        <v>819</v>
      </c>
      <c r="P33" s="248"/>
      <c r="Q33" s="248"/>
      <c r="R33" s="248"/>
      <c r="S33" s="248"/>
      <c r="T33" s="246"/>
      <c r="U33" s="246"/>
      <c r="V33" s="246"/>
    </row>
    <row r="34" spans="1:22" ht="12.75">
      <c r="A34" s="242">
        <v>46307</v>
      </c>
      <c r="B34" s="243" t="s">
        <v>563</v>
      </c>
      <c r="C34" s="243" t="s">
        <v>53</v>
      </c>
      <c r="D34" s="243" t="s">
        <v>153</v>
      </c>
      <c r="E34" s="243" t="s">
        <v>707</v>
      </c>
      <c r="F34" s="243" t="s">
        <v>162</v>
      </c>
      <c r="G34" s="243" t="s">
        <v>708</v>
      </c>
      <c r="H34" s="243" t="s">
        <v>816</v>
      </c>
      <c r="I34" s="244" t="s">
        <v>710</v>
      </c>
      <c r="J34" s="243" t="s">
        <v>34</v>
      </c>
      <c r="K34" s="243" t="s">
        <v>824</v>
      </c>
      <c r="L34" s="245" t="s">
        <v>825</v>
      </c>
      <c r="M34" s="259">
        <v>0.76458333333333328</v>
      </c>
      <c r="N34" s="259">
        <v>0.78541666666666665</v>
      </c>
      <c r="O34" s="243" t="s">
        <v>819</v>
      </c>
      <c r="P34" s="243"/>
      <c r="Q34" s="243"/>
      <c r="R34" s="243"/>
      <c r="S34" s="243"/>
      <c r="T34" s="246"/>
      <c r="U34" s="246"/>
      <c r="V34" s="246"/>
    </row>
    <row r="35" spans="1:22" ht="12.75">
      <c r="A35" s="247">
        <v>46307</v>
      </c>
      <c r="B35" s="248" t="s">
        <v>563</v>
      </c>
      <c r="C35" s="248" t="s">
        <v>53</v>
      </c>
      <c r="D35" s="248" t="s">
        <v>153</v>
      </c>
      <c r="E35" s="248" t="s">
        <v>707</v>
      </c>
      <c r="F35" s="248" t="s">
        <v>162</v>
      </c>
      <c r="G35" s="248" t="s">
        <v>708</v>
      </c>
      <c r="H35" s="248" t="s">
        <v>709</v>
      </c>
      <c r="I35" s="249" t="s">
        <v>710</v>
      </c>
      <c r="J35" s="248" t="s">
        <v>34</v>
      </c>
      <c r="K35" s="248" t="s">
        <v>826</v>
      </c>
      <c r="L35" s="250" t="s">
        <v>827</v>
      </c>
      <c r="M35" s="256">
        <v>0.78611111111111109</v>
      </c>
      <c r="N35" s="256">
        <v>0.84861111111111109</v>
      </c>
      <c r="O35" s="248" t="s">
        <v>819</v>
      </c>
      <c r="P35" s="248"/>
      <c r="Q35" s="248"/>
      <c r="R35" s="248"/>
      <c r="S35" s="248"/>
      <c r="T35" s="246"/>
      <c r="U35" s="246"/>
      <c r="V35" s="246"/>
    </row>
    <row r="36" spans="1:22" ht="12.75">
      <c r="A36" s="242">
        <v>46307</v>
      </c>
      <c r="B36" s="243" t="s">
        <v>549</v>
      </c>
      <c r="C36" s="243" t="s">
        <v>814</v>
      </c>
      <c r="D36" s="243" t="s">
        <v>359</v>
      </c>
      <c r="E36" s="243" t="s">
        <v>707</v>
      </c>
      <c r="F36" s="243" t="s">
        <v>162</v>
      </c>
      <c r="G36" s="243" t="s">
        <v>708</v>
      </c>
      <c r="H36" s="243" t="s">
        <v>816</v>
      </c>
      <c r="I36" s="244" t="s">
        <v>710</v>
      </c>
      <c r="J36" s="243" t="s">
        <v>34</v>
      </c>
      <c r="K36" s="243" t="s">
        <v>828</v>
      </c>
      <c r="L36" s="245" t="s">
        <v>829</v>
      </c>
      <c r="M36" s="259">
        <v>0.88194444444444442</v>
      </c>
      <c r="N36" s="259">
        <v>0.91319444444444442</v>
      </c>
      <c r="O36" s="243" t="s">
        <v>819</v>
      </c>
      <c r="P36" s="243"/>
      <c r="Q36" s="243"/>
      <c r="R36" s="243"/>
      <c r="S36" s="243"/>
      <c r="T36" s="246"/>
      <c r="U36" s="246"/>
      <c r="V36" s="246"/>
    </row>
    <row r="37" spans="1:22" ht="12.75">
      <c r="A37" s="247">
        <v>46307</v>
      </c>
      <c r="B37" s="248" t="s">
        <v>549</v>
      </c>
      <c r="C37" s="248" t="s">
        <v>814</v>
      </c>
      <c r="D37" s="248" t="s">
        <v>359</v>
      </c>
      <c r="E37" s="248" t="s">
        <v>707</v>
      </c>
      <c r="F37" s="248" t="s">
        <v>162</v>
      </c>
      <c r="G37" s="248" t="s">
        <v>708</v>
      </c>
      <c r="H37" s="248" t="s">
        <v>816</v>
      </c>
      <c r="I37" s="249" t="s">
        <v>710</v>
      </c>
      <c r="J37" s="248" t="s">
        <v>34</v>
      </c>
      <c r="K37" s="248" t="s">
        <v>830</v>
      </c>
      <c r="L37" s="250" t="s">
        <v>831</v>
      </c>
      <c r="M37" s="256">
        <v>0.91388888888888886</v>
      </c>
      <c r="N37" s="256">
        <v>0.93263888888888891</v>
      </c>
      <c r="O37" s="248" t="s">
        <v>819</v>
      </c>
      <c r="P37" s="248"/>
      <c r="Q37" s="248"/>
      <c r="R37" s="248"/>
      <c r="S37" s="248"/>
      <c r="T37" s="246"/>
      <c r="U37" s="246"/>
      <c r="V37" s="246"/>
    </row>
    <row r="38" spans="1:22" ht="12.75">
      <c r="A38" s="242">
        <v>46307</v>
      </c>
      <c r="B38" s="243" t="s">
        <v>549</v>
      </c>
      <c r="C38" s="243" t="s">
        <v>814</v>
      </c>
      <c r="D38" s="243" t="s">
        <v>359</v>
      </c>
      <c r="E38" s="243" t="s">
        <v>707</v>
      </c>
      <c r="F38" s="243" t="s">
        <v>162</v>
      </c>
      <c r="G38" s="243" t="s">
        <v>708</v>
      </c>
      <c r="H38" s="243" t="s">
        <v>816</v>
      </c>
      <c r="I38" s="244" t="s">
        <v>710</v>
      </c>
      <c r="J38" s="243" t="s">
        <v>34</v>
      </c>
      <c r="K38" s="243" t="s">
        <v>832</v>
      </c>
      <c r="L38" s="245" t="s">
        <v>833</v>
      </c>
      <c r="M38" s="259">
        <v>0.93333333333333335</v>
      </c>
      <c r="N38" s="259">
        <v>0.96180555555555558</v>
      </c>
      <c r="O38" s="243" t="s">
        <v>819</v>
      </c>
      <c r="P38" s="243"/>
      <c r="Q38" s="243"/>
      <c r="R38" s="243"/>
      <c r="S38" s="243"/>
      <c r="T38" s="246"/>
      <c r="U38" s="246"/>
      <c r="V38" s="246"/>
    </row>
    <row r="39" spans="1:22" ht="12.75">
      <c r="A39" s="247">
        <v>46307</v>
      </c>
      <c r="B39" s="248" t="s">
        <v>549</v>
      </c>
      <c r="C39" s="248" t="s">
        <v>814</v>
      </c>
      <c r="D39" s="248" t="s">
        <v>359</v>
      </c>
      <c r="E39" s="248" t="s">
        <v>707</v>
      </c>
      <c r="F39" s="248" t="s">
        <v>162</v>
      </c>
      <c r="G39" s="248" t="s">
        <v>708</v>
      </c>
      <c r="H39" s="248" t="s">
        <v>709</v>
      </c>
      <c r="I39" s="249" t="s">
        <v>710</v>
      </c>
      <c r="J39" s="248" t="s">
        <v>34</v>
      </c>
      <c r="K39" s="248" t="s">
        <v>834</v>
      </c>
      <c r="L39" s="250" t="s">
        <v>827</v>
      </c>
      <c r="M39" s="256">
        <v>0.96250000000000002</v>
      </c>
      <c r="N39" s="256">
        <v>0.99930555555555556</v>
      </c>
      <c r="O39" s="248" t="s">
        <v>819</v>
      </c>
      <c r="P39" s="248"/>
      <c r="Q39" s="248"/>
      <c r="R39" s="248"/>
      <c r="S39" s="248"/>
      <c r="T39" s="246"/>
      <c r="U39" s="246"/>
      <c r="V39" s="246"/>
    </row>
    <row r="40" spans="1:22" ht="12.75">
      <c r="A40" s="242">
        <v>46307</v>
      </c>
      <c r="B40" s="243" t="s">
        <v>556</v>
      </c>
      <c r="C40" s="243" t="s">
        <v>835</v>
      </c>
      <c r="D40" s="243" t="s">
        <v>836</v>
      </c>
      <c r="E40" s="243" t="s">
        <v>837</v>
      </c>
      <c r="F40" s="243" t="s">
        <v>317</v>
      </c>
      <c r="G40" s="243" t="s">
        <v>764</v>
      </c>
      <c r="H40" s="243" t="s">
        <v>838</v>
      </c>
      <c r="I40" s="244" t="s">
        <v>710</v>
      </c>
      <c r="J40" s="243" t="s">
        <v>34</v>
      </c>
      <c r="K40" s="243" t="s">
        <v>840</v>
      </c>
      <c r="L40" s="245" t="s">
        <v>842</v>
      </c>
      <c r="M40" s="259">
        <v>0.2986111111111111</v>
      </c>
      <c r="N40" s="259">
        <v>0.3263888888888889</v>
      </c>
      <c r="O40" s="243" t="s">
        <v>844</v>
      </c>
      <c r="P40" s="243"/>
      <c r="Q40" s="243"/>
      <c r="R40" s="243"/>
      <c r="S40" s="243"/>
      <c r="T40" s="246"/>
      <c r="U40" s="246"/>
      <c r="V40" s="246"/>
    </row>
    <row r="41" spans="1:22" ht="12.75">
      <c r="A41" s="247">
        <v>46307</v>
      </c>
      <c r="B41" s="248" t="s">
        <v>547</v>
      </c>
      <c r="C41" s="248" t="s">
        <v>53</v>
      </c>
      <c r="D41" s="248" t="s">
        <v>223</v>
      </c>
      <c r="E41" s="248" t="s">
        <v>815</v>
      </c>
      <c r="F41" s="248" t="s">
        <v>317</v>
      </c>
      <c r="G41" s="248" t="s">
        <v>764</v>
      </c>
      <c r="H41" s="248" t="s">
        <v>838</v>
      </c>
      <c r="I41" s="249" t="s">
        <v>710</v>
      </c>
      <c r="J41" s="248" t="s">
        <v>34</v>
      </c>
      <c r="K41" s="248" t="s">
        <v>847</v>
      </c>
      <c r="L41" s="250" t="s">
        <v>848</v>
      </c>
      <c r="M41" s="256">
        <v>0.35069444444444442</v>
      </c>
      <c r="N41" s="256">
        <v>0.37152777777777779</v>
      </c>
      <c r="O41" s="248" t="s">
        <v>844</v>
      </c>
      <c r="P41" s="248"/>
      <c r="Q41" s="248"/>
      <c r="R41" s="248"/>
      <c r="S41" s="248"/>
      <c r="T41" s="246"/>
      <c r="U41" s="246"/>
      <c r="V41" s="246"/>
    </row>
    <row r="42" spans="1:22" ht="12.75">
      <c r="A42" s="242">
        <v>46307</v>
      </c>
      <c r="B42" s="243" t="s">
        <v>547</v>
      </c>
      <c r="C42" s="243" t="s">
        <v>53</v>
      </c>
      <c r="D42" s="243" t="s">
        <v>223</v>
      </c>
      <c r="E42" s="243" t="s">
        <v>815</v>
      </c>
      <c r="F42" s="243" t="s">
        <v>317</v>
      </c>
      <c r="G42" s="243" t="s">
        <v>764</v>
      </c>
      <c r="H42" s="243" t="s">
        <v>838</v>
      </c>
      <c r="I42" s="244" t="s">
        <v>710</v>
      </c>
      <c r="J42" s="243" t="s">
        <v>34</v>
      </c>
      <c r="K42" s="243" t="s">
        <v>854</v>
      </c>
      <c r="L42" s="245" t="s">
        <v>855</v>
      </c>
      <c r="M42" s="259">
        <v>0.37222222222222223</v>
      </c>
      <c r="N42" s="259">
        <v>0.39305555555555555</v>
      </c>
      <c r="O42" s="243" t="s">
        <v>844</v>
      </c>
      <c r="P42" s="243"/>
      <c r="Q42" s="243"/>
      <c r="R42" s="243"/>
      <c r="S42" s="243"/>
      <c r="T42" s="246"/>
      <c r="U42" s="246"/>
      <c r="V42" s="246"/>
    </row>
    <row r="43" spans="1:22" ht="12.75">
      <c r="A43" s="247">
        <v>46307</v>
      </c>
      <c r="B43" s="248" t="s">
        <v>547</v>
      </c>
      <c r="C43" s="248" t="s">
        <v>53</v>
      </c>
      <c r="D43" s="248" t="s">
        <v>223</v>
      </c>
      <c r="E43" s="248" t="s">
        <v>815</v>
      </c>
      <c r="F43" s="248" t="s">
        <v>317</v>
      </c>
      <c r="G43" s="248" t="s">
        <v>764</v>
      </c>
      <c r="H43" s="248" t="s">
        <v>838</v>
      </c>
      <c r="I43" s="249" t="s">
        <v>710</v>
      </c>
      <c r="J43" s="248" t="s">
        <v>34</v>
      </c>
      <c r="K43" s="248" t="s">
        <v>862</v>
      </c>
      <c r="L43" s="250" t="s">
        <v>864</v>
      </c>
      <c r="M43" s="256">
        <v>0.39374999999999999</v>
      </c>
      <c r="N43" s="256">
        <v>0.41458333333333336</v>
      </c>
      <c r="O43" s="248" t="s">
        <v>844</v>
      </c>
      <c r="P43" s="248"/>
      <c r="Q43" s="248"/>
      <c r="R43" s="248"/>
      <c r="S43" s="248"/>
      <c r="T43" s="246"/>
      <c r="U43" s="246"/>
      <c r="V43" s="246"/>
    </row>
    <row r="44" spans="1:22" ht="12.75">
      <c r="A44" s="242">
        <v>46307</v>
      </c>
      <c r="B44" s="243" t="s">
        <v>563</v>
      </c>
      <c r="C44" s="243" t="s">
        <v>53</v>
      </c>
      <c r="D44" s="243" t="s">
        <v>353</v>
      </c>
      <c r="E44" s="243" t="s">
        <v>815</v>
      </c>
      <c r="F44" s="243" t="s">
        <v>317</v>
      </c>
      <c r="G44" s="243" t="s">
        <v>764</v>
      </c>
      <c r="H44" s="243" t="s">
        <v>838</v>
      </c>
      <c r="I44" s="244" t="s">
        <v>710</v>
      </c>
      <c r="J44" s="243" t="s">
        <v>34</v>
      </c>
      <c r="K44" s="243" t="s">
        <v>870</v>
      </c>
      <c r="L44" s="245" t="s">
        <v>871</v>
      </c>
      <c r="M44" s="259">
        <v>0.47916666666666669</v>
      </c>
      <c r="N44" s="259">
        <v>0.5</v>
      </c>
      <c r="O44" s="243" t="s">
        <v>844</v>
      </c>
      <c r="P44" s="243"/>
      <c r="Q44" s="243"/>
      <c r="R44" s="243"/>
      <c r="S44" s="243"/>
      <c r="T44" s="246"/>
      <c r="U44" s="246"/>
      <c r="V44" s="246"/>
    </row>
    <row r="45" spans="1:22" ht="12.75">
      <c r="A45" s="247">
        <v>46307</v>
      </c>
      <c r="B45" s="248" t="s">
        <v>563</v>
      </c>
      <c r="C45" s="248" t="s">
        <v>53</v>
      </c>
      <c r="D45" s="248" t="s">
        <v>776</v>
      </c>
      <c r="E45" s="248" t="s">
        <v>815</v>
      </c>
      <c r="F45" s="248" t="s">
        <v>317</v>
      </c>
      <c r="G45" s="248" t="s">
        <v>764</v>
      </c>
      <c r="H45" s="248" t="s">
        <v>838</v>
      </c>
      <c r="I45" s="249" t="s">
        <v>710</v>
      </c>
      <c r="J45" s="248" t="s">
        <v>34</v>
      </c>
      <c r="K45" s="248" t="s">
        <v>876</v>
      </c>
      <c r="L45" s="250" t="s">
        <v>878</v>
      </c>
      <c r="M45" s="256">
        <v>0.57291666666666663</v>
      </c>
      <c r="N45" s="256">
        <v>0.58333333333333337</v>
      </c>
      <c r="O45" s="248" t="s">
        <v>844</v>
      </c>
      <c r="P45" s="248"/>
      <c r="Q45" s="248"/>
      <c r="R45" s="248"/>
      <c r="S45" s="248"/>
      <c r="T45" s="246"/>
      <c r="U45" s="246"/>
      <c r="V45" s="246"/>
    </row>
    <row r="46" spans="1:22" ht="12.75">
      <c r="A46" s="242">
        <v>46307</v>
      </c>
      <c r="B46" s="243" t="s">
        <v>563</v>
      </c>
      <c r="C46" s="243" t="s">
        <v>53</v>
      </c>
      <c r="D46" s="243" t="s">
        <v>776</v>
      </c>
      <c r="E46" s="243" t="s">
        <v>815</v>
      </c>
      <c r="F46" s="243" t="s">
        <v>317</v>
      </c>
      <c r="G46" s="243" t="s">
        <v>764</v>
      </c>
      <c r="H46" s="243" t="s">
        <v>838</v>
      </c>
      <c r="I46" s="244" t="s">
        <v>710</v>
      </c>
      <c r="J46" s="243" t="s">
        <v>34</v>
      </c>
      <c r="K46" s="243" t="s">
        <v>885</v>
      </c>
      <c r="L46" s="245" t="s">
        <v>878</v>
      </c>
      <c r="M46" s="259">
        <v>0.58402777777777781</v>
      </c>
      <c r="N46" s="259">
        <v>0.6430555555555556</v>
      </c>
      <c r="O46" s="243" t="s">
        <v>844</v>
      </c>
      <c r="P46" s="243"/>
      <c r="Q46" s="243"/>
      <c r="R46" s="243"/>
      <c r="S46" s="243"/>
      <c r="T46" s="246"/>
      <c r="U46" s="246"/>
      <c r="V46" s="246"/>
    </row>
    <row r="47" spans="1:22" ht="12.75">
      <c r="A47" s="247">
        <v>46307</v>
      </c>
      <c r="B47" s="248" t="s">
        <v>563</v>
      </c>
      <c r="C47" s="248" t="s">
        <v>53</v>
      </c>
      <c r="D47" s="248" t="s">
        <v>776</v>
      </c>
      <c r="E47" s="248" t="s">
        <v>815</v>
      </c>
      <c r="F47" s="248" t="s">
        <v>317</v>
      </c>
      <c r="G47" s="248" t="s">
        <v>764</v>
      </c>
      <c r="H47" s="248" t="s">
        <v>838</v>
      </c>
      <c r="I47" s="249" t="s">
        <v>710</v>
      </c>
      <c r="J47" s="248" t="s">
        <v>34</v>
      </c>
      <c r="K47" s="248" t="s">
        <v>892</v>
      </c>
      <c r="L47" s="250" t="s">
        <v>893</v>
      </c>
      <c r="M47" s="256">
        <v>0.6020833333333333</v>
      </c>
      <c r="N47" s="256">
        <v>0.61944444444444446</v>
      </c>
      <c r="O47" s="248" t="s">
        <v>844</v>
      </c>
      <c r="P47" s="248"/>
      <c r="Q47" s="248"/>
      <c r="R47" s="248"/>
      <c r="S47" s="248"/>
      <c r="T47" s="246"/>
      <c r="U47" s="246"/>
      <c r="V47" s="246"/>
    </row>
    <row r="48" spans="1:22" ht="12.75">
      <c r="A48" s="242">
        <v>46307</v>
      </c>
      <c r="B48" s="243" t="s">
        <v>547</v>
      </c>
      <c r="C48" s="243" t="s">
        <v>53</v>
      </c>
      <c r="D48" s="243" t="s">
        <v>227</v>
      </c>
      <c r="E48" s="243" t="s">
        <v>895</v>
      </c>
      <c r="F48" s="243" t="s">
        <v>317</v>
      </c>
      <c r="G48" s="243" t="s">
        <v>764</v>
      </c>
      <c r="H48" s="243" t="s">
        <v>838</v>
      </c>
      <c r="I48" s="244" t="s">
        <v>710</v>
      </c>
      <c r="J48" s="243" t="s">
        <v>34</v>
      </c>
      <c r="K48" s="243" t="s">
        <v>898</v>
      </c>
      <c r="L48" s="245" t="s">
        <v>899</v>
      </c>
      <c r="M48" s="259">
        <v>0.62152777777777779</v>
      </c>
      <c r="N48" s="259">
        <v>0.63888888888888884</v>
      </c>
      <c r="O48" s="243" t="s">
        <v>844</v>
      </c>
      <c r="P48" s="243"/>
      <c r="Q48" s="243"/>
      <c r="R48" s="243"/>
      <c r="S48" s="243"/>
      <c r="T48" s="246"/>
      <c r="U48" s="246"/>
      <c r="V48" s="246"/>
    </row>
    <row r="49" spans="1:22" ht="12.75">
      <c r="A49" s="247">
        <v>46307</v>
      </c>
      <c r="B49" s="248" t="s">
        <v>547</v>
      </c>
      <c r="C49" s="248" t="s">
        <v>53</v>
      </c>
      <c r="D49" s="248" t="s">
        <v>227</v>
      </c>
      <c r="E49" s="248" t="s">
        <v>895</v>
      </c>
      <c r="F49" s="248" t="s">
        <v>317</v>
      </c>
      <c r="G49" s="248" t="s">
        <v>764</v>
      </c>
      <c r="H49" s="248" t="s">
        <v>838</v>
      </c>
      <c r="I49" s="249" t="s">
        <v>710</v>
      </c>
      <c r="J49" s="248" t="s">
        <v>34</v>
      </c>
      <c r="K49" s="248" t="s">
        <v>905</v>
      </c>
      <c r="L49" s="250" t="s">
        <v>906</v>
      </c>
      <c r="M49" s="256">
        <v>0.63958333333333328</v>
      </c>
      <c r="N49" s="256">
        <v>0.66041666666666665</v>
      </c>
      <c r="O49" s="248" t="s">
        <v>844</v>
      </c>
      <c r="P49" s="248"/>
      <c r="Q49" s="248"/>
      <c r="R49" s="248"/>
      <c r="S49" s="248"/>
      <c r="T49" s="246"/>
      <c r="U49" s="246"/>
      <c r="V49" s="246"/>
    </row>
    <row r="50" spans="1:22" ht="12.75">
      <c r="A50" s="242">
        <v>46307</v>
      </c>
      <c r="B50" s="243" t="s">
        <v>547</v>
      </c>
      <c r="C50" s="243" t="s">
        <v>53</v>
      </c>
      <c r="D50" s="243" t="s">
        <v>227</v>
      </c>
      <c r="E50" s="243" t="s">
        <v>895</v>
      </c>
      <c r="F50" s="243" t="s">
        <v>317</v>
      </c>
      <c r="G50" s="243" t="s">
        <v>764</v>
      </c>
      <c r="H50" s="243" t="s">
        <v>838</v>
      </c>
      <c r="I50" s="244" t="s">
        <v>710</v>
      </c>
      <c r="J50" s="243" t="s">
        <v>34</v>
      </c>
      <c r="K50" s="243" t="s">
        <v>913</v>
      </c>
      <c r="L50" s="245" t="s">
        <v>914</v>
      </c>
      <c r="M50" s="259">
        <v>0.66111111111111109</v>
      </c>
      <c r="N50" s="259">
        <v>0.68194444444444446</v>
      </c>
      <c r="O50" s="243" t="s">
        <v>844</v>
      </c>
      <c r="P50" s="243"/>
      <c r="Q50" s="243"/>
      <c r="R50" s="243"/>
      <c r="S50" s="243"/>
      <c r="T50" s="246"/>
      <c r="U50" s="246"/>
      <c r="V50" s="246"/>
    </row>
    <row r="51" spans="1:22" ht="12.75">
      <c r="A51" s="247">
        <v>46307</v>
      </c>
      <c r="B51" s="248" t="s">
        <v>556</v>
      </c>
      <c r="C51" s="248" t="s">
        <v>835</v>
      </c>
      <c r="D51" s="248" t="s">
        <v>836</v>
      </c>
      <c r="E51" s="248" t="s">
        <v>815</v>
      </c>
      <c r="F51" s="248" t="s">
        <v>317</v>
      </c>
      <c r="G51" s="248" t="s">
        <v>764</v>
      </c>
      <c r="H51" s="248" t="s">
        <v>838</v>
      </c>
      <c r="I51" s="249" t="s">
        <v>710</v>
      </c>
      <c r="J51" s="248" t="s">
        <v>34</v>
      </c>
      <c r="K51" s="248" t="s">
        <v>921</v>
      </c>
      <c r="L51" s="250" t="s">
        <v>922</v>
      </c>
      <c r="M51" s="256">
        <v>0.68402777777777779</v>
      </c>
      <c r="N51" s="256">
        <v>0.69097222222222221</v>
      </c>
      <c r="O51" s="248" t="s">
        <v>844</v>
      </c>
      <c r="P51" s="248"/>
      <c r="Q51" s="248"/>
      <c r="R51" s="248"/>
      <c r="S51" s="248"/>
      <c r="T51" s="246"/>
      <c r="U51" s="246"/>
      <c r="V51" s="246"/>
    </row>
    <row r="52" spans="1:22" ht="12.75">
      <c r="A52" s="242">
        <v>46307</v>
      </c>
      <c r="B52" s="243" t="s">
        <v>556</v>
      </c>
      <c r="C52" s="243" t="s">
        <v>835</v>
      </c>
      <c r="D52" s="243" t="s">
        <v>836</v>
      </c>
      <c r="E52" s="243" t="s">
        <v>815</v>
      </c>
      <c r="F52" s="243" t="s">
        <v>317</v>
      </c>
      <c r="G52" s="243" t="s">
        <v>764</v>
      </c>
      <c r="H52" s="243" t="s">
        <v>838</v>
      </c>
      <c r="I52" s="244" t="s">
        <v>710</v>
      </c>
      <c r="J52" s="243" t="s">
        <v>34</v>
      </c>
      <c r="K52" s="243" t="s">
        <v>921</v>
      </c>
      <c r="L52" s="245" t="s">
        <v>922</v>
      </c>
      <c r="M52" s="259">
        <v>0.69166666666666665</v>
      </c>
      <c r="N52" s="259">
        <v>0.69861111111111107</v>
      </c>
      <c r="O52" s="243" t="s">
        <v>844</v>
      </c>
      <c r="P52" s="243"/>
      <c r="Q52" s="243"/>
      <c r="R52" s="243"/>
      <c r="S52" s="243"/>
      <c r="T52" s="246"/>
      <c r="U52" s="246"/>
      <c r="V52" s="246"/>
    </row>
    <row r="53" spans="1:22" ht="12.75">
      <c r="A53" s="247">
        <v>46307</v>
      </c>
      <c r="B53" s="248" t="s">
        <v>556</v>
      </c>
      <c r="C53" s="248" t="s">
        <v>835</v>
      </c>
      <c r="D53" s="248" t="s">
        <v>836</v>
      </c>
      <c r="E53" s="248" t="s">
        <v>815</v>
      </c>
      <c r="F53" s="248" t="s">
        <v>317</v>
      </c>
      <c r="G53" s="248" t="s">
        <v>764</v>
      </c>
      <c r="H53" s="248" t="s">
        <v>838</v>
      </c>
      <c r="I53" s="249" t="s">
        <v>710</v>
      </c>
      <c r="J53" s="248" t="s">
        <v>34</v>
      </c>
      <c r="K53" s="248" t="s">
        <v>921</v>
      </c>
      <c r="L53" s="250" t="s">
        <v>935</v>
      </c>
      <c r="M53" s="256">
        <v>0.69930555555555551</v>
      </c>
      <c r="N53" s="256">
        <v>0.72013888888888888</v>
      </c>
      <c r="O53" s="248" t="s">
        <v>844</v>
      </c>
      <c r="P53" s="248"/>
      <c r="Q53" s="248"/>
      <c r="R53" s="248"/>
      <c r="S53" s="248"/>
      <c r="T53" s="246"/>
      <c r="U53" s="246"/>
      <c r="V53" s="246"/>
    </row>
    <row r="54" spans="1:22" ht="12.75">
      <c r="A54" s="242">
        <v>46307</v>
      </c>
      <c r="B54" s="243" t="s">
        <v>547</v>
      </c>
      <c r="C54" s="243" t="s">
        <v>53</v>
      </c>
      <c r="D54" s="243" t="s">
        <v>292</v>
      </c>
      <c r="E54" s="243" t="s">
        <v>895</v>
      </c>
      <c r="F54" s="243" t="s">
        <v>317</v>
      </c>
      <c r="G54" s="243" t="s">
        <v>764</v>
      </c>
      <c r="H54" s="243" t="s">
        <v>838</v>
      </c>
      <c r="I54" s="244" t="s">
        <v>710</v>
      </c>
      <c r="J54" s="243" t="s">
        <v>34</v>
      </c>
      <c r="K54" s="243" t="s">
        <v>941</v>
      </c>
      <c r="L54" s="245" t="s">
        <v>942</v>
      </c>
      <c r="M54" s="259">
        <v>0.72222222222222221</v>
      </c>
      <c r="N54" s="259">
        <v>0.74305555555555558</v>
      </c>
      <c r="O54" s="243" t="s">
        <v>844</v>
      </c>
      <c r="P54" s="243" t="s">
        <v>943</v>
      </c>
      <c r="Q54" s="243"/>
      <c r="R54" s="243"/>
      <c r="S54" s="243"/>
      <c r="T54" s="246"/>
      <c r="U54" s="246"/>
      <c r="V54" s="246"/>
    </row>
    <row r="55" spans="1:22" ht="12.75">
      <c r="A55" s="247">
        <v>46307</v>
      </c>
      <c r="B55" s="248" t="s">
        <v>556</v>
      </c>
      <c r="C55" s="248" t="s">
        <v>835</v>
      </c>
      <c r="D55" s="248" t="s">
        <v>944</v>
      </c>
      <c r="E55" s="248" t="s">
        <v>707</v>
      </c>
      <c r="F55" s="248" t="s">
        <v>317</v>
      </c>
      <c r="G55" s="248" t="s">
        <v>708</v>
      </c>
      <c r="H55" s="248" t="s">
        <v>838</v>
      </c>
      <c r="I55" s="249" t="s">
        <v>710</v>
      </c>
      <c r="J55" s="248" t="s">
        <v>34</v>
      </c>
      <c r="K55" s="248" t="s">
        <v>945</v>
      </c>
      <c r="L55" s="250" t="s">
        <v>946</v>
      </c>
      <c r="M55" s="256">
        <v>0.77777777777777779</v>
      </c>
      <c r="N55" s="256">
        <v>0.83333333333333337</v>
      </c>
      <c r="O55" s="248" t="s">
        <v>943</v>
      </c>
      <c r="P55" s="248"/>
      <c r="Q55" s="248"/>
      <c r="R55" s="248"/>
      <c r="S55" s="248"/>
      <c r="T55" s="246"/>
      <c r="U55" s="246"/>
      <c r="V55" s="246"/>
    </row>
    <row r="56" spans="1:22" ht="12.75">
      <c r="A56" s="242">
        <v>46307</v>
      </c>
      <c r="B56" s="243" t="s">
        <v>556</v>
      </c>
      <c r="C56" s="243" t="s">
        <v>835</v>
      </c>
      <c r="D56" s="243" t="s">
        <v>944</v>
      </c>
      <c r="E56" s="243" t="s">
        <v>707</v>
      </c>
      <c r="F56" s="243" t="s">
        <v>317</v>
      </c>
      <c r="G56" s="243" t="s">
        <v>708</v>
      </c>
      <c r="H56" s="243" t="s">
        <v>838</v>
      </c>
      <c r="I56" s="244" t="s">
        <v>710</v>
      </c>
      <c r="J56" s="243" t="s">
        <v>34</v>
      </c>
      <c r="K56" s="243" t="s">
        <v>947</v>
      </c>
      <c r="L56" s="245" t="s">
        <v>948</v>
      </c>
      <c r="M56" s="259">
        <v>0.83680555555555558</v>
      </c>
      <c r="N56" s="259">
        <v>0.85069444444444442</v>
      </c>
      <c r="O56" s="243" t="s">
        <v>943</v>
      </c>
      <c r="P56" s="243"/>
      <c r="Q56" s="243"/>
      <c r="R56" s="243"/>
      <c r="S56" s="243"/>
      <c r="T56" s="246"/>
      <c r="U56" s="246"/>
      <c r="V56" s="246"/>
    </row>
    <row r="57" spans="1:22" ht="12.75">
      <c r="A57" s="247">
        <v>46307</v>
      </c>
      <c r="B57" s="248" t="s">
        <v>549</v>
      </c>
      <c r="C57" s="248" t="s">
        <v>746</v>
      </c>
      <c r="D57" s="248" t="s">
        <v>312</v>
      </c>
      <c r="E57" s="248" t="s">
        <v>707</v>
      </c>
      <c r="F57" s="248" t="s">
        <v>317</v>
      </c>
      <c r="G57" s="248" t="s">
        <v>708</v>
      </c>
      <c r="H57" s="248" t="s">
        <v>838</v>
      </c>
      <c r="I57" s="249" t="s">
        <v>710</v>
      </c>
      <c r="J57" s="248" t="s">
        <v>34</v>
      </c>
      <c r="K57" s="248" t="s">
        <v>949</v>
      </c>
      <c r="L57" s="250" t="s">
        <v>946</v>
      </c>
      <c r="M57" s="256">
        <v>0.85416666666666663</v>
      </c>
      <c r="N57" s="256">
        <v>0.90972222222222221</v>
      </c>
      <c r="O57" s="248" t="s">
        <v>943</v>
      </c>
      <c r="P57" s="248"/>
      <c r="Q57" s="248"/>
      <c r="R57" s="248"/>
      <c r="S57" s="248"/>
      <c r="T57" s="246"/>
      <c r="U57" s="246"/>
      <c r="V57" s="246"/>
    </row>
    <row r="58" spans="1:22" ht="12.75">
      <c r="A58" s="242">
        <v>46307</v>
      </c>
      <c r="B58" s="243" t="s">
        <v>549</v>
      </c>
      <c r="C58" s="243" t="s">
        <v>746</v>
      </c>
      <c r="D58" s="243" t="s">
        <v>312</v>
      </c>
      <c r="E58" s="243" t="s">
        <v>707</v>
      </c>
      <c r="F58" s="243" t="s">
        <v>317</v>
      </c>
      <c r="G58" s="243" t="s">
        <v>708</v>
      </c>
      <c r="H58" s="243" t="s">
        <v>838</v>
      </c>
      <c r="I58" s="244" t="s">
        <v>710</v>
      </c>
      <c r="J58" s="243" t="s">
        <v>34</v>
      </c>
      <c r="K58" s="243" t="s">
        <v>949</v>
      </c>
      <c r="L58" s="245" t="s">
        <v>950</v>
      </c>
      <c r="M58" s="259">
        <v>0.91319444444444442</v>
      </c>
      <c r="N58" s="259">
        <v>0.92708333333333337</v>
      </c>
      <c r="O58" s="243" t="s">
        <v>943</v>
      </c>
      <c r="P58" s="243"/>
      <c r="Q58" s="243"/>
      <c r="R58" s="243"/>
      <c r="S58" s="243"/>
      <c r="T58" s="246"/>
      <c r="U58" s="246"/>
      <c r="V58" s="246"/>
    </row>
    <row r="59" spans="1:22" ht="12.75">
      <c r="A59" s="247">
        <v>46307</v>
      </c>
      <c r="B59" s="248" t="s">
        <v>549</v>
      </c>
      <c r="C59" s="248" t="s">
        <v>746</v>
      </c>
      <c r="D59" s="248" t="s">
        <v>312</v>
      </c>
      <c r="E59" s="248" t="s">
        <v>707</v>
      </c>
      <c r="F59" s="248" t="s">
        <v>317</v>
      </c>
      <c r="G59" s="248" t="s">
        <v>708</v>
      </c>
      <c r="H59" s="248" t="s">
        <v>838</v>
      </c>
      <c r="I59" s="249" t="s">
        <v>710</v>
      </c>
      <c r="J59" s="248" t="s">
        <v>34</v>
      </c>
      <c r="K59" s="248" t="s">
        <v>951</v>
      </c>
      <c r="L59" s="250" t="s">
        <v>952</v>
      </c>
      <c r="M59" s="256">
        <v>0.93055555555555558</v>
      </c>
      <c r="N59" s="256">
        <v>0.94097222222222221</v>
      </c>
      <c r="O59" s="248" t="s">
        <v>943</v>
      </c>
      <c r="P59" s="248"/>
      <c r="Q59" s="248"/>
      <c r="R59" s="248"/>
      <c r="S59" s="248"/>
      <c r="T59" s="246"/>
      <c r="U59" s="246"/>
      <c r="V59" s="246"/>
    </row>
    <row r="60" spans="1:22" ht="12.75">
      <c r="A60" s="242">
        <v>46307</v>
      </c>
      <c r="B60" s="243" t="s">
        <v>549</v>
      </c>
      <c r="C60" s="243" t="s">
        <v>746</v>
      </c>
      <c r="D60" s="243" t="s">
        <v>312</v>
      </c>
      <c r="E60" s="243" t="s">
        <v>707</v>
      </c>
      <c r="F60" s="243" t="s">
        <v>317</v>
      </c>
      <c r="G60" s="243" t="s">
        <v>708</v>
      </c>
      <c r="H60" s="243" t="s">
        <v>838</v>
      </c>
      <c r="I60" s="244" t="s">
        <v>710</v>
      </c>
      <c r="J60" s="243" t="s">
        <v>34</v>
      </c>
      <c r="K60" s="243" t="s">
        <v>953</v>
      </c>
      <c r="L60" s="245" t="s">
        <v>954</v>
      </c>
      <c r="M60" s="259">
        <v>0.94444444444444442</v>
      </c>
      <c r="N60" s="259">
        <v>0.95486111111111116</v>
      </c>
      <c r="O60" s="243" t="s">
        <v>943</v>
      </c>
      <c r="P60" s="243"/>
      <c r="Q60" s="243"/>
      <c r="R60" s="243"/>
      <c r="S60" s="243"/>
      <c r="T60" s="246"/>
      <c r="U60" s="246"/>
      <c r="V60" s="246"/>
    </row>
    <row r="61" spans="1:22" ht="12.75">
      <c r="A61" s="247">
        <v>46307</v>
      </c>
      <c r="B61" s="248" t="s">
        <v>549</v>
      </c>
      <c r="C61" s="248" t="s">
        <v>746</v>
      </c>
      <c r="D61" s="248" t="s">
        <v>312</v>
      </c>
      <c r="E61" s="248" t="s">
        <v>707</v>
      </c>
      <c r="F61" s="248" t="s">
        <v>317</v>
      </c>
      <c r="G61" s="248" t="s">
        <v>708</v>
      </c>
      <c r="H61" s="248" t="s">
        <v>838</v>
      </c>
      <c r="I61" s="249" t="s">
        <v>710</v>
      </c>
      <c r="J61" s="248" t="s">
        <v>34</v>
      </c>
      <c r="K61" s="248" t="s">
        <v>955</v>
      </c>
      <c r="L61" s="250" t="s">
        <v>956</v>
      </c>
      <c r="M61" s="256">
        <v>0.95833333333333337</v>
      </c>
      <c r="N61" s="256">
        <v>0.97569444444444442</v>
      </c>
      <c r="O61" s="248" t="s">
        <v>943</v>
      </c>
      <c r="P61" s="248"/>
      <c r="Q61" s="248"/>
      <c r="R61" s="248"/>
      <c r="S61" s="248"/>
      <c r="T61" s="246"/>
      <c r="U61" s="246"/>
      <c r="V61" s="246"/>
    </row>
    <row r="62" spans="1:22" ht="12.75">
      <c r="A62" s="242">
        <v>46307</v>
      </c>
      <c r="B62" s="243" t="s">
        <v>563</v>
      </c>
      <c r="C62" s="243" t="s">
        <v>53</v>
      </c>
      <c r="D62" s="243" t="s">
        <v>564</v>
      </c>
      <c r="E62" s="243" t="s">
        <v>707</v>
      </c>
      <c r="F62" s="243" t="s">
        <v>317</v>
      </c>
      <c r="G62" s="243" t="s">
        <v>708</v>
      </c>
      <c r="H62" s="243" t="s">
        <v>838</v>
      </c>
      <c r="I62" s="244" t="s">
        <v>710</v>
      </c>
      <c r="J62" s="243" t="s">
        <v>34</v>
      </c>
      <c r="K62" s="243" t="s">
        <v>957</v>
      </c>
      <c r="L62" s="245" t="s">
        <v>946</v>
      </c>
      <c r="M62" s="259">
        <v>0.97916666666666663</v>
      </c>
      <c r="N62" s="259">
        <v>3.4722222222222224E-2</v>
      </c>
      <c r="O62" s="243" t="s">
        <v>943</v>
      </c>
      <c r="P62" s="243"/>
      <c r="Q62" s="243"/>
      <c r="R62" s="243"/>
      <c r="S62" s="243"/>
      <c r="T62" s="246"/>
      <c r="U62" s="246"/>
      <c r="V62" s="246"/>
    </row>
    <row r="63" spans="1:22" ht="12.75">
      <c r="A63" s="247">
        <v>46307</v>
      </c>
      <c r="B63" s="248" t="s">
        <v>563</v>
      </c>
      <c r="C63" s="248" t="s">
        <v>53</v>
      </c>
      <c r="D63" s="248" t="s">
        <v>564</v>
      </c>
      <c r="E63" s="248" t="s">
        <v>707</v>
      </c>
      <c r="F63" s="248" t="s">
        <v>317</v>
      </c>
      <c r="G63" s="248" t="s">
        <v>708</v>
      </c>
      <c r="H63" s="248" t="s">
        <v>838</v>
      </c>
      <c r="I63" s="249" t="s">
        <v>710</v>
      </c>
      <c r="J63" s="248" t="s">
        <v>34</v>
      </c>
      <c r="K63" s="248" t="s">
        <v>959</v>
      </c>
      <c r="L63" s="250" t="s">
        <v>960</v>
      </c>
      <c r="M63" s="256">
        <v>3.8194444444444448E-2</v>
      </c>
      <c r="N63" s="256">
        <v>6.25E-2</v>
      </c>
      <c r="O63" s="248" t="s">
        <v>943</v>
      </c>
      <c r="P63" s="248"/>
      <c r="Q63" s="248"/>
      <c r="R63" s="248"/>
      <c r="S63" s="248"/>
      <c r="T63" s="246"/>
      <c r="U63" s="246"/>
      <c r="V63" s="246"/>
    </row>
    <row r="64" spans="1:22" ht="12.75">
      <c r="A64" s="242">
        <v>46307</v>
      </c>
      <c r="B64" s="243" t="s">
        <v>563</v>
      </c>
      <c r="C64" s="243" t="s">
        <v>53</v>
      </c>
      <c r="D64" s="243" t="s">
        <v>564</v>
      </c>
      <c r="E64" s="243" t="s">
        <v>707</v>
      </c>
      <c r="F64" s="243" t="s">
        <v>317</v>
      </c>
      <c r="G64" s="243" t="s">
        <v>708</v>
      </c>
      <c r="H64" s="243" t="s">
        <v>838</v>
      </c>
      <c r="I64" s="244" t="s">
        <v>710</v>
      </c>
      <c r="J64" s="243" t="s">
        <v>34</v>
      </c>
      <c r="K64" s="243" t="s">
        <v>961</v>
      </c>
      <c r="L64" s="245" t="s">
        <v>962</v>
      </c>
      <c r="M64" s="259">
        <v>6.5972222222222224E-2</v>
      </c>
      <c r="N64" s="259">
        <v>7.9861111111111105E-2</v>
      </c>
      <c r="O64" s="243" t="s">
        <v>943</v>
      </c>
      <c r="P64" s="243"/>
      <c r="Q64" s="243"/>
      <c r="R64" s="243"/>
      <c r="S64" s="243"/>
      <c r="T64" s="246"/>
      <c r="U64" s="246"/>
      <c r="V64" s="246"/>
    </row>
    <row r="65" spans="1:22" ht="12.75">
      <c r="A65" s="247">
        <v>46307</v>
      </c>
      <c r="B65" s="248" t="s">
        <v>563</v>
      </c>
      <c r="C65" s="248" t="s">
        <v>53</v>
      </c>
      <c r="D65" s="248" t="s">
        <v>564</v>
      </c>
      <c r="E65" s="248" t="s">
        <v>707</v>
      </c>
      <c r="F65" s="248" t="s">
        <v>317</v>
      </c>
      <c r="G65" s="248" t="s">
        <v>708</v>
      </c>
      <c r="H65" s="248" t="s">
        <v>838</v>
      </c>
      <c r="I65" s="249" t="s">
        <v>710</v>
      </c>
      <c r="J65" s="248" t="s">
        <v>34</v>
      </c>
      <c r="K65" s="248" t="s">
        <v>963</v>
      </c>
      <c r="L65" s="250" t="s">
        <v>964</v>
      </c>
      <c r="M65" s="256">
        <v>8.3333333333333329E-2</v>
      </c>
      <c r="N65" s="256">
        <v>0.10416666666666667</v>
      </c>
      <c r="O65" s="248" t="s">
        <v>943</v>
      </c>
      <c r="P65" s="248"/>
      <c r="Q65" s="248"/>
      <c r="R65" s="248"/>
      <c r="S65" s="248"/>
      <c r="T65" s="246"/>
      <c r="U65" s="246"/>
      <c r="V65" s="246"/>
    </row>
    <row r="66" spans="1:22" ht="12.75">
      <c r="A66" s="242">
        <v>46307</v>
      </c>
      <c r="B66" s="243" t="s">
        <v>547</v>
      </c>
      <c r="C66" s="243" t="s">
        <v>53</v>
      </c>
      <c r="D66" s="243" t="s">
        <v>965</v>
      </c>
      <c r="E66" s="243" t="s">
        <v>707</v>
      </c>
      <c r="F66" s="243" t="s">
        <v>317</v>
      </c>
      <c r="G66" s="243" t="s">
        <v>708</v>
      </c>
      <c r="H66" s="243" t="s">
        <v>838</v>
      </c>
      <c r="I66" s="244" t="s">
        <v>710</v>
      </c>
      <c r="J66" s="243" t="s">
        <v>34</v>
      </c>
      <c r="K66" s="243" t="s">
        <v>966</v>
      </c>
      <c r="L66" s="245" t="s">
        <v>946</v>
      </c>
      <c r="M66" s="259">
        <v>0.1076388888888889</v>
      </c>
      <c r="N66" s="259">
        <v>0.15972222222222221</v>
      </c>
      <c r="O66" s="243" t="s">
        <v>943</v>
      </c>
      <c r="P66" s="243"/>
      <c r="Q66" s="243"/>
      <c r="R66" s="243"/>
      <c r="S66" s="243"/>
      <c r="T66" s="246"/>
      <c r="U66" s="246"/>
      <c r="V66" s="246"/>
    </row>
    <row r="67" spans="1:22" ht="12.75">
      <c r="A67" s="247">
        <v>46307</v>
      </c>
      <c r="B67" s="248" t="s">
        <v>547</v>
      </c>
      <c r="C67" s="248" t="s">
        <v>53</v>
      </c>
      <c r="D67" s="248" t="s">
        <v>965</v>
      </c>
      <c r="E67" s="248" t="s">
        <v>707</v>
      </c>
      <c r="F67" s="248" t="s">
        <v>317</v>
      </c>
      <c r="G67" s="248" t="s">
        <v>708</v>
      </c>
      <c r="H67" s="248" t="s">
        <v>838</v>
      </c>
      <c r="I67" s="249" t="s">
        <v>710</v>
      </c>
      <c r="J67" s="248" t="s">
        <v>34</v>
      </c>
      <c r="K67" s="248" t="s">
        <v>967</v>
      </c>
      <c r="L67" s="250" t="s">
        <v>968</v>
      </c>
      <c r="M67" s="256">
        <v>0.16319444444444445</v>
      </c>
      <c r="N67" s="256">
        <v>0.1701388888888889</v>
      </c>
      <c r="O67" s="248" t="s">
        <v>943</v>
      </c>
      <c r="P67" s="248"/>
      <c r="Q67" s="248"/>
      <c r="R67" s="248"/>
      <c r="S67" s="248"/>
      <c r="T67" s="246"/>
      <c r="U67" s="246"/>
      <c r="V67" s="246"/>
    </row>
    <row r="68" spans="1:22" ht="12.75">
      <c r="A68" s="242">
        <v>46307</v>
      </c>
      <c r="B68" s="243" t="s">
        <v>547</v>
      </c>
      <c r="C68" s="243" t="s">
        <v>53</v>
      </c>
      <c r="D68" s="243" t="s">
        <v>965</v>
      </c>
      <c r="E68" s="243" t="s">
        <v>707</v>
      </c>
      <c r="F68" s="243" t="s">
        <v>317</v>
      </c>
      <c r="G68" s="243" t="s">
        <v>708</v>
      </c>
      <c r="H68" s="243" t="s">
        <v>838</v>
      </c>
      <c r="I68" s="244" t="s">
        <v>710</v>
      </c>
      <c r="J68" s="243" t="s">
        <v>34</v>
      </c>
      <c r="K68" s="243" t="s">
        <v>969</v>
      </c>
      <c r="L68" s="245" t="s">
        <v>970</v>
      </c>
      <c r="M68" s="259">
        <v>0.1736111111111111</v>
      </c>
      <c r="N68" s="259">
        <v>0.18055555555555555</v>
      </c>
      <c r="O68" s="243" t="s">
        <v>943</v>
      </c>
      <c r="P68" s="243"/>
      <c r="Q68" s="243"/>
      <c r="R68" s="243"/>
      <c r="S68" s="243"/>
      <c r="T68" s="246"/>
      <c r="U68" s="246"/>
      <c r="V68" s="246"/>
    </row>
    <row r="69" spans="1:22" ht="12.75">
      <c r="A69" s="247">
        <v>46307</v>
      </c>
      <c r="B69" s="248" t="s">
        <v>547</v>
      </c>
      <c r="C69" s="248" t="s">
        <v>53</v>
      </c>
      <c r="D69" s="248" t="s">
        <v>971</v>
      </c>
      <c r="E69" s="248" t="s">
        <v>815</v>
      </c>
      <c r="F69" s="248" t="s">
        <v>677</v>
      </c>
      <c r="G69" s="248" t="s">
        <v>764</v>
      </c>
      <c r="H69" s="248" t="s">
        <v>972</v>
      </c>
      <c r="I69" s="249" t="s">
        <v>710</v>
      </c>
      <c r="J69" s="248" t="s">
        <v>34</v>
      </c>
      <c r="K69" s="248" t="s">
        <v>973</v>
      </c>
      <c r="L69" s="250" t="s">
        <v>974</v>
      </c>
      <c r="M69" s="256">
        <v>0.29166666666666669</v>
      </c>
      <c r="N69" s="256">
        <v>0.3125</v>
      </c>
      <c r="O69" s="248" t="s">
        <v>975</v>
      </c>
      <c r="P69" s="248" t="s">
        <v>976</v>
      </c>
      <c r="Q69" s="248"/>
      <c r="R69" s="248"/>
      <c r="S69" s="248"/>
      <c r="T69" s="246"/>
      <c r="U69" s="246"/>
      <c r="V69" s="246"/>
    </row>
    <row r="70" spans="1:22" ht="12.75">
      <c r="A70" s="242">
        <v>46307</v>
      </c>
      <c r="B70" s="243" t="s">
        <v>547</v>
      </c>
      <c r="C70" s="243" t="s">
        <v>53</v>
      </c>
      <c r="D70" s="243" t="s">
        <v>971</v>
      </c>
      <c r="E70" s="243" t="s">
        <v>815</v>
      </c>
      <c r="F70" s="243" t="s">
        <v>677</v>
      </c>
      <c r="G70" s="243" t="s">
        <v>764</v>
      </c>
      <c r="H70" s="243" t="s">
        <v>972</v>
      </c>
      <c r="I70" s="244" t="s">
        <v>710</v>
      </c>
      <c r="J70" s="243" t="s">
        <v>34</v>
      </c>
      <c r="K70" s="243" t="s">
        <v>977</v>
      </c>
      <c r="L70" s="245" t="s">
        <v>978</v>
      </c>
      <c r="M70" s="259">
        <v>0.31597222222222221</v>
      </c>
      <c r="N70" s="259">
        <v>0.33333333333333331</v>
      </c>
      <c r="O70" s="243" t="s">
        <v>975</v>
      </c>
      <c r="P70" s="243" t="s">
        <v>976</v>
      </c>
      <c r="Q70" s="243"/>
      <c r="R70" s="243"/>
      <c r="S70" s="243"/>
      <c r="T70" s="246"/>
      <c r="U70" s="246"/>
      <c r="V70" s="246"/>
    </row>
    <row r="71" spans="1:22" ht="12.75">
      <c r="A71" s="247">
        <v>46307</v>
      </c>
      <c r="B71" s="248" t="s">
        <v>556</v>
      </c>
      <c r="C71" s="248" t="s">
        <v>706</v>
      </c>
      <c r="D71" s="248" t="s">
        <v>979</v>
      </c>
      <c r="E71" s="248" t="s">
        <v>707</v>
      </c>
      <c r="F71" s="248" t="s">
        <v>677</v>
      </c>
      <c r="G71" s="248" t="s">
        <v>764</v>
      </c>
      <c r="H71" s="248" t="s">
        <v>709</v>
      </c>
      <c r="I71" s="249" t="s">
        <v>710</v>
      </c>
      <c r="J71" s="248" t="s">
        <v>34</v>
      </c>
      <c r="K71" s="248" t="s">
        <v>980</v>
      </c>
      <c r="L71" s="250" t="s">
        <v>981</v>
      </c>
      <c r="M71" s="256">
        <v>0.54166666666666663</v>
      </c>
      <c r="N71" s="256">
        <v>0.55902777777777779</v>
      </c>
      <c r="O71" s="248" t="s">
        <v>975</v>
      </c>
      <c r="P71" s="248" t="s">
        <v>976</v>
      </c>
      <c r="Q71" s="248"/>
      <c r="R71" s="248"/>
      <c r="S71" s="248"/>
      <c r="T71" s="246"/>
      <c r="U71" s="246"/>
      <c r="V71" s="246"/>
    </row>
    <row r="72" spans="1:22" ht="12.75">
      <c r="A72" s="242">
        <v>46307</v>
      </c>
      <c r="B72" s="243" t="s">
        <v>556</v>
      </c>
      <c r="C72" s="243" t="s">
        <v>706</v>
      </c>
      <c r="D72" s="243" t="s">
        <v>979</v>
      </c>
      <c r="E72" s="243" t="s">
        <v>707</v>
      </c>
      <c r="F72" s="243" t="s">
        <v>677</v>
      </c>
      <c r="G72" s="243" t="s">
        <v>764</v>
      </c>
      <c r="H72" s="243" t="s">
        <v>709</v>
      </c>
      <c r="I72" s="244" t="s">
        <v>710</v>
      </c>
      <c r="J72" s="243" t="s">
        <v>34</v>
      </c>
      <c r="K72" s="243" t="s">
        <v>982</v>
      </c>
      <c r="L72" s="245" t="s">
        <v>983</v>
      </c>
      <c r="M72" s="259">
        <v>0.5625</v>
      </c>
      <c r="N72" s="259">
        <v>0.58333333333333337</v>
      </c>
      <c r="O72" s="243" t="s">
        <v>975</v>
      </c>
      <c r="P72" s="243" t="s">
        <v>976</v>
      </c>
      <c r="Q72" s="243"/>
      <c r="R72" s="243"/>
      <c r="S72" s="243"/>
      <c r="T72" s="246"/>
      <c r="U72" s="246"/>
      <c r="V72" s="246"/>
    </row>
    <row r="73" spans="1:22" ht="12.75">
      <c r="A73" s="247">
        <v>46307</v>
      </c>
      <c r="B73" s="248" t="s">
        <v>556</v>
      </c>
      <c r="C73" s="248" t="s">
        <v>706</v>
      </c>
      <c r="D73" s="248" t="s">
        <v>979</v>
      </c>
      <c r="E73" s="248" t="s">
        <v>707</v>
      </c>
      <c r="F73" s="248" t="s">
        <v>677</v>
      </c>
      <c r="G73" s="248" t="s">
        <v>764</v>
      </c>
      <c r="H73" s="248" t="s">
        <v>709</v>
      </c>
      <c r="I73" s="249" t="s">
        <v>710</v>
      </c>
      <c r="J73" s="248" t="s">
        <v>34</v>
      </c>
      <c r="K73" s="248" t="s">
        <v>988</v>
      </c>
      <c r="L73" s="250" t="s">
        <v>989</v>
      </c>
      <c r="M73" s="256">
        <v>0.59027777777777779</v>
      </c>
      <c r="N73" s="256">
        <v>0.61111111111111116</v>
      </c>
      <c r="O73" s="248" t="s">
        <v>975</v>
      </c>
      <c r="P73" s="248" t="s">
        <v>976</v>
      </c>
      <c r="Q73" s="248"/>
      <c r="R73" s="248"/>
      <c r="S73" s="248"/>
      <c r="T73" s="246"/>
      <c r="U73" s="246"/>
      <c r="V73" s="246"/>
    </row>
    <row r="74" spans="1:22" ht="12.75">
      <c r="A74" s="242">
        <v>46307</v>
      </c>
      <c r="B74" s="243" t="s">
        <v>556</v>
      </c>
      <c r="C74" s="243" t="s">
        <v>706</v>
      </c>
      <c r="D74" s="243" t="s">
        <v>979</v>
      </c>
      <c r="E74" s="243" t="s">
        <v>707</v>
      </c>
      <c r="F74" s="243" t="s">
        <v>677</v>
      </c>
      <c r="G74" s="243" t="s">
        <v>764</v>
      </c>
      <c r="H74" s="243" t="s">
        <v>709</v>
      </c>
      <c r="I74" s="244" t="s">
        <v>710</v>
      </c>
      <c r="J74" s="243" t="s">
        <v>34</v>
      </c>
      <c r="K74" s="243" t="s">
        <v>990</v>
      </c>
      <c r="L74" s="245" t="s">
        <v>991</v>
      </c>
      <c r="M74" s="259">
        <v>0.54166666666666663</v>
      </c>
      <c r="N74" s="259">
        <v>0.625</v>
      </c>
      <c r="O74" s="243" t="s">
        <v>975</v>
      </c>
      <c r="P74" s="243" t="s">
        <v>976</v>
      </c>
      <c r="Q74" s="243"/>
      <c r="R74" s="243"/>
      <c r="S74" s="243"/>
      <c r="T74" s="246"/>
      <c r="U74" s="246"/>
      <c r="V74" s="246"/>
    </row>
    <row r="75" spans="1:22" ht="12.75">
      <c r="A75" s="247">
        <v>46307</v>
      </c>
      <c r="B75" s="248" t="s">
        <v>556</v>
      </c>
      <c r="C75" s="248" t="s">
        <v>706</v>
      </c>
      <c r="D75" s="248" t="s">
        <v>992</v>
      </c>
      <c r="E75" s="248" t="s">
        <v>707</v>
      </c>
      <c r="F75" s="248" t="s">
        <v>677</v>
      </c>
      <c r="G75" s="248" t="s">
        <v>764</v>
      </c>
      <c r="H75" s="248" t="s">
        <v>709</v>
      </c>
      <c r="I75" s="249" t="s">
        <v>710</v>
      </c>
      <c r="J75" s="248" t="s">
        <v>34</v>
      </c>
      <c r="K75" s="248" t="s">
        <v>993</v>
      </c>
      <c r="L75" s="250" t="s">
        <v>994</v>
      </c>
      <c r="M75" s="256">
        <v>0.64583333333333337</v>
      </c>
      <c r="N75" s="256">
        <v>0.65972222222222221</v>
      </c>
      <c r="O75" s="248" t="s">
        <v>975</v>
      </c>
      <c r="P75" s="248" t="s">
        <v>976</v>
      </c>
      <c r="Q75" s="248"/>
      <c r="R75" s="248"/>
      <c r="S75" s="248"/>
      <c r="T75" s="246"/>
      <c r="U75" s="246"/>
      <c r="V75" s="246"/>
    </row>
    <row r="76" spans="1:22" ht="12.75">
      <c r="A76" s="242">
        <v>46307</v>
      </c>
      <c r="B76" s="243" t="s">
        <v>556</v>
      </c>
      <c r="C76" s="243" t="s">
        <v>706</v>
      </c>
      <c r="D76" s="243" t="s">
        <v>992</v>
      </c>
      <c r="E76" s="243" t="s">
        <v>707</v>
      </c>
      <c r="F76" s="243" t="s">
        <v>677</v>
      </c>
      <c r="G76" s="243" t="s">
        <v>764</v>
      </c>
      <c r="H76" s="243" t="s">
        <v>709</v>
      </c>
      <c r="I76" s="244" t="s">
        <v>710</v>
      </c>
      <c r="J76" s="243" t="s">
        <v>34</v>
      </c>
      <c r="K76" s="243" t="s">
        <v>995</v>
      </c>
      <c r="L76" s="245" t="s">
        <v>996</v>
      </c>
      <c r="M76" s="259">
        <v>0.66666666666666663</v>
      </c>
      <c r="N76" s="259">
        <v>0.68402777777777779</v>
      </c>
      <c r="O76" s="243" t="s">
        <v>975</v>
      </c>
      <c r="P76" s="243" t="s">
        <v>976</v>
      </c>
      <c r="Q76" s="243"/>
      <c r="R76" s="243"/>
      <c r="S76" s="243"/>
      <c r="T76" s="246"/>
      <c r="U76" s="246"/>
      <c r="V76" s="246"/>
    </row>
    <row r="77" spans="1:22" ht="12.75">
      <c r="A77" s="247">
        <v>46307</v>
      </c>
      <c r="B77" s="248" t="s">
        <v>556</v>
      </c>
      <c r="C77" s="248" t="s">
        <v>706</v>
      </c>
      <c r="D77" s="248" t="s">
        <v>992</v>
      </c>
      <c r="E77" s="248" t="s">
        <v>707</v>
      </c>
      <c r="F77" s="248" t="s">
        <v>677</v>
      </c>
      <c r="G77" s="248" t="s">
        <v>764</v>
      </c>
      <c r="H77" s="248" t="s">
        <v>709</v>
      </c>
      <c r="I77" s="249" t="s">
        <v>710</v>
      </c>
      <c r="J77" s="248" t="s">
        <v>34</v>
      </c>
      <c r="K77" s="248" t="s">
        <v>1001</v>
      </c>
      <c r="L77" s="250" t="s">
        <v>1002</v>
      </c>
      <c r="M77" s="256">
        <v>0.6875</v>
      </c>
      <c r="N77" s="256">
        <v>0.70138888888888884</v>
      </c>
      <c r="O77" s="248" t="s">
        <v>975</v>
      </c>
      <c r="P77" s="248" t="s">
        <v>976</v>
      </c>
      <c r="Q77" s="248"/>
      <c r="R77" s="248"/>
      <c r="S77" s="248"/>
      <c r="T77" s="246"/>
      <c r="U77" s="246"/>
      <c r="V77" s="246"/>
    </row>
    <row r="78" spans="1:22" ht="12.75">
      <c r="A78" s="242">
        <v>46307</v>
      </c>
      <c r="B78" s="243" t="s">
        <v>556</v>
      </c>
      <c r="C78" s="243" t="s">
        <v>706</v>
      </c>
      <c r="D78" s="243" t="s">
        <v>992</v>
      </c>
      <c r="E78" s="243" t="s">
        <v>707</v>
      </c>
      <c r="F78" s="243" t="s">
        <v>677</v>
      </c>
      <c r="G78" s="243" t="s">
        <v>764</v>
      </c>
      <c r="H78" s="243" t="s">
        <v>709</v>
      </c>
      <c r="I78" s="244" t="s">
        <v>710</v>
      </c>
      <c r="J78" s="243" t="s">
        <v>34</v>
      </c>
      <c r="K78" s="243" t="s">
        <v>1006</v>
      </c>
      <c r="L78" s="245" t="s">
        <v>991</v>
      </c>
      <c r="M78" s="259">
        <v>0.64583333333333337</v>
      </c>
      <c r="N78" s="259">
        <v>0.72916666666666663</v>
      </c>
      <c r="O78" s="243" t="s">
        <v>975</v>
      </c>
      <c r="P78" s="243" t="s">
        <v>976</v>
      </c>
      <c r="Q78" s="243"/>
      <c r="R78" s="243"/>
      <c r="S78" s="243"/>
      <c r="T78" s="246"/>
      <c r="U78" s="246"/>
      <c r="V78" s="246"/>
    </row>
    <row r="79" spans="1:22" ht="12.75">
      <c r="A79" s="247">
        <v>46307</v>
      </c>
      <c r="B79" s="248" t="s">
        <v>549</v>
      </c>
      <c r="C79" s="248" t="s">
        <v>814</v>
      </c>
      <c r="D79" s="248" t="s">
        <v>1007</v>
      </c>
      <c r="E79" s="248" t="s">
        <v>1008</v>
      </c>
      <c r="F79" s="248" t="s">
        <v>958</v>
      </c>
      <c r="G79" s="248" t="s">
        <v>764</v>
      </c>
      <c r="H79" s="248" t="s">
        <v>740</v>
      </c>
      <c r="I79" s="249" t="s">
        <v>710</v>
      </c>
      <c r="J79" s="248" t="s">
        <v>34</v>
      </c>
      <c r="K79" s="248" t="s">
        <v>1009</v>
      </c>
      <c r="L79" s="250" t="s">
        <v>1010</v>
      </c>
      <c r="M79" s="256">
        <v>0.35416666666666669</v>
      </c>
      <c r="N79" s="256">
        <v>0.41666666666666669</v>
      </c>
      <c r="O79" s="248" t="s">
        <v>1011</v>
      </c>
      <c r="P79" s="248"/>
      <c r="Q79" s="248"/>
      <c r="R79" s="248"/>
      <c r="S79" s="248"/>
      <c r="T79" s="246"/>
      <c r="U79" s="246"/>
      <c r="V79" s="246"/>
    </row>
    <row r="80" spans="1:22" ht="12.75">
      <c r="A80" s="242">
        <v>46307</v>
      </c>
      <c r="B80" s="243" t="s">
        <v>563</v>
      </c>
      <c r="C80" s="243" t="s">
        <v>53</v>
      </c>
      <c r="D80" s="243" t="s">
        <v>984</v>
      </c>
      <c r="E80" s="243" t="s">
        <v>707</v>
      </c>
      <c r="F80" s="243" t="s">
        <v>958</v>
      </c>
      <c r="G80" s="243" t="s">
        <v>764</v>
      </c>
      <c r="H80" s="243" t="s">
        <v>740</v>
      </c>
      <c r="I80" s="244" t="s">
        <v>710</v>
      </c>
      <c r="J80" s="243" t="s">
        <v>34</v>
      </c>
      <c r="K80" s="243" t="s">
        <v>1012</v>
      </c>
      <c r="L80" s="245" t="s">
        <v>1013</v>
      </c>
      <c r="M80" s="259">
        <v>0.45833333333333331</v>
      </c>
      <c r="N80" s="259">
        <v>0.54166666666666663</v>
      </c>
      <c r="O80" s="243" t="s">
        <v>1011</v>
      </c>
      <c r="P80" s="243"/>
      <c r="Q80" s="243"/>
      <c r="R80" s="243"/>
      <c r="S80" s="243"/>
      <c r="T80" s="246"/>
      <c r="U80" s="246"/>
      <c r="V80" s="246"/>
    </row>
    <row r="81" spans="1:22" ht="12.75">
      <c r="A81" s="247">
        <v>46307</v>
      </c>
      <c r="B81" s="248" t="s">
        <v>563</v>
      </c>
      <c r="C81" s="248" t="s">
        <v>53</v>
      </c>
      <c r="D81" s="248" t="s">
        <v>984</v>
      </c>
      <c r="E81" s="248" t="s">
        <v>707</v>
      </c>
      <c r="F81" s="248" t="s">
        <v>958</v>
      </c>
      <c r="G81" s="248" t="s">
        <v>764</v>
      </c>
      <c r="H81" s="248" t="s">
        <v>709</v>
      </c>
      <c r="I81" s="249" t="s">
        <v>710</v>
      </c>
      <c r="J81" s="248" t="s">
        <v>34</v>
      </c>
      <c r="K81" s="248" t="s">
        <v>1014</v>
      </c>
      <c r="L81" s="250" t="s">
        <v>1015</v>
      </c>
      <c r="M81" s="256">
        <v>0.54166666666666663</v>
      </c>
      <c r="N81" s="256">
        <v>0.66666666666666663</v>
      </c>
      <c r="O81" s="248" t="s">
        <v>1011</v>
      </c>
      <c r="P81" s="248"/>
      <c r="Q81" s="248"/>
      <c r="R81" s="248"/>
      <c r="S81" s="248"/>
      <c r="T81" s="246"/>
      <c r="U81" s="246"/>
      <c r="V81" s="246"/>
    </row>
    <row r="82" spans="1:22" ht="12.75">
      <c r="A82" s="242">
        <v>46307</v>
      </c>
      <c r="B82" s="243" t="s">
        <v>549</v>
      </c>
      <c r="C82" s="243" t="s">
        <v>814</v>
      </c>
      <c r="D82" s="243" t="s">
        <v>1016</v>
      </c>
      <c r="E82" s="243" t="s">
        <v>707</v>
      </c>
      <c r="F82" s="243" t="s">
        <v>958</v>
      </c>
      <c r="G82" s="243" t="s">
        <v>708</v>
      </c>
      <c r="H82" s="243" t="s">
        <v>709</v>
      </c>
      <c r="I82" s="244" t="s">
        <v>710</v>
      </c>
      <c r="J82" s="243" t="s">
        <v>34</v>
      </c>
      <c r="K82" s="243" t="s">
        <v>1017</v>
      </c>
      <c r="L82" s="245" t="s">
        <v>1015</v>
      </c>
      <c r="M82" s="259">
        <v>0.8125</v>
      </c>
      <c r="N82" s="259">
        <v>0.89583333333333337</v>
      </c>
      <c r="O82" s="243" t="s">
        <v>1018</v>
      </c>
      <c r="P82" s="243" t="s">
        <v>1019</v>
      </c>
      <c r="Q82" s="243"/>
      <c r="R82" s="243"/>
      <c r="S82" s="243"/>
      <c r="T82" s="246"/>
      <c r="U82" s="246"/>
      <c r="V82" s="246"/>
    </row>
    <row r="83" spans="1:22" ht="12.75">
      <c r="A83" s="247">
        <v>46307</v>
      </c>
      <c r="B83" s="248" t="s">
        <v>549</v>
      </c>
      <c r="C83" s="248" t="s">
        <v>814</v>
      </c>
      <c r="D83" s="248" t="s">
        <v>1016</v>
      </c>
      <c r="E83" s="248" t="s">
        <v>707</v>
      </c>
      <c r="F83" s="248" t="s">
        <v>958</v>
      </c>
      <c r="G83" s="248" t="s">
        <v>708</v>
      </c>
      <c r="H83" s="248" t="s">
        <v>740</v>
      </c>
      <c r="I83" s="249" t="s">
        <v>710</v>
      </c>
      <c r="J83" s="248" t="s">
        <v>34</v>
      </c>
      <c r="K83" s="248" t="s">
        <v>1020</v>
      </c>
      <c r="L83" s="250" t="s">
        <v>1021</v>
      </c>
      <c r="M83" s="256">
        <v>0.89583333333333337</v>
      </c>
      <c r="N83" s="256">
        <v>0.9375</v>
      </c>
      <c r="O83" s="248" t="s">
        <v>1018</v>
      </c>
      <c r="P83" s="248" t="s">
        <v>1019</v>
      </c>
      <c r="Q83" s="248"/>
      <c r="R83" s="248"/>
      <c r="S83" s="248"/>
      <c r="T83" s="246"/>
      <c r="U83" s="246"/>
      <c r="V83" s="246"/>
    </row>
    <row r="84" spans="1:22" ht="12.75">
      <c r="A84" s="242">
        <v>46307</v>
      </c>
      <c r="B84" s="243" t="s">
        <v>549</v>
      </c>
      <c r="C84" s="243" t="s">
        <v>814</v>
      </c>
      <c r="D84" s="243" t="s">
        <v>1016</v>
      </c>
      <c r="E84" s="243" t="s">
        <v>707</v>
      </c>
      <c r="F84" s="243" t="s">
        <v>958</v>
      </c>
      <c r="G84" s="243" t="s">
        <v>708</v>
      </c>
      <c r="H84" s="243" t="s">
        <v>740</v>
      </c>
      <c r="I84" s="244" t="s">
        <v>710</v>
      </c>
      <c r="J84" s="243" t="s">
        <v>34</v>
      </c>
      <c r="K84" s="243" t="s">
        <v>1022</v>
      </c>
      <c r="L84" s="245" t="s">
        <v>1023</v>
      </c>
      <c r="M84" s="259">
        <v>0.9375</v>
      </c>
      <c r="N84" s="259">
        <v>0.95833333333333337</v>
      </c>
      <c r="O84" s="243" t="s">
        <v>1018</v>
      </c>
      <c r="P84" s="243" t="s">
        <v>1019</v>
      </c>
      <c r="Q84" s="243"/>
      <c r="R84" s="243"/>
      <c r="S84" s="243"/>
      <c r="T84" s="246"/>
      <c r="U84" s="246"/>
      <c r="V84" s="246"/>
    </row>
    <row r="85" spans="1:22" ht="12.75">
      <c r="A85" s="247">
        <v>46307</v>
      </c>
      <c r="B85" s="248" t="s">
        <v>549</v>
      </c>
      <c r="C85" s="248" t="s">
        <v>814</v>
      </c>
      <c r="D85" s="248" t="s">
        <v>1016</v>
      </c>
      <c r="E85" s="248" t="s">
        <v>707</v>
      </c>
      <c r="F85" s="248" t="s">
        <v>958</v>
      </c>
      <c r="G85" s="248" t="s">
        <v>708</v>
      </c>
      <c r="H85" s="248" t="s">
        <v>740</v>
      </c>
      <c r="I85" s="249" t="s">
        <v>710</v>
      </c>
      <c r="J85" s="248" t="s">
        <v>34</v>
      </c>
      <c r="K85" s="248" t="s">
        <v>1024</v>
      </c>
      <c r="L85" s="250" t="s">
        <v>1025</v>
      </c>
      <c r="M85" s="256">
        <v>0.95833333333333337</v>
      </c>
      <c r="N85" s="256">
        <v>0.97916666666666663</v>
      </c>
      <c r="O85" s="248" t="s">
        <v>1018</v>
      </c>
      <c r="P85" s="248" t="s">
        <v>1019</v>
      </c>
      <c r="Q85" s="248"/>
      <c r="R85" s="248"/>
      <c r="S85" s="248"/>
      <c r="T85" s="246"/>
      <c r="U85" s="246"/>
      <c r="V85" s="246"/>
    </row>
    <row r="86" spans="1:22" ht="12.75">
      <c r="A86" s="242">
        <v>46307</v>
      </c>
      <c r="B86" s="243" t="s">
        <v>549</v>
      </c>
      <c r="C86" s="243" t="s">
        <v>814</v>
      </c>
      <c r="D86" s="243" t="s">
        <v>1016</v>
      </c>
      <c r="E86" s="243" t="s">
        <v>707</v>
      </c>
      <c r="F86" s="243" t="s">
        <v>958</v>
      </c>
      <c r="G86" s="243" t="s">
        <v>708</v>
      </c>
      <c r="H86" s="243" t="s">
        <v>740</v>
      </c>
      <c r="I86" s="244" t="s">
        <v>710</v>
      </c>
      <c r="J86" s="243" t="s">
        <v>34</v>
      </c>
      <c r="K86" s="243" t="s">
        <v>1026</v>
      </c>
      <c r="L86" s="245" t="s">
        <v>1027</v>
      </c>
      <c r="M86" s="259">
        <v>0.97916666666666663</v>
      </c>
      <c r="N86" s="259">
        <v>0</v>
      </c>
      <c r="O86" s="243" t="s">
        <v>1018</v>
      </c>
      <c r="P86" s="243" t="s">
        <v>1019</v>
      </c>
      <c r="Q86" s="243"/>
      <c r="R86" s="243"/>
      <c r="S86" s="243"/>
      <c r="T86" s="246"/>
      <c r="U86" s="246"/>
      <c r="V86" s="246"/>
    </row>
    <row r="87" spans="1:22" ht="12.75">
      <c r="A87" s="247">
        <v>46307</v>
      </c>
      <c r="B87" s="248" t="s">
        <v>549</v>
      </c>
      <c r="C87" s="248" t="s">
        <v>814</v>
      </c>
      <c r="D87" s="248" t="s">
        <v>1016</v>
      </c>
      <c r="E87" s="248" t="s">
        <v>707</v>
      </c>
      <c r="F87" s="248" t="s">
        <v>958</v>
      </c>
      <c r="G87" s="248" t="s">
        <v>708</v>
      </c>
      <c r="H87" s="248" t="s">
        <v>740</v>
      </c>
      <c r="I87" s="249" t="s">
        <v>710</v>
      </c>
      <c r="J87" s="248" t="s">
        <v>34</v>
      </c>
      <c r="K87" s="248" t="s">
        <v>1028</v>
      </c>
      <c r="L87" s="250" t="s">
        <v>1029</v>
      </c>
      <c r="M87" s="256">
        <v>0</v>
      </c>
      <c r="N87" s="256">
        <v>2.0833333333333332E-2</v>
      </c>
      <c r="O87" s="248" t="s">
        <v>1018</v>
      </c>
      <c r="P87" s="248" t="s">
        <v>1019</v>
      </c>
      <c r="Q87" s="248"/>
      <c r="R87" s="248"/>
      <c r="S87" s="248"/>
      <c r="T87" s="246"/>
      <c r="U87" s="246"/>
      <c r="V87" s="246"/>
    </row>
    <row r="88" spans="1:22" ht="12.75">
      <c r="A88" s="242">
        <v>46307</v>
      </c>
      <c r="B88" s="243" t="s">
        <v>549</v>
      </c>
      <c r="C88" s="243" t="s">
        <v>814</v>
      </c>
      <c r="D88" s="243" t="s">
        <v>1016</v>
      </c>
      <c r="E88" s="243" t="s">
        <v>707</v>
      </c>
      <c r="F88" s="243" t="s">
        <v>958</v>
      </c>
      <c r="G88" s="243" t="s">
        <v>708</v>
      </c>
      <c r="H88" s="243" t="s">
        <v>740</v>
      </c>
      <c r="I88" s="244" t="s">
        <v>710</v>
      </c>
      <c r="J88" s="243" t="s">
        <v>34</v>
      </c>
      <c r="K88" s="243" t="s">
        <v>1030</v>
      </c>
      <c r="L88" s="245" t="s">
        <v>1031</v>
      </c>
      <c r="M88" s="259">
        <v>2.0833333333333332E-2</v>
      </c>
      <c r="N88" s="259">
        <v>4.1666666666666664E-2</v>
      </c>
      <c r="O88" s="243" t="s">
        <v>1018</v>
      </c>
      <c r="P88" s="243" t="s">
        <v>1019</v>
      </c>
      <c r="Q88" s="243"/>
      <c r="R88" s="243"/>
      <c r="S88" s="243"/>
      <c r="T88" s="246"/>
      <c r="U88" s="246"/>
      <c r="V88" s="246"/>
    </row>
    <row r="89" spans="1:22" ht="12.75">
      <c r="A89" s="247">
        <v>46307</v>
      </c>
      <c r="B89" s="248" t="s">
        <v>549</v>
      </c>
      <c r="C89" s="248" t="s">
        <v>814</v>
      </c>
      <c r="D89" s="248" t="s">
        <v>1016</v>
      </c>
      <c r="E89" s="248" t="s">
        <v>707</v>
      </c>
      <c r="F89" s="248" t="s">
        <v>958</v>
      </c>
      <c r="G89" s="248" t="s">
        <v>708</v>
      </c>
      <c r="H89" s="248" t="s">
        <v>740</v>
      </c>
      <c r="I89" s="249" t="s">
        <v>710</v>
      </c>
      <c r="J89" s="248" t="s">
        <v>34</v>
      </c>
      <c r="K89" s="248" t="s">
        <v>1032</v>
      </c>
      <c r="L89" s="250" t="s">
        <v>1033</v>
      </c>
      <c r="M89" s="256">
        <v>4.1666666666666664E-2</v>
      </c>
      <c r="N89" s="256">
        <v>8.3333333333333329E-2</v>
      </c>
      <c r="O89" s="248" t="s">
        <v>1018</v>
      </c>
      <c r="P89" s="248" t="s">
        <v>1019</v>
      </c>
      <c r="Q89" s="248"/>
      <c r="R89" s="248"/>
      <c r="S89" s="248"/>
      <c r="T89" s="246"/>
      <c r="U89" s="246"/>
      <c r="V89" s="246"/>
    </row>
    <row r="90" spans="1:22" ht="12.75">
      <c r="A90" s="242">
        <v>46307</v>
      </c>
      <c r="B90" s="243" t="s">
        <v>549</v>
      </c>
      <c r="C90" s="243" t="s">
        <v>814</v>
      </c>
      <c r="D90" s="243" t="s">
        <v>1016</v>
      </c>
      <c r="E90" s="243" t="s">
        <v>707</v>
      </c>
      <c r="F90" s="243" t="s">
        <v>958</v>
      </c>
      <c r="G90" s="243" t="s">
        <v>708</v>
      </c>
      <c r="H90" s="243" t="s">
        <v>740</v>
      </c>
      <c r="I90" s="244" t="s">
        <v>710</v>
      </c>
      <c r="J90" s="243" t="s">
        <v>34</v>
      </c>
      <c r="K90" s="243" t="s">
        <v>1034</v>
      </c>
      <c r="L90" s="245" t="s">
        <v>1035</v>
      </c>
      <c r="M90" s="259">
        <v>8.3333333333333329E-2</v>
      </c>
      <c r="N90" s="259">
        <v>0.10416666666666667</v>
      </c>
      <c r="O90" s="243" t="s">
        <v>1018</v>
      </c>
      <c r="P90" s="243" t="s">
        <v>1019</v>
      </c>
      <c r="Q90" s="243"/>
      <c r="R90" s="243"/>
      <c r="S90" s="243"/>
      <c r="T90" s="246"/>
      <c r="U90" s="246"/>
      <c r="V90" s="246"/>
    </row>
    <row r="91" spans="1:22" ht="12.75">
      <c r="A91" s="247">
        <v>46307</v>
      </c>
      <c r="B91" s="248" t="s">
        <v>549</v>
      </c>
      <c r="C91" s="248" t="s">
        <v>814</v>
      </c>
      <c r="D91" s="248" t="s">
        <v>1016</v>
      </c>
      <c r="E91" s="248" t="s">
        <v>707</v>
      </c>
      <c r="F91" s="248" t="s">
        <v>958</v>
      </c>
      <c r="G91" s="248" t="s">
        <v>708</v>
      </c>
      <c r="H91" s="248" t="s">
        <v>740</v>
      </c>
      <c r="I91" s="249" t="s">
        <v>710</v>
      </c>
      <c r="J91" s="248" t="s">
        <v>34</v>
      </c>
      <c r="K91" s="248" t="s">
        <v>1036</v>
      </c>
      <c r="L91" s="250" t="s">
        <v>1037</v>
      </c>
      <c r="M91" s="256">
        <v>0.10416666666666667</v>
      </c>
      <c r="N91" s="256">
        <v>0.14583333333333334</v>
      </c>
      <c r="O91" s="248" t="s">
        <v>1018</v>
      </c>
      <c r="P91" s="248" t="s">
        <v>1019</v>
      </c>
      <c r="Q91" s="248"/>
      <c r="R91" s="248"/>
      <c r="S91" s="248"/>
      <c r="T91" s="246"/>
      <c r="U91" s="246"/>
      <c r="V91" s="246"/>
    </row>
    <row r="92" spans="1:22" ht="12.75">
      <c r="A92" s="242">
        <v>46307</v>
      </c>
      <c r="B92" s="243" t="s">
        <v>549</v>
      </c>
      <c r="C92" s="243" t="s">
        <v>814</v>
      </c>
      <c r="D92" s="243" t="s">
        <v>1016</v>
      </c>
      <c r="E92" s="243" t="s">
        <v>707</v>
      </c>
      <c r="F92" s="243" t="s">
        <v>958</v>
      </c>
      <c r="G92" s="243" t="s">
        <v>708</v>
      </c>
      <c r="H92" s="243" t="s">
        <v>740</v>
      </c>
      <c r="I92" s="244" t="s">
        <v>710</v>
      </c>
      <c r="J92" s="243" t="s">
        <v>34</v>
      </c>
      <c r="K92" s="243" t="s">
        <v>1038</v>
      </c>
      <c r="L92" s="245" t="s">
        <v>1039</v>
      </c>
      <c r="M92" s="259">
        <v>0.14583333333333334</v>
      </c>
      <c r="N92" s="259">
        <v>0.1875</v>
      </c>
      <c r="O92" s="243" t="s">
        <v>1018</v>
      </c>
      <c r="P92" s="243" t="s">
        <v>1019</v>
      </c>
      <c r="Q92" s="243"/>
      <c r="R92" s="243"/>
      <c r="S92" s="243"/>
      <c r="T92" s="246"/>
      <c r="U92" s="246"/>
      <c r="V92" s="246"/>
    </row>
    <row r="93" spans="1:22" ht="12.75">
      <c r="A93" s="247">
        <v>46307</v>
      </c>
      <c r="B93" s="248" t="s">
        <v>549</v>
      </c>
      <c r="C93" s="248" t="s">
        <v>814</v>
      </c>
      <c r="D93" s="248" t="s">
        <v>1016</v>
      </c>
      <c r="E93" s="248" t="s">
        <v>707</v>
      </c>
      <c r="F93" s="248" t="s">
        <v>958</v>
      </c>
      <c r="G93" s="248" t="s">
        <v>708</v>
      </c>
      <c r="H93" s="248" t="s">
        <v>740</v>
      </c>
      <c r="I93" s="249" t="s">
        <v>710</v>
      </c>
      <c r="J93" s="248" t="s">
        <v>34</v>
      </c>
      <c r="K93" s="248" t="s">
        <v>1040</v>
      </c>
      <c r="L93" s="250" t="s">
        <v>1041</v>
      </c>
      <c r="M93" s="256">
        <v>0.1875</v>
      </c>
      <c r="N93" s="256">
        <v>0.20833333333333334</v>
      </c>
      <c r="O93" s="248" t="s">
        <v>1018</v>
      </c>
      <c r="P93" s="248" t="s">
        <v>1019</v>
      </c>
      <c r="Q93" s="248"/>
      <c r="R93" s="248"/>
      <c r="S93" s="248"/>
      <c r="T93" s="246"/>
      <c r="U93" s="246"/>
      <c r="V93" s="246"/>
    </row>
    <row r="94" spans="1:22" ht="12.75">
      <c r="A94" s="242">
        <v>46307</v>
      </c>
      <c r="B94" s="243" t="s">
        <v>556</v>
      </c>
      <c r="C94" s="243" t="s">
        <v>835</v>
      </c>
      <c r="D94" s="243" t="s">
        <v>1042</v>
      </c>
      <c r="E94" s="243" t="s">
        <v>707</v>
      </c>
      <c r="F94" s="243" t="s">
        <v>958</v>
      </c>
      <c r="G94" s="243" t="s">
        <v>708</v>
      </c>
      <c r="H94" s="243" t="s">
        <v>709</v>
      </c>
      <c r="I94" s="244" t="s">
        <v>710</v>
      </c>
      <c r="J94" s="243" t="s">
        <v>34</v>
      </c>
      <c r="K94" s="243" t="s">
        <v>1043</v>
      </c>
      <c r="L94" s="245" t="s">
        <v>1015</v>
      </c>
      <c r="M94" s="259">
        <v>0.20833333333333334</v>
      </c>
      <c r="N94" s="259">
        <v>0.29166666666666669</v>
      </c>
      <c r="O94" s="243" t="s">
        <v>1018</v>
      </c>
      <c r="P94" s="243" t="s">
        <v>1019</v>
      </c>
      <c r="Q94" s="243"/>
      <c r="R94" s="243"/>
      <c r="S94" s="243"/>
      <c r="T94" s="246"/>
      <c r="U94" s="246"/>
      <c r="V94" s="246"/>
    </row>
    <row r="95" spans="1:22" ht="12.75">
      <c r="A95" s="247">
        <v>46307</v>
      </c>
      <c r="B95" s="248" t="s">
        <v>556</v>
      </c>
      <c r="C95" s="248" t="s">
        <v>835</v>
      </c>
      <c r="D95" s="248" t="s">
        <v>1042</v>
      </c>
      <c r="E95" s="248" t="s">
        <v>707</v>
      </c>
      <c r="F95" s="248" t="s">
        <v>958</v>
      </c>
      <c r="G95" s="248" t="s">
        <v>708</v>
      </c>
      <c r="H95" s="248" t="s">
        <v>740</v>
      </c>
      <c r="I95" s="249" t="s">
        <v>710</v>
      </c>
      <c r="J95" s="248" t="s">
        <v>34</v>
      </c>
      <c r="K95" s="248" t="s">
        <v>1044</v>
      </c>
      <c r="L95" s="250" t="s">
        <v>1045</v>
      </c>
      <c r="M95" s="256">
        <v>0.29166666666666669</v>
      </c>
      <c r="N95" s="256">
        <v>0.3125</v>
      </c>
      <c r="O95" s="248" t="s">
        <v>1018</v>
      </c>
      <c r="P95" s="248" t="s">
        <v>1019</v>
      </c>
      <c r="Q95" s="248"/>
      <c r="R95" s="248"/>
      <c r="S95" s="248"/>
      <c r="T95" s="246"/>
      <c r="U95" s="246"/>
      <c r="V95" s="246"/>
    </row>
    <row r="96" spans="1:22" ht="12.75">
      <c r="A96" s="242">
        <v>46307</v>
      </c>
      <c r="B96" s="243" t="s">
        <v>549</v>
      </c>
      <c r="C96" s="243" t="s">
        <v>814</v>
      </c>
      <c r="D96" s="243" t="s">
        <v>1007</v>
      </c>
      <c r="E96" s="243" t="s">
        <v>707</v>
      </c>
      <c r="F96" s="243" t="s">
        <v>958</v>
      </c>
      <c r="G96" s="243" t="s">
        <v>708</v>
      </c>
      <c r="H96" s="243" t="s">
        <v>709</v>
      </c>
      <c r="I96" s="244" t="s">
        <v>710</v>
      </c>
      <c r="J96" s="243" t="s">
        <v>34</v>
      </c>
      <c r="K96" s="243" t="s">
        <v>1046</v>
      </c>
      <c r="L96" s="245" t="s">
        <v>1015</v>
      </c>
      <c r="M96" s="259">
        <v>0.3125</v>
      </c>
      <c r="N96" s="259">
        <v>0.39583333333333331</v>
      </c>
      <c r="O96" s="243" t="s">
        <v>1018</v>
      </c>
      <c r="P96" s="243" t="s">
        <v>1019</v>
      </c>
      <c r="Q96" s="243"/>
      <c r="R96" s="243"/>
      <c r="S96" s="243"/>
      <c r="T96" s="246"/>
      <c r="U96" s="246"/>
      <c r="V96" s="246"/>
    </row>
    <row r="97" spans="1:22" ht="12.75">
      <c r="A97" s="247">
        <v>46307</v>
      </c>
      <c r="B97" s="248" t="s">
        <v>549</v>
      </c>
      <c r="C97" s="248" t="s">
        <v>814</v>
      </c>
      <c r="D97" s="248" t="s">
        <v>1007</v>
      </c>
      <c r="E97" s="248" t="s">
        <v>707</v>
      </c>
      <c r="F97" s="248" t="s">
        <v>958</v>
      </c>
      <c r="G97" s="248" t="s">
        <v>708</v>
      </c>
      <c r="H97" s="248" t="s">
        <v>740</v>
      </c>
      <c r="I97" s="249" t="s">
        <v>710</v>
      </c>
      <c r="J97" s="248" t="s">
        <v>34</v>
      </c>
      <c r="K97" s="248" t="s">
        <v>1047</v>
      </c>
      <c r="L97" s="250" t="s">
        <v>1048</v>
      </c>
      <c r="M97" s="256">
        <v>0.39583333333333331</v>
      </c>
      <c r="N97" s="256">
        <v>0.41666666666666669</v>
      </c>
      <c r="O97" s="248" t="s">
        <v>1018</v>
      </c>
      <c r="P97" s="248" t="s">
        <v>1019</v>
      </c>
      <c r="Q97" s="248"/>
      <c r="R97" s="248"/>
      <c r="S97" s="248"/>
      <c r="T97" s="246"/>
      <c r="U97" s="246"/>
      <c r="V97" s="246"/>
    </row>
    <row r="98" spans="1:22" ht="12.75">
      <c r="A98" s="242">
        <v>46307</v>
      </c>
      <c r="B98" s="243" t="s">
        <v>549</v>
      </c>
      <c r="C98" s="243" t="s">
        <v>814</v>
      </c>
      <c r="D98" s="243" t="s">
        <v>1007</v>
      </c>
      <c r="E98" s="243" t="s">
        <v>707</v>
      </c>
      <c r="F98" s="243" t="s">
        <v>958</v>
      </c>
      <c r="G98" s="243" t="s">
        <v>708</v>
      </c>
      <c r="H98" s="243" t="s">
        <v>740</v>
      </c>
      <c r="I98" s="244" t="s">
        <v>710</v>
      </c>
      <c r="J98" s="243" t="s">
        <v>34</v>
      </c>
      <c r="K98" s="243" t="s">
        <v>1049</v>
      </c>
      <c r="L98" s="245" t="s">
        <v>1050</v>
      </c>
      <c r="M98" s="259">
        <v>0.41666666666666669</v>
      </c>
      <c r="N98" s="259">
        <v>0.4375</v>
      </c>
      <c r="O98" s="243" t="s">
        <v>1018</v>
      </c>
      <c r="P98" s="243" t="s">
        <v>1019</v>
      </c>
      <c r="Q98" s="243"/>
      <c r="R98" s="243"/>
      <c r="S98" s="243"/>
      <c r="T98" s="246"/>
      <c r="U98" s="246"/>
      <c r="V98" s="246"/>
    </row>
    <row r="99" spans="1:22" ht="12.75">
      <c r="A99" s="247">
        <v>46307</v>
      </c>
      <c r="B99" s="248" t="s">
        <v>547</v>
      </c>
      <c r="C99" s="248" t="s">
        <v>53</v>
      </c>
      <c r="D99" s="248" t="s">
        <v>406</v>
      </c>
      <c r="E99" s="248" t="s">
        <v>895</v>
      </c>
      <c r="F99" s="248" t="s">
        <v>322</v>
      </c>
      <c r="G99" s="248" t="s">
        <v>764</v>
      </c>
      <c r="H99" s="248" t="s">
        <v>709</v>
      </c>
      <c r="I99" s="249" t="s">
        <v>710</v>
      </c>
      <c r="J99" s="248" t="s">
        <v>34</v>
      </c>
      <c r="K99" s="248" t="s">
        <v>1051</v>
      </c>
      <c r="L99" s="250" t="s">
        <v>1052</v>
      </c>
      <c r="M99" s="256">
        <v>0.28472222222222221</v>
      </c>
      <c r="N99" s="256">
        <v>0.30555555555555558</v>
      </c>
      <c r="O99" s="248">
        <v>142244</v>
      </c>
      <c r="P99" s="248"/>
      <c r="Q99" s="248"/>
      <c r="R99" s="248"/>
      <c r="S99" s="248"/>
      <c r="T99" s="246"/>
      <c r="U99" s="246"/>
      <c r="V99" s="246"/>
    </row>
    <row r="100" spans="1:22" ht="12.75">
      <c r="A100" s="242">
        <v>46307</v>
      </c>
      <c r="B100" s="243" t="s">
        <v>547</v>
      </c>
      <c r="C100" s="243" t="s">
        <v>53</v>
      </c>
      <c r="D100" s="243" t="s">
        <v>406</v>
      </c>
      <c r="E100" s="243" t="s">
        <v>895</v>
      </c>
      <c r="F100" s="243" t="s">
        <v>322</v>
      </c>
      <c r="G100" s="243" t="s">
        <v>764</v>
      </c>
      <c r="H100" s="243" t="s">
        <v>709</v>
      </c>
      <c r="I100" s="244" t="s">
        <v>710</v>
      </c>
      <c r="J100" s="243" t="s">
        <v>34</v>
      </c>
      <c r="K100" s="243" t="s">
        <v>1057</v>
      </c>
      <c r="L100" s="245" t="s">
        <v>1058</v>
      </c>
      <c r="M100" s="259">
        <v>0.30555555555555558</v>
      </c>
      <c r="N100" s="259">
        <v>0.34722222222222221</v>
      </c>
      <c r="O100" s="243">
        <v>142244</v>
      </c>
      <c r="P100" s="243"/>
      <c r="Q100" s="243"/>
      <c r="R100" s="243"/>
      <c r="S100" s="243"/>
      <c r="T100" s="246"/>
      <c r="U100" s="246"/>
      <c r="V100" s="246"/>
    </row>
    <row r="101" spans="1:22" ht="12.75">
      <c r="A101" s="247">
        <v>46307</v>
      </c>
      <c r="B101" s="248" t="s">
        <v>547</v>
      </c>
      <c r="C101" s="248" t="s">
        <v>53</v>
      </c>
      <c r="D101" s="248" t="s">
        <v>406</v>
      </c>
      <c r="E101" s="248" t="s">
        <v>895</v>
      </c>
      <c r="F101" s="248" t="s">
        <v>322</v>
      </c>
      <c r="G101" s="248" t="s">
        <v>764</v>
      </c>
      <c r="H101" s="248" t="s">
        <v>709</v>
      </c>
      <c r="I101" s="249" t="s">
        <v>710</v>
      </c>
      <c r="J101" s="248" t="s">
        <v>34</v>
      </c>
      <c r="K101" s="248" t="s">
        <v>1059</v>
      </c>
      <c r="L101" s="250" t="s">
        <v>1060</v>
      </c>
      <c r="M101" s="256">
        <v>0.3125</v>
      </c>
      <c r="N101" s="256">
        <v>0.35416666666666669</v>
      </c>
      <c r="O101" s="248">
        <v>142244</v>
      </c>
      <c r="P101" s="248">
        <v>83124751</v>
      </c>
      <c r="Q101" s="248"/>
      <c r="R101" s="248"/>
      <c r="S101" s="248"/>
      <c r="T101" s="246"/>
      <c r="U101" s="246"/>
      <c r="V101" s="246"/>
    </row>
    <row r="102" spans="1:22" ht="12.75">
      <c r="A102" s="242">
        <v>46307</v>
      </c>
      <c r="B102" s="243" t="s">
        <v>547</v>
      </c>
      <c r="C102" s="243" t="s">
        <v>53</v>
      </c>
      <c r="D102" s="243" t="s">
        <v>250</v>
      </c>
      <c r="E102" s="243" t="s">
        <v>895</v>
      </c>
      <c r="F102" s="243" t="s">
        <v>322</v>
      </c>
      <c r="G102" s="243" t="s">
        <v>764</v>
      </c>
      <c r="H102" s="243" t="s">
        <v>709</v>
      </c>
      <c r="I102" s="244" t="s">
        <v>710</v>
      </c>
      <c r="J102" s="243" t="s">
        <v>34</v>
      </c>
      <c r="K102" s="243" t="s">
        <v>1061</v>
      </c>
      <c r="L102" s="245" t="s">
        <v>1062</v>
      </c>
      <c r="M102" s="259">
        <v>0.36805555555555558</v>
      </c>
      <c r="N102" s="259">
        <v>0.3888888888888889</v>
      </c>
      <c r="O102" s="243">
        <v>145329</v>
      </c>
      <c r="P102" s="243"/>
      <c r="Q102" s="243"/>
      <c r="R102" s="243"/>
      <c r="S102" s="243"/>
      <c r="T102" s="246"/>
      <c r="U102" s="246"/>
      <c r="V102" s="246"/>
    </row>
    <row r="103" spans="1:22" ht="12.75">
      <c r="A103" s="247">
        <v>46307</v>
      </c>
      <c r="B103" s="248" t="s">
        <v>547</v>
      </c>
      <c r="C103" s="248" t="s">
        <v>53</v>
      </c>
      <c r="D103" s="248" t="s">
        <v>250</v>
      </c>
      <c r="E103" s="248" t="s">
        <v>895</v>
      </c>
      <c r="F103" s="248" t="s">
        <v>322</v>
      </c>
      <c r="G103" s="248" t="s">
        <v>764</v>
      </c>
      <c r="H103" s="248" t="s">
        <v>709</v>
      </c>
      <c r="I103" s="249" t="s">
        <v>710</v>
      </c>
      <c r="J103" s="248" t="s">
        <v>34</v>
      </c>
      <c r="K103" s="248" t="s">
        <v>1063</v>
      </c>
      <c r="L103" s="250" t="s">
        <v>1064</v>
      </c>
      <c r="M103" s="256">
        <v>0.38194444444444442</v>
      </c>
      <c r="N103" s="256">
        <v>0.40277777777777779</v>
      </c>
      <c r="O103" s="248">
        <v>145329</v>
      </c>
      <c r="P103" s="248">
        <v>83124751</v>
      </c>
      <c r="Q103" s="248"/>
      <c r="R103" s="248"/>
      <c r="S103" s="248"/>
      <c r="T103" s="246"/>
      <c r="U103" s="246"/>
      <c r="V103" s="246"/>
    </row>
    <row r="104" spans="1:22" ht="12.75">
      <c r="A104" s="242">
        <v>46307</v>
      </c>
      <c r="B104" s="243" t="s">
        <v>547</v>
      </c>
      <c r="C104" s="243" t="s">
        <v>53</v>
      </c>
      <c r="D104" s="243" t="s">
        <v>250</v>
      </c>
      <c r="E104" s="243" t="s">
        <v>895</v>
      </c>
      <c r="F104" s="243" t="s">
        <v>322</v>
      </c>
      <c r="G104" s="243" t="s">
        <v>764</v>
      </c>
      <c r="H104" s="243" t="s">
        <v>709</v>
      </c>
      <c r="I104" s="244" t="s">
        <v>710</v>
      </c>
      <c r="J104" s="243" t="s">
        <v>34</v>
      </c>
      <c r="K104" s="243" t="s">
        <v>1065</v>
      </c>
      <c r="L104" s="245" t="s">
        <v>1066</v>
      </c>
      <c r="M104" s="259">
        <v>0.40277777777777779</v>
      </c>
      <c r="N104" s="259">
        <v>0.44444444444444442</v>
      </c>
      <c r="O104" s="243">
        <v>145329</v>
      </c>
      <c r="P104" s="243">
        <v>83124751</v>
      </c>
      <c r="Q104" s="243"/>
      <c r="R104" s="243"/>
      <c r="S104" s="243"/>
      <c r="T104" s="246"/>
      <c r="U104" s="246"/>
      <c r="V104" s="246"/>
    </row>
    <row r="105" spans="1:22" ht="12.75">
      <c r="A105" s="247">
        <v>46307</v>
      </c>
      <c r="B105" s="248" t="s">
        <v>547</v>
      </c>
      <c r="C105" s="248" t="s">
        <v>53</v>
      </c>
      <c r="D105" s="248" t="s">
        <v>319</v>
      </c>
      <c r="E105" s="248" t="s">
        <v>707</v>
      </c>
      <c r="F105" s="248" t="s">
        <v>322</v>
      </c>
      <c r="G105" s="248" t="s">
        <v>764</v>
      </c>
      <c r="H105" s="248" t="s">
        <v>709</v>
      </c>
      <c r="I105" s="249" t="s">
        <v>710</v>
      </c>
      <c r="J105" s="248" t="s">
        <v>34</v>
      </c>
      <c r="K105" s="248" t="s">
        <v>1067</v>
      </c>
      <c r="L105" s="250" t="s">
        <v>1068</v>
      </c>
      <c r="M105" s="256">
        <v>0.62152777777777779</v>
      </c>
      <c r="N105" s="256">
        <v>0.64236111111111116</v>
      </c>
      <c r="O105" s="248">
        <v>83124751</v>
      </c>
      <c r="P105" s="248">
        <v>142244</v>
      </c>
      <c r="Q105" s="248"/>
      <c r="R105" s="248"/>
      <c r="S105" s="248"/>
      <c r="T105" s="246"/>
      <c r="U105" s="246"/>
      <c r="V105" s="246"/>
    </row>
    <row r="106" spans="1:22" ht="12.75">
      <c r="A106" s="242">
        <v>46307</v>
      </c>
      <c r="B106" s="243" t="s">
        <v>547</v>
      </c>
      <c r="C106" s="243" t="s">
        <v>53</v>
      </c>
      <c r="D106" s="243" t="s">
        <v>319</v>
      </c>
      <c r="E106" s="243" t="s">
        <v>707</v>
      </c>
      <c r="F106" s="243" t="s">
        <v>322</v>
      </c>
      <c r="G106" s="243" t="s">
        <v>764</v>
      </c>
      <c r="H106" s="243" t="s">
        <v>709</v>
      </c>
      <c r="I106" s="244" t="s">
        <v>710</v>
      </c>
      <c r="J106" s="243" t="s">
        <v>34</v>
      </c>
      <c r="K106" s="243" t="s">
        <v>1071</v>
      </c>
      <c r="L106" s="245" t="s">
        <v>1072</v>
      </c>
      <c r="M106" s="259">
        <v>0.63611111111111107</v>
      </c>
      <c r="N106" s="259">
        <v>0.64652777777777781</v>
      </c>
      <c r="O106" s="243">
        <v>142244</v>
      </c>
      <c r="P106" s="243"/>
      <c r="Q106" s="243"/>
      <c r="R106" s="243"/>
      <c r="S106" s="243"/>
      <c r="T106" s="246"/>
      <c r="U106" s="246"/>
      <c r="V106" s="246"/>
    </row>
    <row r="107" spans="1:22" ht="12.75">
      <c r="A107" s="247">
        <v>46307</v>
      </c>
      <c r="B107" s="248" t="s">
        <v>547</v>
      </c>
      <c r="C107" s="248" t="s">
        <v>53</v>
      </c>
      <c r="D107" s="248" t="s">
        <v>406</v>
      </c>
      <c r="E107" s="248" t="s">
        <v>895</v>
      </c>
      <c r="F107" s="248" t="s">
        <v>322</v>
      </c>
      <c r="G107" s="248" t="s">
        <v>764</v>
      </c>
      <c r="H107" s="248" t="s">
        <v>709</v>
      </c>
      <c r="I107" s="249" t="s">
        <v>710</v>
      </c>
      <c r="J107" s="248" t="s">
        <v>34</v>
      </c>
      <c r="K107" s="248" t="s">
        <v>1074</v>
      </c>
      <c r="L107" s="250" t="s">
        <v>1075</v>
      </c>
      <c r="M107" s="256">
        <v>0.70833333333333337</v>
      </c>
      <c r="N107" s="256">
        <v>0.73958333333333337</v>
      </c>
      <c r="O107" s="248">
        <v>83124751</v>
      </c>
      <c r="P107" s="248">
        <v>142244</v>
      </c>
      <c r="Q107" s="248"/>
      <c r="R107" s="248"/>
      <c r="S107" s="248"/>
      <c r="T107" s="246"/>
      <c r="U107" s="246"/>
      <c r="V107" s="246"/>
    </row>
    <row r="108" spans="1:22" ht="12.75">
      <c r="A108" s="242">
        <v>46307</v>
      </c>
      <c r="B108" s="243" t="s">
        <v>547</v>
      </c>
      <c r="C108" s="243" t="s">
        <v>53</v>
      </c>
      <c r="D108" s="243" t="s">
        <v>406</v>
      </c>
      <c r="E108" s="243" t="s">
        <v>895</v>
      </c>
      <c r="F108" s="243" t="s">
        <v>322</v>
      </c>
      <c r="G108" s="243" t="s">
        <v>764</v>
      </c>
      <c r="H108" s="243" t="s">
        <v>709</v>
      </c>
      <c r="I108" s="244" t="s">
        <v>710</v>
      </c>
      <c r="J108" s="243" t="s">
        <v>34</v>
      </c>
      <c r="K108" s="243" t="s">
        <v>1076</v>
      </c>
      <c r="L108" s="245" t="s">
        <v>1077</v>
      </c>
      <c r="M108" s="259">
        <v>0.73263888888888884</v>
      </c>
      <c r="N108" s="259">
        <v>0.74305555555555558</v>
      </c>
      <c r="O108" s="243">
        <v>83124751</v>
      </c>
      <c r="P108" s="243"/>
      <c r="Q108" s="243"/>
      <c r="R108" s="243"/>
      <c r="S108" s="243"/>
      <c r="T108" s="246"/>
      <c r="U108" s="246"/>
      <c r="V108" s="246"/>
    </row>
    <row r="109" spans="1:22" ht="12.75">
      <c r="A109" s="247">
        <v>46307</v>
      </c>
      <c r="B109" s="248" t="s">
        <v>547</v>
      </c>
      <c r="C109" s="248" t="s">
        <v>53</v>
      </c>
      <c r="D109" s="248" t="s">
        <v>406</v>
      </c>
      <c r="E109" s="248" t="s">
        <v>895</v>
      </c>
      <c r="F109" s="248" t="s">
        <v>322</v>
      </c>
      <c r="G109" s="248" t="s">
        <v>764</v>
      </c>
      <c r="H109" s="248" t="s">
        <v>709</v>
      </c>
      <c r="I109" s="249" t="s">
        <v>710</v>
      </c>
      <c r="J109" s="248" t="s">
        <v>34</v>
      </c>
      <c r="K109" s="248" t="s">
        <v>1078</v>
      </c>
      <c r="L109" s="250" t="s">
        <v>1079</v>
      </c>
      <c r="M109" s="256">
        <v>0.74305555555555558</v>
      </c>
      <c r="N109" s="256">
        <v>0.76388888888888884</v>
      </c>
      <c r="O109" s="248">
        <v>83124751</v>
      </c>
      <c r="P109" s="248">
        <v>142244</v>
      </c>
      <c r="Q109" s="248"/>
      <c r="R109" s="248"/>
      <c r="S109" s="248"/>
      <c r="T109" s="246"/>
      <c r="U109" s="246"/>
      <c r="V109" s="246"/>
    </row>
    <row r="110" spans="1:22" ht="12.75">
      <c r="A110" s="242">
        <v>46307</v>
      </c>
      <c r="B110" s="243" t="s">
        <v>547</v>
      </c>
      <c r="C110" s="243" t="s">
        <v>53</v>
      </c>
      <c r="D110" s="243" t="s">
        <v>319</v>
      </c>
      <c r="E110" s="243" t="s">
        <v>707</v>
      </c>
      <c r="F110" s="243" t="s">
        <v>322</v>
      </c>
      <c r="G110" s="243" t="s">
        <v>708</v>
      </c>
      <c r="H110" s="243" t="s">
        <v>709</v>
      </c>
      <c r="I110" s="244" t="s">
        <v>710</v>
      </c>
      <c r="J110" s="243" t="s">
        <v>34</v>
      </c>
      <c r="K110" s="243" t="s">
        <v>1080</v>
      </c>
      <c r="L110" s="245" t="s">
        <v>1081</v>
      </c>
      <c r="M110" s="259">
        <v>0.83333333333333337</v>
      </c>
      <c r="N110" s="259">
        <v>0.85416666666666663</v>
      </c>
      <c r="O110" s="243">
        <v>83086304</v>
      </c>
      <c r="P110" s="243"/>
      <c r="Q110" s="243"/>
      <c r="R110" s="243"/>
      <c r="S110" s="243"/>
      <c r="T110" s="246"/>
      <c r="U110" s="246"/>
      <c r="V110" s="246"/>
    </row>
    <row r="111" spans="1:22" ht="12.75">
      <c r="A111" s="247">
        <v>46307</v>
      </c>
      <c r="B111" s="248" t="s">
        <v>547</v>
      </c>
      <c r="C111" s="248" t="s">
        <v>53</v>
      </c>
      <c r="D111" s="248" t="s">
        <v>319</v>
      </c>
      <c r="E111" s="248" t="s">
        <v>707</v>
      </c>
      <c r="F111" s="248" t="s">
        <v>322</v>
      </c>
      <c r="G111" s="248" t="s">
        <v>708</v>
      </c>
      <c r="H111" s="248" t="s">
        <v>709</v>
      </c>
      <c r="I111" s="249" t="s">
        <v>710</v>
      </c>
      <c r="J111" s="248" t="s">
        <v>34</v>
      </c>
      <c r="K111" s="248" t="s">
        <v>1082</v>
      </c>
      <c r="L111" s="250" t="s">
        <v>1083</v>
      </c>
      <c r="M111" s="256">
        <v>0.85416666666666663</v>
      </c>
      <c r="N111" s="256">
        <v>0.86805555555555558</v>
      </c>
      <c r="O111" s="248">
        <v>83086304</v>
      </c>
      <c r="P111" s="248"/>
      <c r="Q111" s="248"/>
      <c r="R111" s="248"/>
      <c r="S111" s="248"/>
      <c r="T111" s="246"/>
      <c r="U111" s="246"/>
      <c r="V111" s="246"/>
    </row>
    <row r="112" spans="1:22" ht="12.75">
      <c r="A112" s="242">
        <v>46307</v>
      </c>
      <c r="B112" s="243" t="s">
        <v>547</v>
      </c>
      <c r="C112" s="243" t="s">
        <v>53</v>
      </c>
      <c r="D112" s="243" t="s">
        <v>319</v>
      </c>
      <c r="E112" s="243" t="s">
        <v>707</v>
      </c>
      <c r="F112" s="243" t="s">
        <v>322</v>
      </c>
      <c r="G112" s="243" t="s">
        <v>708</v>
      </c>
      <c r="H112" s="243" t="s">
        <v>709</v>
      </c>
      <c r="I112" s="244" t="s">
        <v>710</v>
      </c>
      <c r="J112" s="243" t="s">
        <v>34</v>
      </c>
      <c r="K112" s="243" t="s">
        <v>1086</v>
      </c>
      <c r="L112" s="245" t="s">
        <v>1087</v>
      </c>
      <c r="M112" s="259">
        <v>0.86805555555555558</v>
      </c>
      <c r="N112" s="259">
        <v>0.88888888888888884</v>
      </c>
      <c r="O112" s="243">
        <v>83086304</v>
      </c>
      <c r="P112" s="243"/>
      <c r="Q112" s="243"/>
      <c r="R112" s="243"/>
      <c r="S112" s="243"/>
      <c r="T112" s="246"/>
      <c r="U112" s="246"/>
      <c r="V112" s="246"/>
    </row>
    <row r="113" spans="1:22" ht="12.75">
      <c r="A113" s="247">
        <v>46307</v>
      </c>
      <c r="B113" s="248" t="s">
        <v>547</v>
      </c>
      <c r="C113" s="248" t="s">
        <v>53</v>
      </c>
      <c r="D113" s="248" t="s">
        <v>319</v>
      </c>
      <c r="E113" s="248" t="s">
        <v>707</v>
      </c>
      <c r="F113" s="248" t="s">
        <v>322</v>
      </c>
      <c r="G113" s="248" t="s">
        <v>708</v>
      </c>
      <c r="H113" s="248" t="s">
        <v>709</v>
      </c>
      <c r="I113" s="249" t="s">
        <v>710</v>
      </c>
      <c r="J113" s="248" t="s">
        <v>34</v>
      </c>
      <c r="K113" s="248" t="s">
        <v>1089</v>
      </c>
      <c r="L113" s="250" t="s">
        <v>1090</v>
      </c>
      <c r="M113" s="256">
        <v>0.88888888888888884</v>
      </c>
      <c r="N113" s="256">
        <v>0.90972222222222221</v>
      </c>
      <c r="O113" s="248">
        <v>83086304</v>
      </c>
      <c r="P113" s="248"/>
      <c r="Q113" s="248"/>
      <c r="R113" s="248"/>
      <c r="S113" s="248"/>
      <c r="T113" s="246"/>
      <c r="U113" s="246"/>
      <c r="V113" s="246"/>
    </row>
    <row r="114" spans="1:22" ht="12.75">
      <c r="A114" s="242">
        <v>46307</v>
      </c>
      <c r="B114" s="243" t="s">
        <v>547</v>
      </c>
      <c r="C114" s="243" t="s">
        <v>53</v>
      </c>
      <c r="D114" s="243" t="s">
        <v>319</v>
      </c>
      <c r="E114" s="243" t="s">
        <v>707</v>
      </c>
      <c r="F114" s="243" t="s">
        <v>322</v>
      </c>
      <c r="G114" s="243" t="s">
        <v>708</v>
      </c>
      <c r="H114" s="243" t="s">
        <v>709</v>
      </c>
      <c r="I114" s="244" t="s">
        <v>710</v>
      </c>
      <c r="J114" s="243" t="s">
        <v>34</v>
      </c>
      <c r="K114" s="243" t="s">
        <v>1091</v>
      </c>
      <c r="L114" s="245" t="s">
        <v>1092</v>
      </c>
      <c r="M114" s="259">
        <v>0.90972222222222221</v>
      </c>
      <c r="N114" s="259">
        <v>0.93055555555555558</v>
      </c>
      <c r="O114" s="243">
        <v>83086304</v>
      </c>
      <c r="P114" s="243"/>
      <c r="Q114" s="243"/>
      <c r="R114" s="243"/>
      <c r="S114" s="243"/>
      <c r="T114" s="246"/>
      <c r="U114" s="246"/>
      <c r="V114" s="246"/>
    </row>
    <row r="115" spans="1:22" ht="12.75">
      <c r="A115" s="247">
        <v>46307</v>
      </c>
      <c r="B115" s="248" t="s">
        <v>547</v>
      </c>
      <c r="C115" s="248" t="s">
        <v>53</v>
      </c>
      <c r="D115" s="248" t="s">
        <v>319</v>
      </c>
      <c r="E115" s="248" t="s">
        <v>707</v>
      </c>
      <c r="F115" s="248" t="s">
        <v>322</v>
      </c>
      <c r="G115" s="248" t="s">
        <v>708</v>
      </c>
      <c r="H115" s="248" t="s">
        <v>709</v>
      </c>
      <c r="I115" s="249" t="s">
        <v>710</v>
      </c>
      <c r="J115" s="248" t="s">
        <v>34</v>
      </c>
      <c r="K115" s="248" t="s">
        <v>1093</v>
      </c>
      <c r="L115" s="250" t="s">
        <v>1094</v>
      </c>
      <c r="M115" s="256">
        <v>0.93055555555555558</v>
      </c>
      <c r="N115" s="256">
        <v>0.97222222222222221</v>
      </c>
      <c r="O115" s="248">
        <v>83086304</v>
      </c>
      <c r="P115" s="248"/>
      <c r="Q115" s="248"/>
      <c r="R115" s="248"/>
      <c r="S115" s="248"/>
      <c r="T115" s="246"/>
      <c r="U115" s="246"/>
      <c r="V115" s="246"/>
    </row>
    <row r="116" spans="1:22" ht="12.75">
      <c r="A116" s="242">
        <v>46307</v>
      </c>
      <c r="B116" s="243" t="s">
        <v>547</v>
      </c>
      <c r="C116" s="243" t="s">
        <v>53</v>
      </c>
      <c r="D116" s="243" t="s">
        <v>319</v>
      </c>
      <c r="E116" s="243" t="s">
        <v>707</v>
      </c>
      <c r="F116" s="243" t="s">
        <v>322</v>
      </c>
      <c r="G116" s="243" t="s">
        <v>708</v>
      </c>
      <c r="H116" s="243" t="s">
        <v>709</v>
      </c>
      <c r="I116" s="244" t="s">
        <v>710</v>
      </c>
      <c r="J116" s="243" t="s">
        <v>34</v>
      </c>
      <c r="K116" s="243" t="s">
        <v>1095</v>
      </c>
      <c r="L116" s="245" t="s">
        <v>1096</v>
      </c>
      <c r="M116" s="259">
        <v>0.83333333333333337</v>
      </c>
      <c r="N116" s="259">
        <v>0.91666666666666663</v>
      </c>
      <c r="O116" s="243">
        <v>145341</v>
      </c>
      <c r="P116" s="243">
        <v>83086304</v>
      </c>
      <c r="Q116" s="243"/>
      <c r="R116" s="243"/>
      <c r="S116" s="243"/>
      <c r="T116" s="246"/>
      <c r="U116" s="246"/>
      <c r="V116" s="246"/>
    </row>
    <row r="117" spans="1:22" ht="12.75">
      <c r="A117" s="247">
        <v>46307</v>
      </c>
      <c r="B117" s="248" t="s">
        <v>547</v>
      </c>
      <c r="C117" s="248" t="s">
        <v>53</v>
      </c>
      <c r="D117" s="248" t="s">
        <v>319</v>
      </c>
      <c r="E117" s="248" t="s">
        <v>707</v>
      </c>
      <c r="F117" s="248" t="s">
        <v>322</v>
      </c>
      <c r="G117" s="248" t="s">
        <v>708</v>
      </c>
      <c r="H117" s="248" t="s">
        <v>709</v>
      </c>
      <c r="I117" s="249" t="s">
        <v>710</v>
      </c>
      <c r="J117" s="248" t="s">
        <v>34</v>
      </c>
      <c r="K117" s="248" t="s">
        <v>1100</v>
      </c>
      <c r="L117" s="250" t="s">
        <v>1101</v>
      </c>
      <c r="M117" s="256">
        <v>0.91666666666666663</v>
      </c>
      <c r="N117" s="256">
        <v>0.9375</v>
      </c>
      <c r="O117" s="248">
        <v>145341</v>
      </c>
      <c r="P117" s="248"/>
      <c r="Q117" s="248"/>
      <c r="R117" s="248"/>
      <c r="S117" s="248"/>
      <c r="T117" s="246"/>
      <c r="U117" s="246"/>
      <c r="V117" s="246"/>
    </row>
    <row r="118" spans="1:22" ht="12.75">
      <c r="A118" s="242">
        <v>46307</v>
      </c>
      <c r="B118" s="243" t="s">
        <v>547</v>
      </c>
      <c r="C118" s="243" t="s">
        <v>53</v>
      </c>
      <c r="D118" s="243" t="s">
        <v>319</v>
      </c>
      <c r="E118" s="243" t="s">
        <v>707</v>
      </c>
      <c r="F118" s="243" t="s">
        <v>322</v>
      </c>
      <c r="G118" s="243" t="s">
        <v>708</v>
      </c>
      <c r="H118" s="243" t="s">
        <v>709</v>
      </c>
      <c r="I118" s="244" t="s">
        <v>710</v>
      </c>
      <c r="J118" s="243" t="s">
        <v>34</v>
      </c>
      <c r="K118" s="243" t="s">
        <v>1105</v>
      </c>
      <c r="L118" s="245" t="s">
        <v>1106</v>
      </c>
      <c r="M118" s="259">
        <v>0.90625</v>
      </c>
      <c r="N118" s="259">
        <v>0.91666666666666663</v>
      </c>
      <c r="O118" s="243">
        <v>145341</v>
      </c>
      <c r="P118" s="243"/>
      <c r="Q118" s="243"/>
      <c r="R118" s="243"/>
      <c r="S118" s="243"/>
      <c r="T118" s="246"/>
      <c r="U118" s="246"/>
      <c r="V118" s="246"/>
    </row>
    <row r="119" spans="1:22" ht="12.75">
      <c r="A119" s="247">
        <v>46307</v>
      </c>
      <c r="B119" s="248" t="s">
        <v>547</v>
      </c>
      <c r="C119" s="248" t="s">
        <v>53</v>
      </c>
      <c r="D119" s="248" t="s">
        <v>227</v>
      </c>
      <c r="E119" s="248" t="s">
        <v>707</v>
      </c>
      <c r="F119" s="248" t="s">
        <v>322</v>
      </c>
      <c r="G119" s="248" t="s">
        <v>708</v>
      </c>
      <c r="H119" s="248" t="s">
        <v>709</v>
      </c>
      <c r="I119" s="249" t="s">
        <v>710</v>
      </c>
      <c r="J119" s="248" t="s">
        <v>34</v>
      </c>
      <c r="K119" s="248" t="s">
        <v>1111</v>
      </c>
      <c r="L119" s="250" t="s">
        <v>1112</v>
      </c>
      <c r="M119" s="256">
        <v>0.94791666666666663</v>
      </c>
      <c r="N119" s="256">
        <v>0.95833333333333337</v>
      </c>
      <c r="O119" s="248">
        <v>83102211</v>
      </c>
      <c r="P119" s="248"/>
      <c r="Q119" s="248"/>
      <c r="R119" s="248"/>
      <c r="S119" s="248"/>
      <c r="T119" s="246"/>
      <c r="U119" s="246"/>
      <c r="V119" s="246"/>
    </row>
    <row r="120" spans="1:22" ht="12.75">
      <c r="A120" s="242">
        <v>46307</v>
      </c>
      <c r="B120" s="243" t="s">
        <v>547</v>
      </c>
      <c r="C120" s="243" t="s">
        <v>53</v>
      </c>
      <c r="D120" s="243" t="s">
        <v>227</v>
      </c>
      <c r="E120" s="243" t="s">
        <v>707</v>
      </c>
      <c r="F120" s="243" t="s">
        <v>322</v>
      </c>
      <c r="G120" s="243" t="s">
        <v>708</v>
      </c>
      <c r="H120" s="243" t="s">
        <v>709</v>
      </c>
      <c r="I120" s="244" t="s">
        <v>710</v>
      </c>
      <c r="J120" s="243" t="s">
        <v>34</v>
      </c>
      <c r="K120" s="243" t="s">
        <v>1116</v>
      </c>
      <c r="L120" s="245" t="s">
        <v>1117</v>
      </c>
      <c r="M120" s="259">
        <v>0.94791666666666663</v>
      </c>
      <c r="N120" s="259">
        <v>0.96875</v>
      </c>
      <c r="O120" s="243">
        <v>145341</v>
      </c>
      <c r="P120" s="243"/>
      <c r="Q120" s="243"/>
      <c r="R120" s="243"/>
      <c r="S120" s="243"/>
      <c r="T120" s="246"/>
      <c r="U120" s="246"/>
      <c r="V120" s="246"/>
    </row>
    <row r="121" spans="1:22" ht="12.75">
      <c r="A121" s="247">
        <v>46307</v>
      </c>
      <c r="B121" s="248" t="s">
        <v>547</v>
      </c>
      <c r="C121" s="248" t="s">
        <v>53</v>
      </c>
      <c r="D121" s="248" t="s">
        <v>227</v>
      </c>
      <c r="E121" s="248" t="s">
        <v>707</v>
      </c>
      <c r="F121" s="248" t="s">
        <v>322</v>
      </c>
      <c r="G121" s="248" t="s">
        <v>708</v>
      </c>
      <c r="H121" s="248" t="s">
        <v>709</v>
      </c>
      <c r="I121" s="249" t="s">
        <v>710</v>
      </c>
      <c r="J121" s="248" t="s">
        <v>34</v>
      </c>
      <c r="K121" s="248" t="s">
        <v>1121</v>
      </c>
      <c r="L121" s="250" t="s">
        <v>1122</v>
      </c>
      <c r="M121" s="256">
        <v>0.96875</v>
      </c>
      <c r="N121" s="256">
        <v>0.97916666666666663</v>
      </c>
      <c r="O121" s="248">
        <v>145341</v>
      </c>
      <c r="P121" s="248"/>
      <c r="Q121" s="248"/>
      <c r="R121" s="248"/>
      <c r="S121" s="248"/>
      <c r="T121" s="246"/>
      <c r="U121" s="246"/>
      <c r="V121" s="246"/>
    </row>
    <row r="122" spans="1:22" ht="12.75">
      <c r="A122" s="242">
        <v>46307</v>
      </c>
      <c r="B122" s="243" t="s">
        <v>547</v>
      </c>
      <c r="C122" s="243" t="s">
        <v>53</v>
      </c>
      <c r="D122" s="243" t="s">
        <v>227</v>
      </c>
      <c r="E122" s="243" t="s">
        <v>707</v>
      </c>
      <c r="F122" s="243" t="s">
        <v>322</v>
      </c>
      <c r="G122" s="243" t="s">
        <v>708</v>
      </c>
      <c r="H122" s="243" t="s">
        <v>709</v>
      </c>
      <c r="I122" s="244" t="s">
        <v>710</v>
      </c>
      <c r="J122" s="243" t="s">
        <v>34</v>
      </c>
      <c r="K122" s="243" t="s">
        <v>1129</v>
      </c>
      <c r="L122" s="245" t="s">
        <v>1130</v>
      </c>
      <c r="M122" s="259">
        <v>0.97916666666666663</v>
      </c>
      <c r="N122" s="259">
        <v>2.0833333333333332E-2</v>
      </c>
      <c r="O122" s="243">
        <v>145341</v>
      </c>
      <c r="P122" s="243"/>
      <c r="Q122" s="243"/>
      <c r="R122" s="243"/>
      <c r="S122" s="243"/>
      <c r="T122" s="246"/>
      <c r="U122" s="246"/>
      <c r="V122" s="246"/>
    </row>
    <row r="123" spans="1:22" ht="12.75">
      <c r="A123" s="247">
        <v>46307</v>
      </c>
      <c r="B123" s="248" t="s">
        <v>547</v>
      </c>
      <c r="C123" s="248" t="s">
        <v>53</v>
      </c>
      <c r="D123" s="248" t="s">
        <v>227</v>
      </c>
      <c r="E123" s="248" t="s">
        <v>707</v>
      </c>
      <c r="F123" s="248" t="s">
        <v>322</v>
      </c>
      <c r="G123" s="248" t="s">
        <v>708</v>
      </c>
      <c r="H123" s="248" t="s">
        <v>709</v>
      </c>
      <c r="I123" s="249" t="s">
        <v>710</v>
      </c>
      <c r="J123" s="248" t="s">
        <v>34</v>
      </c>
      <c r="K123" s="248" t="s">
        <v>1133</v>
      </c>
      <c r="L123" s="250" t="s">
        <v>1134</v>
      </c>
      <c r="M123" s="256">
        <v>2.0833333333333332E-2</v>
      </c>
      <c r="N123" s="256">
        <v>3.125E-2</v>
      </c>
      <c r="O123" s="248">
        <v>145341</v>
      </c>
      <c r="P123" s="248"/>
      <c r="Q123" s="248"/>
      <c r="R123" s="248"/>
      <c r="S123" s="248"/>
      <c r="T123" s="246"/>
      <c r="U123" s="246"/>
      <c r="V123" s="246"/>
    </row>
    <row r="124" spans="1:22" ht="12.75">
      <c r="A124" s="242">
        <v>46307</v>
      </c>
      <c r="B124" s="243" t="s">
        <v>547</v>
      </c>
      <c r="C124" s="243" t="s">
        <v>53</v>
      </c>
      <c r="D124" s="243" t="s">
        <v>227</v>
      </c>
      <c r="E124" s="243" t="s">
        <v>707</v>
      </c>
      <c r="F124" s="243" t="s">
        <v>322</v>
      </c>
      <c r="G124" s="243" t="s">
        <v>708</v>
      </c>
      <c r="H124" s="243" t="s">
        <v>709</v>
      </c>
      <c r="I124" s="244" t="s">
        <v>710</v>
      </c>
      <c r="J124" s="243" t="s">
        <v>34</v>
      </c>
      <c r="K124" s="243" t="s">
        <v>1139</v>
      </c>
      <c r="L124" s="245" t="s">
        <v>1141</v>
      </c>
      <c r="M124" s="259">
        <v>3.125E-2</v>
      </c>
      <c r="N124" s="259">
        <v>4.1666666666666664E-2</v>
      </c>
      <c r="O124" s="243">
        <v>145341</v>
      </c>
      <c r="P124" s="243"/>
      <c r="Q124" s="243"/>
      <c r="R124" s="243"/>
      <c r="S124" s="243"/>
      <c r="T124" s="246"/>
      <c r="U124" s="246"/>
      <c r="V124" s="246"/>
    </row>
    <row r="125" spans="1:22" ht="12.75">
      <c r="A125" s="247">
        <v>46307</v>
      </c>
      <c r="B125" s="248" t="s">
        <v>547</v>
      </c>
      <c r="C125" s="248" t="s">
        <v>53</v>
      </c>
      <c r="D125" s="248" t="s">
        <v>227</v>
      </c>
      <c r="E125" s="248" t="s">
        <v>707</v>
      </c>
      <c r="F125" s="248" t="s">
        <v>322</v>
      </c>
      <c r="G125" s="248" t="s">
        <v>708</v>
      </c>
      <c r="H125" s="248" t="s">
        <v>709</v>
      </c>
      <c r="I125" s="249" t="s">
        <v>710</v>
      </c>
      <c r="J125" s="248" t="s">
        <v>34</v>
      </c>
      <c r="K125" s="248" t="s">
        <v>1144</v>
      </c>
      <c r="L125" s="250" t="s">
        <v>1145</v>
      </c>
      <c r="M125" s="256">
        <v>4.1666666666666664E-2</v>
      </c>
      <c r="N125" s="256">
        <v>6.25E-2</v>
      </c>
      <c r="O125" s="248">
        <v>145341</v>
      </c>
      <c r="P125" s="248"/>
      <c r="Q125" s="248"/>
      <c r="R125" s="248"/>
      <c r="S125" s="248"/>
      <c r="T125" s="246"/>
      <c r="U125" s="246"/>
      <c r="V125" s="246"/>
    </row>
    <row r="126" spans="1:22" ht="12.75">
      <c r="A126" s="242">
        <v>46307</v>
      </c>
      <c r="B126" s="243" t="s">
        <v>547</v>
      </c>
      <c r="C126" s="243" t="s">
        <v>53</v>
      </c>
      <c r="D126" s="243" t="s">
        <v>227</v>
      </c>
      <c r="E126" s="243" t="s">
        <v>707</v>
      </c>
      <c r="F126" s="243" t="s">
        <v>322</v>
      </c>
      <c r="G126" s="243" t="s">
        <v>708</v>
      </c>
      <c r="H126" s="243" t="s">
        <v>709</v>
      </c>
      <c r="I126" s="244" t="s">
        <v>710</v>
      </c>
      <c r="J126" s="243" t="s">
        <v>34</v>
      </c>
      <c r="K126" s="243" t="s">
        <v>1151</v>
      </c>
      <c r="L126" s="245" t="s">
        <v>1152</v>
      </c>
      <c r="M126" s="259">
        <v>6.25E-2</v>
      </c>
      <c r="N126" s="259">
        <v>8.3333333333333329E-2</v>
      </c>
      <c r="O126" s="243">
        <v>145341</v>
      </c>
      <c r="P126" s="243"/>
      <c r="Q126" s="243"/>
      <c r="R126" s="243"/>
      <c r="S126" s="243"/>
      <c r="T126" s="246"/>
      <c r="U126" s="246"/>
      <c r="V126" s="246"/>
    </row>
    <row r="127" spans="1:22" ht="12.75">
      <c r="A127" s="247">
        <v>46307</v>
      </c>
      <c r="B127" s="248" t="s">
        <v>547</v>
      </c>
      <c r="C127" s="248" t="s">
        <v>53</v>
      </c>
      <c r="D127" s="248" t="s">
        <v>227</v>
      </c>
      <c r="E127" s="248" t="s">
        <v>707</v>
      </c>
      <c r="F127" s="248" t="s">
        <v>322</v>
      </c>
      <c r="G127" s="248" t="s">
        <v>708</v>
      </c>
      <c r="H127" s="248" t="s">
        <v>709</v>
      </c>
      <c r="I127" s="249" t="s">
        <v>710</v>
      </c>
      <c r="J127" s="248" t="s">
        <v>34</v>
      </c>
      <c r="K127" s="248" t="s">
        <v>1156</v>
      </c>
      <c r="L127" s="250" t="s">
        <v>1157</v>
      </c>
      <c r="M127" s="256">
        <v>8.3333333333333329E-2</v>
      </c>
      <c r="N127" s="256">
        <v>0.16666666666666666</v>
      </c>
      <c r="O127" s="248">
        <v>83102211</v>
      </c>
      <c r="P127" s="248">
        <v>145341</v>
      </c>
      <c r="Q127" s="248"/>
      <c r="R127" s="248"/>
      <c r="S127" s="248"/>
      <c r="T127" s="246"/>
      <c r="U127" s="246"/>
      <c r="V127" s="246"/>
    </row>
    <row r="128" spans="1:22" ht="12.75">
      <c r="A128" s="242">
        <v>46307</v>
      </c>
      <c r="B128" s="243" t="s">
        <v>547</v>
      </c>
      <c r="C128" s="243" t="s">
        <v>53</v>
      </c>
      <c r="D128" s="243" t="s">
        <v>227</v>
      </c>
      <c r="E128" s="243" t="s">
        <v>707</v>
      </c>
      <c r="F128" s="243" t="s">
        <v>322</v>
      </c>
      <c r="G128" s="243" t="s">
        <v>708</v>
      </c>
      <c r="H128" s="243" t="s">
        <v>709</v>
      </c>
      <c r="I128" s="244" t="s">
        <v>710</v>
      </c>
      <c r="J128" s="243" t="s">
        <v>34</v>
      </c>
      <c r="K128" s="243" t="s">
        <v>1163</v>
      </c>
      <c r="L128" s="245" t="s">
        <v>1165</v>
      </c>
      <c r="M128" s="259">
        <v>0.17708333333333334</v>
      </c>
      <c r="N128" s="259">
        <v>0.1875</v>
      </c>
      <c r="O128" s="243">
        <v>145341</v>
      </c>
      <c r="P128" s="243"/>
      <c r="Q128" s="243"/>
      <c r="R128" s="243"/>
      <c r="S128" s="243"/>
      <c r="T128" s="246"/>
      <c r="U128" s="246"/>
      <c r="V128" s="246"/>
    </row>
    <row r="129" spans="1:22" ht="12.75">
      <c r="A129" s="247">
        <v>46307</v>
      </c>
      <c r="B129" s="248" t="s">
        <v>549</v>
      </c>
      <c r="C129" s="248" t="s">
        <v>738</v>
      </c>
      <c r="D129" s="248" t="s">
        <v>1169</v>
      </c>
      <c r="E129" s="248" t="s">
        <v>707</v>
      </c>
      <c r="F129" s="248" t="s">
        <v>214</v>
      </c>
      <c r="G129" s="248" t="s">
        <v>708</v>
      </c>
      <c r="H129" s="248" t="s">
        <v>740</v>
      </c>
      <c r="I129" s="249" t="s">
        <v>710</v>
      </c>
      <c r="J129" s="248" t="s">
        <v>34</v>
      </c>
      <c r="K129" s="248" t="s">
        <v>1171</v>
      </c>
      <c r="L129" s="250" t="s">
        <v>1172</v>
      </c>
      <c r="M129" s="256">
        <v>0.84722222222222221</v>
      </c>
      <c r="N129" s="256">
        <v>0.86111111111111116</v>
      </c>
      <c r="O129" s="248" t="s">
        <v>1173</v>
      </c>
      <c r="P129" s="248"/>
      <c r="Q129" s="248"/>
      <c r="R129" s="248"/>
      <c r="S129" s="248"/>
      <c r="T129" s="246"/>
      <c r="U129" s="246"/>
      <c r="V129" s="246"/>
    </row>
    <row r="130" spans="1:22" ht="12.75">
      <c r="A130" s="242">
        <v>46307</v>
      </c>
      <c r="B130" s="243" t="s">
        <v>549</v>
      </c>
      <c r="C130" s="243" t="s">
        <v>738</v>
      </c>
      <c r="D130" s="243" t="s">
        <v>1169</v>
      </c>
      <c r="E130" s="243" t="s">
        <v>707</v>
      </c>
      <c r="F130" s="243" t="s">
        <v>214</v>
      </c>
      <c r="G130" s="243" t="s">
        <v>708</v>
      </c>
      <c r="H130" s="243" t="s">
        <v>1176</v>
      </c>
      <c r="I130" s="244" t="s">
        <v>710</v>
      </c>
      <c r="J130" s="243" t="s">
        <v>34</v>
      </c>
      <c r="K130" s="243" t="s">
        <v>1177</v>
      </c>
      <c r="L130" s="245" t="s">
        <v>1172</v>
      </c>
      <c r="M130" s="259">
        <v>0.86111111111111116</v>
      </c>
      <c r="N130" s="259">
        <v>0.875</v>
      </c>
      <c r="O130" s="243" t="s">
        <v>1173</v>
      </c>
      <c r="P130" s="243"/>
      <c r="Q130" s="243"/>
      <c r="R130" s="243"/>
      <c r="S130" s="243"/>
      <c r="T130" s="246"/>
      <c r="U130" s="246"/>
      <c r="V130" s="246"/>
    </row>
    <row r="131" spans="1:22" ht="12.75">
      <c r="A131" s="247">
        <v>46307</v>
      </c>
      <c r="B131" s="248" t="s">
        <v>549</v>
      </c>
      <c r="C131" s="248" t="s">
        <v>738</v>
      </c>
      <c r="D131" s="248" t="s">
        <v>1169</v>
      </c>
      <c r="E131" s="248" t="s">
        <v>707</v>
      </c>
      <c r="F131" s="248" t="s">
        <v>214</v>
      </c>
      <c r="G131" s="248" t="s">
        <v>708</v>
      </c>
      <c r="H131" s="248" t="s">
        <v>740</v>
      </c>
      <c r="I131" s="249" t="s">
        <v>710</v>
      </c>
      <c r="J131" s="248" t="s">
        <v>34</v>
      </c>
      <c r="K131" s="248" t="s">
        <v>1181</v>
      </c>
      <c r="L131" s="250" t="s">
        <v>1183</v>
      </c>
      <c r="M131" s="256">
        <v>0.875</v>
      </c>
      <c r="N131" s="256">
        <v>0.91666666666666663</v>
      </c>
      <c r="O131" s="248" t="s">
        <v>1173</v>
      </c>
      <c r="P131" s="248"/>
      <c r="Q131" s="248"/>
      <c r="R131" s="248"/>
      <c r="S131" s="248"/>
      <c r="T131" s="246"/>
      <c r="U131" s="246"/>
      <c r="V131" s="246"/>
    </row>
    <row r="132" spans="1:22" ht="12.75">
      <c r="A132" s="242">
        <v>46307</v>
      </c>
      <c r="B132" s="243" t="s">
        <v>563</v>
      </c>
      <c r="C132" s="243" t="s">
        <v>53</v>
      </c>
      <c r="D132" s="243" t="s">
        <v>182</v>
      </c>
      <c r="E132" s="243" t="s">
        <v>707</v>
      </c>
      <c r="F132" s="243" t="s">
        <v>214</v>
      </c>
      <c r="G132" s="243" t="s">
        <v>708</v>
      </c>
      <c r="H132" s="243" t="s">
        <v>1176</v>
      </c>
      <c r="I132" s="244" t="s">
        <v>710</v>
      </c>
      <c r="J132" s="243" t="s">
        <v>34</v>
      </c>
      <c r="K132" s="243" t="s">
        <v>1186</v>
      </c>
      <c r="L132" s="245" t="s">
        <v>1187</v>
      </c>
      <c r="M132" s="259">
        <v>0.91666666666666663</v>
      </c>
      <c r="N132" s="259">
        <v>0.93055555555555558</v>
      </c>
      <c r="O132" s="243" t="s">
        <v>1173</v>
      </c>
      <c r="P132" s="243"/>
      <c r="Q132" s="243"/>
      <c r="R132" s="243"/>
      <c r="S132" s="243"/>
      <c r="T132" s="246"/>
      <c r="U132" s="246"/>
      <c r="V132" s="246"/>
    </row>
    <row r="133" spans="1:22" ht="12.75">
      <c r="A133" s="247">
        <v>46307</v>
      </c>
      <c r="B133" s="248" t="s">
        <v>563</v>
      </c>
      <c r="C133" s="248" t="s">
        <v>53</v>
      </c>
      <c r="D133" s="248" t="s">
        <v>182</v>
      </c>
      <c r="E133" s="248" t="s">
        <v>707</v>
      </c>
      <c r="F133" s="248" t="s">
        <v>214</v>
      </c>
      <c r="G133" s="248" t="s">
        <v>708</v>
      </c>
      <c r="H133" s="248" t="s">
        <v>740</v>
      </c>
      <c r="I133" s="249" t="s">
        <v>710</v>
      </c>
      <c r="J133" s="248" t="s">
        <v>34</v>
      </c>
      <c r="K133" s="248" t="s">
        <v>1190</v>
      </c>
      <c r="L133" s="250" t="s">
        <v>1191</v>
      </c>
      <c r="M133" s="256">
        <v>0.93055555555555558</v>
      </c>
      <c r="N133" s="256">
        <v>0.94444444444444442</v>
      </c>
      <c r="O133" s="248" t="s">
        <v>1173</v>
      </c>
      <c r="P133" s="248"/>
      <c r="Q133" s="248"/>
      <c r="R133" s="248"/>
      <c r="S133" s="248"/>
      <c r="T133" s="246"/>
      <c r="U133" s="246"/>
      <c r="V133" s="246"/>
    </row>
    <row r="134" spans="1:22" ht="12.75">
      <c r="A134" s="242">
        <v>46307</v>
      </c>
      <c r="B134" s="243" t="s">
        <v>563</v>
      </c>
      <c r="C134" s="243" t="s">
        <v>53</v>
      </c>
      <c r="D134" s="243" t="s">
        <v>182</v>
      </c>
      <c r="E134" s="243" t="s">
        <v>707</v>
      </c>
      <c r="F134" s="243" t="s">
        <v>214</v>
      </c>
      <c r="G134" s="243" t="s">
        <v>708</v>
      </c>
      <c r="H134" s="243" t="s">
        <v>1176</v>
      </c>
      <c r="I134" s="244" t="s">
        <v>710</v>
      </c>
      <c r="J134" s="243" t="s">
        <v>34</v>
      </c>
      <c r="K134" s="243" t="s">
        <v>1196</v>
      </c>
      <c r="L134" s="245" t="s">
        <v>1198</v>
      </c>
      <c r="M134" s="259">
        <v>0.94444444444444442</v>
      </c>
      <c r="N134" s="259">
        <v>0.95833333333333337</v>
      </c>
      <c r="O134" s="243" t="s">
        <v>1173</v>
      </c>
      <c r="P134" s="243"/>
      <c r="Q134" s="243"/>
      <c r="R134" s="243"/>
      <c r="S134" s="243"/>
      <c r="T134" s="246"/>
      <c r="U134" s="246"/>
      <c r="V134" s="246"/>
    </row>
    <row r="135" spans="1:22" ht="12.75">
      <c r="A135" s="247">
        <v>46307</v>
      </c>
      <c r="B135" s="248" t="s">
        <v>563</v>
      </c>
      <c r="C135" s="248" t="s">
        <v>53</v>
      </c>
      <c r="D135" s="248" t="s">
        <v>182</v>
      </c>
      <c r="E135" s="248" t="s">
        <v>707</v>
      </c>
      <c r="F135" s="248" t="s">
        <v>214</v>
      </c>
      <c r="G135" s="248" t="s">
        <v>708</v>
      </c>
      <c r="H135" s="248" t="s">
        <v>740</v>
      </c>
      <c r="I135" s="249" t="s">
        <v>710</v>
      </c>
      <c r="J135" s="248" t="s">
        <v>34</v>
      </c>
      <c r="K135" s="248" t="s">
        <v>1200</v>
      </c>
      <c r="L135" s="250" t="s">
        <v>1201</v>
      </c>
      <c r="M135" s="256">
        <v>0.95833333333333337</v>
      </c>
      <c r="N135" s="256">
        <v>0.97222222222222221</v>
      </c>
      <c r="O135" s="248" t="s">
        <v>1173</v>
      </c>
      <c r="P135" s="248"/>
      <c r="Q135" s="248"/>
      <c r="R135" s="248"/>
      <c r="S135" s="248"/>
      <c r="T135" s="246"/>
      <c r="U135" s="246"/>
      <c r="V135" s="246"/>
    </row>
    <row r="136" spans="1:22" ht="12.75">
      <c r="A136" s="242">
        <v>46307</v>
      </c>
      <c r="B136" s="243" t="s">
        <v>563</v>
      </c>
      <c r="C136" s="243" t="s">
        <v>53</v>
      </c>
      <c r="D136" s="243" t="s">
        <v>182</v>
      </c>
      <c r="E136" s="243" t="s">
        <v>707</v>
      </c>
      <c r="F136" s="243" t="s">
        <v>214</v>
      </c>
      <c r="G136" s="243" t="s">
        <v>708</v>
      </c>
      <c r="H136" s="243" t="s">
        <v>740</v>
      </c>
      <c r="I136" s="244" t="s">
        <v>710</v>
      </c>
      <c r="J136" s="243" t="s">
        <v>34</v>
      </c>
      <c r="K136" s="243" t="s">
        <v>1205</v>
      </c>
      <c r="L136" s="245" t="s">
        <v>1183</v>
      </c>
      <c r="M136" s="259">
        <v>0.97222222222222221</v>
      </c>
      <c r="N136" s="259">
        <v>1.3888888888888888E-2</v>
      </c>
      <c r="O136" s="243" t="s">
        <v>1173</v>
      </c>
      <c r="P136" s="243"/>
      <c r="Q136" s="243"/>
      <c r="R136" s="243"/>
      <c r="S136" s="243"/>
      <c r="T136" s="246"/>
      <c r="U136" s="246"/>
      <c r="V136" s="246"/>
    </row>
    <row r="137" spans="1:22" ht="12.75">
      <c r="A137" s="247">
        <v>46307</v>
      </c>
      <c r="B137" s="248" t="s">
        <v>563</v>
      </c>
      <c r="C137" s="248" t="s">
        <v>53</v>
      </c>
      <c r="D137" s="248" t="s">
        <v>306</v>
      </c>
      <c r="E137" s="248" t="s">
        <v>707</v>
      </c>
      <c r="F137" s="248" t="s">
        <v>214</v>
      </c>
      <c r="G137" s="248" t="s">
        <v>708</v>
      </c>
      <c r="H137" s="248" t="s">
        <v>740</v>
      </c>
      <c r="I137" s="249" t="s">
        <v>710</v>
      </c>
      <c r="J137" s="248" t="s">
        <v>34</v>
      </c>
      <c r="K137" s="248" t="s">
        <v>1210</v>
      </c>
      <c r="L137" s="250" t="s">
        <v>1211</v>
      </c>
      <c r="M137" s="256">
        <v>1.3888888888888888E-2</v>
      </c>
      <c r="N137" s="256">
        <v>2.7777777777777776E-2</v>
      </c>
      <c r="O137" s="248" t="s">
        <v>1173</v>
      </c>
      <c r="P137" s="248"/>
      <c r="Q137" s="248"/>
      <c r="R137" s="248"/>
      <c r="S137" s="248"/>
      <c r="T137" s="246"/>
      <c r="U137" s="246"/>
      <c r="V137" s="246"/>
    </row>
    <row r="138" spans="1:22" ht="12.75">
      <c r="A138" s="242">
        <v>46307</v>
      </c>
      <c r="B138" s="243" t="s">
        <v>563</v>
      </c>
      <c r="C138" s="243" t="s">
        <v>53</v>
      </c>
      <c r="D138" s="243" t="s">
        <v>306</v>
      </c>
      <c r="E138" s="243" t="s">
        <v>707</v>
      </c>
      <c r="F138" s="243" t="s">
        <v>214</v>
      </c>
      <c r="G138" s="243" t="s">
        <v>708</v>
      </c>
      <c r="H138" s="243" t="s">
        <v>740</v>
      </c>
      <c r="I138" s="244" t="s">
        <v>710</v>
      </c>
      <c r="J138" s="243" t="s">
        <v>34</v>
      </c>
      <c r="K138" s="243" t="s">
        <v>1214</v>
      </c>
      <c r="L138" s="245" t="s">
        <v>1215</v>
      </c>
      <c r="M138" s="259">
        <v>2.7777777777777776E-2</v>
      </c>
      <c r="N138" s="259">
        <v>4.1666666666666664E-2</v>
      </c>
      <c r="O138" s="243" t="s">
        <v>1173</v>
      </c>
      <c r="P138" s="243"/>
      <c r="Q138" s="243"/>
      <c r="R138" s="243"/>
      <c r="S138" s="243"/>
      <c r="T138" s="246"/>
      <c r="U138" s="246"/>
      <c r="V138" s="246"/>
    </row>
    <row r="139" spans="1:22" ht="12.75">
      <c r="A139" s="247">
        <v>46307</v>
      </c>
      <c r="B139" s="248" t="s">
        <v>563</v>
      </c>
      <c r="C139" s="248" t="s">
        <v>53</v>
      </c>
      <c r="D139" s="248" t="s">
        <v>306</v>
      </c>
      <c r="E139" s="248" t="s">
        <v>707</v>
      </c>
      <c r="F139" s="248" t="s">
        <v>214</v>
      </c>
      <c r="G139" s="248" t="s">
        <v>708</v>
      </c>
      <c r="H139" s="248" t="s">
        <v>740</v>
      </c>
      <c r="I139" s="249" t="s">
        <v>710</v>
      </c>
      <c r="J139" s="248" t="s">
        <v>34</v>
      </c>
      <c r="K139" s="248" t="s">
        <v>1219</v>
      </c>
      <c r="L139" s="250" t="s">
        <v>1220</v>
      </c>
      <c r="M139" s="256">
        <v>4.1666666666666664E-2</v>
      </c>
      <c r="N139" s="256">
        <v>6.25E-2</v>
      </c>
      <c r="O139" s="248" t="s">
        <v>1173</v>
      </c>
      <c r="P139" s="248"/>
      <c r="Q139" s="248"/>
      <c r="R139" s="248"/>
      <c r="S139" s="248"/>
      <c r="T139" s="246"/>
      <c r="U139" s="246"/>
      <c r="V139" s="246"/>
    </row>
    <row r="140" spans="1:22" ht="12.75">
      <c r="A140" s="242">
        <v>46307</v>
      </c>
      <c r="B140" s="243" t="s">
        <v>563</v>
      </c>
      <c r="C140" s="243" t="s">
        <v>53</v>
      </c>
      <c r="D140" s="243" t="s">
        <v>306</v>
      </c>
      <c r="E140" s="243" t="s">
        <v>707</v>
      </c>
      <c r="F140" s="243" t="s">
        <v>214</v>
      </c>
      <c r="G140" s="243" t="s">
        <v>708</v>
      </c>
      <c r="H140" s="243" t="s">
        <v>740</v>
      </c>
      <c r="I140" s="244" t="s">
        <v>710</v>
      </c>
      <c r="J140" s="243" t="s">
        <v>34</v>
      </c>
      <c r="K140" s="243" t="s">
        <v>1224</v>
      </c>
      <c r="L140" s="245" t="s">
        <v>1183</v>
      </c>
      <c r="M140" s="259">
        <v>6.25E-2</v>
      </c>
      <c r="N140" s="259">
        <v>0.10416666666666667</v>
      </c>
      <c r="O140" s="243" t="s">
        <v>1173</v>
      </c>
      <c r="P140" s="243"/>
      <c r="Q140" s="243"/>
      <c r="R140" s="243"/>
      <c r="S140" s="243"/>
      <c r="T140" s="246"/>
      <c r="U140" s="246"/>
      <c r="V140" s="246"/>
    </row>
    <row r="141" spans="1:22" ht="12.75">
      <c r="A141" s="247">
        <v>46307</v>
      </c>
      <c r="B141" s="248" t="s">
        <v>563</v>
      </c>
      <c r="C141" s="248" t="s">
        <v>53</v>
      </c>
      <c r="D141" s="248" t="s">
        <v>113</v>
      </c>
      <c r="E141" s="248" t="s">
        <v>707</v>
      </c>
      <c r="F141" s="248" t="s">
        <v>214</v>
      </c>
      <c r="G141" s="248" t="s">
        <v>708</v>
      </c>
      <c r="H141" s="248" t="s">
        <v>740</v>
      </c>
      <c r="I141" s="249" t="s">
        <v>710</v>
      </c>
      <c r="J141" s="248" t="s">
        <v>34</v>
      </c>
      <c r="K141" s="248" t="s">
        <v>1227</v>
      </c>
      <c r="L141" s="250" t="s">
        <v>1228</v>
      </c>
      <c r="M141" s="256">
        <v>0.10416666666666667</v>
      </c>
      <c r="N141" s="256">
        <v>0.11805555555555555</v>
      </c>
      <c r="O141" s="248" t="s">
        <v>1173</v>
      </c>
      <c r="P141" s="248"/>
      <c r="Q141" s="248"/>
      <c r="R141" s="248"/>
      <c r="S141" s="248"/>
      <c r="T141" s="246"/>
      <c r="U141" s="246"/>
      <c r="V141" s="246"/>
    </row>
    <row r="142" spans="1:22" ht="12.75">
      <c r="A142" s="242">
        <v>46307</v>
      </c>
      <c r="B142" s="243" t="s">
        <v>563</v>
      </c>
      <c r="C142" s="243" t="s">
        <v>53</v>
      </c>
      <c r="D142" s="243" t="s">
        <v>113</v>
      </c>
      <c r="E142" s="243" t="s">
        <v>707</v>
      </c>
      <c r="F142" s="243" t="s">
        <v>214</v>
      </c>
      <c r="G142" s="243" t="s">
        <v>708</v>
      </c>
      <c r="H142" s="243" t="s">
        <v>740</v>
      </c>
      <c r="I142" s="244" t="s">
        <v>710</v>
      </c>
      <c r="J142" s="243" t="s">
        <v>34</v>
      </c>
      <c r="K142" s="243" t="s">
        <v>1231</v>
      </c>
      <c r="L142" s="245" t="s">
        <v>1232</v>
      </c>
      <c r="M142" s="259">
        <v>0.11805555555555555</v>
      </c>
      <c r="N142" s="259">
        <v>0.13194444444444445</v>
      </c>
      <c r="O142" s="243" t="s">
        <v>1173</v>
      </c>
      <c r="P142" s="243"/>
      <c r="Q142" s="243"/>
      <c r="R142" s="243"/>
      <c r="S142" s="243"/>
      <c r="T142" s="246"/>
      <c r="U142" s="246"/>
      <c r="V142" s="246"/>
    </row>
    <row r="143" spans="1:22" ht="12.75">
      <c r="A143" s="247">
        <v>46307</v>
      </c>
      <c r="B143" s="248" t="s">
        <v>563</v>
      </c>
      <c r="C143" s="248" t="s">
        <v>53</v>
      </c>
      <c r="D143" s="248" t="s">
        <v>113</v>
      </c>
      <c r="E143" s="248" t="s">
        <v>707</v>
      </c>
      <c r="F143" s="248" t="s">
        <v>214</v>
      </c>
      <c r="G143" s="248" t="s">
        <v>708</v>
      </c>
      <c r="H143" s="248" t="s">
        <v>740</v>
      </c>
      <c r="I143" s="249" t="s">
        <v>710</v>
      </c>
      <c r="J143" s="248" t="s">
        <v>34</v>
      </c>
      <c r="K143" s="248" t="s">
        <v>1235</v>
      </c>
      <c r="L143" s="250" t="s">
        <v>1183</v>
      </c>
      <c r="M143" s="256">
        <v>0.13194444444444445</v>
      </c>
      <c r="N143" s="256">
        <v>0.1736111111111111</v>
      </c>
      <c r="O143" s="248" t="s">
        <v>1173</v>
      </c>
      <c r="P143" s="248"/>
      <c r="Q143" s="248"/>
      <c r="R143" s="248"/>
      <c r="S143" s="248"/>
      <c r="T143" s="246"/>
      <c r="U143" s="246"/>
      <c r="V143" s="246"/>
    </row>
    <row r="144" spans="1:22" ht="12.75">
      <c r="A144" s="242">
        <v>46307</v>
      </c>
      <c r="B144" s="243" t="s">
        <v>556</v>
      </c>
      <c r="C144" s="243" t="s">
        <v>1236</v>
      </c>
      <c r="D144" s="243" t="s">
        <v>836</v>
      </c>
      <c r="E144" s="243" t="s">
        <v>707</v>
      </c>
      <c r="F144" s="243" t="s">
        <v>214</v>
      </c>
      <c r="G144" s="243" t="s">
        <v>708</v>
      </c>
      <c r="H144" s="243" t="s">
        <v>740</v>
      </c>
      <c r="I144" s="244" t="s">
        <v>710</v>
      </c>
      <c r="J144" s="243" t="s">
        <v>34</v>
      </c>
      <c r="K144" s="243" t="s">
        <v>1239</v>
      </c>
      <c r="L144" s="245" t="s">
        <v>1240</v>
      </c>
      <c r="M144" s="259">
        <v>0.1736111111111111</v>
      </c>
      <c r="N144" s="259">
        <v>0.1875</v>
      </c>
      <c r="O144" s="243" t="s">
        <v>1173</v>
      </c>
      <c r="P144" s="243"/>
      <c r="Q144" s="243"/>
      <c r="R144" s="243"/>
      <c r="S144" s="243"/>
      <c r="T144" s="246"/>
      <c r="U144" s="246"/>
      <c r="V144" s="246"/>
    </row>
    <row r="145" spans="1:22" ht="12.75">
      <c r="A145" s="247">
        <v>46307</v>
      </c>
      <c r="B145" s="248" t="s">
        <v>556</v>
      </c>
      <c r="C145" s="248" t="s">
        <v>1236</v>
      </c>
      <c r="D145" s="248" t="s">
        <v>836</v>
      </c>
      <c r="E145" s="248" t="s">
        <v>707</v>
      </c>
      <c r="F145" s="248" t="s">
        <v>214</v>
      </c>
      <c r="G145" s="248" t="s">
        <v>708</v>
      </c>
      <c r="H145" s="248" t="s">
        <v>740</v>
      </c>
      <c r="I145" s="249" t="s">
        <v>710</v>
      </c>
      <c r="J145" s="248" t="s">
        <v>34</v>
      </c>
      <c r="K145" s="248" t="s">
        <v>1244</v>
      </c>
      <c r="L145" s="250" t="s">
        <v>1240</v>
      </c>
      <c r="M145" s="256">
        <v>0.1875</v>
      </c>
      <c r="N145" s="256">
        <v>0.2013888888888889</v>
      </c>
      <c r="O145" s="248" t="s">
        <v>1173</v>
      </c>
      <c r="P145" s="248"/>
      <c r="Q145" s="248"/>
      <c r="R145" s="248"/>
      <c r="S145" s="248"/>
      <c r="T145" s="246"/>
      <c r="U145" s="246"/>
      <c r="V145" s="246"/>
    </row>
    <row r="146" spans="1:22" ht="12.75">
      <c r="A146" s="242">
        <v>46307</v>
      </c>
      <c r="B146" s="243" t="s">
        <v>556</v>
      </c>
      <c r="C146" s="243" t="s">
        <v>1236</v>
      </c>
      <c r="D146" s="243" t="s">
        <v>836</v>
      </c>
      <c r="E146" s="243" t="s">
        <v>707</v>
      </c>
      <c r="F146" s="243" t="s">
        <v>214</v>
      </c>
      <c r="G146" s="243" t="s">
        <v>708</v>
      </c>
      <c r="H146" s="243" t="s">
        <v>740</v>
      </c>
      <c r="I146" s="244" t="s">
        <v>710</v>
      </c>
      <c r="J146" s="243" t="s">
        <v>34</v>
      </c>
      <c r="K146" s="243" t="s">
        <v>1247</v>
      </c>
      <c r="L146" s="245" t="s">
        <v>1183</v>
      </c>
      <c r="M146" s="259">
        <v>0.2013888888888889</v>
      </c>
      <c r="N146" s="259">
        <v>0.24305555555555555</v>
      </c>
      <c r="O146" s="243" t="s">
        <v>1173</v>
      </c>
      <c r="P146" s="243"/>
      <c r="Q146" s="243"/>
      <c r="R146" s="243"/>
      <c r="S146" s="243"/>
      <c r="T146" s="246"/>
      <c r="U146" s="246"/>
      <c r="V146" s="246"/>
    </row>
    <row r="147" spans="1:22" ht="12.75">
      <c r="A147" s="247">
        <v>46307</v>
      </c>
      <c r="B147" s="248" t="s">
        <v>556</v>
      </c>
      <c r="C147" s="248" t="s">
        <v>1236</v>
      </c>
      <c r="D147" s="248" t="s">
        <v>1250</v>
      </c>
      <c r="E147" s="248" t="s">
        <v>707</v>
      </c>
      <c r="F147" s="248" t="s">
        <v>214</v>
      </c>
      <c r="G147" s="248" t="s">
        <v>708</v>
      </c>
      <c r="H147" s="248" t="s">
        <v>740</v>
      </c>
      <c r="I147" s="249" t="s">
        <v>710</v>
      </c>
      <c r="J147" s="248" t="s">
        <v>34</v>
      </c>
      <c r="K147" s="248" t="s">
        <v>1251</v>
      </c>
      <c r="L147" s="250" t="s">
        <v>1252</v>
      </c>
      <c r="M147" s="256">
        <v>0.24305555555555555</v>
      </c>
      <c r="N147" s="256">
        <v>0.25694444444444442</v>
      </c>
      <c r="O147" s="248" t="s">
        <v>1173</v>
      </c>
      <c r="P147" s="248"/>
      <c r="Q147" s="248"/>
      <c r="R147" s="248"/>
      <c r="S147" s="248"/>
      <c r="T147" s="246"/>
      <c r="U147" s="246"/>
      <c r="V147" s="246"/>
    </row>
    <row r="148" spans="1:22" ht="12.75">
      <c r="A148" s="242">
        <v>46307</v>
      </c>
      <c r="B148" s="243" t="s">
        <v>556</v>
      </c>
      <c r="C148" s="243" t="s">
        <v>1236</v>
      </c>
      <c r="D148" s="243" t="s">
        <v>1250</v>
      </c>
      <c r="E148" s="243" t="s">
        <v>707</v>
      </c>
      <c r="F148" s="243" t="s">
        <v>214</v>
      </c>
      <c r="G148" s="243" t="s">
        <v>708</v>
      </c>
      <c r="H148" s="243" t="s">
        <v>740</v>
      </c>
      <c r="I148" s="244" t="s">
        <v>710</v>
      </c>
      <c r="J148" s="243" t="s">
        <v>34</v>
      </c>
      <c r="K148" s="243" t="s">
        <v>1258</v>
      </c>
      <c r="L148" s="245" t="s">
        <v>1259</v>
      </c>
      <c r="M148" s="259">
        <v>0.25694444444444442</v>
      </c>
      <c r="N148" s="259">
        <v>0.27083333333333331</v>
      </c>
      <c r="O148" s="243" t="s">
        <v>1173</v>
      </c>
      <c r="P148" s="243"/>
      <c r="Q148" s="243"/>
      <c r="R148" s="243"/>
      <c r="S148" s="243"/>
      <c r="T148" s="246"/>
      <c r="U148" s="246"/>
      <c r="V148" s="246"/>
    </row>
    <row r="149" spans="1:22" ht="12.75">
      <c r="A149" s="247">
        <v>46307</v>
      </c>
      <c r="B149" s="248" t="s">
        <v>556</v>
      </c>
      <c r="C149" s="248" t="s">
        <v>1236</v>
      </c>
      <c r="D149" s="248" t="s">
        <v>1250</v>
      </c>
      <c r="E149" s="248" t="s">
        <v>707</v>
      </c>
      <c r="F149" s="248" t="s">
        <v>214</v>
      </c>
      <c r="G149" s="248" t="s">
        <v>708</v>
      </c>
      <c r="H149" s="248" t="s">
        <v>740</v>
      </c>
      <c r="I149" s="249" t="s">
        <v>710</v>
      </c>
      <c r="J149" s="248" t="s">
        <v>34</v>
      </c>
      <c r="K149" s="248" t="s">
        <v>1265</v>
      </c>
      <c r="L149" s="250" t="s">
        <v>1183</v>
      </c>
      <c r="M149" s="256">
        <v>0.27083333333333331</v>
      </c>
      <c r="N149" s="256">
        <v>0.3125</v>
      </c>
      <c r="O149" s="248" t="s">
        <v>1173</v>
      </c>
      <c r="P149" s="248"/>
      <c r="Q149" s="248"/>
      <c r="R149" s="248"/>
      <c r="S149" s="248"/>
      <c r="T149" s="246"/>
      <c r="U149" s="246"/>
      <c r="V149" s="246"/>
    </row>
    <row r="150" spans="1:22" ht="12.75">
      <c r="A150" s="242">
        <v>46307</v>
      </c>
      <c r="B150" s="243" t="s">
        <v>563</v>
      </c>
      <c r="C150" s="243" t="s">
        <v>53</v>
      </c>
      <c r="D150" s="243" t="s">
        <v>306</v>
      </c>
      <c r="E150" s="243" t="s">
        <v>815</v>
      </c>
      <c r="F150" s="243" t="s">
        <v>55</v>
      </c>
      <c r="G150" s="243" t="s">
        <v>764</v>
      </c>
      <c r="H150" s="243" t="s">
        <v>740</v>
      </c>
      <c r="I150" s="244" t="s">
        <v>710</v>
      </c>
      <c r="J150" s="243" t="s">
        <v>34</v>
      </c>
      <c r="K150" s="243" t="s">
        <v>1276</v>
      </c>
      <c r="L150" s="245" t="s">
        <v>1277</v>
      </c>
      <c r="M150" s="259">
        <v>0.35416666666666669</v>
      </c>
      <c r="N150" s="259">
        <v>0.375</v>
      </c>
      <c r="O150" s="243">
        <v>83122944</v>
      </c>
      <c r="P150" s="243">
        <v>145560</v>
      </c>
      <c r="Q150" s="243"/>
      <c r="R150" s="243"/>
      <c r="S150" s="243"/>
      <c r="T150" s="246"/>
      <c r="U150" s="246"/>
      <c r="V150" s="246"/>
    </row>
    <row r="151" spans="1:22" ht="12.75">
      <c r="A151" s="247">
        <v>46307</v>
      </c>
      <c r="B151" s="248" t="s">
        <v>547</v>
      </c>
      <c r="C151" s="248" t="s">
        <v>53</v>
      </c>
      <c r="D151" s="248" t="s">
        <v>390</v>
      </c>
      <c r="E151" s="248" t="s">
        <v>895</v>
      </c>
      <c r="F151" s="248" t="s">
        <v>55</v>
      </c>
      <c r="G151" s="248" t="s">
        <v>764</v>
      </c>
      <c r="H151" s="248" t="s">
        <v>740</v>
      </c>
      <c r="I151" s="249" t="s">
        <v>710</v>
      </c>
      <c r="J151" s="248" t="s">
        <v>34</v>
      </c>
      <c r="K151" s="248" t="s">
        <v>1283</v>
      </c>
      <c r="L151" s="250" t="s">
        <v>1285</v>
      </c>
      <c r="M151" s="256">
        <v>0.35416666666666669</v>
      </c>
      <c r="N151" s="256">
        <v>0.375</v>
      </c>
      <c r="O151" s="248">
        <v>200386</v>
      </c>
      <c r="P151" s="248">
        <v>145571</v>
      </c>
      <c r="Q151" s="248"/>
      <c r="R151" s="248"/>
      <c r="S151" s="248"/>
      <c r="T151" s="246"/>
      <c r="U151" s="246"/>
      <c r="V151" s="246"/>
    </row>
    <row r="152" spans="1:22" ht="12.75">
      <c r="A152" s="242">
        <v>46307</v>
      </c>
      <c r="B152" s="243" t="s">
        <v>547</v>
      </c>
      <c r="C152" s="243" t="s">
        <v>53</v>
      </c>
      <c r="D152" s="243" t="s">
        <v>144</v>
      </c>
      <c r="E152" s="243" t="s">
        <v>895</v>
      </c>
      <c r="F152" s="243" t="s">
        <v>55</v>
      </c>
      <c r="G152" s="243" t="s">
        <v>764</v>
      </c>
      <c r="H152" s="243" t="s">
        <v>740</v>
      </c>
      <c r="I152" s="244" t="s">
        <v>710</v>
      </c>
      <c r="J152" s="243" t="s">
        <v>34</v>
      </c>
      <c r="K152" s="243" t="s">
        <v>1291</v>
      </c>
      <c r="L152" s="245" t="s">
        <v>1292</v>
      </c>
      <c r="M152" s="259">
        <v>0.32291666666666669</v>
      </c>
      <c r="N152" s="259">
        <v>0.34375</v>
      </c>
      <c r="O152" s="243">
        <v>145540</v>
      </c>
      <c r="P152" s="243">
        <v>145350</v>
      </c>
      <c r="Q152" s="243"/>
      <c r="R152" s="243"/>
      <c r="S152" s="243"/>
      <c r="T152" s="246"/>
      <c r="U152" s="246"/>
      <c r="V152" s="246"/>
    </row>
    <row r="153" spans="1:22" ht="12.75">
      <c r="A153" s="247">
        <v>46307</v>
      </c>
      <c r="B153" s="248" t="s">
        <v>547</v>
      </c>
      <c r="C153" s="248" t="s">
        <v>53</v>
      </c>
      <c r="D153" s="248" t="s">
        <v>230</v>
      </c>
      <c r="E153" s="248" t="s">
        <v>815</v>
      </c>
      <c r="F153" s="248" t="s">
        <v>55</v>
      </c>
      <c r="G153" s="248" t="s">
        <v>764</v>
      </c>
      <c r="H153" s="248" t="s">
        <v>740</v>
      </c>
      <c r="I153" s="249" t="s">
        <v>710</v>
      </c>
      <c r="J153" s="248" t="s">
        <v>34</v>
      </c>
      <c r="K153" s="248" t="s">
        <v>1295</v>
      </c>
      <c r="L153" s="250" t="s">
        <v>1296</v>
      </c>
      <c r="M153" s="256">
        <v>0.625</v>
      </c>
      <c r="N153" s="256">
        <v>0.64583333333333337</v>
      </c>
      <c r="O153" s="248">
        <v>200386</v>
      </c>
      <c r="P153" s="248">
        <v>145571</v>
      </c>
      <c r="Q153" s="248"/>
      <c r="R153" s="248"/>
      <c r="S153" s="248"/>
      <c r="T153" s="246"/>
      <c r="U153" s="246"/>
      <c r="V153" s="246"/>
    </row>
    <row r="154" spans="1:22" ht="12.75">
      <c r="A154" s="242">
        <v>46307</v>
      </c>
      <c r="B154" s="243" t="s">
        <v>563</v>
      </c>
      <c r="C154" s="243" t="s">
        <v>53</v>
      </c>
      <c r="D154" s="243" t="s">
        <v>370</v>
      </c>
      <c r="E154" s="243" t="s">
        <v>815</v>
      </c>
      <c r="F154" s="243" t="s">
        <v>55</v>
      </c>
      <c r="G154" s="243" t="s">
        <v>764</v>
      </c>
      <c r="H154" s="243" t="s">
        <v>740</v>
      </c>
      <c r="I154" s="244" t="s">
        <v>710</v>
      </c>
      <c r="J154" s="243" t="s">
        <v>34</v>
      </c>
      <c r="K154" s="243" t="s">
        <v>1301</v>
      </c>
      <c r="L154" s="245" t="s">
        <v>1303</v>
      </c>
      <c r="M154" s="259">
        <v>0.54166666666666663</v>
      </c>
      <c r="N154" s="259">
        <v>0.5625</v>
      </c>
      <c r="O154" s="243">
        <v>145540</v>
      </c>
      <c r="P154" s="243">
        <v>145350</v>
      </c>
      <c r="Q154" s="243"/>
      <c r="R154" s="243"/>
      <c r="S154" s="243"/>
      <c r="T154" s="246"/>
      <c r="U154" s="246"/>
      <c r="V154" s="246"/>
    </row>
    <row r="155" spans="1:22" ht="12.75">
      <c r="A155" s="247">
        <v>46307</v>
      </c>
      <c r="B155" s="248" t="s">
        <v>563</v>
      </c>
      <c r="C155" s="248" t="s">
        <v>53</v>
      </c>
      <c r="D155" s="248" t="s">
        <v>302</v>
      </c>
      <c r="E155" s="248" t="s">
        <v>815</v>
      </c>
      <c r="F155" s="248" t="s">
        <v>55</v>
      </c>
      <c r="G155" s="248" t="s">
        <v>764</v>
      </c>
      <c r="H155" s="248" t="s">
        <v>740</v>
      </c>
      <c r="I155" s="249" t="s">
        <v>710</v>
      </c>
      <c r="J155" s="248" t="s">
        <v>34</v>
      </c>
      <c r="K155" s="248" t="s">
        <v>1308</v>
      </c>
      <c r="L155" s="250" t="s">
        <v>1309</v>
      </c>
      <c r="M155" s="256">
        <v>0.54166666666666663</v>
      </c>
      <c r="N155" s="256">
        <v>0.5625</v>
      </c>
      <c r="O155" s="248">
        <v>83122944</v>
      </c>
      <c r="P155" s="248">
        <v>145560</v>
      </c>
      <c r="Q155" s="248"/>
      <c r="R155" s="248"/>
      <c r="S155" s="248"/>
      <c r="T155" s="246"/>
      <c r="U155" s="246"/>
      <c r="V155" s="246"/>
    </row>
    <row r="156" spans="1:22" ht="12.75">
      <c r="A156" s="242">
        <v>46307</v>
      </c>
      <c r="B156" s="243" t="s">
        <v>547</v>
      </c>
      <c r="C156" s="243" t="s">
        <v>53</v>
      </c>
      <c r="D156" s="243" t="s">
        <v>285</v>
      </c>
      <c r="E156" s="243" t="s">
        <v>895</v>
      </c>
      <c r="F156" s="243" t="s">
        <v>55</v>
      </c>
      <c r="G156" s="243" t="s">
        <v>764</v>
      </c>
      <c r="H156" s="243" t="s">
        <v>740</v>
      </c>
      <c r="I156" s="244" t="s">
        <v>710</v>
      </c>
      <c r="J156" s="243" t="s">
        <v>34</v>
      </c>
      <c r="K156" s="243" t="s">
        <v>1313</v>
      </c>
      <c r="L156" s="245" t="s">
        <v>1314</v>
      </c>
      <c r="M156" s="259">
        <v>0.61458333333333337</v>
      </c>
      <c r="N156" s="259">
        <v>0.63541666666666663</v>
      </c>
      <c r="O156" s="243">
        <v>145350</v>
      </c>
      <c r="P156" s="243">
        <v>200386</v>
      </c>
      <c r="Q156" s="243"/>
      <c r="R156" s="243"/>
      <c r="S156" s="243"/>
      <c r="T156" s="246"/>
      <c r="U156" s="246"/>
      <c r="V156" s="246"/>
    </row>
    <row r="157" spans="1:22" ht="12.75">
      <c r="A157" s="247">
        <v>46307</v>
      </c>
      <c r="B157" s="248" t="s">
        <v>547</v>
      </c>
      <c r="C157" s="248" t="s">
        <v>90</v>
      </c>
      <c r="D157" s="248" t="s">
        <v>279</v>
      </c>
      <c r="E157" s="248" t="s">
        <v>815</v>
      </c>
      <c r="F157" s="248" t="s">
        <v>55</v>
      </c>
      <c r="G157" s="248" t="s">
        <v>764</v>
      </c>
      <c r="H157" s="248" t="s">
        <v>740</v>
      </c>
      <c r="I157" s="249" t="s">
        <v>710</v>
      </c>
      <c r="J157" s="248" t="s">
        <v>34</v>
      </c>
      <c r="K157" s="248" t="s">
        <v>1318</v>
      </c>
      <c r="L157" s="250" t="s">
        <v>1319</v>
      </c>
      <c r="M157" s="256">
        <v>0.65625</v>
      </c>
      <c r="N157" s="256">
        <v>0.67708333333333337</v>
      </c>
      <c r="O157" s="248">
        <v>145350</v>
      </c>
      <c r="P157" s="248">
        <v>200386</v>
      </c>
      <c r="Q157" s="248"/>
      <c r="R157" s="248"/>
      <c r="S157" s="248"/>
      <c r="T157" s="246"/>
      <c r="U157" s="246"/>
      <c r="V157" s="246"/>
    </row>
    <row r="158" spans="1:22" ht="12.75">
      <c r="A158" s="242">
        <v>46307</v>
      </c>
      <c r="B158" s="243" t="s">
        <v>563</v>
      </c>
      <c r="C158" s="243" t="s">
        <v>53</v>
      </c>
      <c r="D158" s="243" t="s">
        <v>1323</v>
      </c>
      <c r="E158" s="243" t="s">
        <v>815</v>
      </c>
      <c r="F158" s="243" t="s">
        <v>55</v>
      </c>
      <c r="G158" s="243" t="s">
        <v>764</v>
      </c>
      <c r="H158" s="243" t="s">
        <v>740</v>
      </c>
      <c r="I158" s="244" t="s">
        <v>710</v>
      </c>
      <c r="J158" s="243" t="s">
        <v>34</v>
      </c>
      <c r="K158" s="243" t="s">
        <v>1325</v>
      </c>
      <c r="L158" s="245" t="s">
        <v>1326</v>
      </c>
      <c r="M158" s="259">
        <v>0.63888888888888884</v>
      </c>
      <c r="N158" s="259">
        <v>0.65972222222222221</v>
      </c>
      <c r="O158" s="243">
        <v>83122944</v>
      </c>
      <c r="P158" s="243">
        <v>145560</v>
      </c>
      <c r="Q158" s="243"/>
      <c r="R158" s="243"/>
      <c r="S158" s="243"/>
      <c r="T158" s="246"/>
      <c r="U158" s="246"/>
      <c r="V158" s="246"/>
    </row>
    <row r="159" spans="1:22" ht="12.75">
      <c r="A159" s="247">
        <v>46307</v>
      </c>
      <c r="B159" s="248" t="s">
        <v>563</v>
      </c>
      <c r="C159" s="248" t="s">
        <v>53</v>
      </c>
      <c r="D159" s="248" t="s">
        <v>1330</v>
      </c>
      <c r="E159" s="248" t="s">
        <v>815</v>
      </c>
      <c r="F159" s="248" t="s">
        <v>55</v>
      </c>
      <c r="G159" s="248" t="s">
        <v>764</v>
      </c>
      <c r="H159" s="248" t="s">
        <v>740</v>
      </c>
      <c r="I159" s="249" t="s">
        <v>710</v>
      </c>
      <c r="J159" s="248" t="s">
        <v>34</v>
      </c>
      <c r="K159" s="248" t="s">
        <v>1331</v>
      </c>
      <c r="L159" s="250" t="s">
        <v>1332</v>
      </c>
      <c r="M159" s="256">
        <v>0.6875</v>
      </c>
      <c r="N159" s="256">
        <v>0.70833333333333337</v>
      </c>
      <c r="O159" s="248">
        <v>83122944</v>
      </c>
      <c r="P159" s="248">
        <v>145560</v>
      </c>
      <c r="Q159" s="248"/>
      <c r="R159" s="248"/>
      <c r="S159" s="248"/>
      <c r="T159" s="246"/>
      <c r="U159" s="246"/>
      <c r="V159" s="246"/>
    </row>
    <row r="160" spans="1:22" ht="12.75">
      <c r="A160" s="242">
        <v>46307</v>
      </c>
      <c r="B160" s="243" t="s">
        <v>547</v>
      </c>
      <c r="C160" s="243" t="s">
        <v>53</v>
      </c>
      <c r="D160" s="243" t="s">
        <v>230</v>
      </c>
      <c r="E160" s="243" t="s">
        <v>815</v>
      </c>
      <c r="F160" s="243" t="s">
        <v>55</v>
      </c>
      <c r="G160" s="243" t="s">
        <v>764</v>
      </c>
      <c r="H160" s="243" t="s">
        <v>740</v>
      </c>
      <c r="I160" s="244" t="s">
        <v>710</v>
      </c>
      <c r="J160" s="243" t="s">
        <v>34</v>
      </c>
      <c r="K160" s="243" t="s">
        <v>1336</v>
      </c>
      <c r="L160" s="245" t="s">
        <v>1337</v>
      </c>
      <c r="M160" s="259">
        <v>0.65972222222222221</v>
      </c>
      <c r="N160" s="259">
        <v>0.68055555555555558</v>
      </c>
      <c r="O160" s="243">
        <v>200386</v>
      </c>
      <c r="P160" s="243">
        <v>145571</v>
      </c>
      <c r="Q160" s="243"/>
      <c r="R160" s="243"/>
      <c r="S160" s="243"/>
      <c r="T160" s="246"/>
      <c r="U160" s="246"/>
      <c r="V160" s="246"/>
    </row>
    <row r="161" spans="1:22" ht="12.75">
      <c r="A161" s="247">
        <v>46307</v>
      </c>
      <c r="B161" s="248" t="s">
        <v>547</v>
      </c>
      <c r="C161" s="248" t="s">
        <v>53</v>
      </c>
      <c r="D161" s="248" t="s">
        <v>230</v>
      </c>
      <c r="E161" s="248" t="s">
        <v>815</v>
      </c>
      <c r="F161" s="248" t="s">
        <v>55</v>
      </c>
      <c r="G161" s="248" t="s">
        <v>764</v>
      </c>
      <c r="H161" s="248" t="s">
        <v>740</v>
      </c>
      <c r="I161" s="249" t="s">
        <v>710</v>
      </c>
      <c r="J161" s="248" t="s">
        <v>34</v>
      </c>
      <c r="K161" s="248" t="s">
        <v>1339</v>
      </c>
      <c r="L161" s="250" t="s">
        <v>1340</v>
      </c>
      <c r="M161" s="256">
        <v>0.6875</v>
      </c>
      <c r="N161" s="256">
        <v>0.70833333333333337</v>
      </c>
      <c r="O161" s="248">
        <v>145350</v>
      </c>
      <c r="P161" s="248">
        <v>145540</v>
      </c>
      <c r="Q161" s="248"/>
      <c r="R161" s="248"/>
      <c r="S161" s="248"/>
      <c r="T161" s="246"/>
      <c r="U161" s="246"/>
      <c r="V161" s="246"/>
    </row>
    <row r="162" spans="1:22" ht="12.75">
      <c r="A162" s="242">
        <v>46307</v>
      </c>
      <c r="B162" s="243" t="s">
        <v>549</v>
      </c>
      <c r="C162" s="243" t="s">
        <v>90</v>
      </c>
      <c r="D162" s="243" t="s">
        <v>550</v>
      </c>
      <c r="E162" s="243" t="s">
        <v>815</v>
      </c>
      <c r="F162" s="243" t="s">
        <v>55</v>
      </c>
      <c r="G162" s="243" t="s">
        <v>764</v>
      </c>
      <c r="H162" s="243" t="s">
        <v>740</v>
      </c>
      <c r="I162" s="244" t="s">
        <v>710</v>
      </c>
      <c r="J162" s="243" t="s">
        <v>34</v>
      </c>
      <c r="K162" s="243" t="s">
        <v>1343</v>
      </c>
      <c r="L162" s="245" t="s">
        <v>1344</v>
      </c>
      <c r="M162" s="259">
        <v>0.6875</v>
      </c>
      <c r="N162" s="259">
        <v>0.70833333333333337</v>
      </c>
      <c r="O162" s="243">
        <v>83123906</v>
      </c>
      <c r="P162" s="243"/>
      <c r="Q162" s="243"/>
      <c r="R162" s="243"/>
      <c r="S162" s="243"/>
      <c r="T162" s="246"/>
      <c r="U162" s="246"/>
      <c r="V162" s="246"/>
    </row>
    <row r="163" spans="1:22" ht="12.75">
      <c r="A163" s="247">
        <v>46307</v>
      </c>
      <c r="B163" s="248" t="s">
        <v>563</v>
      </c>
      <c r="C163" s="248" t="s">
        <v>53</v>
      </c>
      <c r="D163" s="248" t="s">
        <v>217</v>
      </c>
      <c r="E163" s="248" t="s">
        <v>815</v>
      </c>
      <c r="F163" s="248" t="s">
        <v>55</v>
      </c>
      <c r="G163" s="248" t="s">
        <v>764</v>
      </c>
      <c r="H163" s="248" t="s">
        <v>740</v>
      </c>
      <c r="I163" s="249" t="s">
        <v>710</v>
      </c>
      <c r="J163" s="248" t="s">
        <v>34</v>
      </c>
      <c r="K163" s="248" t="s">
        <v>1349</v>
      </c>
      <c r="L163" s="250" t="s">
        <v>1350</v>
      </c>
      <c r="M163" s="256">
        <v>0.72916666666666663</v>
      </c>
      <c r="N163" s="256">
        <v>0.75</v>
      </c>
      <c r="O163" s="248">
        <v>83122944</v>
      </c>
      <c r="P163" s="248">
        <v>145560</v>
      </c>
      <c r="Q163" s="248"/>
      <c r="R163" s="248"/>
      <c r="S163" s="248"/>
      <c r="T163" s="246"/>
      <c r="U163" s="246"/>
      <c r="V163" s="246"/>
    </row>
    <row r="164" spans="1:22" ht="12.75">
      <c r="A164" s="242">
        <v>46307</v>
      </c>
      <c r="B164" s="243" t="s">
        <v>549</v>
      </c>
      <c r="C164" s="243" t="s">
        <v>90</v>
      </c>
      <c r="D164" s="243" t="s">
        <v>550</v>
      </c>
      <c r="E164" s="243" t="s">
        <v>815</v>
      </c>
      <c r="F164" s="243" t="s">
        <v>55</v>
      </c>
      <c r="G164" s="243" t="s">
        <v>764</v>
      </c>
      <c r="H164" s="243" t="s">
        <v>740</v>
      </c>
      <c r="I164" s="244" t="s">
        <v>710</v>
      </c>
      <c r="J164" s="243" t="s">
        <v>34</v>
      </c>
      <c r="K164" s="243" t="s">
        <v>1355</v>
      </c>
      <c r="L164" s="245" t="s">
        <v>1356</v>
      </c>
      <c r="M164" s="259">
        <v>0.66666666666666663</v>
      </c>
      <c r="N164" s="259">
        <v>0.6875</v>
      </c>
      <c r="O164" s="243">
        <v>83123906</v>
      </c>
      <c r="P164" s="243"/>
      <c r="Q164" s="243"/>
      <c r="R164" s="243"/>
      <c r="S164" s="243"/>
      <c r="T164" s="246"/>
      <c r="U164" s="246"/>
      <c r="V164" s="246"/>
    </row>
    <row r="165" spans="1:22" ht="12.75">
      <c r="A165" s="247">
        <v>46307</v>
      </c>
      <c r="B165" s="248" t="s">
        <v>563</v>
      </c>
      <c r="C165" s="248" t="s">
        <v>53</v>
      </c>
      <c r="D165" s="248" t="s">
        <v>926</v>
      </c>
      <c r="E165" s="248" t="s">
        <v>815</v>
      </c>
      <c r="F165" s="248" t="s">
        <v>55</v>
      </c>
      <c r="G165" s="248" t="s">
        <v>764</v>
      </c>
      <c r="H165" s="248" t="s">
        <v>740</v>
      </c>
      <c r="I165" s="249" t="s">
        <v>710</v>
      </c>
      <c r="J165" s="248" t="s">
        <v>34</v>
      </c>
      <c r="K165" s="248" t="s">
        <v>1362</v>
      </c>
      <c r="L165" s="250" t="s">
        <v>1363</v>
      </c>
      <c r="M165" s="256">
        <v>0.75</v>
      </c>
      <c r="N165" s="256">
        <v>0.77083333333333337</v>
      </c>
      <c r="O165" s="248">
        <v>83122944</v>
      </c>
      <c r="P165" s="248">
        <v>145560</v>
      </c>
      <c r="Q165" s="248"/>
      <c r="R165" s="248"/>
      <c r="S165" s="248"/>
      <c r="T165" s="246"/>
      <c r="U165" s="246"/>
      <c r="V165" s="246"/>
    </row>
    <row r="166" spans="1:22" ht="12.75">
      <c r="A166" s="242">
        <v>46307</v>
      </c>
      <c r="B166" s="243" t="s">
        <v>563</v>
      </c>
      <c r="C166" s="243" t="s">
        <v>53</v>
      </c>
      <c r="D166" s="243" t="s">
        <v>926</v>
      </c>
      <c r="E166" s="243" t="s">
        <v>815</v>
      </c>
      <c r="F166" s="243" t="s">
        <v>55</v>
      </c>
      <c r="G166" s="243" t="s">
        <v>764</v>
      </c>
      <c r="H166" s="243" t="s">
        <v>740</v>
      </c>
      <c r="I166" s="244" t="s">
        <v>710</v>
      </c>
      <c r="J166" s="243" t="s">
        <v>34</v>
      </c>
      <c r="K166" s="243" t="s">
        <v>1366</v>
      </c>
      <c r="L166" s="245" t="s">
        <v>1367</v>
      </c>
      <c r="M166" s="259">
        <v>0.77083333333333337</v>
      </c>
      <c r="N166" s="259">
        <v>0.79166666666666663</v>
      </c>
      <c r="O166" s="243">
        <v>83122944</v>
      </c>
      <c r="P166" s="243">
        <v>145560</v>
      </c>
      <c r="Q166" s="243"/>
      <c r="R166" s="243"/>
      <c r="S166" s="243"/>
      <c r="T166" s="246"/>
      <c r="U166" s="246"/>
      <c r="V166" s="246"/>
    </row>
    <row r="167" spans="1:22" ht="12.75">
      <c r="A167" s="247">
        <v>46307</v>
      </c>
      <c r="B167" s="248" t="s">
        <v>547</v>
      </c>
      <c r="C167" s="248" t="s">
        <v>53</v>
      </c>
      <c r="D167" s="248" t="s">
        <v>349</v>
      </c>
      <c r="E167" s="248" t="s">
        <v>895</v>
      </c>
      <c r="F167" s="248" t="s">
        <v>55</v>
      </c>
      <c r="G167" s="248" t="s">
        <v>764</v>
      </c>
      <c r="H167" s="248" t="s">
        <v>740</v>
      </c>
      <c r="I167" s="249" t="s">
        <v>710</v>
      </c>
      <c r="J167" s="248" t="s">
        <v>34</v>
      </c>
      <c r="K167" s="248" t="s">
        <v>1371</v>
      </c>
      <c r="L167" s="250" t="s">
        <v>1372</v>
      </c>
      <c r="M167" s="256">
        <v>0.74305555555555558</v>
      </c>
      <c r="N167" s="256">
        <v>0.76388888888888884</v>
      </c>
      <c r="O167" s="248">
        <v>200386</v>
      </c>
      <c r="P167" s="248">
        <v>145571</v>
      </c>
      <c r="Q167" s="248"/>
      <c r="R167" s="248"/>
      <c r="S167" s="248"/>
      <c r="T167" s="246"/>
      <c r="U167" s="246"/>
      <c r="V167" s="246"/>
    </row>
    <row r="168" spans="1:22" ht="12.75">
      <c r="A168" s="242">
        <v>46307</v>
      </c>
      <c r="B168" s="243" t="s">
        <v>563</v>
      </c>
      <c r="C168" s="243" t="s">
        <v>53</v>
      </c>
      <c r="D168" s="243" t="s">
        <v>1378</v>
      </c>
      <c r="E168" s="243" t="s">
        <v>707</v>
      </c>
      <c r="F168" s="243" t="s">
        <v>55</v>
      </c>
      <c r="G168" s="243" t="s">
        <v>708</v>
      </c>
      <c r="H168" s="243" t="s">
        <v>709</v>
      </c>
      <c r="I168" s="244" t="s">
        <v>710</v>
      </c>
      <c r="J168" s="243" t="s">
        <v>34</v>
      </c>
      <c r="K168" s="243" t="s">
        <v>1381</v>
      </c>
      <c r="L168" s="245" t="s">
        <v>1382</v>
      </c>
      <c r="M168" s="259">
        <v>0.8125</v>
      </c>
      <c r="N168" s="259">
        <v>0.9375</v>
      </c>
      <c r="O168" s="243">
        <v>152477</v>
      </c>
      <c r="P168" s="243">
        <v>83040096</v>
      </c>
      <c r="Q168" s="243"/>
      <c r="R168" s="243"/>
      <c r="S168" s="243"/>
      <c r="T168" s="246"/>
      <c r="U168" s="246"/>
      <c r="V168" s="246"/>
    </row>
    <row r="169" spans="1:22" ht="12.75">
      <c r="A169" s="247">
        <v>46307</v>
      </c>
      <c r="B169" s="248" t="s">
        <v>563</v>
      </c>
      <c r="C169" s="248" t="s">
        <v>53</v>
      </c>
      <c r="D169" s="248" t="s">
        <v>1378</v>
      </c>
      <c r="E169" s="248" t="s">
        <v>707</v>
      </c>
      <c r="F169" s="248" t="s">
        <v>55</v>
      </c>
      <c r="G169" s="248" t="s">
        <v>708</v>
      </c>
      <c r="H169" s="248" t="s">
        <v>740</v>
      </c>
      <c r="I169" s="249" t="s">
        <v>710</v>
      </c>
      <c r="J169" s="248" t="s">
        <v>34</v>
      </c>
      <c r="K169" s="248" t="s">
        <v>1387</v>
      </c>
      <c r="L169" s="250" t="s">
        <v>1388</v>
      </c>
      <c r="M169" s="256">
        <v>0.9375</v>
      </c>
      <c r="N169" s="256">
        <v>0.97916666666666663</v>
      </c>
      <c r="O169" s="248">
        <v>152477</v>
      </c>
      <c r="P169" s="248">
        <v>83040096</v>
      </c>
      <c r="Q169" s="248"/>
      <c r="R169" s="248"/>
      <c r="S169" s="248"/>
      <c r="T169" s="246"/>
      <c r="U169" s="246"/>
      <c r="V169" s="246"/>
    </row>
    <row r="170" spans="1:22" ht="12.75">
      <c r="A170" s="242">
        <v>46307</v>
      </c>
      <c r="B170" s="243" t="s">
        <v>547</v>
      </c>
      <c r="C170" s="243" t="s">
        <v>90</v>
      </c>
      <c r="D170" s="243" t="s">
        <v>1392</v>
      </c>
      <c r="E170" s="243" t="s">
        <v>707</v>
      </c>
      <c r="F170" s="243" t="s">
        <v>55</v>
      </c>
      <c r="G170" s="243" t="s">
        <v>708</v>
      </c>
      <c r="H170" s="243" t="s">
        <v>709</v>
      </c>
      <c r="I170" s="244" t="s">
        <v>710</v>
      </c>
      <c r="J170" s="243" t="s">
        <v>34</v>
      </c>
      <c r="K170" s="243" t="s">
        <v>1396</v>
      </c>
      <c r="L170" s="245" t="s">
        <v>1382</v>
      </c>
      <c r="M170" s="259">
        <v>0.97916666666666663</v>
      </c>
      <c r="N170" s="259">
        <v>0.125</v>
      </c>
      <c r="O170" s="243">
        <v>152477</v>
      </c>
      <c r="P170" s="243">
        <v>83040096</v>
      </c>
      <c r="Q170" s="243"/>
      <c r="R170" s="243"/>
      <c r="S170" s="243"/>
      <c r="T170" s="246"/>
      <c r="U170" s="246"/>
      <c r="V170" s="246"/>
    </row>
    <row r="171" spans="1:22" ht="12.75">
      <c r="A171" s="247">
        <v>46307</v>
      </c>
      <c r="B171" s="248" t="s">
        <v>547</v>
      </c>
      <c r="C171" s="248" t="s">
        <v>53</v>
      </c>
      <c r="D171" s="248" t="s">
        <v>272</v>
      </c>
      <c r="E171" s="248" t="s">
        <v>707</v>
      </c>
      <c r="F171" s="248" t="s">
        <v>55</v>
      </c>
      <c r="G171" s="248" t="s">
        <v>708</v>
      </c>
      <c r="H171" s="248" t="s">
        <v>740</v>
      </c>
      <c r="I171" s="249" t="s">
        <v>710</v>
      </c>
      <c r="J171" s="248" t="s">
        <v>34</v>
      </c>
      <c r="K171" s="248" t="s">
        <v>1401</v>
      </c>
      <c r="L171" s="250" t="s">
        <v>1402</v>
      </c>
      <c r="M171" s="256">
        <v>0.125</v>
      </c>
      <c r="N171" s="256">
        <v>0.16666666666666666</v>
      </c>
      <c r="O171" s="248">
        <v>152477</v>
      </c>
      <c r="P171" s="248">
        <v>83040096</v>
      </c>
      <c r="Q171" s="248"/>
      <c r="R171" s="248"/>
      <c r="S171" s="248"/>
      <c r="T171" s="246"/>
      <c r="U171" s="246"/>
      <c r="V171" s="246"/>
    </row>
    <row r="172" spans="1:22" ht="12.75">
      <c r="A172" s="242">
        <v>46307</v>
      </c>
      <c r="B172" s="243" t="s">
        <v>547</v>
      </c>
      <c r="C172" s="243" t="s">
        <v>53</v>
      </c>
      <c r="D172" s="243" t="s">
        <v>1406</v>
      </c>
      <c r="E172" s="243" t="s">
        <v>707</v>
      </c>
      <c r="F172" s="243" t="s">
        <v>55</v>
      </c>
      <c r="G172" s="243" t="s">
        <v>708</v>
      </c>
      <c r="H172" s="243" t="s">
        <v>740</v>
      </c>
      <c r="I172" s="244" t="s">
        <v>710</v>
      </c>
      <c r="J172" s="243" t="s">
        <v>34</v>
      </c>
      <c r="K172" s="243" t="s">
        <v>1409</v>
      </c>
      <c r="L172" s="245" t="s">
        <v>1410</v>
      </c>
      <c r="M172" s="259">
        <v>0.16666666666666666</v>
      </c>
      <c r="N172" s="259">
        <v>0.22916666666666666</v>
      </c>
      <c r="O172" s="243">
        <v>152477</v>
      </c>
      <c r="P172" s="243">
        <v>83040096</v>
      </c>
      <c r="Q172" s="243"/>
      <c r="R172" s="243"/>
      <c r="S172" s="243"/>
      <c r="T172" s="246"/>
      <c r="U172" s="246"/>
      <c r="V172" s="246"/>
    </row>
    <row r="173" spans="1:22" ht="12.75">
      <c r="A173" s="247">
        <v>46307</v>
      </c>
      <c r="B173" s="248" t="s">
        <v>547</v>
      </c>
      <c r="C173" s="248" t="s">
        <v>53</v>
      </c>
      <c r="D173" s="248" t="s">
        <v>187</v>
      </c>
      <c r="E173" s="248" t="s">
        <v>707</v>
      </c>
      <c r="F173" s="248" t="s">
        <v>55</v>
      </c>
      <c r="G173" s="248" t="s">
        <v>708</v>
      </c>
      <c r="H173" s="248" t="s">
        <v>709</v>
      </c>
      <c r="I173" s="249" t="s">
        <v>710</v>
      </c>
      <c r="J173" s="248" t="s">
        <v>34</v>
      </c>
      <c r="K173" s="248" t="s">
        <v>1415</v>
      </c>
      <c r="L173" s="250" t="s">
        <v>1416</v>
      </c>
      <c r="M173" s="256">
        <v>0.8125</v>
      </c>
      <c r="N173" s="256">
        <v>0.85416666666666663</v>
      </c>
      <c r="O173" s="248">
        <v>135020</v>
      </c>
      <c r="P173" s="248">
        <v>145575</v>
      </c>
      <c r="Q173" s="248">
        <v>83051931</v>
      </c>
      <c r="R173" s="248"/>
      <c r="S173" s="248"/>
      <c r="T173" s="246"/>
      <c r="U173" s="246"/>
      <c r="V173" s="246"/>
    </row>
    <row r="174" spans="1:22" ht="12.75">
      <c r="A174" s="242">
        <v>46307</v>
      </c>
      <c r="B174" s="243" t="s">
        <v>547</v>
      </c>
      <c r="C174" s="243" t="s">
        <v>53</v>
      </c>
      <c r="D174" s="243" t="s">
        <v>422</v>
      </c>
      <c r="E174" s="243" t="s">
        <v>707</v>
      </c>
      <c r="F174" s="243" t="s">
        <v>55</v>
      </c>
      <c r="G174" s="243" t="s">
        <v>708</v>
      </c>
      <c r="H174" s="243" t="s">
        <v>709</v>
      </c>
      <c r="I174" s="244" t="s">
        <v>710</v>
      </c>
      <c r="J174" s="243" t="s">
        <v>34</v>
      </c>
      <c r="K174" s="243" t="s">
        <v>1422</v>
      </c>
      <c r="L174" s="245" t="s">
        <v>1416</v>
      </c>
      <c r="M174" s="259">
        <v>0.90625</v>
      </c>
      <c r="N174" s="259">
        <v>0.94791666666666663</v>
      </c>
      <c r="O174" s="243">
        <v>135020</v>
      </c>
      <c r="P174" s="243">
        <v>145575</v>
      </c>
      <c r="Q174" s="243">
        <v>83051931</v>
      </c>
      <c r="R174" s="243"/>
      <c r="S174" s="243"/>
      <c r="T174" s="246"/>
      <c r="U174" s="246"/>
      <c r="V174" s="246"/>
    </row>
    <row r="175" spans="1:22" ht="12.75">
      <c r="A175" s="247">
        <v>46307</v>
      </c>
      <c r="B175" s="248" t="s">
        <v>563</v>
      </c>
      <c r="C175" s="248" t="s">
        <v>53</v>
      </c>
      <c r="D175" s="248" t="s">
        <v>1426</v>
      </c>
      <c r="E175" s="248" t="s">
        <v>707</v>
      </c>
      <c r="F175" s="248" t="s">
        <v>55</v>
      </c>
      <c r="G175" s="248" t="s">
        <v>708</v>
      </c>
      <c r="H175" s="248" t="s">
        <v>709</v>
      </c>
      <c r="I175" s="249" t="s">
        <v>710</v>
      </c>
      <c r="J175" s="248" t="s">
        <v>34</v>
      </c>
      <c r="K175" s="248" t="s">
        <v>1429</v>
      </c>
      <c r="L175" s="250" t="s">
        <v>1416</v>
      </c>
      <c r="M175" s="256">
        <v>8.6805555555555552E-2</v>
      </c>
      <c r="N175" s="256">
        <v>0.12847222222222221</v>
      </c>
      <c r="O175" s="248">
        <v>135020</v>
      </c>
      <c r="P175" s="248">
        <v>145575</v>
      </c>
      <c r="Q175" s="248">
        <v>83051931</v>
      </c>
      <c r="R175" s="248"/>
      <c r="S175" s="248"/>
      <c r="T175" s="246"/>
      <c r="U175" s="246"/>
      <c r="V175" s="246"/>
    </row>
    <row r="176" spans="1:22" ht="12.75">
      <c r="A176" s="242">
        <v>46307</v>
      </c>
      <c r="B176" s="243" t="s">
        <v>563</v>
      </c>
      <c r="C176" s="243" t="s">
        <v>53</v>
      </c>
      <c r="D176" s="243" t="s">
        <v>1178</v>
      </c>
      <c r="E176" s="243" t="s">
        <v>707</v>
      </c>
      <c r="F176" s="243" t="s">
        <v>55</v>
      </c>
      <c r="G176" s="243" t="s">
        <v>708</v>
      </c>
      <c r="H176" s="243" t="s">
        <v>740</v>
      </c>
      <c r="I176" s="244" t="s">
        <v>710</v>
      </c>
      <c r="J176" s="243" t="s">
        <v>34</v>
      </c>
      <c r="K176" s="243" t="s">
        <v>1434</v>
      </c>
      <c r="L176" s="245" t="s">
        <v>1435</v>
      </c>
      <c r="M176" s="259">
        <v>0.13194444444444445</v>
      </c>
      <c r="N176" s="259">
        <v>0.15277777777777779</v>
      </c>
      <c r="O176" s="243">
        <v>135020</v>
      </c>
      <c r="P176" s="243">
        <v>145575</v>
      </c>
      <c r="Q176" s="243">
        <v>83051931</v>
      </c>
      <c r="R176" s="243"/>
      <c r="S176" s="243"/>
      <c r="T176" s="246"/>
      <c r="U176" s="246"/>
      <c r="V176" s="246"/>
    </row>
    <row r="177" spans="1:22" ht="12.75">
      <c r="A177" s="247">
        <v>46307</v>
      </c>
      <c r="B177" s="248" t="s">
        <v>563</v>
      </c>
      <c r="C177" s="248" t="s">
        <v>53</v>
      </c>
      <c r="D177" s="248" t="s">
        <v>1178</v>
      </c>
      <c r="E177" s="248" t="s">
        <v>707</v>
      </c>
      <c r="F177" s="248" t="s">
        <v>55</v>
      </c>
      <c r="G177" s="248" t="s">
        <v>708</v>
      </c>
      <c r="H177" s="248" t="s">
        <v>709</v>
      </c>
      <c r="I177" s="249" t="s">
        <v>710</v>
      </c>
      <c r="J177" s="248" t="s">
        <v>34</v>
      </c>
      <c r="K177" s="248" t="s">
        <v>1441</v>
      </c>
      <c r="L177" s="250" t="s">
        <v>1416</v>
      </c>
      <c r="M177" s="256">
        <v>0.15277777777777779</v>
      </c>
      <c r="N177" s="256">
        <v>0.19444444444444445</v>
      </c>
      <c r="O177" s="248">
        <v>135020</v>
      </c>
      <c r="P177" s="248">
        <v>145575</v>
      </c>
      <c r="Q177" s="248">
        <v>83051931</v>
      </c>
      <c r="R177" s="248"/>
      <c r="S177" s="248"/>
      <c r="T177" s="246"/>
      <c r="U177" s="246"/>
      <c r="V177" s="246"/>
    </row>
    <row r="178" spans="1:22" ht="12.75">
      <c r="A178" s="242">
        <v>46307</v>
      </c>
      <c r="B178" s="243" t="s">
        <v>547</v>
      </c>
      <c r="C178" s="243" t="s">
        <v>53</v>
      </c>
      <c r="D178" s="243" t="s">
        <v>1447</v>
      </c>
      <c r="E178" s="243" t="s">
        <v>707</v>
      </c>
      <c r="F178" s="243" t="s">
        <v>55</v>
      </c>
      <c r="G178" s="243" t="s">
        <v>708</v>
      </c>
      <c r="H178" s="243" t="s">
        <v>709</v>
      </c>
      <c r="I178" s="244" t="s">
        <v>710</v>
      </c>
      <c r="J178" s="243" t="s">
        <v>34</v>
      </c>
      <c r="K178" s="243" t="s">
        <v>1449</v>
      </c>
      <c r="L178" s="245" t="s">
        <v>1450</v>
      </c>
      <c r="M178" s="259">
        <v>0.97916666666666663</v>
      </c>
      <c r="N178" s="259">
        <v>2.0833333333333332E-2</v>
      </c>
      <c r="O178" s="243">
        <v>135020</v>
      </c>
      <c r="P178" s="243">
        <v>145575</v>
      </c>
      <c r="Q178" s="243">
        <v>83051931</v>
      </c>
      <c r="R178" s="243"/>
      <c r="S178" s="243"/>
      <c r="T178" s="246"/>
      <c r="U178" s="246"/>
      <c r="V178" s="246"/>
    </row>
    <row r="179" spans="1:22" ht="12.75">
      <c r="A179" s="247">
        <v>46307</v>
      </c>
      <c r="B179" s="248" t="s">
        <v>547</v>
      </c>
      <c r="C179" s="248" t="s">
        <v>90</v>
      </c>
      <c r="D179" s="248" t="s">
        <v>279</v>
      </c>
      <c r="E179" s="248" t="s">
        <v>707</v>
      </c>
      <c r="F179" s="248" t="s">
        <v>55</v>
      </c>
      <c r="G179" s="248" t="s">
        <v>708</v>
      </c>
      <c r="H179" s="248" t="s">
        <v>709</v>
      </c>
      <c r="I179" s="249" t="s">
        <v>710</v>
      </c>
      <c r="J179" s="248" t="s">
        <v>34</v>
      </c>
      <c r="K179" s="248" t="s">
        <v>1457</v>
      </c>
      <c r="L179" s="250" t="s">
        <v>1458</v>
      </c>
      <c r="M179" s="256">
        <v>0.19791666666666666</v>
      </c>
      <c r="N179" s="256">
        <v>0.23958333333333334</v>
      </c>
      <c r="O179" s="248">
        <v>135020</v>
      </c>
      <c r="P179" s="248">
        <v>145575</v>
      </c>
      <c r="Q179" s="248">
        <v>83051931</v>
      </c>
      <c r="R179" s="248"/>
      <c r="S179" s="248"/>
      <c r="T179" s="246"/>
      <c r="U179" s="246"/>
      <c r="V179" s="246"/>
    </row>
    <row r="180" spans="1:22" ht="12.75">
      <c r="A180" s="242">
        <v>46307</v>
      </c>
      <c r="B180" s="243" t="s">
        <v>547</v>
      </c>
      <c r="C180" s="243" t="s">
        <v>53</v>
      </c>
      <c r="D180" s="243" t="s">
        <v>1447</v>
      </c>
      <c r="E180" s="243" t="s">
        <v>707</v>
      </c>
      <c r="F180" s="243" t="s">
        <v>55</v>
      </c>
      <c r="G180" s="243" t="s">
        <v>708</v>
      </c>
      <c r="H180" s="243" t="s">
        <v>740</v>
      </c>
      <c r="I180" s="244" t="s">
        <v>710</v>
      </c>
      <c r="J180" s="243" t="s">
        <v>34</v>
      </c>
      <c r="K180" s="243" t="s">
        <v>1464</v>
      </c>
      <c r="L180" s="245" t="s">
        <v>1465</v>
      </c>
      <c r="M180" s="259">
        <v>2.0833333333333332E-2</v>
      </c>
      <c r="N180" s="259">
        <v>4.1666666666666664E-2</v>
      </c>
      <c r="O180" s="243">
        <v>135020</v>
      </c>
      <c r="P180" s="243">
        <v>145575</v>
      </c>
      <c r="Q180" s="243">
        <v>83051931</v>
      </c>
      <c r="R180" s="243"/>
      <c r="S180" s="243"/>
      <c r="T180" s="246"/>
      <c r="U180" s="246"/>
      <c r="V180" s="246"/>
    </row>
    <row r="181" spans="1:22" ht="12.75">
      <c r="A181" s="247">
        <v>46307</v>
      </c>
      <c r="B181" s="248" t="s">
        <v>547</v>
      </c>
      <c r="C181" s="248" t="s">
        <v>53</v>
      </c>
      <c r="D181" s="248" t="s">
        <v>1447</v>
      </c>
      <c r="E181" s="248" t="s">
        <v>707</v>
      </c>
      <c r="F181" s="248" t="s">
        <v>55</v>
      </c>
      <c r="G181" s="248" t="s">
        <v>708</v>
      </c>
      <c r="H181" s="248" t="s">
        <v>740</v>
      </c>
      <c r="I181" s="249" t="s">
        <v>710</v>
      </c>
      <c r="J181" s="248" t="s">
        <v>34</v>
      </c>
      <c r="K181" s="248" t="s">
        <v>1472</v>
      </c>
      <c r="L181" s="250" t="s">
        <v>1474</v>
      </c>
      <c r="M181" s="256">
        <v>4.1666666666666664E-2</v>
      </c>
      <c r="N181" s="256">
        <v>6.25E-2</v>
      </c>
      <c r="O181" s="248">
        <v>135020</v>
      </c>
      <c r="P181" s="248">
        <v>145575</v>
      </c>
      <c r="Q181" s="248">
        <v>83051931</v>
      </c>
      <c r="R181" s="248"/>
      <c r="S181" s="248"/>
      <c r="T181" s="246"/>
      <c r="U181" s="246"/>
      <c r="V181" s="246"/>
    </row>
    <row r="182" spans="1:22" ht="12.75">
      <c r="A182" s="242">
        <v>46307</v>
      </c>
      <c r="B182" s="243" t="s">
        <v>547</v>
      </c>
      <c r="C182" s="243" t="s">
        <v>53</v>
      </c>
      <c r="D182" s="243" t="s">
        <v>1447</v>
      </c>
      <c r="E182" s="243" t="s">
        <v>707</v>
      </c>
      <c r="F182" s="243" t="s">
        <v>55</v>
      </c>
      <c r="G182" s="243" t="s">
        <v>708</v>
      </c>
      <c r="H182" s="243" t="s">
        <v>740</v>
      </c>
      <c r="I182" s="244" t="s">
        <v>710</v>
      </c>
      <c r="J182" s="243" t="s">
        <v>34</v>
      </c>
      <c r="K182" s="243" t="s">
        <v>1481</v>
      </c>
      <c r="L182" s="245" t="s">
        <v>1482</v>
      </c>
      <c r="M182" s="259">
        <v>6.25E-2</v>
      </c>
      <c r="N182" s="259">
        <v>8.3333333333333329E-2</v>
      </c>
      <c r="O182" s="243">
        <v>135020</v>
      </c>
      <c r="P182" s="243">
        <v>145575</v>
      </c>
      <c r="Q182" s="243">
        <v>83051931</v>
      </c>
      <c r="R182" s="243"/>
      <c r="S182" s="243"/>
      <c r="T182" s="246"/>
      <c r="U182" s="246"/>
      <c r="V182" s="246"/>
    </row>
    <row r="183" spans="1:22" ht="12.75">
      <c r="A183" s="247">
        <v>46307</v>
      </c>
      <c r="B183" s="248" t="s">
        <v>547</v>
      </c>
      <c r="C183" s="248" t="s">
        <v>53</v>
      </c>
      <c r="D183" s="248" t="s">
        <v>390</v>
      </c>
      <c r="E183" s="248" t="s">
        <v>707</v>
      </c>
      <c r="F183" s="248" t="s">
        <v>55</v>
      </c>
      <c r="G183" s="248" t="s">
        <v>708</v>
      </c>
      <c r="H183" s="248" t="s">
        <v>709</v>
      </c>
      <c r="I183" s="249" t="s">
        <v>710</v>
      </c>
      <c r="J183" s="248" t="s">
        <v>34</v>
      </c>
      <c r="K183" s="248" t="s">
        <v>1490</v>
      </c>
      <c r="L183" s="250" t="s">
        <v>1491</v>
      </c>
      <c r="M183" s="256">
        <v>0.83333333333333337</v>
      </c>
      <c r="N183" s="256">
        <v>0.91666666666666663</v>
      </c>
      <c r="O183" s="248">
        <v>135046</v>
      </c>
      <c r="P183" s="248">
        <v>83122898</v>
      </c>
      <c r="Q183" s="248"/>
      <c r="R183" s="248"/>
      <c r="S183" s="248"/>
      <c r="T183" s="246"/>
      <c r="U183" s="246"/>
      <c r="V183" s="246"/>
    </row>
    <row r="184" spans="1:22" ht="12.75">
      <c r="A184" s="242">
        <v>46307</v>
      </c>
      <c r="B184" s="243" t="s">
        <v>547</v>
      </c>
      <c r="C184" s="243" t="s">
        <v>53</v>
      </c>
      <c r="D184" s="243" t="s">
        <v>60</v>
      </c>
      <c r="E184" s="243" t="s">
        <v>707</v>
      </c>
      <c r="F184" s="243" t="s">
        <v>55</v>
      </c>
      <c r="G184" s="243" t="s">
        <v>708</v>
      </c>
      <c r="H184" s="243" t="s">
        <v>709</v>
      </c>
      <c r="I184" s="244" t="s">
        <v>710</v>
      </c>
      <c r="J184" s="243" t="s">
        <v>34</v>
      </c>
      <c r="K184" s="243" t="s">
        <v>1496</v>
      </c>
      <c r="L184" s="245" t="s">
        <v>1491</v>
      </c>
      <c r="M184" s="259">
        <v>0.91666666666666663</v>
      </c>
      <c r="N184" s="259">
        <v>0</v>
      </c>
      <c r="O184" s="243">
        <v>135046</v>
      </c>
      <c r="P184" s="243">
        <v>83122898</v>
      </c>
      <c r="Q184" s="243"/>
      <c r="R184" s="243"/>
      <c r="S184" s="243"/>
      <c r="T184" s="246"/>
      <c r="U184" s="246"/>
      <c r="V184" s="246"/>
    </row>
    <row r="185" spans="1:22" ht="12.75">
      <c r="A185" s="247">
        <v>46307</v>
      </c>
      <c r="B185" s="248" t="s">
        <v>547</v>
      </c>
      <c r="C185" s="248" t="s">
        <v>53</v>
      </c>
      <c r="D185" s="248" t="s">
        <v>246</v>
      </c>
      <c r="E185" s="248" t="s">
        <v>707</v>
      </c>
      <c r="F185" s="248" t="s">
        <v>55</v>
      </c>
      <c r="G185" s="248" t="s">
        <v>708</v>
      </c>
      <c r="H185" s="248" t="s">
        <v>709</v>
      </c>
      <c r="I185" s="249" t="s">
        <v>710</v>
      </c>
      <c r="J185" s="248" t="s">
        <v>34</v>
      </c>
      <c r="K185" s="248" t="s">
        <v>1503</v>
      </c>
      <c r="L185" s="250" t="s">
        <v>1491</v>
      </c>
      <c r="M185" s="256">
        <v>0</v>
      </c>
      <c r="N185" s="256">
        <v>8.3333333333333329E-2</v>
      </c>
      <c r="O185" s="248">
        <v>135046</v>
      </c>
      <c r="P185" s="248">
        <v>83122898</v>
      </c>
      <c r="Q185" s="248"/>
      <c r="R185" s="248"/>
      <c r="S185" s="248"/>
      <c r="T185" s="246"/>
      <c r="U185" s="246"/>
      <c r="V185" s="246"/>
    </row>
    <row r="186" spans="1:22" ht="12.75">
      <c r="A186" s="242">
        <v>46307</v>
      </c>
      <c r="B186" s="243" t="s">
        <v>547</v>
      </c>
      <c r="C186" s="243" t="s">
        <v>53</v>
      </c>
      <c r="D186" s="243" t="s">
        <v>168</v>
      </c>
      <c r="E186" s="243" t="s">
        <v>707</v>
      </c>
      <c r="F186" s="243" t="s">
        <v>55</v>
      </c>
      <c r="G186" s="243" t="s">
        <v>708</v>
      </c>
      <c r="H186" s="243" t="s">
        <v>709</v>
      </c>
      <c r="I186" s="244" t="s">
        <v>710</v>
      </c>
      <c r="J186" s="243" t="s">
        <v>34</v>
      </c>
      <c r="K186" s="243" t="s">
        <v>1510</v>
      </c>
      <c r="L186" s="245" t="s">
        <v>1491</v>
      </c>
      <c r="M186" s="259">
        <v>8.3333333333333329E-2</v>
      </c>
      <c r="N186" s="259">
        <v>0.16666666666666666</v>
      </c>
      <c r="O186" s="243">
        <v>135046</v>
      </c>
      <c r="P186" s="243">
        <v>83122898</v>
      </c>
      <c r="Q186" s="243"/>
      <c r="R186" s="243"/>
      <c r="S186" s="243"/>
      <c r="T186" s="246"/>
      <c r="U186" s="246"/>
      <c r="V186" s="246"/>
    </row>
    <row r="187" spans="1:22" ht="12.75">
      <c r="A187" s="247">
        <v>46307</v>
      </c>
      <c r="B187" s="248" t="s">
        <v>547</v>
      </c>
      <c r="C187" s="248" t="s">
        <v>53</v>
      </c>
      <c r="D187" s="248" t="s">
        <v>760</v>
      </c>
      <c r="E187" s="248" t="s">
        <v>707</v>
      </c>
      <c r="F187" s="248" t="s">
        <v>55</v>
      </c>
      <c r="G187" s="248" t="s">
        <v>708</v>
      </c>
      <c r="H187" s="248" t="s">
        <v>709</v>
      </c>
      <c r="I187" s="249" t="s">
        <v>710</v>
      </c>
      <c r="J187" s="248" t="s">
        <v>34</v>
      </c>
      <c r="K187" s="248" t="s">
        <v>1515</v>
      </c>
      <c r="L187" s="250" t="s">
        <v>1491</v>
      </c>
      <c r="M187" s="256">
        <v>0.16666666666666666</v>
      </c>
      <c r="N187" s="256">
        <v>0.25</v>
      </c>
      <c r="O187" s="248">
        <v>135046</v>
      </c>
      <c r="P187" s="248">
        <v>83122898</v>
      </c>
      <c r="Q187" s="248"/>
      <c r="R187" s="248"/>
      <c r="S187" s="248"/>
      <c r="T187" s="246"/>
      <c r="U187" s="246"/>
      <c r="V187" s="246"/>
    </row>
    <row r="188" spans="1:22" ht="12.75">
      <c r="A188" s="242">
        <v>46307</v>
      </c>
      <c r="B188" s="243" t="s">
        <v>547</v>
      </c>
      <c r="C188" s="243" t="s">
        <v>53</v>
      </c>
      <c r="D188" s="243" t="s">
        <v>1221</v>
      </c>
      <c r="E188" s="243" t="s">
        <v>707</v>
      </c>
      <c r="F188" s="243" t="s">
        <v>55</v>
      </c>
      <c r="G188" s="243" t="s">
        <v>708</v>
      </c>
      <c r="H188" s="243" t="s">
        <v>709</v>
      </c>
      <c r="I188" s="244" t="s">
        <v>710</v>
      </c>
      <c r="J188" s="243" t="s">
        <v>34</v>
      </c>
      <c r="K188" s="243" t="s">
        <v>1519</v>
      </c>
      <c r="L188" s="245" t="s">
        <v>1491</v>
      </c>
      <c r="M188" s="259">
        <v>0.25</v>
      </c>
      <c r="N188" s="259">
        <v>0.29166666666666669</v>
      </c>
      <c r="O188" s="243">
        <v>135046</v>
      </c>
      <c r="P188" s="243">
        <v>83122898</v>
      </c>
      <c r="Q188" s="243">
        <v>83074889</v>
      </c>
      <c r="R188" s="243">
        <v>83117964</v>
      </c>
      <c r="S188" s="243"/>
      <c r="T188" s="246"/>
      <c r="U188" s="246"/>
      <c r="V188" s="246"/>
    </row>
    <row r="189" spans="1:22" ht="12.75">
      <c r="A189" s="247">
        <v>46307</v>
      </c>
      <c r="B189" s="248" t="s">
        <v>563</v>
      </c>
      <c r="C189" s="248" t="s">
        <v>53</v>
      </c>
      <c r="D189" s="248" t="s">
        <v>1522</v>
      </c>
      <c r="E189" s="248" t="s">
        <v>707</v>
      </c>
      <c r="F189" s="248" t="s">
        <v>55</v>
      </c>
      <c r="G189" s="248" t="s">
        <v>708</v>
      </c>
      <c r="H189" s="248" t="s">
        <v>709</v>
      </c>
      <c r="I189" s="249" t="s">
        <v>710</v>
      </c>
      <c r="J189" s="248" t="s">
        <v>34</v>
      </c>
      <c r="K189" s="248" t="s">
        <v>1525</v>
      </c>
      <c r="L189" s="250" t="s">
        <v>1526</v>
      </c>
      <c r="M189" s="256">
        <v>0.8125</v>
      </c>
      <c r="N189" s="256">
        <v>0.89583333333333337</v>
      </c>
      <c r="O189" s="248">
        <v>83122881</v>
      </c>
      <c r="P189" s="248">
        <v>145346</v>
      </c>
      <c r="Q189" s="248"/>
      <c r="R189" s="248"/>
      <c r="S189" s="248"/>
      <c r="T189" s="246"/>
      <c r="U189" s="246"/>
      <c r="V189" s="246"/>
    </row>
    <row r="190" spans="1:22" ht="12.75">
      <c r="A190" s="242">
        <v>46307</v>
      </c>
      <c r="B190" s="243" t="s">
        <v>547</v>
      </c>
      <c r="C190" s="243" t="s">
        <v>53</v>
      </c>
      <c r="D190" s="243" t="s">
        <v>126</v>
      </c>
      <c r="E190" s="243" t="s">
        <v>707</v>
      </c>
      <c r="F190" s="243" t="s">
        <v>55</v>
      </c>
      <c r="G190" s="243" t="s">
        <v>708</v>
      </c>
      <c r="H190" s="243" t="s">
        <v>709</v>
      </c>
      <c r="I190" s="244" t="s">
        <v>710</v>
      </c>
      <c r="J190" s="243" t="s">
        <v>34</v>
      </c>
      <c r="K190" s="243" t="s">
        <v>1531</v>
      </c>
      <c r="L190" s="245" t="s">
        <v>1526</v>
      </c>
      <c r="M190" s="259">
        <v>0.89930555555555558</v>
      </c>
      <c r="N190" s="259">
        <v>0.98263888888888884</v>
      </c>
      <c r="O190" s="243">
        <v>83122881</v>
      </c>
      <c r="P190" s="243">
        <v>145346</v>
      </c>
      <c r="Q190" s="243"/>
      <c r="R190" s="243"/>
      <c r="S190" s="243"/>
      <c r="T190" s="246"/>
      <c r="U190" s="246"/>
      <c r="V190" s="246"/>
    </row>
    <row r="191" spans="1:22" ht="12.75">
      <c r="A191" s="247">
        <v>46307</v>
      </c>
      <c r="B191" s="248" t="s">
        <v>563</v>
      </c>
      <c r="C191" s="248" t="s">
        <v>53</v>
      </c>
      <c r="D191" s="248" t="s">
        <v>164</v>
      </c>
      <c r="E191" s="248" t="s">
        <v>707</v>
      </c>
      <c r="F191" s="248" t="s">
        <v>55</v>
      </c>
      <c r="G191" s="248" t="s">
        <v>708</v>
      </c>
      <c r="H191" s="248" t="s">
        <v>709</v>
      </c>
      <c r="I191" s="249" t="s">
        <v>710</v>
      </c>
      <c r="J191" s="248" t="s">
        <v>34</v>
      </c>
      <c r="K191" s="248" t="s">
        <v>1534</v>
      </c>
      <c r="L191" s="250" t="s">
        <v>1526</v>
      </c>
      <c r="M191" s="256">
        <v>0.15972222222222221</v>
      </c>
      <c r="N191" s="256">
        <v>0.24305555555555555</v>
      </c>
      <c r="O191" s="248">
        <v>83122881</v>
      </c>
      <c r="P191" s="248">
        <v>145346</v>
      </c>
      <c r="Q191" s="248"/>
      <c r="R191" s="248"/>
      <c r="S191" s="248"/>
      <c r="T191" s="246"/>
      <c r="U191" s="246"/>
      <c r="V191" s="246"/>
    </row>
    <row r="192" spans="1:22" ht="12.75">
      <c r="A192" s="242">
        <v>46307</v>
      </c>
      <c r="B192" s="243" t="s">
        <v>563</v>
      </c>
      <c r="C192" s="243" t="s">
        <v>53</v>
      </c>
      <c r="D192" s="243" t="s">
        <v>901</v>
      </c>
      <c r="E192" s="243" t="s">
        <v>707</v>
      </c>
      <c r="F192" s="243" t="s">
        <v>55</v>
      </c>
      <c r="G192" s="243" t="s">
        <v>708</v>
      </c>
      <c r="H192" s="243" t="s">
        <v>740</v>
      </c>
      <c r="I192" s="244" t="s">
        <v>710</v>
      </c>
      <c r="J192" s="243" t="s">
        <v>34</v>
      </c>
      <c r="K192" s="243" t="s">
        <v>1540</v>
      </c>
      <c r="L192" s="245" t="s">
        <v>1541</v>
      </c>
      <c r="M192" s="259">
        <v>0.8125</v>
      </c>
      <c r="N192" s="259">
        <v>0.83333333333333337</v>
      </c>
      <c r="O192" s="243">
        <v>152473</v>
      </c>
      <c r="P192" s="243">
        <v>83122880</v>
      </c>
      <c r="Q192" s="243"/>
      <c r="R192" s="243"/>
      <c r="S192" s="243"/>
      <c r="T192" s="246"/>
      <c r="U192" s="246"/>
      <c r="V192" s="246"/>
    </row>
    <row r="193" spans="1:22" ht="12.75">
      <c r="A193" s="247">
        <v>46307</v>
      </c>
      <c r="B193" s="248" t="s">
        <v>563</v>
      </c>
      <c r="C193" s="248" t="s">
        <v>53</v>
      </c>
      <c r="D193" s="248" t="s">
        <v>901</v>
      </c>
      <c r="E193" s="248" t="s">
        <v>707</v>
      </c>
      <c r="F193" s="248" t="s">
        <v>55</v>
      </c>
      <c r="G193" s="248" t="s">
        <v>708</v>
      </c>
      <c r="H193" s="248" t="s">
        <v>709</v>
      </c>
      <c r="I193" s="249" t="s">
        <v>710</v>
      </c>
      <c r="J193" s="248" t="s">
        <v>34</v>
      </c>
      <c r="K193" s="248" t="s">
        <v>1544</v>
      </c>
      <c r="L193" s="250" t="s">
        <v>1545</v>
      </c>
      <c r="M193" s="256">
        <v>0.83333333333333337</v>
      </c>
      <c r="N193" s="256">
        <v>0.91666666666666663</v>
      </c>
      <c r="O193" s="248">
        <v>152473</v>
      </c>
      <c r="P193" s="248">
        <v>83122880</v>
      </c>
      <c r="Q193" s="248"/>
      <c r="R193" s="248"/>
      <c r="S193" s="248"/>
      <c r="T193" s="246"/>
      <c r="U193" s="246"/>
      <c r="V193" s="246"/>
    </row>
    <row r="194" spans="1:22" ht="12.75">
      <c r="A194" s="242">
        <v>46307</v>
      </c>
      <c r="B194" s="243" t="s">
        <v>563</v>
      </c>
      <c r="C194" s="243" t="s">
        <v>53</v>
      </c>
      <c r="D194" s="243" t="s">
        <v>584</v>
      </c>
      <c r="E194" s="243" t="s">
        <v>707</v>
      </c>
      <c r="F194" s="243" t="s">
        <v>55</v>
      </c>
      <c r="G194" s="243" t="s">
        <v>708</v>
      </c>
      <c r="H194" s="243" t="s">
        <v>740</v>
      </c>
      <c r="I194" s="244" t="s">
        <v>710</v>
      </c>
      <c r="J194" s="243" t="s">
        <v>34</v>
      </c>
      <c r="K194" s="243" t="s">
        <v>1548</v>
      </c>
      <c r="L194" s="245" t="s">
        <v>1549</v>
      </c>
      <c r="M194" s="259">
        <v>0.95833333333333337</v>
      </c>
      <c r="N194" s="259">
        <v>0.97916666666666663</v>
      </c>
      <c r="O194" s="243">
        <v>152473</v>
      </c>
      <c r="P194" s="243">
        <v>83122880</v>
      </c>
      <c r="Q194" s="243"/>
      <c r="R194" s="243"/>
      <c r="S194" s="243"/>
      <c r="T194" s="246"/>
      <c r="U194" s="246"/>
      <c r="V194" s="246"/>
    </row>
    <row r="195" spans="1:22" ht="12.75">
      <c r="A195" s="247">
        <v>46307</v>
      </c>
      <c r="B195" s="248" t="s">
        <v>563</v>
      </c>
      <c r="C195" s="248" t="s">
        <v>53</v>
      </c>
      <c r="D195" s="248" t="s">
        <v>584</v>
      </c>
      <c r="E195" s="248" t="s">
        <v>707</v>
      </c>
      <c r="F195" s="248" t="s">
        <v>55</v>
      </c>
      <c r="G195" s="248" t="s">
        <v>708</v>
      </c>
      <c r="H195" s="248" t="s">
        <v>709</v>
      </c>
      <c r="I195" s="249" t="s">
        <v>710</v>
      </c>
      <c r="J195" s="248" t="s">
        <v>34</v>
      </c>
      <c r="K195" s="248" t="s">
        <v>1556</v>
      </c>
      <c r="L195" s="250" t="s">
        <v>1545</v>
      </c>
      <c r="M195" s="256">
        <v>0.97916666666666663</v>
      </c>
      <c r="N195" s="256">
        <v>6.25E-2</v>
      </c>
      <c r="O195" s="248">
        <v>152473</v>
      </c>
      <c r="P195" s="248">
        <v>83122880</v>
      </c>
      <c r="Q195" s="248"/>
      <c r="R195" s="248"/>
      <c r="S195" s="248"/>
      <c r="T195" s="246"/>
      <c r="U195" s="246"/>
      <c r="V195" s="246"/>
    </row>
    <row r="196" spans="1:22" ht="12.75">
      <c r="A196" s="242">
        <v>46307</v>
      </c>
      <c r="B196" s="243" t="s">
        <v>547</v>
      </c>
      <c r="C196" s="243" t="s">
        <v>53</v>
      </c>
      <c r="D196" s="243" t="s">
        <v>1562</v>
      </c>
      <c r="E196" s="243" t="s">
        <v>707</v>
      </c>
      <c r="F196" s="243" t="s">
        <v>55</v>
      </c>
      <c r="G196" s="243" t="s">
        <v>708</v>
      </c>
      <c r="H196" s="243" t="s">
        <v>709</v>
      </c>
      <c r="I196" s="244" t="s">
        <v>710</v>
      </c>
      <c r="J196" s="243" t="s">
        <v>34</v>
      </c>
      <c r="K196" s="243" t="s">
        <v>1564</v>
      </c>
      <c r="L196" s="245" t="s">
        <v>1545</v>
      </c>
      <c r="M196" s="259">
        <v>6.25E-2</v>
      </c>
      <c r="N196" s="259">
        <v>0.14583333333333334</v>
      </c>
      <c r="O196" s="243">
        <v>152473</v>
      </c>
      <c r="P196" s="243">
        <v>83122880</v>
      </c>
      <c r="Q196" s="243"/>
      <c r="R196" s="243"/>
      <c r="S196" s="243"/>
      <c r="T196" s="246"/>
      <c r="U196" s="246"/>
      <c r="V196" s="246"/>
    </row>
    <row r="197" spans="1:22" ht="12.75">
      <c r="A197" s="247">
        <v>46307</v>
      </c>
      <c r="B197" s="248" t="s">
        <v>547</v>
      </c>
      <c r="C197" s="248" t="s">
        <v>53</v>
      </c>
      <c r="D197" s="248" t="s">
        <v>1562</v>
      </c>
      <c r="E197" s="248" t="s">
        <v>707</v>
      </c>
      <c r="F197" s="248" t="s">
        <v>55</v>
      </c>
      <c r="G197" s="248" t="s">
        <v>708</v>
      </c>
      <c r="H197" s="248" t="s">
        <v>740</v>
      </c>
      <c r="I197" s="249" t="s">
        <v>710</v>
      </c>
      <c r="J197" s="248" t="s">
        <v>34</v>
      </c>
      <c r="K197" s="248" t="s">
        <v>1571</v>
      </c>
      <c r="L197" s="250" t="s">
        <v>1572</v>
      </c>
      <c r="M197" s="256">
        <v>0.14583333333333334</v>
      </c>
      <c r="N197" s="256">
        <v>0.16666666666666666</v>
      </c>
      <c r="O197" s="248">
        <v>152473</v>
      </c>
      <c r="P197" s="248">
        <v>83122880</v>
      </c>
      <c r="Q197" s="248"/>
      <c r="R197" s="248"/>
      <c r="S197" s="248"/>
      <c r="T197" s="246"/>
      <c r="U197" s="246"/>
      <c r="V197" s="246"/>
    </row>
    <row r="198" spans="1:22" ht="12.75">
      <c r="A198" s="242">
        <v>46307</v>
      </c>
      <c r="B198" s="243" t="s">
        <v>563</v>
      </c>
      <c r="C198" s="243" t="s">
        <v>53</v>
      </c>
      <c r="D198" s="243" t="s">
        <v>596</v>
      </c>
      <c r="E198" s="243" t="s">
        <v>707</v>
      </c>
      <c r="F198" s="243" t="s">
        <v>55</v>
      </c>
      <c r="G198" s="243" t="s">
        <v>708</v>
      </c>
      <c r="H198" s="243" t="s">
        <v>709</v>
      </c>
      <c r="I198" s="244" t="s">
        <v>710</v>
      </c>
      <c r="J198" s="243" t="s">
        <v>34</v>
      </c>
      <c r="K198" s="243" t="s">
        <v>1578</v>
      </c>
      <c r="L198" s="245" t="s">
        <v>1545</v>
      </c>
      <c r="M198" s="259">
        <v>0.16666666666666666</v>
      </c>
      <c r="N198" s="259">
        <v>0.25</v>
      </c>
      <c r="O198" s="243">
        <v>152473</v>
      </c>
      <c r="P198" s="243">
        <v>83122880</v>
      </c>
      <c r="Q198" s="243"/>
      <c r="R198" s="243"/>
      <c r="S198" s="243"/>
      <c r="T198" s="246"/>
      <c r="U198" s="246"/>
      <c r="V198" s="246"/>
    </row>
    <row r="199" spans="1:22" ht="12.75">
      <c r="A199" s="247">
        <v>46307</v>
      </c>
      <c r="B199" s="248" t="s">
        <v>563</v>
      </c>
      <c r="C199" s="248" t="s">
        <v>53</v>
      </c>
      <c r="D199" s="248" t="s">
        <v>596</v>
      </c>
      <c r="E199" s="248" t="s">
        <v>707</v>
      </c>
      <c r="F199" s="248" t="s">
        <v>55</v>
      </c>
      <c r="G199" s="248" t="s">
        <v>708</v>
      </c>
      <c r="H199" s="248" t="s">
        <v>709</v>
      </c>
      <c r="I199" s="249" t="s">
        <v>710</v>
      </c>
      <c r="J199" s="248" t="s">
        <v>34</v>
      </c>
      <c r="K199" s="248" t="s">
        <v>1582</v>
      </c>
      <c r="L199" s="250" t="s">
        <v>1583</v>
      </c>
      <c r="M199" s="256">
        <v>0.25347222222222221</v>
      </c>
      <c r="N199" s="256">
        <v>0.2638888888888889</v>
      </c>
      <c r="O199" s="248">
        <v>135031</v>
      </c>
      <c r="P199" s="248">
        <v>132166</v>
      </c>
      <c r="Q199" s="248"/>
      <c r="R199" s="248"/>
      <c r="S199" s="248"/>
      <c r="T199" s="246"/>
      <c r="U199" s="246"/>
      <c r="V199" s="246"/>
    </row>
    <row r="200" spans="1:22" ht="12.75">
      <c r="A200" s="242">
        <v>46307</v>
      </c>
      <c r="B200" s="243" t="s">
        <v>547</v>
      </c>
      <c r="C200" s="243" t="s">
        <v>90</v>
      </c>
      <c r="D200" s="243" t="s">
        <v>1397</v>
      </c>
      <c r="E200" s="243" t="s">
        <v>707</v>
      </c>
      <c r="F200" s="243" t="s">
        <v>55</v>
      </c>
      <c r="G200" s="243" t="s">
        <v>708</v>
      </c>
      <c r="H200" s="243" t="s">
        <v>709</v>
      </c>
      <c r="I200" s="244" t="s">
        <v>710</v>
      </c>
      <c r="J200" s="243" t="s">
        <v>34</v>
      </c>
      <c r="K200" s="243" t="s">
        <v>1586</v>
      </c>
      <c r="L200" s="245" t="s">
        <v>1588</v>
      </c>
      <c r="M200" s="259">
        <v>0.8125</v>
      </c>
      <c r="N200" s="259">
        <v>0.875</v>
      </c>
      <c r="O200" s="243">
        <v>152476</v>
      </c>
      <c r="P200" s="243">
        <v>142247</v>
      </c>
      <c r="Q200" s="243"/>
      <c r="R200" s="243"/>
      <c r="S200" s="243"/>
      <c r="T200" s="246"/>
      <c r="U200" s="246"/>
      <c r="V200" s="246"/>
    </row>
    <row r="201" spans="1:22" ht="12.75">
      <c r="A201" s="247">
        <v>46307</v>
      </c>
      <c r="B201" s="248" t="s">
        <v>547</v>
      </c>
      <c r="C201" s="248" t="s">
        <v>53</v>
      </c>
      <c r="D201" s="248" t="s">
        <v>971</v>
      </c>
      <c r="E201" s="248" t="s">
        <v>707</v>
      </c>
      <c r="F201" s="248" t="s">
        <v>55</v>
      </c>
      <c r="G201" s="248" t="s">
        <v>708</v>
      </c>
      <c r="H201" s="248" t="s">
        <v>709</v>
      </c>
      <c r="I201" s="249" t="s">
        <v>710</v>
      </c>
      <c r="J201" s="248" t="s">
        <v>34</v>
      </c>
      <c r="K201" s="248" t="s">
        <v>1592</v>
      </c>
      <c r="L201" s="250" t="s">
        <v>1588</v>
      </c>
      <c r="M201" s="256">
        <v>0.91666666666666663</v>
      </c>
      <c r="N201" s="256">
        <v>0.97916666666666663</v>
      </c>
      <c r="O201" s="248">
        <v>152476</v>
      </c>
      <c r="P201" s="248">
        <v>142247</v>
      </c>
      <c r="Q201" s="248"/>
      <c r="R201" s="248"/>
      <c r="S201" s="248"/>
      <c r="T201" s="246"/>
      <c r="U201" s="246"/>
      <c r="V201" s="246"/>
    </row>
    <row r="202" spans="1:22" ht="12.75">
      <c r="A202" s="242">
        <v>46307</v>
      </c>
      <c r="B202" s="243" t="s">
        <v>547</v>
      </c>
      <c r="C202" s="243" t="s">
        <v>53</v>
      </c>
      <c r="D202" s="243" t="s">
        <v>1596</v>
      </c>
      <c r="E202" s="243" t="s">
        <v>707</v>
      </c>
      <c r="F202" s="243" t="s">
        <v>55</v>
      </c>
      <c r="G202" s="243" t="s">
        <v>708</v>
      </c>
      <c r="H202" s="243" t="s">
        <v>709</v>
      </c>
      <c r="I202" s="244" t="s">
        <v>710</v>
      </c>
      <c r="J202" s="243" t="s">
        <v>34</v>
      </c>
      <c r="K202" s="243" t="s">
        <v>1597</v>
      </c>
      <c r="L202" s="245" t="s">
        <v>1588</v>
      </c>
      <c r="M202" s="259">
        <v>2.0833333333333332E-2</v>
      </c>
      <c r="N202" s="259">
        <v>8.3333333333333329E-2</v>
      </c>
      <c r="O202" s="243">
        <v>152476</v>
      </c>
      <c r="P202" s="243">
        <v>142247</v>
      </c>
      <c r="Q202" s="243"/>
      <c r="R202" s="243"/>
      <c r="S202" s="243"/>
      <c r="T202" s="246"/>
      <c r="U202" s="246"/>
      <c r="V202" s="246"/>
    </row>
    <row r="203" spans="1:22" ht="12.75">
      <c r="A203" s="247">
        <v>46307</v>
      </c>
      <c r="B203" s="248" t="s">
        <v>547</v>
      </c>
      <c r="C203" s="248" t="s">
        <v>53</v>
      </c>
      <c r="D203" s="248" t="s">
        <v>1507</v>
      </c>
      <c r="E203" s="248" t="s">
        <v>707</v>
      </c>
      <c r="F203" s="248" t="s">
        <v>55</v>
      </c>
      <c r="G203" s="248" t="s">
        <v>708</v>
      </c>
      <c r="H203" s="248" t="s">
        <v>709</v>
      </c>
      <c r="I203" s="249" t="s">
        <v>710</v>
      </c>
      <c r="J203" s="248" t="s">
        <v>34</v>
      </c>
      <c r="K203" s="248" t="s">
        <v>1600</v>
      </c>
      <c r="L203" s="250" t="s">
        <v>1588</v>
      </c>
      <c r="M203" s="256">
        <v>8.3333333333333329E-2</v>
      </c>
      <c r="N203" s="256">
        <v>0.14583333333333334</v>
      </c>
      <c r="O203" s="248">
        <v>152476</v>
      </c>
      <c r="P203" s="248">
        <v>142247</v>
      </c>
      <c r="Q203" s="248"/>
      <c r="R203" s="248"/>
      <c r="S203" s="248"/>
      <c r="T203" s="246"/>
      <c r="U203" s="246"/>
      <c r="V203" s="246"/>
    </row>
    <row r="204" spans="1:22" ht="12.75">
      <c r="A204" s="242">
        <v>46307</v>
      </c>
      <c r="B204" s="243" t="s">
        <v>547</v>
      </c>
      <c r="C204" s="243" t="s">
        <v>53</v>
      </c>
      <c r="D204" s="243" t="s">
        <v>1507</v>
      </c>
      <c r="E204" s="243" t="s">
        <v>707</v>
      </c>
      <c r="F204" s="243" t="s">
        <v>55</v>
      </c>
      <c r="G204" s="243" t="s">
        <v>708</v>
      </c>
      <c r="H204" s="243" t="s">
        <v>740</v>
      </c>
      <c r="I204" s="244" t="s">
        <v>710</v>
      </c>
      <c r="J204" s="243" t="s">
        <v>34</v>
      </c>
      <c r="K204" s="243" t="s">
        <v>1603</v>
      </c>
      <c r="L204" s="245" t="s">
        <v>1604</v>
      </c>
      <c r="M204" s="259">
        <v>0.14583333333333334</v>
      </c>
      <c r="N204" s="259">
        <v>0.1875</v>
      </c>
      <c r="O204" s="243">
        <v>152476</v>
      </c>
      <c r="P204" s="243">
        <v>142247</v>
      </c>
      <c r="Q204" s="243"/>
      <c r="R204" s="243"/>
      <c r="S204" s="243"/>
      <c r="T204" s="246"/>
      <c r="U204" s="246"/>
      <c r="V204" s="246"/>
    </row>
    <row r="205" spans="1:22" ht="12.75">
      <c r="A205" s="247">
        <v>46307</v>
      </c>
      <c r="B205" s="248" t="s">
        <v>547</v>
      </c>
      <c r="C205" s="248" t="s">
        <v>53</v>
      </c>
      <c r="D205" s="248" t="s">
        <v>1607</v>
      </c>
      <c r="E205" s="248" t="s">
        <v>707</v>
      </c>
      <c r="F205" s="248" t="s">
        <v>55</v>
      </c>
      <c r="G205" s="248" t="s">
        <v>708</v>
      </c>
      <c r="H205" s="248" t="s">
        <v>709</v>
      </c>
      <c r="I205" s="249" t="s">
        <v>710</v>
      </c>
      <c r="J205" s="248" t="s">
        <v>34</v>
      </c>
      <c r="K205" s="248" t="s">
        <v>1609</v>
      </c>
      <c r="L205" s="250" t="s">
        <v>1491</v>
      </c>
      <c r="M205" s="256">
        <v>0.83333333333333337</v>
      </c>
      <c r="N205" s="256">
        <v>0.91666666666666663</v>
      </c>
      <c r="O205" s="248">
        <v>83086308</v>
      </c>
      <c r="P205" s="248">
        <v>145529</v>
      </c>
      <c r="Q205" s="248"/>
      <c r="R205" s="248"/>
      <c r="S205" s="248"/>
      <c r="T205" s="246"/>
      <c r="U205" s="246"/>
      <c r="V205" s="246"/>
    </row>
    <row r="206" spans="1:22" ht="12.75">
      <c r="A206" s="242">
        <v>46307</v>
      </c>
      <c r="B206" s="243" t="s">
        <v>547</v>
      </c>
      <c r="C206" s="243" t="s">
        <v>90</v>
      </c>
      <c r="D206" s="243" t="s">
        <v>1611</v>
      </c>
      <c r="E206" s="243" t="s">
        <v>707</v>
      </c>
      <c r="F206" s="243" t="s">
        <v>55</v>
      </c>
      <c r="G206" s="243" t="s">
        <v>708</v>
      </c>
      <c r="H206" s="243" t="s">
        <v>709</v>
      </c>
      <c r="I206" s="244" t="s">
        <v>710</v>
      </c>
      <c r="J206" s="243" t="s">
        <v>34</v>
      </c>
      <c r="K206" s="243" t="s">
        <v>1614</v>
      </c>
      <c r="L206" s="245" t="s">
        <v>1491</v>
      </c>
      <c r="M206" s="259">
        <v>0.91666666666666663</v>
      </c>
      <c r="N206" s="259">
        <v>0</v>
      </c>
      <c r="O206" s="243">
        <v>83086308</v>
      </c>
      <c r="P206" s="243">
        <v>145529</v>
      </c>
      <c r="Q206" s="243"/>
      <c r="R206" s="243"/>
      <c r="S206" s="243"/>
      <c r="T206" s="246"/>
      <c r="U206" s="246"/>
      <c r="V206" s="246"/>
    </row>
    <row r="207" spans="1:22" ht="12.75">
      <c r="A207" s="247">
        <v>46307</v>
      </c>
      <c r="B207" s="248" t="s">
        <v>1616</v>
      </c>
      <c r="C207" s="248" t="s">
        <v>90</v>
      </c>
      <c r="D207" s="248" t="s">
        <v>1618</v>
      </c>
      <c r="E207" s="248" t="s">
        <v>707</v>
      </c>
      <c r="F207" s="248" t="s">
        <v>55</v>
      </c>
      <c r="G207" s="248" t="s">
        <v>708</v>
      </c>
      <c r="H207" s="248" t="s">
        <v>740</v>
      </c>
      <c r="I207" s="249" t="s">
        <v>710</v>
      </c>
      <c r="J207" s="248" t="s">
        <v>34</v>
      </c>
      <c r="K207" s="248"/>
      <c r="L207" s="250" t="s">
        <v>1491</v>
      </c>
      <c r="M207" s="256">
        <v>0</v>
      </c>
      <c r="N207" s="256">
        <v>8.3333333333333329E-2</v>
      </c>
      <c r="O207" s="248">
        <v>83086308</v>
      </c>
      <c r="P207" s="248">
        <v>145529</v>
      </c>
      <c r="Q207" s="248"/>
      <c r="R207" s="248"/>
      <c r="S207" s="248"/>
      <c r="T207" s="246"/>
      <c r="U207" s="246"/>
      <c r="V207" s="246"/>
    </row>
    <row r="208" spans="1:22" ht="12.75">
      <c r="A208" s="242">
        <v>46307</v>
      </c>
      <c r="B208" s="243" t="s">
        <v>1616</v>
      </c>
      <c r="C208" s="243" t="s">
        <v>90</v>
      </c>
      <c r="D208" s="243" t="s">
        <v>1618</v>
      </c>
      <c r="E208" s="243" t="s">
        <v>707</v>
      </c>
      <c r="F208" s="243" t="s">
        <v>55</v>
      </c>
      <c r="G208" s="243" t="s">
        <v>708</v>
      </c>
      <c r="H208" s="243" t="s">
        <v>740</v>
      </c>
      <c r="I208" s="244" t="s">
        <v>710</v>
      </c>
      <c r="J208" s="243" t="s">
        <v>34</v>
      </c>
      <c r="K208" s="243"/>
      <c r="L208" s="245" t="s">
        <v>1624</v>
      </c>
      <c r="M208" s="259">
        <v>8.3333333333333329E-2</v>
      </c>
      <c r="N208" s="259">
        <v>0.125</v>
      </c>
      <c r="O208" s="243">
        <v>83086308</v>
      </c>
      <c r="P208" s="243">
        <v>145529</v>
      </c>
      <c r="Q208" s="243"/>
      <c r="R208" s="243"/>
      <c r="S208" s="243"/>
      <c r="T208" s="246"/>
      <c r="U208" s="246"/>
      <c r="V208" s="246"/>
    </row>
    <row r="209" spans="1:22" ht="12.75">
      <c r="A209" s="247">
        <v>46307</v>
      </c>
      <c r="B209" s="248" t="s">
        <v>549</v>
      </c>
      <c r="C209" s="248" t="s">
        <v>90</v>
      </c>
      <c r="D209" s="248" t="s">
        <v>1627</v>
      </c>
      <c r="E209" s="248" t="s">
        <v>707</v>
      </c>
      <c r="F209" s="248" t="s">
        <v>55</v>
      </c>
      <c r="G209" s="248" t="s">
        <v>708</v>
      </c>
      <c r="H209" s="248" t="s">
        <v>709</v>
      </c>
      <c r="I209" s="249" t="s">
        <v>710</v>
      </c>
      <c r="J209" s="248" t="s">
        <v>34</v>
      </c>
      <c r="K209" s="248" t="s">
        <v>1629</v>
      </c>
      <c r="L209" s="250" t="s">
        <v>1491</v>
      </c>
      <c r="M209" s="256">
        <v>0.125</v>
      </c>
      <c r="N209" s="256">
        <v>0.20833333333333334</v>
      </c>
      <c r="O209" s="248">
        <v>83086308</v>
      </c>
      <c r="P209" s="248">
        <v>145529</v>
      </c>
      <c r="Q209" s="248"/>
      <c r="R209" s="248"/>
      <c r="S209" s="248"/>
      <c r="T209" s="246"/>
      <c r="U209" s="246"/>
      <c r="V209" s="246"/>
    </row>
    <row r="210" spans="1:22" ht="12.75">
      <c r="A210" s="242">
        <v>46307</v>
      </c>
      <c r="B210" s="243" t="s">
        <v>549</v>
      </c>
      <c r="C210" s="243" t="s">
        <v>90</v>
      </c>
      <c r="D210" s="243" t="s">
        <v>1627</v>
      </c>
      <c r="E210" s="243" t="s">
        <v>707</v>
      </c>
      <c r="F210" s="243" t="s">
        <v>55</v>
      </c>
      <c r="G210" s="243" t="s">
        <v>708</v>
      </c>
      <c r="H210" s="243" t="s">
        <v>740</v>
      </c>
      <c r="I210" s="244" t="s">
        <v>710</v>
      </c>
      <c r="J210" s="243" t="s">
        <v>34</v>
      </c>
      <c r="K210" s="243" t="s">
        <v>1634</v>
      </c>
      <c r="L210" s="245" t="s">
        <v>1636</v>
      </c>
      <c r="M210" s="259">
        <v>0.20833333333333334</v>
      </c>
      <c r="N210" s="259">
        <v>0.25</v>
      </c>
      <c r="O210" s="243">
        <v>83086308</v>
      </c>
      <c r="P210" s="243">
        <v>145529</v>
      </c>
      <c r="Q210" s="243"/>
      <c r="R210" s="243"/>
      <c r="S210" s="243"/>
      <c r="T210" s="246"/>
      <c r="U210" s="246"/>
      <c r="V210" s="246"/>
    </row>
    <row r="211" spans="1:22" ht="12.75">
      <c r="A211" s="247">
        <v>46307</v>
      </c>
      <c r="B211" s="248" t="s">
        <v>563</v>
      </c>
      <c r="C211" s="248" t="s">
        <v>53</v>
      </c>
      <c r="D211" s="248" t="s">
        <v>302</v>
      </c>
      <c r="E211" s="248" t="s">
        <v>707</v>
      </c>
      <c r="F211" s="248" t="s">
        <v>55</v>
      </c>
      <c r="G211" s="248" t="s">
        <v>708</v>
      </c>
      <c r="H211" s="248" t="s">
        <v>709</v>
      </c>
      <c r="I211" s="249" t="s">
        <v>710</v>
      </c>
      <c r="J211" s="248" t="s">
        <v>34</v>
      </c>
      <c r="K211" s="248" t="s">
        <v>1639</v>
      </c>
      <c r="L211" s="250" t="s">
        <v>1450</v>
      </c>
      <c r="M211" s="256">
        <v>0.89583333333333337</v>
      </c>
      <c r="N211" s="256">
        <v>0.97916666666666663</v>
      </c>
      <c r="O211" s="248">
        <v>135031</v>
      </c>
      <c r="P211" s="248">
        <v>132166</v>
      </c>
      <c r="Q211" s="248"/>
      <c r="R211" s="248"/>
      <c r="S211" s="248"/>
      <c r="T211" s="246"/>
      <c r="U211" s="246"/>
      <c r="V211" s="246"/>
    </row>
    <row r="212" spans="1:22" ht="12.75">
      <c r="A212" s="242">
        <v>46307</v>
      </c>
      <c r="B212" s="243" t="s">
        <v>563</v>
      </c>
      <c r="C212" s="243" t="s">
        <v>53</v>
      </c>
      <c r="D212" s="243" t="s">
        <v>882</v>
      </c>
      <c r="E212" s="243" t="s">
        <v>707</v>
      </c>
      <c r="F212" s="243" t="s">
        <v>55</v>
      </c>
      <c r="G212" s="243" t="s">
        <v>708</v>
      </c>
      <c r="H212" s="243" t="s">
        <v>709</v>
      </c>
      <c r="I212" s="244" t="s">
        <v>710</v>
      </c>
      <c r="J212" s="243" t="s">
        <v>34</v>
      </c>
      <c r="K212" s="243" t="s">
        <v>1642</v>
      </c>
      <c r="L212" s="245" t="s">
        <v>1450</v>
      </c>
      <c r="M212" s="259">
        <v>0.98958333333333337</v>
      </c>
      <c r="N212" s="259">
        <v>7.2916666666666671E-2</v>
      </c>
      <c r="O212" s="243">
        <v>135031</v>
      </c>
      <c r="P212" s="243">
        <v>132166</v>
      </c>
      <c r="Q212" s="243"/>
      <c r="R212" s="243"/>
      <c r="S212" s="243"/>
      <c r="T212" s="246"/>
      <c r="U212" s="246"/>
      <c r="V212" s="246"/>
    </row>
    <row r="213" spans="1:22" ht="12.75">
      <c r="A213" s="247">
        <v>46307</v>
      </c>
      <c r="B213" s="248" t="s">
        <v>563</v>
      </c>
      <c r="C213" s="248" t="s">
        <v>53</v>
      </c>
      <c r="D213" s="248" t="s">
        <v>1330</v>
      </c>
      <c r="E213" s="248" t="s">
        <v>707</v>
      </c>
      <c r="F213" s="248" t="s">
        <v>55</v>
      </c>
      <c r="G213" s="248" t="s">
        <v>708</v>
      </c>
      <c r="H213" s="248" t="s">
        <v>709</v>
      </c>
      <c r="I213" s="249" t="s">
        <v>710</v>
      </c>
      <c r="J213" s="248" t="s">
        <v>34</v>
      </c>
      <c r="K213" s="248" t="s">
        <v>1646</v>
      </c>
      <c r="L213" s="250" t="s">
        <v>1450</v>
      </c>
      <c r="M213" s="256">
        <v>0.10416666666666667</v>
      </c>
      <c r="N213" s="256">
        <v>0.1875</v>
      </c>
      <c r="O213" s="248">
        <v>135031</v>
      </c>
      <c r="P213" s="248">
        <v>132166</v>
      </c>
      <c r="Q213" s="248"/>
      <c r="R213" s="248"/>
      <c r="S213" s="248"/>
      <c r="T213" s="246"/>
      <c r="U213" s="246"/>
      <c r="V213" s="246"/>
    </row>
    <row r="214" spans="1:22" ht="12.75">
      <c r="A214" s="242">
        <v>46307</v>
      </c>
      <c r="B214" s="243" t="s">
        <v>549</v>
      </c>
      <c r="C214" s="243" t="s">
        <v>90</v>
      </c>
      <c r="D214" s="243" t="s">
        <v>75</v>
      </c>
      <c r="E214" s="243" t="s">
        <v>707</v>
      </c>
      <c r="F214" s="243" t="s">
        <v>55</v>
      </c>
      <c r="G214" s="243" t="s">
        <v>708</v>
      </c>
      <c r="H214" s="243" t="s">
        <v>709</v>
      </c>
      <c r="I214" s="244" t="s">
        <v>710</v>
      </c>
      <c r="J214" s="243" t="s">
        <v>34</v>
      </c>
      <c r="K214" s="243" t="s">
        <v>1653</v>
      </c>
      <c r="L214" s="245" t="s">
        <v>1654</v>
      </c>
      <c r="M214" s="259">
        <v>0.83333333333333337</v>
      </c>
      <c r="N214" s="259">
        <v>0.91666666666666663</v>
      </c>
      <c r="O214" s="243">
        <v>83122104</v>
      </c>
      <c r="P214" s="243">
        <v>83104423</v>
      </c>
      <c r="Q214" s="243"/>
      <c r="R214" s="243"/>
      <c r="S214" s="243"/>
      <c r="T214" s="246"/>
      <c r="U214" s="246"/>
      <c r="V214" s="246"/>
    </row>
    <row r="215" spans="1:22" ht="12.75">
      <c r="A215" s="247">
        <v>46307</v>
      </c>
      <c r="B215" s="248" t="s">
        <v>549</v>
      </c>
      <c r="C215" s="248" t="s">
        <v>90</v>
      </c>
      <c r="D215" s="248" t="s">
        <v>75</v>
      </c>
      <c r="E215" s="248" t="s">
        <v>707</v>
      </c>
      <c r="F215" s="248" t="s">
        <v>55</v>
      </c>
      <c r="G215" s="248" t="s">
        <v>708</v>
      </c>
      <c r="H215" s="248" t="s">
        <v>740</v>
      </c>
      <c r="I215" s="249" t="s">
        <v>710</v>
      </c>
      <c r="J215" s="248" t="s">
        <v>34</v>
      </c>
      <c r="K215" s="248" t="s">
        <v>1659</v>
      </c>
      <c r="L215" s="250" t="s">
        <v>1661</v>
      </c>
      <c r="M215" s="256">
        <v>0.91666666666666663</v>
      </c>
      <c r="N215" s="256">
        <v>0.97916666666666663</v>
      </c>
      <c r="O215" s="248">
        <v>83122104</v>
      </c>
      <c r="P215" s="248">
        <v>83104423</v>
      </c>
      <c r="Q215" s="248"/>
      <c r="R215" s="248"/>
      <c r="S215" s="248"/>
      <c r="T215" s="246"/>
      <c r="U215" s="246"/>
      <c r="V215" s="246"/>
    </row>
    <row r="216" spans="1:22" ht="12.75">
      <c r="A216" s="242">
        <v>46307</v>
      </c>
      <c r="B216" s="243" t="s">
        <v>549</v>
      </c>
      <c r="C216" s="243" t="s">
        <v>90</v>
      </c>
      <c r="D216" s="243" t="s">
        <v>577</v>
      </c>
      <c r="E216" s="243" t="s">
        <v>707</v>
      </c>
      <c r="F216" s="243" t="s">
        <v>55</v>
      </c>
      <c r="G216" s="243" t="s">
        <v>708</v>
      </c>
      <c r="H216" s="243" t="s">
        <v>709</v>
      </c>
      <c r="I216" s="244" t="s">
        <v>710</v>
      </c>
      <c r="J216" s="243" t="s">
        <v>34</v>
      </c>
      <c r="K216" s="243" t="s">
        <v>1668</v>
      </c>
      <c r="L216" s="245" t="s">
        <v>1654</v>
      </c>
      <c r="M216" s="259">
        <v>2.0833333333333332E-2</v>
      </c>
      <c r="N216" s="259">
        <v>0.10416666666666667</v>
      </c>
      <c r="O216" s="243">
        <v>83122104</v>
      </c>
      <c r="P216" s="243">
        <v>83104423</v>
      </c>
      <c r="Q216" s="243"/>
      <c r="R216" s="243"/>
      <c r="S216" s="243"/>
      <c r="T216" s="246"/>
      <c r="U216" s="246"/>
      <c r="V216" s="246"/>
    </row>
    <row r="217" spans="1:22" ht="12.75">
      <c r="A217" s="247">
        <v>46307</v>
      </c>
      <c r="B217" s="248" t="s">
        <v>549</v>
      </c>
      <c r="C217" s="248" t="s">
        <v>90</v>
      </c>
      <c r="D217" s="248" t="s">
        <v>1270</v>
      </c>
      <c r="E217" s="248" t="s">
        <v>707</v>
      </c>
      <c r="F217" s="248" t="s">
        <v>55</v>
      </c>
      <c r="G217" s="248" t="s">
        <v>708</v>
      </c>
      <c r="H217" s="248" t="s">
        <v>709</v>
      </c>
      <c r="I217" s="249" t="s">
        <v>710</v>
      </c>
      <c r="J217" s="248" t="s">
        <v>34</v>
      </c>
      <c r="K217" s="248" t="s">
        <v>1673</v>
      </c>
      <c r="L217" s="250" t="s">
        <v>1674</v>
      </c>
      <c r="M217" s="256">
        <v>0.10416666666666667</v>
      </c>
      <c r="N217" s="256">
        <v>0.1875</v>
      </c>
      <c r="O217" s="248">
        <v>83122104</v>
      </c>
      <c r="P217" s="248">
        <v>83104423</v>
      </c>
      <c r="Q217" s="248"/>
      <c r="R217" s="248"/>
      <c r="S217" s="248"/>
      <c r="T217" s="246"/>
      <c r="U217" s="246"/>
      <c r="V217" s="246"/>
    </row>
    <row r="218" spans="1:22" ht="12.75">
      <c r="A218" s="242">
        <v>46307</v>
      </c>
      <c r="B218" s="243" t="s">
        <v>549</v>
      </c>
      <c r="C218" s="243" t="s">
        <v>90</v>
      </c>
      <c r="D218" s="243" t="s">
        <v>1270</v>
      </c>
      <c r="E218" s="243" t="s">
        <v>707</v>
      </c>
      <c r="F218" s="243" t="s">
        <v>55</v>
      </c>
      <c r="G218" s="243" t="s">
        <v>708</v>
      </c>
      <c r="H218" s="243" t="s">
        <v>740</v>
      </c>
      <c r="I218" s="244" t="s">
        <v>710</v>
      </c>
      <c r="J218" s="243" t="s">
        <v>34</v>
      </c>
      <c r="K218" s="243" t="s">
        <v>1682</v>
      </c>
      <c r="L218" s="245" t="s">
        <v>1684</v>
      </c>
      <c r="M218" s="259">
        <v>0.1875</v>
      </c>
      <c r="N218" s="259">
        <v>0.25</v>
      </c>
      <c r="O218" s="243">
        <v>83122104</v>
      </c>
      <c r="P218" s="243">
        <v>83104423</v>
      </c>
      <c r="Q218" s="243"/>
      <c r="R218" s="243"/>
      <c r="S218" s="243"/>
      <c r="T218" s="246"/>
      <c r="U218" s="246"/>
      <c r="V218" s="246"/>
    </row>
    <row r="219" spans="1:22" ht="12.75">
      <c r="A219" s="247">
        <v>46307</v>
      </c>
      <c r="B219" s="248" t="s">
        <v>547</v>
      </c>
      <c r="C219" s="248" t="s">
        <v>53</v>
      </c>
      <c r="D219" s="248" t="s">
        <v>1221</v>
      </c>
      <c r="E219" s="248" t="s">
        <v>707</v>
      </c>
      <c r="F219" s="248" t="s">
        <v>55</v>
      </c>
      <c r="G219" s="248" t="s">
        <v>708</v>
      </c>
      <c r="H219" s="248" t="s">
        <v>740</v>
      </c>
      <c r="I219" s="249" t="s">
        <v>710</v>
      </c>
      <c r="J219" s="248" t="s">
        <v>34</v>
      </c>
      <c r="K219" s="248" t="s">
        <v>1692</v>
      </c>
      <c r="L219" s="250" t="s">
        <v>1695</v>
      </c>
      <c r="M219" s="256">
        <v>0.83333333333333337</v>
      </c>
      <c r="N219" s="256">
        <v>2.0833333333333332E-2</v>
      </c>
      <c r="O219" s="248">
        <v>83040239</v>
      </c>
      <c r="P219" s="248">
        <v>83122885</v>
      </c>
      <c r="Q219" s="248">
        <v>142243</v>
      </c>
      <c r="R219" s="248">
        <v>83102183</v>
      </c>
      <c r="S219" s="248"/>
      <c r="T219" s="246"/>
      <c r="U219" s="246"/>
      <c r="V219" s="246"/>
    </row>
    <row r="220" spans="1:22" ht="12.75">
      <c r="A220" s="242">
        <v>46307</v>
      </c>
      <c r="B220" s="243" t="s">
        <v>547</v>
      </c>
      <c r="C220" s="243" t="s">
        <v>53</v>
      </c>
      <c r="D220" s="243" t="s">
        <v>144</v>
      </c>
      <c r="E220" s="243" t="s">
        <v>707</v>
      </c>
      <c r="F220" s="243" t="s">
        <v>55</v>
      </c>
      <c r="G220" s="243" t="s">
        <v>708</v>
      </c>
      <c r="H220" s="243" t="s">
        <v>709</v>
      </c>
      <c r="I220" s="244" t="s">
        <v>710</v>
      </c>
      <c r="J220" s="243" t="s">
        <v>34</v>
      </c>
      <c r="K220" s="243" t="s">
        <v>1703</v>
      </c>
      <c r="L220" s="245" t="s">
        <v>1705</v>
      </c>
      <c r="M220" s="259">
        <v>0.84027777777777779</v>
      </c>
      <c r="N220" s="259">
        <v>0.92361111111111116</v>
      </c>
      <c r="O220" s="243">
        <v>83074889</v>
      </c>
      <c r="P220" s="243">
        <v>83117964</v>
      </c>
      <c r="Q220" s="243"/>
      <c r="R220" s="243"/>
      <c r="S220" s="243"/>
      <c r="T220" s="246"/>
      <c r="U220" s="246"/>
      <c r="V220" s="246"/>
    </row>
    <row r="221" spans="1:22" ht="12.75">
      <c r="A221" s="247">
        <v>46307</v>
      </c>
      <c r="B221" s="248" t="s">
        <v>547</v>
      </c>
      <c r="C221" s="248" t="s">
        <v>53</v>
      </c>
      <c r="D221" s="248" t="s">
        <v>144</v>
      </c>
      <c r="E221" s="248" t="s">
        <v>707</v>
      </c>
      <c r="F221" s="248" t="s">
        <v>55</v>
      </c>
      <c r="G221" s="248" t="s">
        <v>708</v>
      </c>
      <c r="H221" s="248" t="s">
        <v>740</v>
      </c>
      <c r="I221" s="249" t="s">
        <v>710</v>
      </c>
      <c r="J221" s="248" t="s">
        <v>34</v>
      </c>
      <c r="K221" s="248" t="s">
        <v>1713</v>
      </c>
      <c r="L221" s="250" t="s">
        <v>1714</v>
      </c>
      <c r="M221" s="256">
        <v>0.92361111111111116</v>
      </c>
      <c r="N221" s="256">
        <v>0.98611111111111116</v>
      </c>
      <c r="O221" s="248">
        <v>83074889</v>
      </c>
      <c r="P221" s="248">
        <v>83117964</v>
      </c>
      <c r="Q221" s="248"/>
      <c r="R221" s="248"/>
      <c r="S221" s="248"/>
      <c r="T221" s="246"/>
      <c r="U221" s="246"/>
      <c r="V221" s="246"/>
    </row>
    <row r="222" spans="1:22" ht="12.75">
      <c r="A222" s="242">
        <v>46307</v>
      </c>
      <c r="B222" s="243" t="s">
        <v>547</v>
      </c>
      <c r="C222" s="243" t="s">
        <v>53</v>
      </c>
      <c r="D222" s="243" t="s">
        <v>1406</v>
      </c>
      <c r="E222" s="243" t="s">
        <v>707</v>
      </c>
      <c r="F222" s="243" t="s">
        <v>55</v>
      </c>
      <c r="G222" s="243" t="s">
        <v>708</v>
      </c>
      <c r="H222" s="243" t="s">
        <v>709</v>
      </c>
      <c r="I222" s="244" t="s">
        <v>710</v>
      </c>
      <c r="J222" s="243" t="s">
        <v>34</v>
      </c>
      <c r="K222" s="243" t="s">
        <v>1723</v>
      </c>
      <c r="L222" s="245" t="s">
        <v>1705</v>
      </c>
      <c r="M222" s="259">
        <v>0.98958333333333337</v>
      </c>
      <c r="N222" s="259">
        <v>7.2916666666666671E-2</v>
      </c>
      <c r="O222" s="243">
        <v>83074889</v>
      </c>
      <c r="P222" s="243">
        <v>83117964</v>
      </c>
      <c r="Q222" s="243"/>
      <c r="R222" s="243"/>
      <c r="S222" s="243"/>
      <c r="T222" s="246"/>
      <c r="U222" s="246"/>
      <c r="V222" s="246"/>
    </row>
    <row r="223" spans="1:22" ht="12.75">
      <c r="A223" s="247">
        <v>46307</v>
      </c>
      <c r="B223" s="248" t="s">
        <v>547</v>
      </c>
      <c r="C223" s="248" t="s">
        <v>53</v>
      </c>
      <c r="D223" s="248" t="s">
        <v>1444</v>
      </c>
      <c r="E223" s="248" t="s">
        <v>707</v>
      </c>
      <c r="F223" s="248" t="s">
        <v>55</v>
      </c>
      <c r="G223" s="248" t="s">
        <v>708</v>
      </c>
      <c r="H223" s="248" t="s">
        <v>709</v>
      </c>
      <c r="I223" s="249" t="s">
        <v>710</v>
      </c>
      <c r="J223" s="248" t="s">
        <v>34</v>
      </c>
      <c r="K223" s="248" t="s">
        <v>1732</v>
      </c>
      <c r="L223" s="250" t="s">
        <v>1705</v>
      </c>
      <c r="M223" s="256">
        <v>7.6388888888888895E-2</v>
      </c>
      <c r="N223" s="256">
        <v>0.15972222222222221</v>
      </c>
      <c r="O223" s="248">
        <v>83074889</v>
      </c>
      <c r="P223" s="248">
        <v>83117964</v>
      </c>
      <c r="Q223" s="248"/>
      <c r="R223" s="248"/>
      <c r="S223" s="248"/>
      <c r="T223" s="246"/>
      <c r="U223" s="246"/>
      <c r="V223" s="246"/>
    </row>
    <row r="224" spans="1:22" ht="12.75">
      <c r="A224" s="242">
        <v>46307</v>
      </c>
      <c r="B224" s="243" t="s">
        <v>547</v>
      </c>
      <c r="C224" s="243" t="s">
        <v>53</v>
      </c>
      <c r="D224" s="243" t="s">
        <v>272</v>
      </c>
      <c r="E224" s="243" t="s">
        <v>707</v>
      </c>
      <c r="F224" s="243" t="s">
        <v>55</v>
      </c>
      <c r="G224" s="243" t="s">
        <v>708</v>
      </c>
      <c r="H224" s="243" t="s">
        <v>709</v>
      </c>
      <c r="I224" s="244" t="s">
        <v>710</v>
      </c>
      <c r="J224" s="243" t="s">
        <v>34</v>
      </c>
      <c r="K224" s="243" t="s">
        <v>1739</v>
      </c>
      <c r="L224" s="245" t="s">
        <v>1705</v>
      </c>
      <c r="M224" s="259">
        <v>0.16319444444444445</v>
      </c>
      <c r="N224" s="259">
        <v>0.24652777777777779</v>
      </c>
      <c r="O224" s="243">
        <v>83074889</v>
      </c>
      <c r="P224" s="243">
        <v>83117964</v>
      </c>
      <c r="Q224" s="243"/>
      <c r="R224" s="243"/>
      <c r="S224" s="243"/>
      <c r="T224" s="246"/>
      <c r="U224" s="246"/>
      <c r="V224" s="246"/>
    </row>
    <row r="225" spans="1:22" ht="12.75">
      <c r="A225" s="247">
        <v>46307</v>
      </c>
      <c r="B225" s="248" t="s">
        <v>547</v>
      </c>
      <c r="C225" s="248" t="s">
        <v>53</v>
      </c>
      <c r="D225" s="248" t="s">
        <v>1192</v>
      </c>
      <c r="E225" s="248" t="s">
        <v>815</v>
      </c>
      <c r="F225" s="248" t="s">
        <v>55</v>
      </c>
      <c r="G225" s="248" t="s">
        <v>764</v>
      </c>
      <c r="H225" s="248" t="s">
        <v>740</v>
      </c>
      <c r="I225" s="249" t="s">
        <v>710</v>
      </c>
      <c r="J225" s="248" t="s">
        <v>34</v>
      </c>
      <c r="K225" s="248" t="s">
        <v>1745</v>
      </c>
      <c r="L225" s="250" t="s">
        <v>1705</v>
      </c>
      <c r="M225" s="248"/>
      <c r="N225" s="248"/>
      <c r="O225" s="248">
        <v>135020</v>
      </c>
      <c r="P225" s="248"/>
      <c r="Q225" s="248"/>
      <c r="R225" s="248"/>
      <c r="S225" s="248"/>
      <c r="T225" s="246"/>
      <c r="U225" s="246"/>
      <c r="V225" s="246"/>
    </row>
    <row r="226" spans="1:22" ht="12.75">
      <c r="A226" s="242">
        <v>46307</v>
      </c>
      <c r="B226" s="243" t="s">
        <v>547</v>
      </c>
      <c r="C226" s="243" t="s">
        <v>90</v>
      </c>
      <c r="D226" s="243" t="s">
        <v>859</v>
      </c>
      <c r="E226" s="243" t="s">
        <v>815</v>
      </c>
      <c r="F226" s="243" t="s">
        <v>55</v>
      </c>
      <c r="G226" s="243" t="s">
        <v>764</v>
      </c>
      <c r="H226" s="243" t="s">
        <v>740</v>
      </c>
      <c r="I226" s="244" t="s">
        <v>710</v>
      </c>
      <c r="J226" s="243" t="s">
        <v>34</v>
      </c>
      <c r="K226" s="243" t="s">
        <v>1751</v>
      </c>
      <c r="L226" s="245" t="s">
        <v>1705</v>
      </c>
      <c r="M226" s="243"/>
      <c r="N226" s="243"/>
      <c r="O226" s="243">
        <v>135020</v>
      </c>
      <c r="P226" s="243"/>
      <c r="Q226" s="243"/>
      <c r="R226" s="243"/>
      <c r="S226" s="243"/>
      <c r="T226" s="246"/>
      <c r="U226" s="246"/>
      <c r="V226" s="246"/>
    </row>
    <row r="227" spans="1:22" ht="12.75">
      <c r="A227" s="247">
        <v>46307</v>
      </c>
      <c r="B227" s="248" t="s">
        <v>547</v>
      </c>
      <c r="C227" s="248" t="s">
        <v>53</v>
      </c>
      <c r="D227" s="248" t="s">
        <v>201</v>
      </c>
      <c r="E227" s="248" t="s">
        <v>815</v>
      </c>
      <c r="F227" s="248" t="s">
        <v>55</v>
      </c>
      <c r="G227" s="248" t="s">
        <v>764</v>
      </c>
      <c r="H227" s="248" t="s">
        <v>740</v>
      </c>
      <c r="I227" s="249" t="s">
        <v>710</v>
      </c>
      <c r="J227" s="248" t="s">
        <v>34</v>
      </c>
      <c r="K227" s="248" t="s">
        <v>1756</v>
      </c>
      <c r="L227" s="250" t="s">
        <v>1705</v>
      </c>
      <c r="M227" s="248"/>
      <c r="N227" s="248"/>
      <c r="O227" s="248">
        <v>135020</v>
      </c>
      <c r="P227" s="248"/>
      <c r="Q227" s="248"/>
      <c r="R227" s="248"/>
      <c r="S227" s="248"/>
      <c r="T227" s="246"/>
      <c r="U227" s="246"/>
      <c r="V227" s="246"/>
    </row>
    <row r="228" spans="1:22" ht="12.75">
      <c r="A228" s="242">
        <v>46307</v>
      </c>
      <c r="B228" s="243" t="s">
        <v>563</v>
      </c>
      <c r="C228" s="243" t="s">
        <v>53</v>
      </c>
      <c r="D228" s="243" t="s">
        <v>382</v>
      </c>
      <c r="E228" s="243" t="s">
        <v>707</v>
      </c>
      <c r="F228" s="243" t="s">
        <v>388</v>
      </c>
      <c r="G228" s="243" t="s">
        <v>708</v>
      </c>
      <c r="H228" s="243" t="s">
        <v>1761</v>
      </c>
      <c r="I228" s="244" t="s">
        <v>710</v>
      </c>
      <c r="J228" s="243" t="s">
        <v>34</v>
      </c>
      <c r="K228" s="243" t="s">
        <v>1764</v>
      </c>
      <c r="L228" s="245" t="s">
        <v>1765</v>
      </c>
      <c r="M228" s="259">
        <v>0.86111111111111116</v>
      </c>
      <c r="N228" s="259">
        <v>0.90277777777777779</v>
      </c>
      <c r="O228" s="243" t="s">
        <v>1767</v>
      </c>
      <c r="P228" s="243"/>
      <c r="Q228" s="243"/>
      <c r="R228" s="243"/>
      <c r="S228" s="243"/>
      <c r="T228" s="246"/>
      <c r="U228" s="246"/>
      <c r="V228" s="246"/>
    </row>
    <row r="229" spans="1:22" ht="12.75">
      <c r="A229" s="247">
        <v>46307</v>
      </c>
      <c r="B229" s="248" t="s">
        <v>563</v>
      </c>
      <c r="C229" s="248" t="s">
        <v>53</v>
      </c>
      <c r="D229" s="248" t="s">
        <v>382</v>
      </c>
      <c r="E229" s="248" t="s">
        <v>707</v>
      </c>
      <c r="F229" s="248" t="s">
        <v>388</v>
      </c>
      <c r="G229" s="248" t="s">
        <v>708</v>
      </c>
      <c r="H229" s="248" t="s">
        <v>1770</v>
      </c>
      <c r="I229" s="249" t="s">
        <v>710</v>
      </c>
      <c r="J229" s="248" t="s">
        <v>34</v>
      </c>
      <c r="K229" s="248" t="s">
        <v>1772</v>
      </c>
      <c r="L229" s="250" t="s">
        <v>1773</v>
      </c>
      <c r="M229" s="256">
        <v>0.92361111111111116</v>
      </c>
      <c r="N229" s="256">
        <v>0.96527777777777779</v>
      </c>
      <c r="O229" s="248" t="s">
        <v>1767</v>
      </c>
      <c r="P229" s="248"/>
      <c r="Q229" s="248"/>
      <c r="R229" s="248"/>
      <c r="S229" s="248"/>
      <c r="T229" s="246"/>
      <c r="U229" s="246"/>
      <c r="V229" s="246"/>
    </row>
    <row r="230" spans="1:22" ht="12.75">
      <c r="A230" s="242">
        <v>46307</v>
      </c>
      <c r="B230" s="243" t="s">
        <v>563</v>
      </c>
      <c r="C230" s="243" t="s">
        <v>53</v>
      </c>
      <c r="D230" s="243" t="s">
        <v>382</v>
      </c>
      <c r="E230" s="243" t="s">
        <v>707</v>
      </c>
      <c r="F230" s="243" t="s">
        <v>388</v>
      </c>
      <c r="G230" s="243" t="s">
        <v>708</v>
      </c>
      <c r="H230" s="243" t="s">
        <v>709</v>
      </c>
      <c r="I230" s="244" t="s">
        <v>710</v>
      </c>
      <c r="J230" s="243" t="s">
        <v>34</v>
      </c>
      <c r="K230" s="243" t="s">
        <v>1779</v>
      </c>
      <c r="L230" s="245" t="s">
        <v>1780</v>
      </c>
      <c r="M230" s="259">
        <v>0.96527777777777779</v>
      </c>
      <c r="N230" s="259">
        <v>6.9444444444444441E-3</v>
      </c>
      <c r="O230" s="243" t="s">
        <v>1767</v>
      </c>
      <c r="P230" s="243"/>
      <c r="Q230" s="243"/>
      <c r="R230" s="243"/>
      <c r="S230" s="243"/>
      <c r="T230" s="246"/>
      <c r="U230" s="246"/>
      <c r="V230" s="246"/>
    </row>
    <row r="231" spans="1:22" ht="12.75">
      <c r="A231" s="247">
        <v>46307</v>
      </c>
      <c r="B231" s="248" t="s">
        <v>563</v>
      </c>
      <c r="C231" s="248" t="s">
        <v>53</v>
      </c>
      <c r="D231" s="248" t="s">
        <v>382</v>
      </c>
      <c r="E231" s="248" t="s">
        <v>707</v>
      </c>
      <c r="F231" s="248" t="s">
        <v>388</v>
      </c>
      <c r="G231" s="248" t="s">
        <v>708</v>
      </c>
      <c r="H231" s="248" t="s">
        <v>709</v>
      </c>
      <c r="I231" s="249" t="s">
        <v>710</v>
      </c>
      <c r="J231" s="248" t="s">
        <v>34</v>
      </c>
      <c r="K231" s="248" t="s">
        <v>1785</v>
      </c>
      <c r="L231" s="250" t="s">
        <v>1787</v>
      </c>
      <c r="M231" s="256">
        <v>6.9444444444444441E-3</v>
      </c>
      <c r="N231" s="256">
        <v>4.8611111111111112E-2</v>
      </c>
      <c r="O231" s="248" t="s">
        <v>1767</v>
      </c>
      <c r="P231" s="248"/>
      <c r="Q231" s="248"/>
      <c r="R231" s="248"/>
      <c r="S231" s="248"/>
      <c r="T231" s="246"/>
      <c r="U231" s="246"/>
      <c r="V231" s="246"/>
    </row>
    <row r="232" spans="1:22" ht="12.75">
      <c r="A232" s="242">
        <v>46307</v>
      </c>
      <c r="B232" s="243" t="s">
        <v>563</v>
      </c>
      <c r="C232" s="243" t="s">
        <v>53</v>
      </c>
      <c r="D232" s="243" t="s">
        <v>382</v>
      </c>
      <c r="E232" s="243" t="s">
        <v>707</v>
      </c>
      <c r="F232" s="243" t="s">
        <v>388</v>
      </c>
      <c r="G232" s="243" t="s">
        <v>708</v>
      </c>
      <c r="H232" s="243" t="s">
        <v>709</v>
      </c>
      <c r="I232" s="244" t="s">
        <v>710</v>
      </c>
      <c r="J232" s="243" t="s">
        <v>34</v>
      </c>
      <c r="K232" s="243" t="s">
        <v>1793</v>
      </c>
      <c r="L232" s="245" t="s">
        <v>1794</v>
      </c>
      <c r="M232" s="259">
        <v>4.8611111111111112E-2</v>
      </c>
      <c r="N232" s="259">
        <v>9.0277777777777776E-2</v>
      </c>
      <c r="O232" s="243" t="s">
        <v>1767</v>
      </c>
      <c r="P232" s="243"/>
      <c r="Q232" s="243"/>
      <c r="R232" s="243"/>
      <c r="S232" s="243"/>
      <c r="T232" s="246"/>
      <c r="U232" s="246"/>
      <c r="V232" s="246"/>
    </row>
    <row r="233" spans="1:22" ht="12.75">
      <c r="A233" s="247">
        <v>46307</v>
      </c>
      <c r="B233" s="248" t="s">
        <v>563</v>
      </c>
      <c r="C233" s="248" t="s">
        <v>53</v>
      </c>
      <c r="D233" s="248" t="s">
        <v>382</v>
      </c>
      <c r="E233" s="248" t="s">
        <v>707</v>
      </c>
      <c r="F233" s="248" t="s">
        <v>388</v>
      </c>
      <c r="G233" s="248" t="s">
        <v>708</v>
      </c>
      <c r="H233" s="248" t="s">
        <v>709</v>
      </c>
      <c r="I233" s="249" t="s">
        <v>710</v>
      </c>
      <c r="J233" s="248" t="s">
        <v>34</v>
      </c>
      <c r="K233" s="248" t="s">
        <v>1800</v>
      </c>
      <c r="L233" s="250" t="s">
        <v>1801</v>
      </c>
      <c r="M233" s="256">
        <v>9.0277777777777776E-2</v>
      </c>
      <c r="N233" s="256">
        <v>0.13194444444444445</v>
      </c>
      <c r="O233" s="248" t="s">
        <v>1767</v>
      </c>
      <c r="P233" s="248"/>
      <c r="Q233" s="248"/>
      <c r="R233" s="248"/>
      <c r="S233" s="248"/>
      <c r="T233" s="246"/>
      <c r="U233" s="246"/>
      <c r="V233" s="246"/>
    </row>
    <row r="234" spans="1:22" ht="12.75">
      <c r="A234" s="242">
        <v>46307</v>
      </c>
      <c r="B234" s="243" t="s">
        <v>563</v>
      </c>
      <c r="C234" s="243" t="s">
        <v>53</v>
      </c>
      <c r="D234" s="243" t="s">
        <v>382</v>
      </c>
      <c r="E234" s="243" t="s">
        <v>707</v>
      </c>
      <c r="F234" s="243" t="s">
        <v>388</v>
      </c>
      <c r="G234" s="243" t="s">
        <v>708</v>
      </c>
      <c r="H234" s="243" t="s">
        <v>709</v>
      </c>
      <c r="I234" s="244" t="s">
        <v>710</v>
      </c>
      <c r="J234" s="243" t="s">
        <v>34</v>
      </c>
      <c r="K234" s="243" t="s">
        <v>1808</v>
      </c>
      <c r="L234" s="245" t="s">
        <v>1809</v>
      </c>
      <c r="M234" s="259">
        <v>0.875</v>
      </c>
      <c r="N234" s="259">
        <v>0.9375</v>
      </c>
      <c r="O234" s="243" t="s">
        <v>1767</v>
      </c>
      <c r="P234" s="243"/>
      <c r="Q234" s="243"/>
      <c r="R234" s="243"/>
      <c r="S234" s="243"/>
      <c r="T234" s="246"/>
      <c r="U234" s="246"/>
      <c r="V234" s="246"/>
    </row>
    <row r="235" spans="1:22" ht="12.75">
      <c r="A235" s="247">
        <v>46307</v>
      </c>
      <c r="B235" s="248" t="s">
        <v>563</v>
      </c>
      <c r="C235" s="248" t="s">
        <v>53</v>
      </c>
      <c r="D235" s="248" t="s">
        <v>382</v>
      </c>
      <c r="E235" s="248" t="s">
        <v>707</v>
      </c>
      <c r="F235" s="248" t="s">
        <v>388</v>
      </c>
      <c r="G235" s="248" t="s">
        <v>708</v>
      </c>
      <c r="H235" s="248" t="s">
        <v>709</v>
      </c>
      <c r="I235" s="249" t="s">
        <v>710</v>
      </c>
      <c r="J235" s="248" t="s">
        <v>34</v>
      </c>
      <c r="K235" s="248" t="s">
        <v>1814</v>
      </c>
      <c r="L235" s="250" t="s">
        <v>1816</v>
      </c>
      <c r="M235" s="256">
        <v>0.13194444444444445</v>
      </c>
      <c r="N235" s="256">
        <v>0.1736111111111111</v>
      </c>
      <c r="O235" s="248" t="s">
        <v>1767</v>
      </c>
      <c r="P235" s="248"/>
      <c r="Q235" s="248"/>
      <c r="R235" s="248"/>
      <c r="S235" s="248"/>
      <c r="T235" s="246"/>
      <c r="U235" s="246"/>
      <c r="V235" s="246"/>
    </row>
    <row r="236" spans="1:22" ht="12.75">
      <c r="A236" s="242">
        <v>46307</v>
      </c>
      <c r="B236" s="243" t="s">
        <v>547</v>
      </c>
      <c r="C236" s="243" t="s">
        <v>53</v>
      </c>
      <c r="D236" s="243" t="s">
        <v>406</v>
      </c>
      <c r="E236" s="243" t="s">
        <v>707</v>
      </c>
      <c r="F236" s="243" t="s">
        <v>409</v>
      </c>
      <c r="G236" s="243" t="s">
        <v>708</v>
      </c>
      <c r="H236" s="243" t="s">
        <v>709</v>
      </c>
      <c r="I236" s="244" t="s">
        <v>710</v>
      </c>
      <c r="J236" s="243" t="s">
        <v>34</v>
      </c>
      <c r="K236" s="243" t="s">
        <v>1819</v>
      </c>
      <c r="L236" s="245" t="s">
        <v>1820</v>
      </c>
      <c r="M236" s="259">
        <v>0.70833333333333337</v>
      </c>
      <c r="N236" s="259">
        <v>0.71875</v>
      </c>
      <c r="O236" s="243" t="s">
        <v>1821</v>
      </c>
      <c r="P236" s="243" t="s">
        <v>1822</v>
      </c>
      <c r="Q236" s="243" t="s">
        <v>1823</v>
      </c>
      <c r="R236" s="243"/>
      <c r="S236" s="243"/>
      <c r="T236" s="246"/>
      <c r="U236" s="246"/>
      <c r="V236" s="246"/>
    </row>
    <row r="237" spans="1:22" ht="12.75">
      <c r="A237" s="247">
        <v>46307</v>
      </c>
      <c r="B237" s="248" t="s">
        <v>547</v>
      </c>
      <c r="C237" s="248" t="s">
        <v>53</v>
      </c>
      <c r="D237" s="248" t="s">
        <v>406</v>
      </c>
      <c r="E237" s="248" t="s">
        <v>707</v>
      </c>
      <c r="F237" s="248" t="s">
        <v>409</v>
      </c>
      <c r="G237" s="248" t="s">
        <v>708</v>
      </c>
      <c r="H237" s="248" t="s">
        <v>709</v>
      </c>
      <c r="I237" s="249" t="s">
        <v>710</v>
      </c>
      <c r="J237" s="248" t="s">
        <v>34</v>
      </c>
      <c r="K237" s="248" t="s">
        <v>1827</v>
      </c>
      <c r="L237" s="250" t="s">
        <v>1828</v>
      </c>
      <c r="M237" s="256">
        <v>0.7416666666666667</v>
      </c>
      <c r="N237" s="256">
        <v>0.78333333333333333</v>
      </c>
      <c r="O237" s="248" t="s">
        <v>1821</v>
      </c>
      <c r="P237" s="248" t="s">
        <v>1822</v>
      </c>
      <c r="Q237" s="248" t="s">
        <v>1823</v>
      </c>
      <c r="R237" s="248"/>
      <c r="S237" s="248"/>
      <c r="T237" s="246"/>
      <c r="U237" s="246"/>
      <c r="V237" s="246"/>
    </row>
    <row r="238" spans="1:22" ht="12.75">
      <c r="A238" s="242">
        <v>46307</v>
      </c>
      <c r="B238" s="243" t="s">
        <v>547</v>
      </c>
      <c r="C238" s="243" t="s">
        <v>53</v>
      </c>
      <c r="D238" s="243" t="s">
        <v>406</v>
      </c>
      <c r="E238" s="243" t="s">
        <v>707</v>
      </c>
      <c r="F238" s="243" t="s">
        <v>409</v>
      </c>
      <c r="G238" s="243" t="s">
        <v>708</v>
      </c>
      <c r="H238" s="243" t="s">
        <v>709</v>
      </c>
      <c r="I238" s="244" t="s">
        <v>710</v>
      </c>
      <c r="J238" s="243" t="s">
        <v>34</v>
      </c>
      <c r="K238" s="243" t="s">
        <v>1831</v>
      </c>
      <c r="L238" s="245" t="s">
        <v>1832</v>
      </c>
      <c r="M238" s="259">
        <v>0.8256944444444444</v>
      </c>
      <c r="N238" s="259">
        <v>0.83611111111111114</v>
      </c>
      <c r="O238" s="243" t="s">
        <v>1821</v>
      </c>
      <c r="P238" s="243" t="s">
        <v>1822</v>
      </c>
      <c r="Q238" s="243" t="s">
        <v>1823</v>
      </c>
      <c r="R238" s="243"/>
      <c r="S238" s="243"/>
      <c r="T238" s="246"/>
      <c r="U238" s="246"/>
      <c r="V238" s="246"/>
    </row>
    <row r="239" spans="1:22" ht="12.75">
      <c r="A239" s="247">
        <v>46307</v>
      </c>
      <c r="B239" s="248" t="s">
        <v>547</v>
      </c>
      <c r="C239" s="248" t="s">
        <v>53</v>
      </c>
      <c r="D239" s="248" t="s">
        <v>406</v>
      </c>
      <c r="E239" s="248" t="s">
        <v>707</v>
      </c>
      <c r="F239" s="248" t="s">
        <v>409</v>
      </c>
      <c r="G239" s="248" t="s">
        <v>708</v>
      </c>
      <c r="H239" s="248" t="s">
        <v>709</v>
      </c>
      <c r="I239" s="249" t="s">
        <v>710</v>
      </c>
      <c r="J239" s="248" t="s">
        <v>34</v>
      </c>
      <c r="K239" s="248" t="s">
        <v>1837</v>
      </c>
      <c r="L239" s="250" t="s">
        <v>1838</v>
      </c>
      <c r="M239" s="256">
        <v>0.83680555555555558</v>
      </c>
      <c r="N239" s="256">
        <v>0.84722222222222221</v>
      </c>
      <c r="O239" s="248" t="s">
        <v>1821</v>
      </c>
      <c r="P239" s="248" t="s">
        <v>1822</v>
      </c>
      <c r="Q239" s="248" t="s">
        <v>1823</v>
      </c>
      <c r="R239" s="248"/>
      <c r="S239" s="248"/>
      <c r="T239" s="246"/>
      <c r="U239" s="246"/>
      <c r="V239" s="246"/>
    </row>
    <row r="240" spans="1:22" ht="12.75">
      <c r="A240" s="242">
        <v>46307</v>
      </c>
      <c r="B240" s="243" t="s">
        <v>547</v>
      </c>
      <c r="C240" s="243" t="s">
        <v>53</v>
      </c>
      <c r="D240" s="243" t="s">
        <v>406</v>
      </c>
      <c r="E240" s="243" t="s">
        <v>707</v>
      </c>
      <c r="F240" s="243" t="s">
        <v>409</v>
      </c>
      <c r="G240" s="243" t="s">
        <v>708</v>
      </c>
      <c r="H240" s="243" t="s">
        <v>709</v>
      </c>
      <c r="I240" s="244" t="s">
        <v>710</v>
      </c>
      <c r="J240" s="243" t="s">
        <v>34</v>
      </c>
      <c r="K240" s="243" t="s">
        <v>1842</v>
      </c>
      <c r="L240" s="245" t="s">
        <v>1838</v>
      </c>
      <c r="M240" s="259">
        <v>0.83680555555555558</v>
      </c>
      <c r="N240" s="259">
        <v>0.84722222222222221</v>
      </c>
      <c r="O240" s="243" t="s">
        <v>1821</v>
      </c>
      <c r="P240" s="243" t="s">
        <v>1822</v>
      </c>
      <c r="Q240" s="243" t="s">
        <v>1823</v>
      </c>
      <c r="R240" s="243"/>
      <c r="S240" s="243"/>
      <c r="T240" s="246"/>
      <c r="U240" s="246"/>
      <c r="V240" s="246"/>
    </row>
    <row r="241" spans="1:22" ht="12.75">
      <c r="A241" s="247">
        <v>46307</v>
      </c>
      <c r="B241" s="248" t="s">
        <v>549</v>
      </c>
      <c r="C241" s="248" t="s">
        <v>1846</v>
      </c>
      <c r="D241" s="248" t="s">
        <v>1460</v>
      </c>
      <c r="E241" s="248" t="s">
        <v>707</v>
      </c>
      <c r="F241" s="248" t="s">
        <v>409</v>
      </c>
      <c r="G241" s="248" t="s">
        <v>708</v>
      </c>
      <c r="H241" s="248" t="s">
        <v>709</v>
      </c>
      <c r="I241" s="249" t="s">
        <v>710</v>
      </c>
      <c r="J241" s="248" t="s">
        <v>34</v>
      </c>
      <c r="K241" s="248" t="s">
        <v>1849</v>
      </c>
      <c r="L241" s="250" t="s">
        <v>1850</v>
      </c>
      <c r="M241" s="256">
        <v>0.85069444444444442</v>
      </c>
      <c r="N241" s="256">
        <v>0.87152777777777779</v>
      </c>
      <c r="O241" s="248" t="s">
        <v>1821</v>
      </c>
      <c r="P241" s="248" t="s">
        <v>1822</v>
      </c>
      <c r="Q241" s="248" t="s">
        <v>1823</v>
      </c>
      <c r="R241" s="248"/>
      <c r="S241" s="248"/>
      <c r="T241" s="246"/>
      <c r="U241" s="246"/>
      <c r="V241" s="246"/>
    </row>
    <row r="242" spans="1:22" ht="12.75">
      <c r="A242" s="242">
        <v>46307</v>
      </c>
      <c r="B242" s="243" t="s">
        <v>549</v>
      </c>
      <c r="C242" s="243" t="s">
        <v>1846</v>
      </c>
      <c r="D242" s="243" t="s">
        <v>1460</v>
      </c>
      <c r="E242" s="243" t="s">
        <v>707</v>
      </c>
      <c r="F242" s="243" t="s">
        <v>409</v>
      </c>
      <c r="G242" s="243" t="s">
        <v>708</v>
      </c>
      <c r="H242" s="243" t="s">
        <v>709</v>
      </c>
      <c r="I242" s="244" t="s">
        <v>710</v>
      </c>
      <c r="J242" s="243" t="s">
        <v>34</v>
      </c>
      <c r="K242" s="243" t="s">
        <v>1854</v>
      </c>
      <c r="L242" s="245" t="s">
        <v>1855</v>
      </c>
      <c r="M242" s="259">
        <v>0.87222222222222223</v>
      </c>
      <c r="N242" s="259">
        <v>0.88263888888888886</v>
      </c>
      <c r="O242" s="243" t="s">
        <v>1821</v>
      </c>
      <c r="P242" s="243" t="s">
        <v>1822</v>
      </c>
      <c r="Q242" s="243" t="s">
        <v>1823</v>
      </c>
      <c r="R242" s="243"/>
      <c r="S242" s="243"/>
      <c r="T242" s="246"/>
      <c r="U242" s="246"/>
      <c r="V242" s="246"/>
    </row>
    <row r="243" spans="1:22" ht="12.75">
      <c r="A243" s="247">
        <v>46307</v>
      </c>
      <c r="B243" s="248" t="s">
        <v>549</v>
      </c>
      <c r="C243" s="248" t="s">
        <v>1846</v>
      </c>
      <c r="D243" s="248" t="s">
        <v>1460</v>
      </c>
      <c r="E243" s="248" t="s">
        <v>707</v>
      </c>
      <c r="F243" s="248" t="s">
        <v>409</v>
      </c>
      <c r="G243" s="248" t="s">
        <v>708</v>
      </c>
      <c r="H243" s="248" t="s">
        <v>709</v>
      </c>
      <c r="I243" s="249" t="s">
        <v>710</v>
      </c>
      <c r="J243" s="248" t="s">
        <v>34</v>
      </c>
      <c r="K243" s="248" t="s">
        <v>1860</v>
      </c>
      <c r="L243" s="250" t="s">
        <v>1861</v>
      </c>
      <c r="M243" s="256">
        <v>0.8833333333333333</v>
      </c>
      <c r="N243" s="256">
        <v>0.89375000000000004</v>
      </c>
      <c r="O243" s="248" t="s">
        <v>1821</v>
      </c>
      <c r="P243" s="248" t="s">
        <v>1822</v>
      </c>
      <c r="Q243" s="248" t="s">
        <v>1823</v>
      </c>
      <c r="R243" s="248"/>
      <c r="S243" s="248"/>
      <c r="T243" s="246"/>
      <c r="U243" s="246"/>
      <c r="V243" s="246"/>
    </row>
    <row r="244" spans="1:22" ht="12.75">
      <c r="A244" s="242">
        <v>46307</v>
      </c>
      <c r="B244" s="243" t="s">
        <v>549</v>
      </c>
      <c r="C244" s="243" t="s">
        <v>1846</v>
      </c>
      <c r="D244" s="243" t="s">
        <v>1460</v>
      </c>
      <c r="E244" s="243" t="s">
        <v>707</v>
      </c>
      <c r="F244" s="243" t="s">
        <v>409</v>
      </c>
      <c r="G244" s="243" t="s">
        <v>708</v>
      </c>
      <c r="H244" s="243" t="s">
        <v>709</v>
      </c>
      <c r="I244" s="244" t="s">
        <v>710</v>
      </c>
      <c r="J244" s="243" t="s">
        <v>34</v>
      </c>
      <c r="K244" s="243" t="s">
        <v>1864</v>
      </c>
      <c r="L244" s="245" t="s">
        <v>1865</v>
      </c>
      <c r="M244" s="259">
        <v>0.89444444444444449</v>
      </c>
      <c r="N244" s="259">
        <v>0.90486111111111112</v>
      </c>
      <c r="O244" s="243" t="s">
        <v>1821</v>
      </c>
      <c r="P244" s="243" t="s">
        <v>1822</v>
      </c>
      <c r="Q244" s="243" t="s">
        <v>1823</v>
      </c>
      <c r="R244" s="243"/>
      <c r="S244" s="243"/>
      <c r="T244" s="246"/>
      <c r="U244" s="246"/>
      <c r="V244" s="246"/>
    </row>
    <row r="245" spans="1:22" ht="12.75">
      <c r="A245" s="247">
        <v>46307</v>
      </c>
      <c r="B245" s="248" t="s">
        <v>549</v>
      </c>
      <c r="C245" s="248" t="s">
        <v>1846</v>
      </c>
      <c r="D245" s="248" t="s">
        <v>1460</v>
      </c>
      <c r="E245" s="248" t="s">
        <v>707</v>
      </c>
      <c r="F245" s="248" t="s">
        <v>409</v>
      </c>
      <c r="G245" s="248" t="s">
        <v>708</v>
      </c>
      <c r="H245" s="248" t="s">
        <v>709</v>
      </c>
      <c r="I245" s="249" t="s">
        <v>710</v>
      </c>
      <c r="J245" s="248" t="s">
        <v>34</v>
      </c>
      <c r="K245" s="248" t="s">
        <v>1871</v>
      </c>
      <c r="L245" s="250" t="s">
        <v>1872</v>
      </c>
      <c r="M245" s="256">
        <v>0.90555555555555556</v>
      </c>
      <c r="N245" s="256">
        <v>0.91597222222222219</v>
      </c>
      <c r="O245" s="248" t="s">
        <v>1821</v>
      </c>
      <c r="P245" s="248" t="s">
        <v>1822</v>
      </c>
      <c r="Q245" s="248" t="s">
        <v>1823</v>
      </c>
      <c r="R245" s="248"/>
      <c r="S245" s="248"/>
      <c r="T245" s="246"/>
      <c r="U245" s="246"/>
      <c r="V245" s="246"/>
    </row>
    <row r="246" spans="1:22" ht="12.75">
      <c r="A246" s="242">
        <v>46307</v>
      </c>
      <c r="B246" s="243" t="s">
        <v>549</v>
      </c>
      <c r="C246" s="243" t="s">
        <v>1846</v>
      </c>
      <c r="D246" s="243" t="s">
        <v>1460</v>
      </c>
      <c r="E246" s="243" t="s">
        <v>707</v>
      </c>
      <c r="F246" s="243" t="s">
        <v>409</v>
      </c>
      <c r="G246" s="243" t="s">
        <v>708</v>
      </c>
      <c r="H246" s="243" t="s">
        <v>709</v>
      </c>
      <c r="I246" s="244" t="s">
        <v>710</v>
      </c>
      <c r="J246" s="243" t="s">
        <v>34</v>
      </c>
      <c r="K246" s="243" t="s">
        <v>1877</v>
      </c>
      <c r="L246" s="245" t="s">
        <v>1878</v>
      </c>
      <c r="M246" s="259">
        <v>0.91666666666666663</v>
      </c>
      <c r="N246" s="259">
        <v>0.92708333333333337</v>
      </c>
      <c r="O246" s="243" t="s">
        <v>1821</v>
      </c>
      <c r="P246" s="243" t="s">
        <v>1822</v>
      </c>
      <c r="Q246" s="243" t="s">
        <v>1823</v>
      </c>
      <c r="R246" s="243"/>
      <c r="S246" s="243"/>
      <c r="T246" s="246"/>
      <c r="U246" s="246"/>
      <c r="V246" s="246"/>
    </row>
    <row r="247" spans="1:22" ht="12.75">
      <c r="A247" s="247">
        <v>46307</v>
      </c>
      <c r="B247" s="248" t="s">
        <v>549</v>
      </c>
      <c r="C247" s="248" t="s">
        <v>1846</v>
      </c>
      <c r="D247" s="248" t="s">
        <v>1460</v>
      </c>
      <c r="E247" s="248" t="s">
        <v>707</v>
      </c>
      <c r="F247" s="248" t="s">
        <v>409</v>
      </c>
      <c r="G247" s="248" t="s">
        <v>708</v>
      </c>
      <c r="H247" s="248" t="s">
        <v>709</v>
      </c>
      <c r="I247" s="249" t="s">
        <v>710</v>
      </c>
      <c r="J247" s="248" t="s">
        <v>34</v>
      </c>
      <c r="K247" s="248" t="s">
        <v>1882</v>
      </c>
      <c r="L247" s="250" t="s">
        <v>1828</v>
      </c>
      <c r="M247" s="256">
        <v>0.92777777777777781</v>
      </c>
      <c r="N247" s="256">
        <v>0.96944444444444444</v>
      </c>
      <c r="O247" s="248" t="s">
        <v>1821</v>
      </c>
      <c r="P247" s="248" t="s">
        <v>1822</v>
      </c>
      <c r="Q247" s="248" t="s">
        <v>1823</v>
      </c>
      <c r="R247" s="248"/>
      <c r="S247" s="248"/>
      <c r="T247" s="246"/>
      <c r="U247" s="246"/>
      <c r="V247" s="246"/>
    </row>
    <row r="248" spans="1:22" ht="12.75">
      <c r="A248" s="242">
        <v>46307</v>
      </c>
      <c r="B248" s="243" t="s">
        <v>563</v>
      </c>
      <c r="C248" s="243" t="s">
        <v>53</v>
      </c>
      <c r="D248" s="243" t="s">
        <v>1887</v>
      </c>
      <c r="E248" s="243" t="s">
        <v>707</v>
      </c>
      <c r="F248" s="243" t="s">
        <v>409</v>
      </c>
      <c r="G248" s="243" t="s">
        <v>708</v>
      </c>
      <c r="H248" s="243" t="s">
        <v>709</v>
      </c>
      <c r="I248" s="244" t="s">
        <v>710</v>
      </c>
      <c r="J248" s="243" t="s">
        <v>34</v>
      </c>
      <c r="K248" s="243" t="s">
        <v>1891</v>
      </c>
      <c r="L248" s="245" t="s">
        <v>1893</v>
      </c>
      <c r="M248" s="259">
        <v>0.97222222222222221</v>
      </c>
      <c r="N248" s="259">
        <v>0.98263888888888884</v>
      </c>
      <c r="O248" s="243" t="s">
        <v>1821</v>
      </c>
      <c r="P248" s="243" t="s">
        <v>1822</v>
      </c>
      <c r="Q248" s="243" t="s">
        <v>1823</v>
      </c>
      <c r="R248" s="243"/>
      <c r="S248" s="243"/>
      <c r="T248" s="246"/>
      <c r="U248" s="246"/>
      <c r="V248" s="246"/>
    </row>
    <row r="249" spans="1:22" ht="12.75">
      <c r="A249" s="247">
        <v>46307</v>
      </c>
      <c r="B249" s="248" t="s">
        <v>563</v>
      </c>
      <c r="C249" s="248" t="s">
        <v>53</v>
      </c>
      <c r="D249" s="248" t="s">
        <v>1887</v>
      </c>
      <c r="E249" s="248" t="s">
        <v>707</v>
      </c>
      <c r="F249" s="248" t="s">
        <v>409</v>
      </c>
      <c r="G249" s="248" t="s">
        <v>708</v>
      </c>
      <c r="H249" s="248" t="s">
        <v>709</v>
      </c>
      <c r="I249" s="249" t="s">
        <v>710</v>
      </c>
      <c r="J249" s="248" t="s">
        <v>34</v>
      </c>
      <c r="K249" s="248" t="s">
        <v>1898</v>
      </c>
      <c r="L249" s="250" t="s">
        <v>1828</v>
      </c>
      <c r="M249" s="256">
        <v>0.98333333333333328</v>
      </c>
      <c r="N249" s="256">
        <v>2.5000000000000001E-2</v>
      </c>
      <c r="O249" s="248" t="s">
        <v>1821</v>
      </c>
      <c r="P249" s="248" t="s">
        <v>1822</v>
      </c>
      <c r="Q249" s="248" t="s">
        <v>1823</v>
      </c>
      <c r="R249" s="248"/>
      <c r="S249" s="248"/>
      <c r="T249" s="246"/>
      <c r="U249" s="246"/>
      <c r="V249" s="246"/>
    </row>
    <row r="250" spans="1:22" ht="12.75">
      <c r="A250" s="242">
        <v>46307</v>
      </c>
      <c r="B250" s="243" t="s">
        <v>563</v>
      </c>
      <c r="C250" s="243" t="s">
        <v>53</v>
      </c>
      <c r="D250" s="243" t="s">
        <v>1904</v>
      </c>
      <c r="E250" s="243" t="s">
        <v>707</v>
      </c>
      <c r="F250" s="243" t="s">
        <v>409</v>
      </c>
      <c r="G250" s="243" t="s">
        <v>708</v>
      </c>
      <c r="H250" s="243" t="s">
        <v>709</v>
      </c>
      <c r="I250" s="244" t="s">
        <v>710</v>
      </c>
      <c r="J250" s="243" t="s">
        <v>34</v>
      </c>
      <c r="K250" s="243" t="s">
        <v>1907</v>
      </c>
      <c r="L250" s="245" t="s">
        <v>1908</v>
      </c>
      <c r="M250" s="259">
        <v>2.7777777777777776E-2</v>
      </c>
      <c r="N250" s="259">
        <v>3.8194444444444448E-2</v>
      </c>
      <c r="O250" s="243" t="s">
        <v>1821</v>
      </c>
      <c r="P250" s="243" t="s">
        <v>1822</v>
      </c>
      <c r="Q250" s="243" t="s">
        <v>1823</v>
      </c>
      <c r="R250" s="243"/>
      <c r="S250" s="243"/>
      <c r="T250" s="246"/>
      <c r="U250" s="246"/>
      <c r="V250" s="246"/>
    </row>
    <row r="251" spans="1:22" ht="12.75">
      <c r="A251" s="247">
        <v>46307</v>
      </c>
      <c r="B251" s="248" t="s">
        <v>563</v>
      </c>
      <c r="C251" s="248" t="s">
        <v>53</v>
      </c>
      <c r="D251" s="248" t="s">
        <v>1904</v>
      </c>
      <c r="E251" s="248" t="s">
        <v>707</v>
      </c>
      <c r="F251" s="248" t="s">
        <v>409</v>
      </c>
      <c r="G251" s="248" t="s">
        <v>708</v>
      </c>
      <c r="H251" s="248" t="s">
        <v>709</v>
      </c>
      <c r="I251" s="249" t="s">
        <v>710</v>
      </c>
      <c r="J251" s="248" t="s">
        <v>34</v>
      </c>
      <c r="K251" s="248" t="s">
        <v>1914</v>
      </c>
      <c r="L251" s="250" t="s">
        <v>1915</v>
      </c>
      <c r="M251" s="256">
        <v>3.888888888888889E-2</v>
      </c>
      <c r="N251" s="256">
        <v>4.9305555555555554E-2</v>
      </c>
      <c r="O251" s="248" t="s">
        <v>1821</v>
      </c>
      <c r="P251" s="248" t="s">
        <v>1822</v>
      </c>
      <c r="Q251" s="248" t="s">
        <v>1823</v>
      </c>
      <c r="R251" s="248"/>
      <c r="S251" s="248"/>
      <c r="T251" s="246"/>
      <c r="U251" s="246"/>
      <c r="V251" s="246"/>
    </row>
    <row r="252" spans="1:22" ht="12.75">
      <c r="A252" s="242">
        <v>46307</v>
      </c>
      <c r="B252" s="243" t="s">
        <v>563</v>
      </c>
      <c r="C252" s="243" t="s">
        <v>53</v>
      </c>
      <c r="D252" s="243" t="s">
        <v>1904</v>
      </c>
      <c r="E252" s="243" t="s">
        <v>707</v>
      </c>
      <c r="F252" s="243" t="s">
        <v>409</v>
      </c>
      <c r="G252" s="243" t="s">
        <v>708</v>
      </c>
      <c r="H252" s="243" t="s">
        <v>709</v>
      </c>
      <c r="I252" s="244" t="s">
        <v>710</v>
      </c>
      <c r="J252" s="243" t="s">
        <v>34</v>
      </c>
      <c r="K252" s="243" t="s">
        <v>1922</v>
      </c>
      <c r="L252" s="245" t="s">
        <v>1828</v>
      </c>
      <c r="M252" s="259">
        <v>0.05</v>
      </c>
      <c r="N252" s="259">
        <v>9.166666666666666E-2</v>
      </c>
      <c r="O252" s="243" t="s">
        <v>1821</v>
      </c>
      <c r="P252" s="243" t="s">
        <v>1822</v>
      </c>
      <c r="Q252" s="243" t="s">
        <v>1823</v>
      </c>
      <c r="R252" s="243"/>
      <c r="S252" s="243"/>
      <c r="T252" s="246"/>
      <c r="U252" s="246"/>
      <c r="V252" s="246"/>
    </row>
    <row r="253" spans="1:22" ht="12.75">
      <c r="A253" s="247">
        <v>46307</v>
      </c>
      <c r="B253" s="248" t="s">
        <v>563</v>
      </c>
      <c r="C253" s="248" t="s">
        <v>53</v>
      </c>
      <c r="D253" s="248" t="s">
        <v>296</v>
      </c>
      <c r="E253" s="248" t="s">
        <v>707</v>
      </c>
      <c r="F253" s="248" t="s">
        <v>409</v>
      </c>
      <c r="G253" s="248" t="s">
        <v>708</v>
      </c>
      <c r="H253" s="248" t="s">
        <v>709</v>
      </c>
      <c r="I253" s="249" t="s">
        <v>710</v>
      </c>
      <c r="J253" s="248" t="s">
        <v>34</v>
      </c>
      <c r="K253" s="248" t="s">
        <v>1929</v>
      </c>
      <c r="L253" s="250" t="s">
        <v>1930</v>
      </c>
      <c r="M253" s="256">
        <v>9.375E-2</v>
      </c>
      <c r="N253" s="256">
        <v>0.10416666666666667</v>
      </c>
      <c r="O253" s="248" t="s">
        <v>1821</v>
      </c>
      <c r="P253" s="248" t="s">
        <v>1822</v>
      </c>
      <c r="Q253" s="248" t="s">
        <v>1823</v>
      </c>
      <c r="R253" s="248"/>
      <c r="S253" s="248"/>
      <c r="T253" s="246"/>
      <c r="U253" s="246"/>
      <c r="V253" s="246"/>
    </row>
    <row r="254" spans="1:22" ht="12.75">
      <c r="A254" s="242">
        <v>46307</v>
      </c>
      <c r="B254" s="243" t="s">
        <v>563</v>
      </c>
      <c r="C254" s="243" t="s">
        <v>53</v>
      </c>
      <c r="D254" s="243" t="s">
        <v>296</v>
      </c>
      <c r="E254" s="243" t="s">
        <v>707</v>
      </c>
      <c r="F254" s="243" t="s">
        <v>409</v>
      </c>
      <c r="G254" s="243" t="s">
        <v>708</v>
      </c>
      <c r="H254" s="243" t="s">
        <v>709</v>
      </c>
      <c r="I254" s="244" t="s">
        <v>710</v>
      </c>
      <c r="J254" s="243" t="s">
        <v>34</v>
      </c>
      <c r="K254" s="243" t="s">
        <v>1936</v>
      </c>
      <c r="L254" s="245" t="s">
        <v>1938</v>
      </c>
      <c r="M254" s="259">
        <v>0.10486111111111111</v>
      </c>
      <c r="N254" s="259">
        <v>0.11527777777777778</v>
      </c>
      <c r="O254" s="243" t="s">
        <v>1821</v>
      </c>
      <c r="P254" s="243" t="s">
        <v>1822</v>
      </c>
      <c r="Q254" s="243" t="s">
        <v>1823</v>
      </c>
      <c r="R254" s="243"/>
      <c r="S254" s="243"/>
      <c r="T254" s="246"/>
      <c r="U254" s="246"/>
      <c r="V254" s="246"/>
    </row>
    <row r="255" spans="1:22" ht="12.75">
      <c r="A255" s="247">
        <v>46307</v>
      </c>
      <c r="B255" s="248" t="s">
        <v>563</v>
      </c>
      <c r="C255" s="248" t="s">
        <v>53</v>
      </c>
      <c r="D255" s="248" t="s">
        <v>296</v>
      </c>
      <c r="E255" s="248" t="s">
        <v>707</v>
      </c>
      <c r="F255" s="248" t="s">
        <v>409</v>
      </c>
      <c r="G255" s="248" t="s">
        <v>708</v>
      </c>
      <c r="H255" s="248" t="s">
        <v>709</v>
      </c>
      <c r="I255" s="249" t="s">
        <v>710</v>
      </c>
      <c r="J255" s="248" t="s">
        <v>34</v>
      </c>
      <c r="K255" s="248" t="s">
        <v>1942</v>
      </c>
      <c r="L255" s="250" t="s">
        <v>1943</v>
      </c>
      <c r="M255" s="256">
        <v>0.11597222222222223</v>
      </c>
      <c r="N255" s="256">
        <v>0.12638888888888888</v>
      </c>
      <c r="O255" s="248" t="s">
        <v>1821</v>
      </c>
      <c r="P255" s="248" t="s">
        <v>1822</v>
      </c>
      <c r="Q255" s="248" t="s">
        <v>1823</v>
      </c>
      <c r="R255" s="248"/>
      <c r="S255" s="248"/>
      <c r="T255" s="246"/>
      <c r="U255" s="246"/>
      <c r="V255" s="246"/>
    </row>
    <row r="256" spans="1:22" ht="12.75">
      <c r="A256" s="242">
        <v>46307</v>
      </c>
      <c r="B256" s="243" t="s">
        <v>563</v>
      </c>
      <c r="C256" s="243" t="s">
        <v>53</v>
      </c>
      <c r="D256" s="243" t="s">
        <v>296</v>
      </c>
      <c r="E256" s="243" t="s">
        <v>707</v>
      </c>
      <c r="F256" s="243" t="s">
        <v>409</v>
      </c>
      <c r="G256" s="243" t="s">
        <v>708</v>
      </c>
      <c r="H256" s="243" t="s">
        <v>709</v>
      </c>
      <c r="I256" s="244" t="s">
        <v>710</v>
      </c>
      <c r="J256" s="243" t="s">
        <v>34</v>
      </c>
      <c r="K256" s="243" t="s">
        <v>1949</v>
      </c>
      <c r="L256" s="245" t="s">
        <v>1828</v>
      </c>
      <c r="M256" s="259">
        <v>0.12708333333333333</v>
      </c>
      <c r="N256" s="259">
        <v>0.16875000000000001</v>
      </c>
      <c r="O256" s="243" t="s">
        <v>1821</v>
      </c>
      <c r="P256" s="243" t="s">
        <v>1822</v>
      </c>
      <c r="Q256" s="243" t="s">
        <v>1823</v>
      </c>
      <c r="R256" s="243"/>
      <c r="S256" s="243"/>
      <c r="T256" s="246"/>
      <c r="U256" s="246"/>
      <c r="V256" s="246"/>
    </row>
    <row r="257" spans="1:22" ht="12.75">
      <c r="A257" s="247">
        <v>46307</v>
      </c>
      <c r="B257" s="248" t="s">
        <v>563</v>
      </c>
      <c r="C257" s="248" t="s">
        <v>53</v>
      </c>
      <c r="D257" s="248" t="s">
        <v>296</v>
      </c>
      <c r="E257" s="248" t="s">
        <v>707</v>
      </c>
      <c r="F257" s="248" t="s">
        <v>409</v>
      </c>
      <c r="G257" s="248" t="s">
        <v>708</v>
      </c>
      <c r="H257" s="248" t="s">
        <v>709</v>
      </c>
      <c r="I257" s="249" t="s">
        <v>710</v>
      </c>
      <c r="J257" s="248" t="s">
        <v>34</v>
      </c>
      <c r="K257" s="248" t="s">
        <v>1953</v>
      </c>
      <c r="L257" s="250" t="s">
        <v>1954</v>
      </c>
      <c r="M257" s="256">
        <v>0.16944444444444445</v>
      </c>
      <c r="N257" s="256">
        <v>0.17986111111111111</v>
      </c>
      <c r="O257" s="248" t="s">
        <v>1821</v>
      </c>
      <c r="P257" s="248" t="s">
        <v>1822</v>
      </c>
      <c r="Q257" s="248" t="s">
        <v>1823</v>
      </c>
      <c r="R257" s="248"/>
      <c r="S257" s="248"/>
      <c r="T257" s="246"/>
      <c r="U257" s="246"/>
      <c r="V257" s="246"/>
    </row>
    <row r="258" spans="1:22" ht="12.75">
      <c r="A258" s="242">
        <v>46307</v>
      </c>
      <c r="B258" s="243" t="s">
        <v>563</v>
      </c>
      <c r="C258" s="243" t="s">
        <v>53</v>
      </c>
      <c r="D258" s="243" t="s">
        <v>101</v>
      </c>
      <c r="E258" s="243" t="s">
        <v>707</v>
      </c>
      <c r="F258" s="243" t="s">
        <v>66</v>
      </c>
      <c r="G258" s="243" t="s">
        <v>764</v>
      </c>
      <c r="H258" s="243" t="s">
        <v>740</v>
      </c>
      <c r="I258" s="244" t="s">
        <v>710</v>
      </c>
      <c r="J258" s="243" t="s">
        <v>34</v>
      </c>
      <c r="K258" s="243" t="s">
        <v>1960</v>
      </c>
      <c r="L258" s="245" t="s">
        <v>1962</v>
      </c>
      <c r="M258" s="259">
        <v>0.625</v>
      </c>
      <c r="N258" s="259">
        <v>0.65625</v>
      </c>
      <c r="O258" s="243" t="s">
        <v>1963</v>
      </c>
      <c r="P258" s="243" t="s">
        <v>1964</v>
      </c>
      <c r="Q258" s="243" t="s">
        <v>1966</v>
      </c>
      <c r="R258" s="243"/>
      <c r="S258" s="243"/>
      <c r="T258" s="246"/>
      <c r="U258" s="246"/>
      <c r="V258" s="246"/>
    </row>
    <row r="259" spans="1:22" ht="12.75">
      <c r="A259" s="247">
        <v>46307</v>
      </c>
      <c r="B259" s="248" t="s">
        <v>563</v>
      </c>
      <c r="C259" s="248" t="s">
        <v>53</v>
      </c>
      <c r="D259" s="248" t="s">
        <v>101</v>
      </c>
      <c r="E259" s="248" t="s">
        <v>707</v>
      </c>
      <c r="F259" s="248" t="s">
        <v>66</v>
      </c>
      <c r="G259" s="248" t="s">
        <v>764</v>
      </c>
      <c r="H259" s="248" t="s">
        <v>740</v>
      </c>
      <c r="I259" s="249" t="s">
        <v>710</v>
      </c>
      <c r="J259" s="248" t="s">
        <v>34</v>
      </c>
      <c r="K259" s="248" t="s">
        <v>1971</v>
      </c>
      <c r="L259" s="250" t="s">
        <v>1973</v>
      </c>
      <c r="M259" s="256">
        <v>0.65625</v>
      </c>
      <c r="N259" s="256">
        <v>0.67708333333333337</v>
      </c>
      <c r="O259" s="248" t="s">
        <v>1963</v>
      </c>
      <c r="P259" s="248" t="s">
        <v>1964</v>
      </c>
      <c r="Q259" s="248"/>
      <c r="R259" s="248"/>
      <c r="S259" s="248"/>
      <c r="T259" s="246"/>
      <c r="U259" s="246"/>
      <c r="V259" s="246"/>
    </row>
    <row r="260" spans="1:22" ht="12.75">
      <c r="A260" s="242">
        <v>46307</v>
      </c>
      <c r="B260" s="243" t="s">
        <v>563</v>
      </c>
      <c r="C260" s="243" t="s">
        <v>53</v>
      </c>
      <c r="D260" s="243" t="s">
        <v>101</v>
      </c>
      <c r="E260" s="243" t="s">
        <v>707</v>
      </c>
      <c r="F260" s="243" t="s">
        <v>66</v>
      </c>
      <c r="G260" s="243" t="s">
        <v>764</v>
      </c>
      <c r="H260" s="243" t="s">
        <v>740</v>
      </c>
      <c r="I260" s="244" t="s">
        <v>710</v>
      </c>
      <c r="J260" s="243" t="s">
        <v>34</v>
      </c>
      <c r="K260" s="243" t="s">
        <v>1978</v>
      </c>
      <c r="L260" s="245" t="s">
        <v>1979</v>
      </c>
      <c r="M260" s="259">
        <v>0.65625</v>
      </c>
      <c r="N260" s="259">
        <v>0.67708333333333337</v>
      </c>
      <c r="O260" s="243" t="s">
        <v>1966</v>
      </c>
      <c r="P260" s="243"/>
      <c r="Q260" s="243"/>
      <c r="R260" s="243"/>
      <c r="S260" s="243"/>
      <c r="T260" s="246"/>
      <c r="U260" s="246"/>
      <c r="V260" s="246"/>
    </row>
    <row r="261" spans="1:22" ht="12.75">
      <c r="A261" s="247">
        <v>46307</v>
      </c>
      <c r="B261" s="248" t="s">
        <v>563</v>
      </c>
      <c r="C261" s="248" t="s">
        <v>53</v>
      </c>
      <c r="D261" s="248" t="s">
        <v>101</v>
      </c>
      <c r="E261" s="248" t="s">
        <v>707</v>
      </c>
      <c r="F261" s="248" t="s">
        <v>66</v>
      </c>
      <c r="G261" s="248" t="s">
        <v>764</v>
      </c>
      <c r="H261" s="248" t="s">
        <v>740</v>
      </c>
      <c r="I261" s="249" t="s">
        <v>710</v>
      </c>
      <c r="J261" s="248" t="s">
        <v>34</v>
      </c>
      <c r="K261" s="248" t="s">
        <v>1987</v>
      </c>
      <c r="L261" s="250" t="s">
        <v>1988</v>
      </c>
      <c r="M261" s="256">
        <v>0.67708333333333337</v>
      </c>
      <c r="N261" s="256">
        <v>0.72916666666666663</v>
      </c>
      <c r="O261" s="248" t="s">
        <v>1963</v>
      </c>
      <c r="P261" s="248" t="s">
        <v>1964</v>
      </c>
      <c r="Q261" s="248" t="s">
        <v>1966</v>
      </c>
      <c r="R261" s="248"/>
      <c r="S261" s="248"/>
      <c r="T261" s="246"/>
      <c r="U261" s="246"/>
      <c r="V261" s="246"/>
    </row>
    <row r="262" spans="1:22" ht="12.75">
      <c r="A262" s="242">
        <v>46307</v>
      </c>
      <c r="B262" s="243" t="s">
        <v>563</v>
      </c>
      <c r="C262" s="243" t="s">
        <v>53</v>
      </c>
      <c r="D262" s="243" t="s">
        <v>101</v>
      </c>
      <c r="E262" s="243" t="s">
        <v>707</v>
      </c>
      <c r="F262" s="243" t="s">
        <v>66</v>
      </c>
      <c r="G262" s="243" t="s">
        <v>764</v>
      </c>
      <c r="H262" s="243" t="s">
        <v>740</v>
      </c>
      <c r="I262" s="244" t="s">
        <v>710</v>
      </c>
      <c r="J262" s="243" t="s">
        <v>34</v>
      </c>
      <c r="K262" s="243" t="s">
        <v>1994</v>
      </c>
      <c r="L262" s="245" t="s">
        <v>1995</v>
      </c>
      <c r="M262" s="259">
        <v>0.72916666666666663</v>
      </c>
      <c r="N262" s="259">
        <v>0.75</v>
      </c>
      <c r="O262" s="243" t="s">
        <v>1963</v>
      </c>
      <c r="P262" s="243" t="s">
        <v>1964</v>
      </c>
      <c r="Q262" s="243" t="s">
        <v>1966</v>
      </c>
      <c r="R262" s="243"/>
      <c r="S262" s="243"/>
      <c r="T262" s="246"/>
      <c r="U262" s="246"/>
      <c r="V262" s="246"/>
    </row>
    <row r="263" spans="1:22" ht="12.75">
      <c r="A263" s="247">
        <v>46307</v>
      </c>
      <c r="B263" s="248" t="s">
        <v>563</v>
      </c>
      <c r="C263" s="248" t="s">
        <v>53</v>
      </c>
      <c r="D263" s="248" t="s">
        <v>101</v>
      </c>
      <c r="E263" s="248" t="s">
        <v>707</v>
      </c>
      <c r="F263" s="248" t="s">
        <v>66</v>
      </c>
      <c r="G263" s="248" t="s">
        <v>764</v>
      </c>
      <c r="H263" s="248" t="s">
        <v>740</v>
      </c>
      <c r="I263" s="249" t="s">
        <v>710</v>
      </c>
      <c r="J263" s="248" t="s">
        <v>34</v>
      </c>
      <c r="K263" s="248" t="s">
        <v>2000</v>
      </c>
      <c r="L263" s="250" t="s">
        <v>2002</v>
      </c>
      <c r="M263" s="256">
        <v>0.75</v>
      </c>
      <c r="N263" s="256">
        <v>0.78125</v>
      </c>
      <c r="O263" s="248" t="s">
        <v>1963</v>
      </c>
      <c r="P263" s="248" t="s">
        <v>1964</v>
      </c>
      <c r="Q263" s="248" t="s">
        <v>1966</v>
      </c>
      <c r="R263" s="248"/>
      <c r="S263" s="248"/>
      <c r="T263" s="246"/>
      <c r="U263" s="246"/>
      <c r="V263" s="246"/>
    </row>
    <row r="264" spans="1:22" ht="12.75">
      <c r="A264" s="242">
        <v>46307</v>
      </c>
      <c r="B264" s="243" t="s">
        <v>563</v>
      </c>
      <c r="C264" s="243" t="s">
        <v>53</v>
      </c>
      <c r="D264" s="243" t="s">
        <v>101</v>
      </c>
      <c r="E264" s="243" t="s">
        <v>707</v>
      </c>
      <c r="F264" s="243" t="s">
        <v>66</v>
      </c>
      <c r="G264" s="243" t="s">
        <v>764</v>
      </c>
      <c r="H264" s="243" t="s">
        <v>709</v>
      </c>
      <c r="I264" s="244" t="s">
        <v>710</v>
      </c>
      <c r="J264" s="243" t="s">
        <v>34</v>
      </c>
      <c r="K264" s="243" t="s">
        <v>2007</v>
      </c>
      <c r="L264" s="245" t="s">
        <v>2008</v>
      </c>
      <c r="M264" s="259">
        <v>0.78125</v>
      </c>
      <c r="N264" s="259">
        <v>0.84375</v>
      </c>
      <c r="O264" s="243" t="s">
        <v>1963</v>
      </c>
      <c r="P264" s="243" t="s">
        <v>1964</v>
      </c>
      <c r="Q264" s="243"/>
      <c r="R264" s="243"/>
      <c r="S264" s="243"/>
      <c r="T264" s="246"/>
      <c r="U264" s="246"/>
      <c r="V264" s="246"/>
    </row>
    <row r="265" spans="1:22" ht="12.75">
      <c r="A265" s="247">
        <v>46307</v>
      </c>
      <c r="B265" s="248" t="s">
        <v>547</v>
      </c>
      <c r="C265" s="248" t="s">
        <v>53</v>
      </c>
      <c r="D265" s="248" t="s">
        <v>285</v>
      </c>
      <c r="E265" s="248" t="s">
        <v>707</v>
      </c>
      <c r="F265" s="248" t="s">
        <v>66</v>
      </c>
      <c r="G265" s="248" t="s">
        <v>764</v>
      </c>
      <c r="H265" s="248" t="s">
        <v>740</v>
      </c>
      <c r="I265" s="249" t="s">
        <v>710</v>
      </c>
      <c r="J265" s="248" t="s">
        <v>34</v>
      </c>
      <c r="K265" s="248" t="s">
        <v>2013</v>
      </c>
      <c r="L265" s="250" t="s">
        <v>2014</v>
      </c>
      <c r="M265" s="256">
        <v>0.85416666666666663</v>
      </c>
      <c r="N265" s="256">
        <v>0.86458333333333337</v>
      </c>
      <c r="O265" s="248" t="s">
        <v>1964</v>
      </c>
      <c r="P265" s="248" t="s">
        <v>1963</v>
      </c>
      <c r="Q265" s="248"/>
      <c r="R265" s="248"/>
      <c r="S265" s="248"/>
      <c r="T265" s="246"/>
      <c r="U265" s="246"/>
      <c r="V265" s="246"/>
    </row>
    <row r="266" spans="1:22" ht="12.75">
      <c r="A266" s="242">
        <v>46307</v>
      </c>
      <c r="B266" s="243" t="s">
        <v>547</v>
      </c>
      <c r="C266" s="243" t="s">
        <v>53</v>
      </c>
      <c r="D266" s="243" t="s">
        <v>285</v>
      </c>
      <c r="E266" s="243" t="s">
        <v>707</v>
      </c>
      <c r="F266" s="243" t="s">
        <v>66</v>
      </c>
      <c r="G266" s="243" t="s">
        <v>764</v>
      </c>
      <c r="H266" s="243" t="s">
        <v>740</v>
      </c>
      <c r="I266" s="244" t="s">
        <v>710</v>
      </c>
      <c r="J266" s="243" t="s">
        <v>34</v>
      </c>
      <c r="K266" s="243" t="s">
        <v>2017</v>
      </c>
      <c r="L266" s="245" t="s">
        <v>2018</v>
      </c>
      <c r="M266" s="259">
        <v>0.875</v>
      </c>
      <c r="N266" s="259">
        <v>0.9375</v>
      </c>
      <c r="O266" s="243" t="s">
        <v>1964</v>
      </c>
      <c r="P266" s="243" t="s">
        <v>1963</v>
      </c>
      <c r="Q266" s="243"/>
      <c r="R266" s="243"/>
      <c r="S266" s="243"/>
      <c r="T266" s="246"/>
      <c r="U266" s="246"/>
      <c r="V266" s="246"/>
    </row>
    <row r="267" spans="1:22" ht="12.75">
      <c r="A267" s="247">
        <v>46307</v>
      </c>
      <c r="B267" s="248" t="s">
        <v>547</v>
      </c>
      <c r="C267" s="248" t="s">
        <v>53</v>
      </c>
      <c r="D267" s="248" t="s">
        <v>285</v>
      </c>
      <c r="E267" s="248" t="s">
        <v>707</v>
      </c>
      <c r="F267" s="248" t="s">
        <v>66</v>
      </c>
      <c r="G267" s="248" t="s">
        <v>764</v>
      </c>
      <c r="H267" s="248" t="s">
        <v>740</v>
      </c>
      <c r="I267" s="249" t="s">
        <v>710</v>
      </c>
      <c r="J267" s="248" t="s">
        <v>34</v>
      </c>
      <c r="K267" s="248" t="s">
        <v>2021</v>
      </c>
      <c r="L267" s="250" t="s">
        <v>2022</v>
      </c>
      <c r="M267" s="256">
        <v>0.9375</v>
      </c>
      <c r="N267" s="256">
        <v>0.96875</v>
      </c>
      <c r="O267" s="248" t="s">
        <v>1964</v>
      </c>
      <c r="P267" s="248" t="s">
        <v>1963</v>
      </c>
      <c r="Q267" s="248"/>
      <c r="R267" s="248"/>
      <c r="S267" s="248"/>
      <c r="T267" s="246"/>
      <c r="U267" s="246"/>
      <c r="V267" s="246"/>
    </row>
    <row r="268" spans="1:22" ht="12.75">
      <c r="A268" s="242">
        <v>46307</v>
      </c>
      <c r="B268" s="243" t="s">
        <v>547</v>
      </c>
      <c r="C268" s="243" t="s">
        <v>53</v>
      </c>
      <c r="D268" s="243" t="s">
        <v>285</v>
      </c>
      <c r="E268" s="243" t="s">
        <v>707</v>
      </c>
      <c r="F268" s="243" t="s">
        <v>66</v>
      </c>
      <c r="G268" s="243" t="s">
        <v>764</v>
      </c>
      <c r="H268" s="243" t="s">
        <v>740</v>
      </c>
      <c r="I268" s="244" t="s">
        <v>710</v>
      </c>
      <c r="J268" s="243" t="s">
        <v>34</v>
      </c>
      <c r="K268" s="243" t="s">
        <v>2025</v>
      </c>
      <c r="L268" s="245" t="s">
        <v>2002</v>
      </c>
      <c r="M268" s="259">
        <v>0.96875</v>
      </c>
      <c r="N268" s="259">
        <v>0</v>
      </c>
      <c r="O268" s="243" t="s">
        <v>1964</v>
      </c>
      <c r="P268" s="243" t="s">
        <v>1963</v>
      </c>
      <c r="Q268" s="243"/>
      <c r="R268" s="243"/>
      <c r="S268" s="243"/>
      <c r="T268" s="246"/>
      <c r="U268" s="246"/>
      <c r="V268" s="246"/>
    </row>
    <row r="269" spans="1:22" ht="12.75">
      <c r="A269" s="247">
        <v>46307</v>
      </c>
      <c r="B269" s="248" t="s">
        <v>547</v>
      </c>
      <c r="C269" s="248" t="s">
        <v>53</v>
      </c>
      <c r="D269" s="248" t="s">
        <v>285</v>
      </c>
      <c r="E269" s="248" t="s">
        <v>707</v>
      </c>
      <c r="F269" s="248" t="s">
        <v>66</v>
      </c>
      <c r="G269" s="248" t="s">
        <v>764</v>
      </c>
      <c r="H269" s="248" t="s">
        <v>740</v>
      </c>
      <c r="I269" s="249" t="s">
        <v>710</v>
      </c>
      <c r="J269" s="248" t="s">
        <v>34</v>
      </c>
      <c r="K269" s="248" t="s">
        <v>2028</v>
      </c>
      <c r="L269" s="250" t="s">
        <v>2029</v>
      </c>
      <c r="M269" s="256">
        <v>0</v>
      </c>
      <c r="N269" s="256">
        <v>1.0416666666666666E-2</v>
      </c>
      <c r="O269" s="248" t="s">
        <v>1964</v>
      </c>
      <c r="P269" s="248" t="s">
        <v>1963</v>
      </c>
      <c r="Q269" s="248"/>
      <c r="R269" s="248"/>
      <c r="S269" s="248"/>
      <c r="T269" s="246"/>
      <c r="U269" s="246"/>
      <c r="V269" s="246"/>
    </row>
    <row r="270" spans="1:22" ht="12.75">
      <c r="A270" s="242">
        <v>46307</v>
      </c>
      <c r="B270" s="243" t="s">
        <v>547</v>
      </c>
      <c r="C270" s="243" t="s">
        <v>53</v>
      </c>
      <c r="D270" s="243" t="s">
        <v>285</v>
      </c>
      <c r="E270" s="243" t="s">
        <v>707</v>
      </c>
      <c r="F270" s="243" t="s">
        <v>66</v>
      </c>
      <c r="G270" s="243" t="s">
        <v>764</v>
      </c>
      <c r="H270" s="243" t="s">
        <v>740</v>
      </c>
      <c r="I270" s="244" t="s">
        <v>710</v>
      </c>
      <c r="J270" s="243" t="s">
        <v>34</v>
      </c>
      <c r="K270" s="243" t="s">
        <v>2034</v>
      </c>
      <c r="L270" s="245" t="s">
        <v>2035</v>
      </c>
      <c r="M270" s="259">
        <v>2.0833333333333332E-2</v>
      </c>
      <c r="N270" s="259">
        <v>3.125E-2</v>
      </c>
      <c r="O270" s="243" t="s">
        <v>1964</v>
      </c>
      <c r="P270" s="243" t="s">
        <v>1963</v>
      </c>
      <c r="Q270" s="243"/>
      <c r="R270" s="243"/>
      <c r="S270" s="243"/>
      <c r="T270" s="246"/>
      <c r="U270" s="246"/>
      <c r="V270" s="246"/>
    </row>
    <row r="271" spans="1:22" ht="12.75">
      <c r="A271" s="247">
        <v>46307</v>
      </c>
      <c r="B271" s="248" t="s">
        <v>547</v>
      </c>
      <c r="C271" s="248" t="s">
        <v>53</v>
      </c>
      <c r="D271" s="248" t="s">
        <v>285</v>
      </c>
      <c r="E271" s="248" t="s">
        <v>707</v>
      </c>
      <c r="F271" s="248" t="s">
        <v>66</v>
      </c>
      <c r="G271" s="248" t="s">
        <v>764</v>
      </c>
      <c r="H271" s="248" t="s">
        <v>740</v>
      </c>
      <c r="I271" s="249" t="s">
        <v>710</v>
      </c>
      <c r="J271" s="248" t="s">
        <v>34</v>
      </c>
      <c r="K271" s="248" t="s">
        <v>2039</v>
      </c>
      <c r="L271" s="250" t="s">
        <v>2040</v>
      </c>
      <c r="M271" s="256">
        <v>4.1666666666666664E-2</v>
      </c>
      <c r="N271" s="256">
        <v>5.2083333333333336E-2</v>
      </c>
      <c r="O271" s="248" t="s">
        <v>1964</v>
      </c>
      <c r="P271" s="248" t="s">
        <v>1963</v>
      </c>
      <c r="Q271" s="248"/>
      <c r="R271" s="248"/>
      <c r="S271" s="248"/>
      <c r="T271" s="246"/>
      <c r="U271" s="246"/>
      <c r="V271" s="246"/>
    </row>
    <row r="272" spans="1:22" ht="12.75">
      <c r="A272" s="242">
        <v>46307</v>
      </c>
      <c r="B272" s="243" t="s">
        <v>547</v>
      </c>
      <c r="C272" s="243" t="s">
        <v>53</v>
      </c>
      <c r="D272" s="243" t="s">
        <v>285</v>
      </c>
      <c r="E272" s="243" t="s">
        <v>707</v>
      </c>
      <c r="F272" s="243" t="s">
        <v>66</v>
      </c>
      <c r="G272" s="243" t="s">
        <v>764</v>
      </c>
      <c r="H272" s="243" t="s">
        <v>740</v>
      </c>
      <c r="I272" s="244" t="s">
        <v>710</v>
      </c>
      <c r="J272" s="243" t="s">
        <v>34</v>
      </c>
      <c r="K272" s="243" t="s">
        <v>2044</v>
      </c>
      <c r="L272" s="245" t="s">
        <v>2045</v>
      </c>
      <c r="M272" s="259">
        <v>6.25E-2</v>
      </c>
      <c r="N272" s="259">
        <v>7.2916666666666671E-2</v>
      </c>
      <c r="O272" s="243" t="s">
        <v>1964</v>
      </c>
      <c r="P272" s="243" t="s">
        <v>1963</v>
      </c>
      <c r="Q272" s="243"/>
      <c r="R272" s="243"/>
      <c r="S272" s="243"/>
      <c r="T272" s="246"/>
      <c r="U272" s="246"/>
      <c r="V272" s="246"/>
    </row>
    <row r="273" spans="1:22" ht="12.75">
      <c r="A273" s="247">
        <v>46307</v>
      </c>
      <c r="B273" s="248" t="s">
        <v>547</v>
      </c>
      <c r="C273" s="248" t="s">
        <v>53</v>
      </c>
      <c r="D273" s="248" t="s">
        <v>285</v>
      </c>
      <c r="E273" s="248" t="s">
        <v>707</v>
      </c>
      <c r="F273" s="248" t="s">
        <v>66</v>
      </c>
      <c r="G273" s="248" t="s">
        <v>764</v>
      </c>
      <c r="H273" s="248" t="s">
        <v>740</v>
      </c>
      <c r="I273" s="249" t="s">
        <v>710</v>
      </c>
      <c r="J273" s="248" t="s">
        <v>34</v>
      </c>
      <c r="K273" s="248" t="s">
        <v>2050</v>
      </c>
      <c r="L273" s="250" t="s">
        <v>2051</v>
      </c>
      <c r="M273" s="256">
        <v>8.3333333333333329E-2</v>
      </c>
      <c r="N273" s="256">
        <v>9.375E-2</v>
      </c>
      <c r="O273" s="248" t="s">
        <v>1964</v>
      </c>
      <c r="P273" s="248"/>
      <c r="Q273" s="248"/>
      <c r="R273" s="248"/>
      <c r="S273" s="248"/>
      <c r="T273" s="246"/>
      <c r="U273" s="246"/>
      <c r="V273" s="246"/>
    </row>
    <row r="274" spans="1:22" ht="12.75">
      <c r="A274" s="242">
        <v>46307</v>
      </c>
      <c r="B274" s="243" t="s">
        <v>547</v>
      </c>
      <c r="C274" s="243" t="s">
        <v>53</v>
      </c>
      <c r="D274" s="243" t="s">
        <v>285</v>
      </c>
      <c r="E274" s="243" t="s">
        <v>707</v>
      </c>
      <c r="F274" s="243" t="s">
        <v>66</v>
      </c>
      <c r="G274" s="243" t="s">
        <v>764</v>
      </c>
      <c r="H274" s="243" t="s">
        <v>740</v>
      </c>
      <c r="I274" s="244" t="s">
        <v>710</v>
      </c>
      <c r="J274" s="243" t="s">
        <v>34</v>
      </c>
      <c r="K274" s="243" t="s">
        <v>2052</v>
      </c>
      <c r="L274" s="245" t="s">
        <v>2053</v>
      </c>
      <c r="M274" s="259">
        <v>9.375E-2</v>
      </c>
      <c r="N274" s="259">
        <v>0.125</v>
      </c>
      <c r="O274" s="243" t="s">
        <v>1964</v>
      </c>
      <c r="P274" s="243" t="s">
        <v>1963</v>
      </c>
      <c r="Q274" s="243"/>
      <c r="R274" s="243"/>
      <c r="S274" s="243"/>
      <c r="T274" s="246"/>
      <c r="U274" s="246"/>
      <c r="V274" s="246"/>
    </row>
    <row r="275" spans="1:22" ht="12.75">
      <c r="A275" s="247">
        <v>46307</v>
      </c>
      <c r="B275" s="248" t="s">
        <v>547</v>
      </c>
      <c r="C275" s="248" t="s">
        <v>53</v>
      </c>
      <c r="D275" s="248" t="s">
        <v>285</v>
      </c>
      <c r="E275" s="248" t="s">
        <v>707</v>
      </c>
      <c r="F275" s="248" t="s">
        <v>66</v>
      </c>
      <c r="G275" s="248" t="s">
        <v>764</v>
      </c>
      <c r="H275" s="248" t="s">
        <v>740</v>
      </c>
      <c r="I275" s="249" t="s">
        <v>710</v>
      </c>
      <c r="J275" s="248" t="s">
        <v>34</v>
      </c>
      <c r="K275" s="248" t="s">
        <v>2056</v>
      </c>
      <c r="L275" s="250" t="s">
        <v>2057</v>
      </c>
      <c r="M275" s="256">
        <v>0.125</v>
      </c>
      <c r="N275" s="256">
        <v>0.13541666666666666</v>
      </c>
      <c r="O275" s="248" t="s">
        <v>1963</v>
      </c>
      <c r="P275" s="248"/>
      <c r="Q275" s="248"/>
      <c r="R275" s="248"/>
      <c r="S275" s="248"/>
      <c r="T275" s="246"/>
      <c r="U275" s="246"/>
      <c r="V275" s="246"/>
    </row>
    <row r="276" spans="1:22" ht="12.75">
      <c r="A276" s="242">
        <v>46307</v>
      </c>
      <c r="B276" s="243" t="s">
        <v>547</v>
      </c>
      <c r="C276" s="243" t="s">
        <v>53</v>
      </c>
      <c r="D276" s="243" t="s">
        <v>285</v>
      </c>
      <c r="E276" s="243" t="s">
        <v>707</v>
      </c>
      <c r="F276" s="243" t="s">
        <v>66</v>
      </c>
      <c r="G276" s="243" t="s">
        <v>764</v>
      </c>
      <c r="H276" s="243" t="s">
        <v>709</v>
      </c>
      <c r="I276" s="244" t="s">
        <v>710</v>
      </c>
      <c r="J276" s="243" t="s">
        <v>34</v>
      </c>
      <c r="K276" s="243" t="s">
        <v>2059</v>
      </c>
      <c r="L276" s="245" t="s">
        <v>2008</v>
      </c>
      <c r="M276" s="259">
        <v>0.13541666666666666</v>
      </c>
      <c r="N276" s="259">
        <v>0.19791666666666666</v>
      </c>
      <c r="O276" s="243" t="s">
        <v>1964</v>
      </c>
      <c r="P276" s="243" t="s">
        <v>1963</v>
      </c>
      <c r="Q276" s="243"/>
      <c r="R276" s="243"/>
      <c r="S276" s="243"/>
      <c r="T276" s="246"/>
      <c r="U276" s="246"/>
      <c r="V276" s="246"/>
    </row>
    <row r="277" spans="1:22" ht="12.75">
      <c r="A277" s="247">
        <v>46307</v>
      </c>
      <c r="B277" s="248" t="s">
        <v>547</v>
      </c>
      <c r="C277" s="248" t="s">
        <v>53</v>
      </c>
      <c r="D277" s="248" t="s">
        <v>1630</v>
      </c>
      <c r="E277" s="248" t="s">
        <v>815</v>
      </c>
      <c r="F277" s="248" t="s">
        <v>328</v>
      </c>
      <c r="G277" s="248" t="s">
        <v>764</v>
      </c>
      <c r="H277" s="248" t="s">
        <v>740</v>
      </c>
      <c r="I277" s="249" t="s">
        <v>710</v>
      </c>
      <c r="J277" s="248" t="s">
        <v>34</v>
      </c>
      <c r="K277" s="248" t="s">
        <v>2063</v>
      </c>
      <c r="L277" s="250" t="s">
        <v>2064</v>
      </c>
      <c r="M277" s="256">
        <v>0.58333333333333337</v>
      </c>
      <c r="N277" s="256">
        <v>0.60416666666666663</v>
      </c>
      <c r="O277" s="248" t="s">
        <v>2067</v>
      </c>
      <c r="P277" s="248" t="s">
        <v>2068</v>
      </c>
      <c r="Q277" s="248" t="s">
        <v>2069</v>
      </c>
      <c r="R277" s="248"/>
      <c r="S277" s="248"/>
      <c r="T277" s="246"/>
      <c r="U277" s="246"/>
      <c r="V277" s="246"/>
    </row>
    <row r="278" spans="1:22" ht="12.75">
      <c r="A278" s="242">
        <v>46307</v>
      </c>
      <c r="B278" s="243" t="s">
        <v>547</v>
      </c>
      <c r="C278" s="243" t="s">
        <v>53</v>
      </c>
      <c r="D278" s="243" t="s">
        <v>1630</v>
      </c>
      <c r="E278" s="243" t="s">
        <v>815</v>
      </c>
      <c r="F278" s="243" t="s">
        <v>328</v>
      </c>
      <c r="G278" s="243" t="s">
        <v>764</v>
      </c>
      <c r="H278" s="243" t="s">
        <v>740</v>
      </c>
      <c r="I278" s="244" t="s">
        <v>710</v>
      </c>
      <c r="J278" s="243" t="s">
        <v>34</v>
      </c>
      <c r="K278" s="243" t="s">
        <v>2074</v>
      </c>
      <c r="L278" s="245" t="s">
        <v>2075</v>
      </c>
      <c r="M278" s="259">
        <v>0.60416666666666663</v>
      </c>
      <c r="N278" s="259">
        <v>0.63541666666666663</v>
      </c>
      <c r="O278" s="243" t="s">
        <v>2067</v>
      </c>
      <c r="P278" s="243" t="s">
        <v>2068</v>
      </c>
      <c r="Q278" s="243" t="s">
        <v>2069</v>
      </c>
      <c r="R278" s="243"/>
      <c r="S278" s="243"/>
      <c r="T278" s="246"/>
      <c r="U278" s="246"/>
      <c r="V278" s="246"/>
    </row>
    <row r="279" spans="1:22" ht="12.75">
      <c r="A279" s="247">
        <v>46307</v>
      </c>
      <c r="B279" s="248" t="s">
        <v>547</v>
      </c>
      <c r="C279" s="248" t="s">
        <v>53</v>
      </c>
      <c r="D279" s="248" t="s">
        <v>1630</v>
      </c>
      <c r="E279" s="248" t="s">
        <v>815</v>
      </c>
      <c r="F279" s="248" t="s">
        <v>328</v>
      </c>
      <c r="G279" s="248" t="s">
        <v>764</v>
      </c>
      <c r="H279" s="248" t="s">
        <v>740</v>
      </c>
      <c r="I279" s="249" t="s">
        <v>710</v>
      </c>
      <c r="J279" s="248" t="s">
        <v>34</v>
      </c>
      <c r="K279" s="248" t="s">
        <v>2081</v>
      </c>
      <c r="L279" s="250" t="s">
        <v>2082</v>
      </c>
      <c r="M279" s="256">
        <v>0.63541666666666663</v>
      </c>
      <c r="N279" s="256">
        <v>0.66666666666666663</v>
      </c>
      <c r="O279" s="248" t="s">
        <v>2067</v>
      </c>
      <c r="P279" s="248" t="s">
        <v>2068</v>
      </c>
      <c r="Q279" s="248" t="s">
        <v>2069</v>
      </c>
      <c r="R279" s="248"/>
      <c r="S279" s="248"/>
      <c r="T279" s="246"/>
      <c r="U279" s="246"/>
      <c r="V279" s="246"/>
    </row>
    <row r="280" spans="1:22" ht="12.75">
      <c r="A280" s="242">
        <v>46307</v>
      </c>
      <c r="B280" s="243" t="s">
        <v>549</v>
      </c>
      <c r="C280" s="243" t="s">
        <v>631</v>
      </c>
      <c r="D280" s="243" t="s">
        <v>1627</v>
      </c>
      <c r="E280" s="243" t="s">
        <v>815</v>
      </c>
      <c r="F280" s="243" t="s">
        <v>328</v>
      </c>
      <c r="G280" s="243" t="s">
        <v>764</v>
      </c>
      <c r="H280" s="243" t="s">
        <v>740</v>
      </c>
      <c r="I280" s="244" t="s">
        <v>710</v>
      </c>
      <c r="J280" s="243" t="s">
        <v>34</v>
      </c>
      <c r="K280" s="243" t="s">
        <v>2087</v>
      </c>
      <c r="L280" s="245" t="s">
        <v>2088</v>
      </c>
      <c r="M280" s="259">
        <v>0.54166666666666663</v>
      </c>
      <c r="N280" s="259">
        <v>0.5625</v>
      </c>
      <c r="O280" s="243" t="s">
        <v>2067</v>
      </c>
      <c r="P280" s="243" t="s">
        <v>2068</v>
      </c>
      <c r="Q280" s="243" t="s">
        <v>2069</v>
      </c>
      <c r="R280" s="243"/>
      <c r="S280" s="243"/>
      <c r="T280" s="246"/>
      <c r="U280" s="246"/>
      <c r="V280" s="246"/>
    </row>
    <row r="281" spans="1:22" ht="12.75">
      <c r="A281" s="247">
        <v>46307</v>
      </c>
      <c r="B281" s="248" t="s">
        <v>549</v>
      </c>
      <c r="C281" s="248" t="s">
        <v>404</v>
      </c>
      <c r="D281" s="248" t="s">
        <v>1352</v>
      </c>
      <c r="E281" s="248" t="s">
        <v>707</v>
      </c>
      <c r="F281" s="248" t="s">
        <v>328</v>
      </c>
      <c r="G281" s="248" t="s">
        <v>764</v>
      </c>
      <c r="H281" s="248" t="s">
        <v>709</v>
      </c>
      <c r="I281" s="249" t="s">
        <v>710</v>
      </c>
      <c r="J281" s="248" t="s">
        <v>34</v>
      </c>
      <c r="K281" s="248" t="s">
        <v>2092</v>
      </c>
      <c r="L281" s="250" t="s">
        <v>2093</v>
      </c>
      <c r="M281" s="256">
        <v>0.6875</v>
      </c>
      <c r="N281" s="256">
        <v>0.70833333333333337</v>
      </c>
      <c r="O281" s="248" t="s">
        <v>2069</v>
      </c>
      <c r="P281" s="248"/>
      <c r="Q281" s="248"/>
      <c r="R281" s="248"/>
      <c r="S281" s="248"/>
      <c r="T281" s="246"/>
      <c r="U281" s="246"/>
      <c r="V281" s="246"/>
    </row>
    <row r="282" spans="1:22" ht="12.75">
      <c r="A282" s="242">
        <v>46307</v>
      </c>
      <c r="B282" s="243" t="s">
        <v>549</v>
      </c>
      <c r="C282" s="243" t="s">
        <v>404</v>
      </c>
      <c r="D282" s="243" t="s">
        <v>1352</v>
      </c>
      <c r="E282" s="243" t="s">
        <v>707</v>
      </c>
      <c r="F282" s="243" t="s">
        <v>328</v>
      </c>
      <c r="G282" s="243" t="s">
        <v>764</v>
      </c>
      <c r="H282" s="243" t="s">
        <v>709</v>
      </c>
      <c r="I282" s="244" t="s">
        <v>710</v>
      </c>
      <c r="J282" s="243" t="s">
        <v>34</v>
      </c>
      <c r="K282" s="243" t="s">
        <v>2097</v>
      </c>
      <c r="L282" s="245" t="s">
        <v>2098</v>
      </c>
      <c r="M282" s="259">
        <v>0.70833333333333337</v>
      </c>
      <c r="N282" s="259">
        <v>0.77083333333333337</v>
      </c>
      <c r="O282" s="243" t="s">
        <v>2067</v>
      </c>
      <c r="P282" s="243" t="s">
        <v>2068</v>
      </c>
      <c r="Q282" s="243"/>
      <c r="R282" s="243"/>
      <c r="S282" s="243"/>
      <c r="T282" s="246"/>
      <c r="U282" s="246"/>
      <c r="V282" s="246"/>
    </row>
    <row r="283" spans="1:22" ht="12.75">
      <c r="A283" s="247">
        <v>46307</v>
      </c>
      <c r="B283" s="248" t="s">
        <v>549</v>
      </c>
      <c r="C283" s="248" t="s">
        <v>404</v>
      </c>
      <c r="D283" s="248" t="s">
        <v>1352</v>
      </c>
      <c r="E283" s="248" t="s">
        <v>707</v>
      </c>
      <c r="F283" s="248" t="s">
        <v>328</v>
      </c>
      <c r="G283" s="248" t="s">
        <v>764</v>
      </c>
      <c r="H283" s="248" t="s">
        <v>709</v>
      </c>
      <c r="I283" s="249" t="s">
        <v>710</v>
      </c>
      <c r="J283" s="248" t="s">
        <v>34</v>
      </c>
      <c r="K283" s="248" t="s">
        <v>2101</v>
      </c>
      <c r="L283" s="250" t="s">
        <v>2102</v>
      </c>
      <c r="M283" s="256">
        <v>0.70833333333333337</v>
      </c>
      <c r="N283" s="256">
        <v>0.75</v>
      </c>
      <c r="O283" s="248" t="s">
        <v>2069</v>
      </c>
      <c r="P283" s="248"/>
      <c r="Q283" s="248"/>
      <c r="R283" s="248"/>
      <c r="S283" s="248"/>
      <c r="T283" s="246"/>
      <c r="U283" s="246"/>
      <c r="V283" s="246"/>
    </row>
    <row r="284" spans="1:22" ht="12.75">
      <c r="A284" s="242">
        <v>46307</v>
      </c>
      <c r="B284" s="243" t="s">
        <v>547</v>
      </c>
      <c r="C284" s="243" t="s">
        <v>53</v>
      </c>
      <c r="D284" s="243" t="s">
        <v>1932</v>
      </c>
      <c r="E284" s="243" t="s">
        <v>707</v>
      </c>
      <c r="F284" s="243" t="s">
        <v>328</v>
      </c>
      <c r="G284" s="243" t="s">
        <v>764</v>
      </c>
      <c r="H284" s="243" t="s">
        <v>709</v>
      </c>
      <c r="I284" s="244" t="s">
        <v>710</v>
      </c>
      <c r="J284" s="243" t="s">
        <v>34</v>
      </c>
      <c r="K284" s="243" t="s">
        <v>2104</v>
      </c>
      <c r="L284" s="245" t="s">
        <v>2098</v>
      </c>
      <c r="M284" s="259">
        <v>0.77083333333333337</v>
      </c>
      <c r="N284" s="259">
        <v>0.8125</v>
      </c>
      <c r="O284" s="243" t="s">
        <v>2067</v>
      </c>
      <c r="P284" s="243" t="s">
        <v>2068</v>
      </c>
      <c r="Q284" s="243"/>
      <c r="R284" s="243"/>
      <c r="S284" s="243"/>
      <c r="T284" s="246"/>
      <c r="U284" s="246"/>
      <c r="V284" s="246"/>
    </row>
    <row r="285" spans="1:22" ht="12.75">
      <c r="A285" s="247">
        <v>46307</v>
      </c>
      <c r="B285" s="248" t="s">
        <v>547</v>
      </c>
      <c r="C285" s="248" t="s">
        <v>53</v>
      </c>
      <c r="D285" s="248" t="s">
        <v>1932</v>
      </c>
      <c r="E285" s="248" t="s">
        <v>707</v>
      </c>
      <c r="F285" s="248" t="s">
        <v>328</v>
      </c>
      <c r="G285" s="248" t="s">
        <v>764</v>
      </c>
      <c r="H285" s="248" t="s">
        <v>709</v>
      </c>
      <c r="I285" s="249" t="s">
        <v>710</v>
      </c>
      <c r="J285" s="248" t="s">
        <v>34</v>
      </c>
      <c r="K285" s="248" t="s">
        <v>2107</v>
      </c>
      <c r="L285" s="250" t="s">
        <v>2108</v>
      </c>
      <c r="M285" s="256">
        <v>0.8125</v>
      </c>
      <c r="N285" s="256">
        <v>0.83333333333333337</v>
      </c>
      <c r="O285" s="248" t="s">
        <v>2069</v>
      </c>
      <c r="P285" s="248"/>
      <c r="Q285" s="248"/>
      <c r="R285" s="248"/>
      <c r="S285" s="248"/>
      <c r="T285" s="246"/>
      <c r="U285" s="246"/>
      <c r="V285" s="246"/>
    </row>
    <row r="286" spans="1:22" ht="12.75">
      <c r="A286" s="242">
        <v>46307</v>
      </c>
      <c r="B286" s="243" t="s">
        <v>547</v>
      </c>
      <c r="C286" s="243" t="s">
        <v>53</v>
      </c>
      <c r="D286" s="243" t="s">
        <v>198</v>
      </c>
      <c r="E286" s="243" t="s">
        <v>707</v>
      </c>
      <c r="F286" s="243" t="s">
        <v>328</v>
      </c>
      <c r="G286" s="243" t="s">
        <v>708</v>
      </c>
      <c r="H286" s="243" t="s">
        <v>709</v>
      </c>
      <c r="I286" s="244" t="s">
        <v>710</v>
      </c>
      <c r="J286" s="243" t="s">
        <v>34</v>
      </c>
      <c r="K286" s="243" t="s">
        <v>2110</v>
      </c>
      <c r="L286" s="245" t="s">
        <v>2098</v>
      </c>
      <c r="M286" s="259">
        <v>0.83472222222222225</v>
      </c>
      <c r="N286" s="259">
        <v>0.89722222222222225</v>
      </c>
      <c r="O286" s="243" t="s">
        <v>2111</v>
      </c>
      <c r="P286" s="243"/>
      <c r="Q286" s="243"/>
      <c r="R286" s="243"/>
      <c r="S286" s="243"/>
      <c r="T286" s="246"/>
      <c r="U286" s="246"/>
      <c r="V286" s="246"/>
    </row>
    <row r="287" spans="1:22" ht="12.75">
      <c r="A287" s="247">
        <v>46307</v>
      </c>
      <c r="B287" s="248" t="s">
        <v>547</v>
      </c>
      <c r="C287" s="248" t="s">
        <v>53</v>
      </c>
      <c r="D287" s="248" t="s">
        <v>1932</v>
      </c>
      <c r="E287" s="248" t="s">
        <v>707</v>
      </c>
      <c r="F287" s="248" t="s">
        <v>328</v>
      </c>
      <c r="G287" s="248" t="s">
        <v>708</v>
      </c>
      <c r="H287" s="248" t="s">
        <v>709</v>
      </c>
      <c r="I287" s="249" t="s">
        <v>710</v>
      </c>
      <c r="J287" s="248" t="s">
        <v>34</v>
      </c>
      <c r="K287" s="248" t="s">
        <v>2114</v>
      </c>
      <c r="L287" s="250" t="s">
        <v>2115</v>
      </c>
      <c r="M287" s="256">
        <v>0.90277777777777779</v>
      </c>
      <c r="N287" s="256">
        <v>0.98611111111111116</v>
      </c>
      <c r="O287" s="248" t="s">
        <v>2111</v>
      </c>
      <c r="P287" s="248"/>
      <c r="Q287" s="248"/>
      <c r="R287" s="248"/>
      <c r="S287" s="248"/>
      <c r="T287" s="246"/>
      <c r="U287" s="246"/>
      <c r="V287" s="246"/>
    </row>
    <row r="288" spans="1:22" ht="12.75">
      <c r="A288" s="242">
        <v>46307</v>
      </c>
      <c r="B288" s="243" t="s">
        <v>563</v>
      </c>
      <c r="C288" s="243" t="s">
        <v>53</v>
      </c>
      <c r="D288" s="243" t="s">
        <v>353</v>
      </c>
      <c r="E288" s="243" t="s">
        <v>707</v>
      </c>
      <c r="F288" s="243" t="s">
        <v>328</v>
      </c>
      <c r="G288" s="243" t="s">
        <v>708</v>
      </c>
      <c r="H288" s="243" t="s">
        <v>709</v>
      </c>
      <c r="I288" s="244" t="s">
        <v>710</v>
      </c>
      <c r="J288" s="243" t="s">
        <v>34</v>
      </c>
      <c r="K288" s="243" t="s">
        <v>2116</v>
      </c>
      <c r="L288" s="245" t="s">
        <v>2117</v>
      </c>
      <c r="M288" s="259">
        <v>0.83680555555555558</v>
      </c>
      <c r="N288" s="259">
        <v>0.87847222222222221</v>
      </c>
      <c r="O288" s="243" t="s">
        <v>2118</v>
      </c>
      <c r="P288" s="243"/>
      <c r="Q288" s="243"/>
      <c r="R288" s="243"/>
      <c r="S288" s="243"/>
      <c r="T288" s="246"/>
      <c r="U288" s="246"/>
      <c r="V288" s="246"/>
    </row>
    <row r="289" spans="1:22" ht="12.75">
      <c r="A289" s="247">
        <v>46307</v>
      </c>
      <c r="B289" s="248" t="s">
        <v>563</v>
      </c>
      <c r="C289" s="248" t="s">
        <v>53</v>
      </c>
      <c r="D289" s="248" t="s">
        <v>353</v>
      </c>
      <c r="E289" s="248" t="s">
        <v>707</v>
      </c>
      <c r="F289" s="248" t="s">
        <v>328</v>
      </c>
      <c r="G289" s="248" t="s">
        <v>708</v>
      </c>
      <c r="H289" s="248" t="s">
        <v>709</v>
      </c>
      <c r="I289" s="249" t="s">
        <v>710</v>
      </c>
      <c r="J289" s="248" t="s">
        <v>34</v>
      </c>
      <c r="K289" s="248" t="s">
        <v>2120</v>
      </c>
      <c r="L289" s="250" t="s">
        <v>2098</v>
      </c>
      <c r="M289" s="256">
        <v>0.87916666666666665</v>
      </c>
      <c r="N289" s="256">
        <v>0.94166666666666665</v>
      </c>
      <c r="O289" s="248" t="s">
        <v>2118</v>
      </c>
      <c r="P289" s="248"/>
      <c r="Q289" s="248"/>
      <c r="R289" s="248"/>
      <c r="S289" s="248"/>
      <c r="T289" s="246"/>
      <c r="U289" s="246"/>
      <c r="V289" s="246"/>
    </row>
    <row r="290" spans="1:22" ht="12.75">
      <c r="A290" s="242">
        <v>46307</v>
      </c>
      <c r="B290" s="243" t="s">
        <v>563</v>
      </c>
      <c r="C290" s="243" t="s">
        <v>53</v>
      </c>
      <c r="D290" s="243" t="s">
        <v>353</v>
      </c>
      <c r="E290" s="243" t="s">
        <v>707</v>
      </c>
      <c r="F290" s="243" t="s">
        <v>328</v>
      </c>
      <c r="G290" s="243" t="s">
        <v>708</v>
      </c>
      <c r="H290" s="243" t="s">
        <v>709</v>
      </c>
      <c r="I290" s="244" t="s">
        <v>710</v>
      </c>
      <c r="J290" s="243" t="s">
        <v>34</v>
      </c>
      <c r="K290" s="243" t="s">
        <v>2122</v>
      </c>
      <c r="L290" s="245" t="s">
        <v>2123</v>
      </c>
      <c r="M290" s="259">
        <v>0.94236111111111109</v>
      </c>
      <c r="N290" s="259">
        <v>0.98402777777777772</v>
      </c>
      <c r="O290" s="243" t="s">
        <v>2118</v>
      </c>
      <c r="P290" s="243" t="s">
        <v>2111</v>
      </c>
      <c r="Q290" s="243"/>
      <c r="R290" s="243"/>
      <c r="S290" s="243"/>
      <c r="T290" s="246"/>
      <c r="U290" s="246"/>
      <c r="V290" s="246"/>
    </row>
    <row r="291" spans="1:22" ht="12.75">
      <c r="A291" s="247">
        <v>46307</v>
      </c>
      <c r="B291" s="248" t="s">
        <v>563</v>
      </c>
      <c r="C291" s="248" t="s">
        <v>53</v>
      </c>
      <c r="D291" s="248" t="s">
        <v>353</v>
      </c>
      <c r="E291" s="248" t="s">
        <v>707</v>
      </c>
      <c r="F291" s="248" t="s">
        <v>328</v>
      </c>
      <c r="G291" s="248" t="s">
        <v>708</v>
      </c>
      <c r="H291" s="248" t="s">
        <v>709</v>
      </c>
      <c r="I291" s="249" t="s">
        <v>710</v>
      </c>
      <c r="J291" s="248" t="s">
        <v>34</v>
      </c>
      <c r="K291" s="248" t="s">
        <v>2125</v>
      </c>
      <c r="L291" s="250" t="s">
        <v>2126</v>
      </c>
      <c r="M291" s="256">
        <v>0.98472222222222228</v>
      </c>
      <c r="N291" s="256">
        <v>2.6388888888888889E-2</v>
      </c>
      <c r="O291" s="248" t="s">
        <v>2118</v>
      </c>
      <c r="P291" s="248"/>
      <c r="Q291" s="248"/>
      <c r="R291" s="248"/>
      <c r="S291" s="248"/>
      <c r="T291" s="246"/>
      <c r="U291" s="246"/>
      <c r="V291" s="246"/>
    </row>
    <row r="292" spans="1:22" ht="12.75">
      <c r="A292" s="242">
        <v>46307</v>
      </c>
      <c r="B292" s="243" t="s">
        <v>563</v>
      </c>
      <c r="C292" s="243" t="s">
        <v>53</v>
      </c>
      <c r="D292" s="243" t="s">
        <v>1323</v>
      </c>
      <c r="E292" s="243" t="s">
        <v>707</v>
      </c>
      <c r="F292" s="243" t="s">
        <v>328</v>
      </c>
      <c r="G292" s="243" t="s">
        <v>708</v>
      </c>
      <c r="H292" s="243" t="s">
        <v>709</v>
      </c>
      <c r="I292" s="244" t="s">
        <v>710</v>
      </c>
      <c r="J292" s="243" t="s">
        <v>34</v>
      </c>
      <c r="K292" s="243" t="s">
        <v>2128</v>
      </c>
      <c r="L292" s="245" t="s">
        <v>2129</v>
      </c>
      <c r="M292" s="259">
        <v>0.84027777777777779</v>
      </c>
      <c r="N292" s="259">
        <v>0.92361111111111116</v>
      </c>
      <c r="O292" s="243" t="s">
        <v>2130</v>
      </c>
      <c r="P292" s="243" t="s">
        <v>2111</v>
      </c>
      <c r="Q292" s="243"/>
      <c r="R292" s="243"/>
      <c r="S292" s="243"/>
      <c r="T292" s="246"/>
      <c r="U292" s="246"/>
      <c r="V292" s="246"/>
    </row>
    <row r="293" spans="1:22" ht="12.75">
      <c r="A293" s="247">
        <v>46307</v>
      </c>
      <c r="B293" s="248" t="s">
        <v>563</v>
      </c>
      <c r="C293" s="248" t="s">
        <v>53</v>
      </c>
      <c r="D293" s="248" t="s">
        <v>1323</v>
      </c>
      <c r="E293" s="248" t="s">
        <v>707</v>
      </c>
      <c r="F293" s="248" t="s">
        <v>328</v>
      </c>
      <c r="G293" s="248" t="s">
        <v>708</v>
      </c>
      <c r="H293" s="248" t="s">
        <v>709</v>
      </c>
      <c r="I293" s="249" t="s">
        <v>710</v>
      </c>
      <c r="J293" s="248" t="s">
        <v>34</v>
      </c>
      <c r="K293" s="248" t="s">
        <v>2134</v>
      </c>
      <c r="L293" s="250" t="s">
        <v>2135</v>
      </c>
      <c r="M293" s="256">
        <v>0.9243055555555556</v>
      </c>
      <c r="N293" s="256">
        <v>4.9305555555555554E-2</v>
      </c>
      <c r="O293" s="248" t="s">
        <v>2130</v>
      </c>
      <c r="P293" s="248"/>
      <c r="Q293" s="248"/>
      <c r="R293" s="248"/>
      <c r="S293" s="248"/>
      <c r="T293" s="246"/>
      <c r="U293" s="246"/>
      <c r="V293" s="246"/>
    </row>
    <row r="294" spans="1:22" ht="12.75">
      <c r="A294" s="242">
        <v>46307</v>
      </c>
      <c r="B294" s="243" t="s">
        <v>563</v>
      </c>
      <c r="C294" s="243" t="s">
        <v>53</v>
      </c>
      <c r="D294" s="243" t="s">
        <v>1323</v>
      </c>
      <c r="E294" s="243" t="s">
        <v>707</v>
      </c>
      <c r="F294" s="243" t="s">
        <v>328</v>
      </c>
      <c r="G294" s="243" t="s">
        <v>708</v>
      </c>
      <c r="H294" s="243" t="s">
        <v>709</v>
      </c>
      <c r="I294" s="244" t="s">
        <v>710</v>
      </c>
      <c r="J294" s="243" t="s">
        <v>34</v>
      </c>
      <c r="K294" s="243" t="s">
        <v>2141</v>
      </c>
      <c r="L294" s="245" t="s">
        <v>2098</v>
      </c>
      <c r="M294" s="259">
        <v>0.05</v>
      </c>
      <c r="N294" s="259">
        <v>9.166666666666666E-2</v>
      </c>
      <c r="O294" s="243" t="s">
        <v>2130</v>
      </c>
      <c r="P294" s="243"/>
      <c r="Q294" s="243"/>
      <c r="R294" s="243"/>
      <c r="S294" s="243"/>
      <c r="T294" s="246"/>
      <c r="U294" s="246"/>
      <c r="V294" s="246"/>
    </row>
    <row r="295" spans="1:22" ht="12.75">
      <c r="A295" s="247">
        <v>46307</v>
      </c>
      <c r="B295" s="248" t="s">
        <v>549</v>
      </c>
      <c r="C295" s="248" t="s">
        <v>631</v>
      </c>
      <c r="D295" s="248" t="s">
        <v>1137</v>
      </c>
      <c r="E295" s="248" t="s">
        <v>707</v>
      </c>
      <c r="F295" s="248" t="s">
        <v>328</v>
      </c>
      <c r="G295" s="248" t="s">
        <v>708</v>
      </c>
      <c r="H295" s="248" t="s">
        <v>709</v>
      </c>
      <c r="I295" s="249" t="s">
        <v>710</v>
      </c>
      <c r="J295" s="248" t="s">
        <v>34</v>
      </c>
      <c r="K295" s="248" t="s">
        <v>2145</v>
      </c>
      <c r="L295" s="250" t="s">
        <v>2147</v>
      </c>
      <c r="M295" s="256">
        <v>0.83819444444444446</v>
      </c>
      <c r="N295" s="256">
        <v>0.87986111111111109</v>
      </c>
      <c r="O295" s="248" t="s">
        <v>2148</v>
      </c>
      <c r="P295" s="248" t="s">
        <v>2149</v>
      </c>
      <c r="Q295" s="248"/>
      <c r="R295" s="248"/>
      <c r="S295" s="248"/>
      <c r="T295" s="246"/>
      <c r="U295" s="246"/>
      <c r="V295" s="246"/>
    </row>
    <row r="296" spans="1:22" ht="12.75">
      <c r="A296" s="242">
        <v>46307</v>
      </c>
      <c r="B296" s="243" t="s">
        <v>549</v>
      </c>
      <c r="C296" s="243" t="s">
        <v>631</v>
      </c>
      <c r="D296" s="243" t="s">
        <v>1137</v>
      </c>
      <c r="E296" s="243" t="s">
        <v>707</v>
      </c>
      <c r="F296" s="243" t="s">
        <v>328</v>
      </c>
      <c r="G296" s="243" t="s">
        <v>708</v>
      </c>
      <c r="H296" s="243" t="s">
        <v>709</v>
      </c>
      <c r="I296" s="244" t="s">
        <v>710</v>
      </c>
      <c r="J296" s="243" t="s">
        <v>34</v>
      </c>
      <c r="K296" s="243" t="s">
        <v>2155</v>
      </c>
      <c r="L296" s="245" t="s">
        <v>2157</v>
      </c>
      <c r="M296" s="259">
        <v>0.88055555555555554</v>
      </c>
      <c r="N296" s="259">
        <v>0.92222222222222228</v>
      </c>
      <c r="O296" s="243" t="s">
        <v>2148</v>
      </c>
      <c r="P296" s="243" t="s">
        <v>2111</v>
      </c>
      <c r="Q296" s="243"/>
      <c r="R296" s="243"/>
      <c r="S296" s="243"/>
      <c r="T296" s="246"/>
      <c r="U296" s="246"/>
      <c r="V296" s="246"/>
    </row>
    <row r="297" spans="1:22" ht="12.75">
      <c r="A297" s="247">
        <v>46307</v>
      </c>
      <c r="B297" s="248" t="s">
        <v>549</v>
      </c>
      <c r="C297" s="248" t="s">
        <v>631</v>
      </c>
      <c r="D297" s="248" t="s">
        <v>1137</v>
      </c>
      <c r="E297" s="248" t="s">
        <v>707</v>
      </c>
      <c r="F297" s="248" t="s">
        <v>328</v>
      </c>
      <c r="G297" s="248" t="s">
        <v>708</v>
      </c>
      <c r="H297" s="248" t="s">
        <v>709</v>
      </c>
      <c r="I297" s="249" t="s">
        <v>710</v>
      </c>
      <c r="J297" s="248" t="s">
        <v>34</v>
      </c>
      <c r="K297" s="248" t="s">
        <v>2163</v>
      </c>
      <c r="L297" s="250" t="s">
        <v>2164</v>
      </c>
      <c r="M297" s="256">
        <v>0.92291666666666672</v>
      </c>
      <c r="N297" s="256">
        <v>0.96458333333333335</v>
      </c>
      <c r="O297" s="248" t="s">
        <v>2148</v>
      </c>
      <c r="P297" s="248" t="s">
        <v>2111</v>
      </c>
      <c r="Q297" s="248"/>
      <c r="R297" s="248"/>
      <c r="S297" s="248"/>
      <c r="T297" s="246"/>
      <c r="U297" s="246"/>
      <c r="V297" s="246"/>
    </row>
    <row r="298" spans="1:22" ht="12.75">
      <c r="A298" s="242">
        <v>46307</v>
      </c>
      <c r="B298" s="243" t="s">
        <v>549</v>
      </c>
      <c r="C298" s="243" t="s">
        <v>631</v>
      </c>
      <c r="D298" s="243" t="s">
        <v>1137</v>
      </c>
      <c r="E298" s="243" t="s">
        <v>707</v>
      </c>
      <c r="F298" s="243" t="s">
        <v>328</v>
      </c>
      <c r="G298" s="243" t="s">
        <v>708</v>
      </c>
      <c r="H298" s="243" t="s">
        <v>709</v>
      </c>
      <c r="I298" s="244" t="s">
        <v>710</v>
      </c>
      <c r="J298" s="243" t="s">
        <v>34</v>
      </c>
      <c r="K298" s="243" t="s">
        <v>2170</v>
      </c>
      <c r="L298" s="245" t="s">
        <v>2098</v>
      </c>
      <c r="M298" s="259">
        <v>0.96527777777777779</v>
      </c>
      <c r="N298" s="259">
        <v>6.9444444444444441E-3</v>
      </c>
      <c r="O298" s="243" t="s">
        <v>2148</v>
      </c>
      <c r="P298" s="243"/>
      <c r="Q298" s="243"/>
      <c r="R298" s="243"/>
      <c r="S298" s="243"/>
      <c r="T298" s="246"/>
      <c r="U298" s="246"/>
      <c r="V298" s="246"/>
    </row>
    <row r="299" spans="1:22" ht="12.75">
      <c r="A299" s="247">
        <v>46307</v>
      </c>
      <c r="B299" s="248" t="s">
        <v>549</v>
      </c>
      <c r="C299" s="248" t="s">
        <v>626</v>
      </c>
      <c r="D299" s="248" t="s">
        <v>264</v>
      </c>
      <c r="E299" s="248" t="s">
        <v>707</v>
      </c>
      <c r="F299" s="248" t="s">
        <v>328</v>
      </c>
      <c r="G299" s="248" t="s">
        <v>708</v>
      </c>
      <c r="H299" s="248" t="s">
        <v>709</v>
      </c>
      <c r="I299" s="249" t="s">
        <v>710</v>
      </c>
      <c r="J299" s="248" t="s">
        <v>34</v>
      </c>
      <c r="K299" s="248" t="s">
        <v>2176</v>
      </c>
      <c r="L299" s="250" t="s">
        <v>2177</v>
      </c>
      <c r="M299" s="256">
        <v>7.7083333333333337E-2</v>
      </c>
      <c r="N299" s="256">
        <v>0.11874999999999999</v>
      </c>
      <c r="O299" s="248" t="s">
        <v>2148</v>
      </c>
      <c r="P299" s="248" t="s">
        <v>2118</v>
      </c>
      <c r="Q299" s="248"/>
      <c r="R299" s="248"/>
      <c r="S299" s="248"/>
      <c r="T299" s="246"/>
      <c r="U299" s="246"/>
      <c r="V299" s="246"/>
    </row>
    <row r="300" spans="1:22" ht="12.75">
      <c r="A300" s="242">
        <v>46307</v>
      </c>
      <c r="B300" s="243" t="s">
        <v>549</v>
      </c>
      <c r="C300" s="243" t="s">
        <v>626</v>
      </c>
      <c r="D300" s="243" t="s">
        <v>264</v>
      </c>
      <c r="E300" s="243" t="s">
        <v>707</v>
      </c>
      <c r="F300" s="243" t="s">
        <v>328</v>
      </c>
      <c r="G300" s="243" t="s">
        <v>708</v>
      </c>
      <c r="H300" s="243" t="s">
        <v>709</v>
      </c>
      <c r="I300" s="244" t="s">
        <v>710</v>
      </c>
      <c r="J300" s="243" t="s">
        <v>34</v>
      </c>
      <c r="K300" s="243" t="s">
        <v>2183</v>
      </c>
      <c r="L300" s="245" t="s">
        <v>2184</v>
      </c>
      <c r="M300" s="259">
        <v>0.11944444444444445</v>
      </c>
      <c r="N300" s="259">
        <v>0.16111111111111112</v>
      </c>
      <c r="O300" s="243" t="s">
        <v>2148</v>
      </c>
      <c r="P300" s="243" t="s">
        <v>2118</v>
      </c>
      <c r="Q300" s="243"/>
      <c r="R300" s="243"/>
      <c r="S300" s="243"/>
      <c r="T300" s="246"/>
      <c r="U300" s="246"/>
      <c r="V300" s="246"/>
    </row>
    <row r="301" spans="1:22" ht="12.75">
      <c r="A301" s="247">
        <v>46307</v>
      </c>
      <c r="B301" s="248" t="s">
        <v>549</v>
      </c>
      <c r="C301" s="248" t="s">
        <v>626</v>
      </c>
      <c r="D301" s="248" t="s">
        <v>264</v>
      </c>
      <c r="E301" s="248" t="s">
        <v>707</v>
      </c>
      <c r="F301" s="248" t="s">
        <v>328</v>
      </c>
      <c r="G301" s="248" t="s">
        <v>708</v>
      </c>
      <c r="H301" s="248" t="s">
        <v>709</v>
      </c>
      <c r="I301" s="249" t="s">
        <v>710</v>
      </c>
      <c r="J301" s="248" t="s">
        <v>34</v>
      </c>
      <c r="K301" s="248" t="s">
        <v>2189</v>
      </c>
      <c r="L301" s="250" t="s">
        <v>2098</v>
      </c>
      <c r="M301" s="256">
        <v>0.16180555555555556</v>
      </c>
      <c r="N301" s="256">
        <v>0.20347222222222222</v>
      </c>
      <c r="O301" s="248" t="s">
        <v>2148</v>
      </c>
      <c r="P301" s="248" t="s">
        <v>2118</v>
      </c>
      <c r="Q301" s="248"/>
      <c r="R301" s="248"/>
      <c r="S301" s="248"/>
      <c r="T301" s="246"/>
      <c r="U301" s="246"/>
      <c r="V301" s="246"/>
    </row>
    <row r="302" spans="1:22" ht="12.75">
      <c r="A302" s="242">
        <v>46307</v>
      </c>
      <c r="B302" s="243" t="s">
        <v>547</v>
      </c>
      <c r="C302" s="243" t="s">
        <v>53</v>
      </c>
      <c r="D302" s="243" t="s">
        <v>1630</v>
      </c>
      <c r="E302" s="243" t="s">
        <v>707</v>
      </c>
      <c r="F302" s="243" t="s">
        <v>328</v>
      </c>
      <c r="G302" s="243" t="s">
        <v>708</v>
      </c>
      <c r="H302" s="243" t="s">
        <v>709</v>
      </c>
      <c r="I302" s="244" t="s">
        <v>710</v>
      </c>
      <c r="J302" s="243" t="s">
        <v>34</v>
      </c>
      <c r="K302" s="243" t="s">
        <v>2193</v>
      </c>
      <c r="L302" s="245" t="s">
        <v>2194</v>
      </c>
      <c r="M302" s="259">
        <v>0.87430555555555556</v>
      </c>
      <c r="N302" s="259">
        <v>0.95763888888888893</v>
      </c>
      <c r="O302" s="243" t="s">
        <v>2149</v>
      </c>
      <c r="P302" s="243" t="s">
        <v>2111</v>
      </c>
      <c r="Q302" s="243"/>
      <c r="R302" s="243"/>
      <c r="S302" s="243"/>
      <c r="T302" s="246"/>
      <c r="U302" s="246"/>
      <c r="V302" s="246"/>
    </row>
    <row r="303" spans="1:22" ht="12.75">
      <c r="A303" s="247">
        <v>46307</v>
      </c>
      <c r="B303" s="248" t="s">
        <v>547</v>
      </c>
      <c r="C303" s="248" t="s">
        <v>53</v>
      </c>
      <c r="D303" s="248" t="s">
        <v>1630</v>
      </c>
      <c r="E303" s="248" t="s">
        <v>707</v>
      </c>
      <c r="F303" s="248" t="s">
        <v>328</v>
      </c>
      <c r="G303" s="248" t="s">
        <v>708</v>
      </c>
      <c r="H303" s="248" t="s">
        <v>709</v>
      </c>
      <c r="I303" s="249" t="s">
        <v>710</v>
      </c>
      <c r="J303" s="248" t="s">
        <v>34</v>
      </c>
      <c r="K303" s="248" t="s">
        <v>2198</v>
      </c>
      <c r="L303" s="250" t="s">
        <v>2098</v>
      </c>
      <c r="M303" s="256">
        <v>0.95833333333333337</v>
      </c>
      <c r="N303" s="256">
        <v>2.0833333333333332E-2</v>
      </c>
      <c r="O303" s="248" t="s">
        <v>2149</v>
      </c>
      <c r="P303" s="248"/>
      <c r="Q303" s="248"/>
      <c r="R303" s="248"/>
      <c r="S303" s="248"/>
      <c r="T303" s="246"/>
      <c r="U303" s="246"/>
      <c r="V303" s="246"/>
    </row>
    <row r="304" spans="1:22" ht="12.75">
      <c r="A304" s="242">
        <v>46307</v>
      </c>
      <c r="B304" s="243" t="s">
        <v>556</v>
      </c>
      <c r="C304" s="243" t="s">
        <v>87</v>
      </c>
      <c r="D304" s="243" t="s">
        <v>646</v>
      </c>
      <c r="E304" s="243" t="s">
        <v>707</v>
      </c>
      <c r="F304" s="243" t="s">
        <v>328</v>
      </c>
      <c r="G304" s="243" t="s">
        <v>708</v>
      </c>
      <c r="H304" s="243" t="s">
        <v>709</v>
      </c>
      <c r="I304" s="244" t="s">
        <v>710</v>
      </c>
      <c r="J304" s="243" t="s">
        <v>34</v>
      </c>
      <c r="K304" s="243" t="s">
        <v>2202</v>
      </c>
      <c r="L304" s="245" t="s">
        <v>2203</v>
      </c>
      <c r="M304" s="259">
        <v>2.7083333333333334E-2</v>
      </c>
      <c r="N304" s="259">
        <v>6.8750000000000006E-2</v>
      </c>
      <c r="O304" s="243" t="s">
        <v>2149</v>
      </c>
      <c r="P304" s="243"/>
      <c r="Q304" s="243"/>
      <c r="R304" s="243"/>
      <c r="S304" s="243"/>
      <c r="T304" s="246"/>
      <c r="U304" s="246"/>
      <c r="V304" s="246"/>
    </row>
    <row r="305" spans="1:22" ht="12.75">
      <c r="A305" s="247">
        <v>46307</v>
      </c>
      <c r="B305" s="248" t="s">
        <v>556</v>
      </c>
      <c r="C305" s="248" t="s">
        <v>87</v>
      </c>
      <c r="D305" s="248" t="s">
        <v>646</v>
      </c>
      <c r="E305" s="248" t="s">
        <v>707</v>
      </c>
      <c r="F305" s="248" t="s">
        <v>328</v>
      </c>
      <c r="G305" s="248" t="s">
        <v>708</v>
      </c>
      <c r="H305" s="248" t="s">
        <v>709</v>
      </c>
      <c r="I305" s="249" t="s">
        <v>710</v>
      </c>
      <c r="J305" s="248" t="s">
        <v>34</v>
      </c>
      <c r="K305" s="248" t="s">
        <v>2207</v>
      </c>
      <c r="L305" s="250" t="s">
        <v>2208</v>
      </c>
      <c r="M305" s="256">
        <v>6.9444444444444448E-2</v>
      </c>
      <c r="N305" s="256">
        <v>0.1111111111111111</v>
      </c>
      <c r="O305" s="248" t="s">
        <v>2149</v>
      </c>
      <c r="P305" s="248"/>
      <c r="Q305" s="248"/>
      <c r="R305" s="248"/>
      <c r="S305" s="248"/>
      <c r="T305" s="246"/>
      <c r="U305" s="246"/>
      <c r="V305" s="246"/>
    </row>
    <row r="306" spans="1:22" ht="12.75">
      <c r="A306" s="242">
        <v>46307</v>
      </c>
      <c r="B306" s="243" t="s">
        <v>549</v>
      </c>
      <c r="C306" s="243" t="s">
        <v>626</v>
      </c>
      <c r="D306" s="243" t="s">
        <v>330</v>
      </c>
      <c r="E306" s="243" t="s">
        <v>707</v>
      </c>
      <c r="F306" s="243" t="s">
        <v>328</v>
      </c>
      <c r="G306" s="243" t="s">
        <v>708</v>
      </c>
      <c r="H306" s="243" t="s">
        <v>709</v>
      </c>
      <c r="I306" s="244" t="s">
        <v>710</v>
      </c>
      <c r="J306" s="243" t="s">
        <v>34</v>
      </c>
      <c r="K306" s="243" t="s">
        <v>2212</v>
      </c>
      <c r="L306" s="245" t="s">
        <v>2213</v>
      </c>
      <c r="M306" s="259">
        <v>0.11388888888888889</v>
      </c>
      <c r="N306" s="259">
        <v>0.15555555555555556</v>
      </c>
      <c r="O306" s="243" t="s">
        <v>2130</v>
      </c>
      <c r="P306" s="243" t="s">
        <v>2149</v>
      </c>
      <c r="Q306" s="243"/>
      <c r="R306" s="243"/>
      <c r="S306" s="243"/>
      <c r="T306" s="246"/>
      <c r="U306" s="246"/>
      <c r="V306" s="246"/>
    </row>
    <row r="307" spans="1:22" ht="12.75">
      <c r="A307" s="247">
        <v>46307</v>
      </c>
      <c r="B307" s="248" t="s">
        <v>549</v>
      </c>
      <c r="C307" s="248" t="s">
        <v>626</v>
      </c>
      <c r="D307" s="248" t="s">
        <v>330</v>
      </c>
      <c r="E307" s="248" t="s">
        <v>707</v>
      </c>
      <c r="F307" s="248" t="s">
        <v>328</v>
      </c>
      <c r="G307" s="248" t="s">
        <v>708</v>
      </c>
      <c r="H307" s="248" t="s">
        <v>709</v>
      </c>
      <c r="I307" s="249" t="s">
        <v>710</v>
      </c>
      <c r="J307" s="248" t="s">
        <v>34</v>
      </c>
      <c r="K307" s="248" t="s">
        <v>2214</v>
      </c>
      <c r="L307" s="250" t="s">
        <v>2215</v>
      </c>
      <c r="M307" s="256">
        <v>0.15625</v>
      </c>
      <c r="N307" s="256">
        <v>0.19791666666666666</v>
      </c>
      <c r="O307" s="248" t="s">
        <v>2130</v>
      </c>
      <c r="P307" s="248" t="s">
        <v>2149</v>
      </c>
      <c r="Q307" s="248"/>
      <c r="R307" s="248"/>
      <c r="S307" s="248"/>
      <c r="T307" s="246"/>
      <c r="U307" s="246"/>
      <c r="V307" s="246"/>
    </row>
    <row r="308" spans="1:22" ht="12.75">
      <c r="A308" s="242">
        <v>46307</v>
      </c>
      <c r="B308" s="243" t="s">
        <v>549</v>
      </c>
      <c r="C308" s="243" t="s">
        <v>626</v>
      </c>
      <c r="D308" s="243" t="s">
        <v>330</v>
      </c>
      <c r="E308" s="243" t="s">
        <v>707</v>
      </c>
      <c r="F308" s="243" t="s">
        <v>328</v>
      </c>
      <c r="G308" s="243" t="s">
        <v>708</v>
      </c>
      <c r="H308" s="243" t="s">
        <v>709</v>
      </c>
      <c r="I308" s="244" t="s">
        <v>710</v>
      </c>
      <c r="J308" s="243" t="s">
        <v>34</v>
      </c>
      <c r="K308" s="243" t="s">
        <v>2216</v>
      </c>
      <c r="L308" s="245" t="s">
        <v>2217</v>
      </c>
      <c r="M308" s="259">
        <v>0.1986111111111111</v>
      </c>
      <c r="N308" s="259">
        <v>0.21944444444444444</v>
      </c>
      <c r="O308" s="243" t="s">
        <v>2130</v>
      </c>
      <c r="P308" s="243" t="s">
        <v>2149</v>
      </c>
      <c r="Q308" s="243"/>
      <c r="R308" s="243"/>
      <c r="S308" s="243"/>
      <c r="T308" s="246"/>
      <c r="U308" s="246"/>
      <c r="V308" s="246"/>
    </row>
    <row r="309" spans="1:22" ht="12.75">
      <c r="A309" s="247">
        <v>46307</v>
      </c>
      <c r="B309" s="248" t="s">
        <v>549</v>
      </c>
      <c r="C309" s="248" t="s">
        <v>626</v>
      </c>
      <c r="D309" s="248" t="s">
        <v>330</v>
      </c>
      <c r="E309" s="248" t="s">
        <v>707</v>
      </c>
      <c r="F309" s="248" t="s">
        <v>328</v>
      </c>
      <c r="G309" s="248" t="s">
        <v>708</v>
      </c>
      <c r="H309" s="248" t="s">
        <v>709</v>
      </c>
      <c r="I309" s="249" t="s">
        <v>710</v>
      </c>
      <c r="J309" s="248" t="s">
        <v>34</v>
      </c>
      <c r="K309" s="248" t="s">
        <v>2218</v>
      </c>
      <c r="L309" s="250" t="s">
        <v>2098</v>
      </c>
      <c r="M309" s="256">
        <v>0.22013888888888888</v>
      </c>
      <c r="N309" s="256">
        <v>0.26180555555555557</v>
      </c>
      <c r="O309" s="248" t="s">
        <v>2130</v>
      </c>
      <c r="P309" s="248" t="s">
        <v>2149</v>
      </c>
      <c r="Q309" s="248"/>
      <c r="R309" s="248"/>
      <c r="S309" s="248"/>
      <c r="T309" s="246"/>
      <c r="U309" s="246"/>
      <c r="V309" s="246"/>
    </row>
    <row r="310" spans="1:22" ht="12.75">
      <c r="A310" s="242">
        <v>46307</v>
      </c>
      <c r="B310" s="243" t="s">
        <v>549</v>
      </c>
      <c r="C310" s="243" t="s">
        <v>738</v>
      </c>
      <c r="D310" s="243" t="s">
        <v>839</v>
      </c>
      <c r="E310" s="243" t="s">
        <v>815</v>
      </c>
      <c r="F310" s="243" t="s">
        <v>94</v>
      </c>
      <c r="G310" s="243" t="s">
        <v>764</v>
      </c>
      <c r="H310" s="243" t="s">
        <v>740</v>
      </c>
      <c r="I310" s="244" t="s">
        <v>710</v>
      </c>
      <c r="J310" s="243" t="s">
        <v>34</v>
      </c>
      <c r="K310" s="243" t="s">
        <v>2219</v>
      </c>
      <c r="L310" s="245" t="s">
        <v>2220</v>
      </c>
      <c r="M310" s="259">
        <v>0.30208333333333331</v>
      </c>
      <c r="N310" s="259">
        <v>0.3611111111111111</v>
      </c>
      <c r="O310" s="243" t="s">
        <v>2221</v>
      </c>
      <c r="P310" s="243"/>
      <c r="Q310" s="243"/>
      <c r="R310" s="243"/>
      <c r="S310" s="243"/>
      <c r="T310" s="246"/>
      <c r="U310" s="246"/>
      <c r="V310" s="246"/>
    </row>
    <row r="311" spans="1:22" ht="12.75">
      <c r="A311" s="247">
        <v>46307</v>
      </c>
      <c r="B311" s="248" t="s">
        <v>549</v>
      </c>
      <c r="C311" s="248" t="s">
        <v>738</v>
      </c>
      <c r="D311" s="248" t="s">
        <v>839</v>
      </c>
      <c r="E311" s="248" t="s">
        <v>815</v>
      </c>
      <c r="F311" s="248" t="s">
        <v>94</v>
      </c>
      <c r="G311" s="248" t="s">
        <v>764</v>
      </c>
      <c r="H311" s="248" t="s">
        <v>740</v>
      </c>
      <c r="I311" s="249" t="s">
        <v>710</v>
      </c>
      <c r="J311" s="248" t="s">
        <v>34</v>
      </c>
      <c r="K311" s="248" t="s">
        <v>2222</v>
      </c>
      <c r="L311" s="250" t="s">
        <v>2223</v>
      </c>
      <c r="M311" s="256">
        <v>0.36319444444444443</v>
      </c>
      <c r="N311" s="256">
        <v>0.40625</v>
      </c>
      <c r="O311" s="248" t="s">
        <v>2221</v>
      </c>
      <c r="P311" s="248"/>
      <c r="Q311" s="248"/>
      <c r="R311" s="248"/>
      <c r="S311" s="248"/>
      <c r="T311" s="246"/>
      <c r="U311" s="246"/>
      <c r="V311" s="246"/>
    </row>
    <row r="312" spans="1:22" ht="12.75">
      <c r="A312" s="242">
        <v>46307</v>
      </c>
      <c r="B312" s="243" t="s">
        <v>549</v>
      </c>
      <c r="C312" s="243" t="s">
        <v>738</v>
      </c>
      <c r="D312" s="243" t="s">
        <v>839</v>
      </c>
      <c r="E312" s="243" t="s">
        <v>815</v>
      </c>
      <c r="F312" s="243" t="s">
        <v>94</v>
      </c>
      <c r="G312" s="243" t="s">
        <v>764</v>
      </c>
      <c r="H312" s="243" t="s">
        <v>740</v>
      </c>
      <c r="I312" s="244" t="s">
        <v>710</v>
      </c>
      <c r="J312" s="243" t="s">
        <v>34</v>
      </c>
      <c r="K312" s="243" t="s">
        <v>2224</v>
      </c>
      <c r="L312" s="245" t="s">
        <v>2225</v>
      </c>
      <c r="M312" s="259">
        <v>0.40763888888888888</v>
      </c>
      <c r="N312" s="259">
        <v>0.4513888888888889</v>
      </c>
      <c r="O312" s="243" t="s">
        <v>2221</v>
      </c>
      <c r="P312" s="243"/>
      <c r="Q312" s="243"/>
      <c r="R312" s="243"/>
      <c r="S312" s="243"/>
      <c r="T312" s="246"/>
      <c r="U312" s="246"/>
      <c r="V312" s="246"/>
    </row>
    <row r="313" spans="1:22" ht="12.75">
      <c r="A313" s="247">
        <v>46307</v>
      </c>
      <c r="B313" s="248" t="s">
        <v>549</v>
      </c>
      <c r="C313" s="248" t="s">
        <v>738</v>
      </c>
      <c r="D313" s="248" t="s">
        <v>839</v>
      </c>
      <c r="E313" s="248" t="s">
        <v>815</v>
      </c>
      <c r="F313" s="248" t="s">
        <v>94</v>
      </c>
      <c r="G313" s="248" t="s">
        <v>764</v>
      </c>
      <c r="H313" s="248" t="s">
        <v>740</v>
      </c>
      <c r="I313" s="249" t="s">
        <v>710</v>
      </c>
      <c r="J313" s="248" t="s">
        <v>34</v>
      </c>
      <c r="K313" s="248" t="s">
        <v>2226</v>
      </c>
      <c r="L313" s="250" t="s">
        <v>2227</v>
      </c>
      <c r="M313" s="256">
        <v>0.45277777777777778</v>
      </c>
      <c r="N313" s="256">
        <v>0.49652777777777779</v>
      </c>
      <c r="O313" s="248" t="s">
        <v>2221</v>
      </c>
      <c r="P313" s="248"/>
      <c r="Q313" s="248"/>
      <c r="R313" s="248"/>
      <c r="S313" s="248"/>
      <c r="T313" s="246"/>
      <c r="U313" s="246"/>
      <c r="V313" s="246"/>
    </row>
    <row r="314" spans="1:22" ht="12.75">
      <c r="A314" s="242">
        <v>46307</v>
      </c>
      <c r="B314" s="243" t="s">
        <v>549</v>
      </c>
      <c r="C314" s="243" t="s">
        <v>738</v>
      </c>
      <c r="D314" s="243" t="s">
        <v>839</v>
      </c>
      <c r="E314" s="243" t="s">
        <v>815</v>
      </c>
      <c r="F314" s="243" t="s">
        <v>94</v>
      </c>
      <c r="G314" s="243" t="s">
        <v>764</v>
      </c>
      <c r="H314" s="243" t="s">
        <v>740</v>
      </c>
      <c r="I314" s="244" t="s">
        <v>710</v>
      </c>
      <c r="J314" s="243" t="s">
        <v>34</v>
      </c>
      <c r="K314" s="243" t="s">
        <v>2228</v>
      </c>
      <c r="L314" s="245" t="s">
        <v>2229</v>
      </c>
      <c r="M314" s="259">
        <v>0.49791666666666667</v>
      </c>
      <c r="N314" s="259">
        <v>0.54166666666666663</v>
      </c>
      <c r="O314" s="243" t="s">
        <v>2221</v>
      </c>
      <c r="P314" s="243"/>
      <c r="Q314" s="243"/>
      <c r="R314" s="243"/>
      <c r="S314" s="243"/>
      <c r="T314" s="246"/>
      <c r="U314" s="246"/>
      <c r="V314" s="246"/>
    </row>
    <row r="315" spans="1:22" ht="12.75">
      <c r="A315" s="247">
        <v>46307</v>
      </c>
      <c r="B315" s="248" t="s">
        <v>549</v>
      </c>
      <c r="C315" s="248" t="s">
        <v>738</v>
      </c>
      <c r="D315" s="248" t="s">
        <v>839</v>
      </c>
      <c r="E315" s="248" t="s">
        <v>815</v>
      </c>
      <c r="F315" s="248" t="s">
        <v>94</v>
      </c>
      <c r="G315" s="248" t="s">
        <v>764</v>
      </c>
      <c r="H315" s="248" t="s">
        <v>740</v>
      </c>
      <c r="I315" s="249" t="s">
        <v>710</v>
      </c>
      <c r="J315" s="248" t="s">
        <v>34</v>
      </c>
      <c r="K315" s="248" t="s">
        <v>2230</v>
      </c>
      <c r="L315" s="250" t="s">
        <v>2231</v>
      </c>
      <c r="M315" s="256">
        <v>0.54374999999999996</v>
      </c>
      <c r="N315" s="256">
        <v>0.58680555555555558</v>
      </c>
      <c r="O315" s="248" t="s">
        <v>2221</v>
      </c>
      <c r="P315" s="248"/>
      <c r="Q315" s="248"/>
      <c r="R315" s="248"/>
      <c r="S315" s="248"/>
      <c r="T315" s="246"/>
      <c r="U315" s="246"/>
      <c r="V315" s="246"/>
    </row>
    <row r="316" spans="1:22" ht="12.75">
      <c r="A316" s="242">
        <v>46307</v>
      </c>
      <c r="B316" s="243" t="s">
        <v>547</v>
      </c>
      <c r="C316" s="243" t="s">
        <v>746</v>
      </c>
      <c r="D316" s="243" t="s">
        <v>394</v>
      </c>
      <c r="E316" s="243" t="s">
        <v>1008</v>
      </c>
      <c r="F316" s="243" t="s">
        <v>94</v>
      </c>
      <c r="G316" s="243" t="s">
        <v>764</v>
      </c>
      <c r="H316" s="243" t="s">
        <v>740</v>
      </c>
      <c r="I316" s="244" t="s">
        <v>710</v>
      </c>
      <c r="J316" s="243" t="s">
        <v>34</v>
      </c>
      <c r="K316" s="243" t="s">
        <v>2232</v>
      </c>
      <c r="L316" s="245" t="s">
        <v>2233</v>
      </c>
      <c r="M316" s="259">
        <v>0.30555555555555558</v>
      </c>
      <c r="N316" s="259">
        <v>0.34722222222222221</v>
      </c>
      <c r="O316" s="243" t="s">
        <v>2234</v>
      </c>
      <c r="P316" s="243"/>
      <c r="Q316" s="243"/>
      <c r="R316" s="243"/>
      <c r="S316" s="243"/>
      <c r="T316" s="246"/>
      <c r="U316" s="246"/>
      <c r="V316" s="246"/>
    </row>
    <row r="317" spans="1:22" ht="12.75">
      <c r="A317" s="247">
        <v>46307</v>
      </c>
      <c r="B317" s="248" t="s">
        <v>547</v>
      </c>
      <c r="C317" s="248" t="s">
        <v>746</v>
      </c>
      <c r="D317" s="248" t="s">
        <v>394</v>
      </c>
      <c r="E317" s="248" t="s">
        <v>1008</v>
      </c>
      <c r="F317" s="248" t="s">
        <v>94</v>
      </c>
      <c r="G317" s="248" t="s">
        <v>764</v>
      </c>
      <c r="H317" s="248" t="s">
        <v>740</v>
      </c>
      <c r="I317" s="249" t="s">
        <v>710</v>
      </c>
      <c r="J317" s="248" t="s">
        <v>34</v>
      </c>
      <c r="K317" s="248" t="s">
        <v>2235</v>
      </c>
      <c r="L317" s="250" t="s">
        <v>2236</v>
      </c>
      <c r="M317" s="256">
        <v>0.34930555555555554</v>
      </c>
      <c r="N317" s="256">
        <v>0.39097222222222222</v>
      </c>
      <c r="O317" s="248" t="s">
        <v>2234</v>
      </c>
      <c r="P317" s="248"/>
      <c r="Q317" s="248"/>
      <c r="R317" s="248"/>
      <c r="S317" s="248"/>
      <c r="T317" s="246"/>
      <c r="U317" s="246"/>
      <c r="V317" s="246"/>
    </row>
    <row r="318" spans="1:22" ht="12.75">
      <c r="A318" s="242">
        <v>46307</v>
      </c>
      <c r="B318" s="243" t="s">
        <v>549</v>
      </c>
      <c r="C318" s="243" t="s">
        <v>738</v>
      </c>
      <c r="D318" s="243" t="s">
        <v>1537</v>
      </c>
      <c r="E318" s="243" t="s">
        <v>815</v>
      </c>
      <c r="F318" s="243" t="s">
        <v>94</v>
      </c>
      <c r="G318" s="243" t="s">
        <v>764</v>
      </c>
      <c r="H318" s="243" t="s">
        <v>740</v>
      </c>
      <c r="I318" s="244" t="s">
        <v>710</v>
      </c>
      <c r="J318" s="243" t="s">
        <v>34</v>
      </c>
      <c r="K318" s="243" t="s">
        <v>2237</v>
      </c>
      <c r="L318" s="245" t="s">
        <v>2238</v>
      </c>
      <c r="M318" s="259">
        <v>0.47916666666666669</v>
      </c>
      <c r="N318" s="259">
        <v>0.52083333333333337</v>
      </c>
      <c r="O318" s="243" t="s">
        <v>2234</v>
      </c>
      <c r="P318" s="243"/>
      <c r="Q318" s="243"/>
      <c r="R318" s="243"/>
      <c r="S318" s="243"/>
      <c r="T318" s="246"/>
      <c r="U318" s="246"/>
      <c r="V318" s="246"/>
    </row>
    <row r="319" spans="1:22" ht="12.75">
      <c r="A319" s="247">
        <v>46307</v>
      </c>
      <c r="B319" s="248" t="s">
        <v>549</v>
      </c>
      <c r="C319" s="248" t="s">
        <v>738</v>
      </c>
      <c r="D319" s="248" t="s">
        <v>1537</v>
      </c>
      <c r="E319" s="248" t="s">
        <v>815</v>
      </c>
      <c r="F319" s="248" t="s">
        <v>94</v>
      </c>
      <c r="G319" s="248" t="s">
        <v>764</v>
      </c>
      <c r="H319" s="248" t="s">
        <v>740</v>
      </c>
      <c r="I319" s="249" t="s">
        <v>710</v>
      </c>
      <c r="J319" s="248" t="s">
        <v>34</v>
      </c>
      <c r="K319" s="248" t="s">
        <v>2239</v>
      </c>
      <c r="L319" s="250" t="s">
        <v>2240</v>
      </c>
      <c r="M319" s="256">
        <v>0.5229166666666667</v>
      </c>
      <c r="N319" s="256">
        <v>0.56458333333333333</v>
      </c>
      <c r="O319" s="248" t="s">
        <v>2234</v>
      </c>
      <c r="P319" s="248"/>
      <c r="Q319" s="248"/>
      <c r="R319" s="248"/>
      <c r="S319" s="248"/>
      <c r="T319" s="246"/>
      <c r="U319" s="246"/>
      <c r="V319" s="246"/>
    </row>
    <row r="320" spans="1:22" ht="12.75">
      <c r="A320" s="242">
        <v>46307</v>
      </c>
      <c r="B320" s="243" t="s">
        <v>547</v>
      </c>
      <c r="C320" s="243" t="s">
        <v>53</v>
      </c>
      <c r="D320" s="243" t="s">
        <v>1447</v>
      </c>
      <c r="E320" s="243" t="s">
        <v>895</v>
      </c>
      <c r="F320" s="243" t="s">
        <v>94</v>
      </c>
      <c r="G320" s="243" t="s">
        <v>764</v>
      </c>
      <c r="H320" s="243" t="s">
        <v>740</v>
      </c>
      <c r="I320" s="244" t="s">
        <v>710</v>
      </c>
      <c r="J320" s="243" t="s">
        <v>34</v>
      </c>
      <c r="K320" s="243" t="s">
        <v>2241</v>
      </c>
      <c r="L320" s="245" t="s">
        <v>2242</v>
      </c>
      <c r="M320" s="259">
        <v>0.58680555555555558</v>
      </c>
      <c r="N320" s="259">
        <v>0.62847222222222221</v>
      </c>
      <c r="O320" s="243" t="s">
        <v>2234</v>
      </c>
      <c r="P320" s="243"/>
      <c r="Q320" s="243"/>
      <c r="R320" s="243"/>
      <c r="S320" s="243"/>
      <c r="T320" s="246"/>
      <c r="U320" s="246"/>
      <c r="V320" s="246"/>
    </row>
    <row r="321" spans="1:22" ht="12.75">
      <c r="A321" s="247">
        <v>46307</v>
      </c>
      <c r="B321" s="248" t="s">
        <v>547</v>
      </c>
      <c r="C321" s="248" t="s">
        <v>53</v>
      </c>
      <c r="D321" s="248" t="s">
        <v>1447</v>
      </c>
      <c r="E321" s="248" t="s">
        <v>895</v>
      </c>
      <c r="F321" s="248" t="s">
        <v>94</v>
      </c>
      <c r="G321" s="248" t="s">
        <v>764</v>
      </c>
      <c r="H321" s="248" t="s">
        <v>740</v>
      </c>
      <c r="I321" s="249" t="s">
        <v>710</v>
      </c>
      <c r="J321" s="248" t="s">
        <v>34</v>
      </c>
      <c r="K321" s="248" t="s">
        <v>2243</v>
      </c>
      <c r="L321" s="250" t="s">
        <v>2244</v>
      </c>
      <c r="M321" s="256">
        <v>0.62986111111111109</v>
      </c>
      <c r="N321" s="256">
        <v>0.67152777777777772</v>
      </c>
      <c r="O321" s="248" t="s">
        <v>2234</v>
      </c>
      <c r="P321" s="248"/>
      <c r="Q321" s="248"/>
      <c r="R321" s="248"/>
      <c r="S321" s="248"/>
      <c r="T321" s="246"/>
      <c r="U321" s="246"/>
      <c r="V321" s="246"/>
    </row>
    <row r="322" spans="1:22" ht="12.75">
      <c r="A322" s="242">
        <v>46307</v>
      </c>
      <c r="B322" s="243" t="s">
        <v>547</v>
      </c>
      <c r="C322" s="243" t="s">
        <v>53</v>
      </c>
      <c r="D322" s="243" t="s">
        <v>1447</v>
      </c>
      <c r="E322" s="243" t="s">
        <v>895</v>
      </c>
      <c r="F322" s="243" t="s">
        <v>94</v>
      </c>
      <c r="G322" s="243" t="s">
        <v>764</v>
      </c>
      <c r="H322" s="243" t="s">
        <v>740</v>
      </c>
      <c r="I322" s="244" t="s">
        <v>710</v>
      </c>
      <c r="J322" s="243" t="s">
        <v>34</v>
      </c>
      <c r="K322" s="243" t="s">
        <v>2247</v>
      </c>
      <c r="L322" s="245" t="s">
        <v>2248</v>
      </c>
      <c r="M322" s="259">
        <v>0.67361111111111116</v>
      </c>
      <c r="N322" s="259">
        <v>0.71527777777777779</v>
      </c>
      <c r="O322" s="243" t="s">
        <v>2234</v>
      </c>
      <c r="P322" s="243"/>
      <c r="Q322" s="243"/>
      <c r="R322" s="243"/>
      <c r="S322" s="243"/>
      <c r="T322" s="246"/>
      <c r="U322" s="246"/>
      <c r="V322" s="246"/>
    </row>
    <row r="323" spans="1:22" ht="12.75">
      <c r="A323" s="247">
        <v>46307</v>
      </c>
      <c r="B323" s="248" t="s">
        <v>547</v>
      </c>
      <c r="C323" s="248" t="s">
        <v>53</v>
      </c>
      <c r="D323" s="248" t="s">
        <v>1447</v>
      </c>
      <c r="E323" s="248" t="s">
        <v>895</v>
      </c>
      <c r="F323" s="248" t="s">
        <v>94</v>
      </c>
      <c r="G323" s="248" t="s">
        <v>764</v>
      </c>
      <c r="H323" s="248" t="s">
        <v>740</v>
      </c>
      <c r="I323" s="249" t="s">
        <v>710</v>
      </c>
      <c r="J323" s="248" t="s">
        <v>34</v>
      </c>
      <c r="K323" s="248" t="s">
        <v>2249</v>
      </c>
      <c r="L323" s="250" t="s">
        <v>2250</v>
      </c>
      <c r="M323" s="256">
        <v>0.71736111111111112</v>
      </c>
      <c r="N323" s="256">
        <v>0.75902777777777775</v>
      </c>
      <c r="O323" s="248" t="s">
        <v>2234</v>
      </c>
      <c r="P323" s="248"/>
      <c r="Q323" s="248"/>
      <c r="R323" s="248"/>
      <c r="S323" s="248"/>
      <c r="T323" s="246"/>
      <c r="U323" s="246"/>
      <c r="V323" s="246"/>
    </row>
    <row r="324" spans="1:22" ht="12.75">
      <c r="A324" s="242">
        <v>46307</v>
      </c>
      <c r="B324" s="243" t="s">
        <v>549</v>
      </c>
      <c r="C324" s="243" t="s">
        <v>738</v>
      </c>
      <c r="D324" s="243" t="s">
        <v>839</v>
      </c>
      <c r="E324" s="243" t="s">
        <v>815</v>
      </c>
      <c r="F324" s="243" t="s">
        <v>94</v>
      </c>
      <c r="G324" s="243" t="s">
        <v>764</v>
      </c>
      <c r="H324" s="243" t="s">
        <v>740</v>
      </c>
      <c r="I324" s="244" t="s">
        <v>710</v>
      </c>
      <c r="J324" s="243" t="s">
        <v>34</v>
      </c>
      <c r="K324" s="243" t="s">
        <v>2251</v>
      </c>
      <c r="L324" s="245" t="s">
        <v>2252</v>
      </c>
      <c r="M324" s="259">
        <v>0.59027777777777779</v>
      </c>
      <c r="N324" s="259">
        <v>0.64236111111111116</v>
      </c>
      <c r="O324" s="243" t="s">
        <v>2221</v>
      </c>
      <c r="P324" s="243"/>
      <c r="Q324" s="243"/>
      <c r="R324" s="243"/>
      <c r="S324" s="243"/>
      <c r="T324" s="246"/>
      <c r="U324" s="246"/>
      <c r="V324" s="246"/>
    </row>
    <row r="325" spans="1:22" ht="12.75">
      <c r="A325" s="247">
        <v>46307</v>
      </c>
      <c r="B325" s="248" t="s">
        <v>549</v>
      </c>
      <c r="C325" s="248" t="s">
        <v>738</v>
      </c>
      <c r="D325" s="248" t="s">
        <v>2253</v>
      </c>
      <c r="E325" s="248" t="s">
        <v>815</v>
      </c>
      <c r="F325" s="248" t="s">
        <v>94</v>
      </c>
      <c r="G325" s="248" t="s">
        <v>764</v>
      </c>
      <c r="H325" s="248" t="s">
        <v>740</v>
      </c>
      <c r="I325" s="249" t="s">
        <v>710</v>
      </c>
      <c r="J325" s="248" t="s">
        <v>34</v>
      </c>
      <c r="K325" s="248" t="s">
        <v>2254</v>
      </c>
      <c r="L325" s="250" t="s">
        <v>2255</v>
      </c>
      <c r="M325" s="256">
        <v>0.64583333333333337</v>
      </c>
      <c r="N325" s="256">
        <v>0.69444444444444442</v>
      </c>
      <c r="O325" s="248" t="s">
        <v>2221</v>
      </c>
      <c r="P325" s="248"/>
      <c r="Q325" s="248"/>
      <c r="R325" s="248"/>
      <c r="S325" s="248"/>
      <c r="T325" s="246"/>
      <c r="U325" s="246"/>
      <c r="V325" s="246"/>
    </row>
    <row r="326" spans="1:22" ht="12.75">
      <c r="A326" s="242">
        <v>46307</v>
      </c>
      <c r="B326" s="243" t="s">
        <v>549</v>
      </c>
      <c r="C326" s="243" t="s">
        <v>404</v>
      </c>
      <c r="D326" s="243" t="s">
        <v>399</v>
      </c>
      <c r="E326" s="243" t="s">
        <v>707</v>
      </c>
      <c r="F326" s="243" t="s">
        <v>94</v>
      </c>
      <c r="G326" s="243" t="s">
        <v>764</v>
      </c>
      <c r="H326" s="243" t="s">
        <v>740</v>
      </c>
      <c r="I326" s="244" t="s">
        <v>710</v>
      </c>
      <c r="J326" s="243" t="s">
        <v>34</v>
      </c>
      <c r="K326" s="243" t="s">
        <v>2256</v>
      </c>
      <c r="L326" s="245" t="s">
        <v>2257</v>
      </c>
      <c r="M326" s="259">
        <v>0.58333333333333337</v>
      </c>
      <c r="N326" s="259">
        <v>0.63888888888888884</v>
      </c>
      <c r="O326" s="243" t="s">
        <v>2258</v>
      </c>
      <c r="P326" s="243"/>
      <c r="Q326" s="243"/>
      <c r="R326" s="243"/>
      <c r="S326" s="243"/>
      <c r="T326" s="246"/>
      <c r="U326" s="246"/>
      <c r="V326" s="246"/>
    </row>
    <row r="327" spans="1:22" ht="12.75">
      <c r="A327" s="247">
        <v>46307</v>
      </c>
      <c r="B327" s="248" t="s">
        <v>549</v>
      </c>
      <c r="C327" s="248" t="s">
        <v>404</v>
      </c>
      <c r="D327" s="248" t="s">
        <v>399</v>
      </c>
      <c r="E327" s="248" t="s">
        <v>707</v>
      </c>
      <c r="F327" s="248" t="s">
        <v>94</v>
      </c>
      <c r="G327" s="248" t="s">
        <v>764</v>
      </c>
      <c r="H327" s="248" t="s">
        <v>740</v>
      </c>
      <c r="I327" s="249" t="s">
        <v>710</v>
      </c>
      <c r="J327" s="248" t="s">
        <v>34</v>
      </c>
      <c r="K327" s="248" t="s">
        <v>2259</v>
      </c>
      <c r="L327" s="250" t="s">
        <v>2260</v>
      </c>
      <c r="M327" s="256">
        <v>0.63888888888888884</v>
      </c>
      <c r="N327" s="256">
        <v>0.70138888888888884</v>
      </c>
      <c r="O327" s="248" t="s">
        <v>2258</v>
      </c>
      <c r="P327" s="248"/>
      <c r="Q327" s="248"/>
      <c r="R327" s="248"/>
      <c r="S327" s="248"/>
      <c r="T327" s="246"/>
      <c r="U327" s="246"/>
      <c r="V327" s="246"/>
    </row>
    <row r="328" spans="1:22" ht="12.75">
      <c r="A328" s="242">
        <v>46307</v>
      </c>
      <c r="B328" s="243" t="s">
        <v>549</v>
      </c>
      <c r="C328" s="243" t="s">
        <v>404</v>
      </c>
      <c r="D328" s="243" t="s">
        <v>399</v>
      </c>
      <c r="E328" s="243" t="s">
        <v>707</v>
      </c>
      <c r="F328" s="243" t="s">
        <v>94</v>
      </c>
      <c r="G328" s="243" t="s">
        <v>764</v>
      </c>
      <c r="H328" s="243" t="s">
        <v>740</v>
      </c>
      <c r="I328" s="244" t="s">
        <v>710</v>
      </c>
      <c r="J328" s="243" t="s">
        <v>34</v>
      </c>
      <c r="K328" s="243" t="s">
        <v>2261</v>
      </c>
      <c r="L328" s="245" t="s">
        <v>2262</v>
      </c>
      <c r="M328" s="259">
        <v>0.70138888888888884</v>
      </c>
      <c r="N328" s="259">
        <v>0.74305555555555558</v>
      </c>
      <c r="O328" s="243" t="s">
        <v>2258</v>
      </c>
      <c r="P328" s="243"/>
      <c r="Q328" s="243"/>
      <c r="R328" s="243"/>
      <c r="S328" s="243"/>
      <c r="T328" s="246"/>
      <c r="U328" s="246"/>
      <c r="V328" s="246"/>
    </row>
    <row r="329" spans="1:22" ht="12.75">
      <c r="A329" s="247">
        <v>46307</v>
      </c>
      <c r="B329" s="248" t="s">
        <v>549</v>
      </c>
      <c r="C329" s="248" t="s">
        <v>404</v>
      </c>
      <c r="D329" s="248" t="s">
        <v>399</v>
      </c>
      <c r="E329" s="248" t="s">
        <v>707</v>
      </c>
      <c r="F329" s="248" t="s">
        <v>94</v>
      </c>
      <c r="G329" s="248" t="s">
        <v>764</v>
      </c>
      <c r="H329" s="248" t="s">
        <v>740</v>
      </c>
      <c r="I329" s="249" t="s">
        <v>710</v>
      </c>
      <c r="J329" s="248" t="s">
        <v>34</v>
      </c>
      <c r="K329" s="248" t="s">
        <v>2263</v>
      </c>
      <c r="L329" s="250" t="s">
        <v>2264</v>
      </c>
      <c r="M329" s="256">
        <v>0.625</v>
      </c>
      <c r="N329" s="256">
        <v>0.66666666666666663</v>
      </c>
      <c r="O329" s="248" t="s">
        <v>2258</v>
      </c>
      <c r="P329" s="248"/>
      <c r="Q329" s="248"/>
      <c r="R329" s="248"/>
      <c r="S329" s="248"/>
      <c r="T329" s="246"/>
      <c r="U329" s="246"/>
      <c r="V329" s="246"/>
    </row>
    <row r="330" spans="1:22" ht="12.75">
      <c r="A330" s="242">
        <v>46307</v>
      </c>
      <c r="B330" s="243" t="s">
        <v>549</v>
      </c>
      <c r="C330" s="243" t="s">
        <v>404</v>
      </c>
      <c r="D330" s="243" t="s">
        <v>399</v>
      </c>
      <c r="E330" s="243" t="s">
        <v>707</v>
      </c>
      <c r="F330" s="243" t="s">
        <v>94</v>
      </c>
      <c r="G330" s="243" t="s">
        <v>764</v>
      </c>
      <c r="H330" s="243" t="s">
        <v>709</v>
      </c>
      <c r="I330" s="244" t="s">
        <v>710</v>
      </c>
      <c r="J330" s="243" t="s">
        <v>34</v>
      </c>
      <c r="K330" s="243" t="s">
        <v>2265</v>
      </c>
      <c r="L330" s="245" t="s">
        <v>2266</v>
      </c>
      <c r="M330" s="259">
        <v>0.70833333333333337</v>
      </c>
      <c r="N330" s="259">
        <v>0.79166666666666663</v>
      </c>
      <c r="O330" s="243" t="s">
        <v>2258</v>
      </c>
      <c r="P330" s="243"/>
      <c r="Q330" s="243"/>
      <c r="R330" s="243"/>
      <c r="S330" s="243"/>
      <c r="T330" s="246"/>
      <c r="U330" s="246"/>
      <c r="V330" s="246"/>
    </row>
    <row r="331" spans="1:22" ht="12.75">
      <c r="A331" s="247">
        <v>46307</v>
      </c>
      <c r="B331" s="248" t="s">
        <v>563</v>
      </c>
      <c r="C331" s="248" t="s">
        <v>53</v>
      </c>
      <c r="D331" s="248" t="s">
        <v>650</v>
      </c>
      <c r="E331" s="248" t="s">
        <v>815</v>
      </c>
      <c r="F331" s="248" t="s">
        <v>94</v>
      </c>
      <c r="G331" s="248" t="s">
        <v>764</v>
      </c>
      <c r="H331" s="248" t="s">
        <v>740</v>
      </c>
      <c r="I331" s="249" t="s">
        <v>710</v>
      </c>
      <c r="J331" s="248" t="s">
        <v>34</v>
      </c>
      <c r="K331" s="248" t="s">
        <v>2267</v>
      </c>
      <c r="L331" s="250" t="s">
        <v>2268</v>
      </c>
      <c r="M331" s="256">
        <v>0.69791666666666663</v>
      </c>
      <c r="N331" s="256">
        <v>0.75</v>
      </c>
      <c r="O331" s="248" t="s">
        <v>2221</v>
      </c>
      <c r="P331" s="248"/>
      <c r="Q331" s="248"/>
      <c r="R331" s="248"/>
      <c r="S331" s="248"/>
      <c r="T331" s="246"/>
      <c r="U331" s="246"/>
      <c r="V331" s="246"/>
    </row>
    <row r="332" spans="1:22" ht="12.75">
      <c r="A332" s="242">
        <v>46307</v>
      </c>
      <c r="B332" s="243" t="s">
        <v>547</v>
      </c>
      <c r="C332" s="243" t="s">
        <v>53</v>
      </c>
      <c r="D332" s="243" t="s">
        <v>155</v>
      </c>
      <c r="E332" s="243" t="s">
        <v>707</v>
      </c>
      <c r="F332" s="243" t="s">
        <v>94</v>
      </c>
      <c r="G332" s="243" t="s">
        <v>708</v>
      </c>
      <c r="H332" s="243" t="s">
        <v>740</v>
      </c>
      <c r="I332" s="244" t="s">
        <v>710</v>
      </c>
      <c r="J332" s="243" t="s">
        <v>34</v>
      </c>
      <c r="K332" s="243" t="s">
        <v>2269</v>
      </c>
      <c r="L332" s="245" t="s">
        <v>2270</v>
      </c>
      <c r="M332" s="259">
        <v>0.83333333333333337</v>
      </c>
      <c r="N332" s="259">
        <v>0.86458333333333337</v>
      </c>
      <c r="O332" s="243" t="s">
        <v>2271</v>
      </c>
      <c r="P332" s="243"/>
      <c r="Q332" s="243"/>
      <c r="R332" s="243"/>
      <c r="S332" s="243"/>
      <c r="T332" s="246"/>
      <c r="U332" s="246"/>
      <c r="V332" s="246"/>
    </row>
    <row r="333" spans="1:22" ht="12.75">
      <c r="A333" s="247">
        <v>46307</v>
      </c>
      <c r="B333" s="248" t="s">
        <v>547</v>
      </c>
      <c r="C333" s="248" t="s">
        <v>53</v>
      </c>
      <c r="D333" s="248" t="s">
        <v>155</v>
      </c>
      <c r="E333" s="248" t="s">
        <v>707</v>
      </c>
      <c r="F333" s="248" t="s">
        <v>94</v>
      </c>
      <c r="G333" s="248" t="s">
        <v>708</v>
      </c>
      <c r="H333" s="248" t="s">
        <v>740</v>
      </c>
      <c r="I333" s="249" t="s">
        <v>710</v>
      </c>
      <c r="J333" s="248" t="s">
        <v>34</v>
      </c>
      <c r="K333" s="248" t="s">
        <v>2272</v>
      </c>
      <c r="L333" s="250" t="s">
        <v>2273</v>
      </c>
      <c r="M333" s="256">
        <v>0.86805555555555558</v>
      </c>
      <c r="N333" s="256">
        <v>0.90972222222222221</v>
      </c>
      <c r="O333" s="248" t="s">
        <v>2271</v>
      </c>
      <c r="P333" s="248"/>
      <c r="Q333" s="248"/>
      <c r="R333" s="248"/>
      <c r="S333" s="248"/>
      <c r="T333" s="246"/>
      <c r="U333" s="246"/>
      <c r="V333" s="246"/>
    </row>
    <row r="334" spans="1:22" ht="12.75">
      <c r="A334" s="242">
        <v>46307</v>
      </c>
      <c r="B334" s="243" t="s">
        <v>547</v>
      </c>
      <c r="C334" s="243" t="s">
        <v>53</v>
      </c>
      <c r="D334" s="243" t="s">
        <v>155</v>
      </c>
      <c r="E334" s="243" t="s">
        <v>707</v>
      </c>
      <c r="F334" s="243" t="s">
        <v>94</v>
      </c>
      <c r="G334" s="243" t="s">
        <v>708</v>
      </c>
      <c r="H334" s="243" t="s">
        <v>740</v>
      </c>
      <c r="I334" s="244" t="s">
        <v>710</v>
      </c>
      <c r="J334" s="243" t="s">
        <v>34</v>
      </c>
      <c r="K334" s="243" t="s">
        <v>2274</v>
      </c>
      <c r="L334" s="245" t="s">
        <v>2275</v>
      </c>
      <c r="M334" s="259">
        <v>0.91319444444444442</v>
      </c>
      <c r="N334" s="259">
        <v>0.9375</v>
      </c>
      <c r="O334" s="243" t="s">
        <v>2271</v>
      </c>
      <c r="P334" s="243"/>
      <c r="Q334" s="243"/>
      <c r="R334" s="243"/>
      <c r="S334" s="243"/>
      <c r="T334" s="246"/>
      <c r="U334" s="246"/>
      <c r="V334" s="246"/>
    </row>
    <row r="335" spans="1:22" ht="12.75">
      <c r="A335" s="247">
        <v>46307</v>
      </c>
      <c r="B335" s="248" t="s">
        <v>547</v>
      </c>
      <c r="C335" s="248" t="s">
        <v>53</v>
      </c>
      <c r="D335" s="248" t="s">
        <v>155</v>
      </c>
      <c r="E335" s="248" t="s">
        <v>707</v>
      </c>
      <c r="F335" s="248" t="s">
        <v>94</v>
      </c>
      <c r="G335" s="248" t="s">
        <v>708</v>
      </c>
      <c r="H335" s="248" t="s">
        <v>709</v>
      </c>
      <c r="I335" s="249" t="s">
        <v>710</v>
      </c>
      <c r="J335" s="248" t="s">
        <v>34</v>
      </c>
      <c r="K335" s="248" t="s">
        <v>2276</v>
      </c>
      <c r="L335" s="250" t="s">
        <v>2277</v>
      </c>
      <c r="M335" s="256">
        <v>0.98611111111111116</v>
      </c>
      <c r="N335" s="256">
        <v>6.9444444444444448E-2</v>
      </c>
      <c r="O335" s="248" t="s">
        <v>2271</v>
      </c>
      <c r="P335" s="248"/>
      <c r="Q335" s="248"/>
      <c r="R335" s="248"/>
      <c r="S335" s="248"/>
      <c r="T335" s="246"/>
      <c r="U335" s="246"/>
      <c r="V335" s="246"/>
    </row>
    <row r="336" spans="1:22" ht="12.75">
      <c r="A336" s="242">
        <v>46307</v>
      </c>
      <c r="B336" s="243" t="s">
        <v>547</v>
      </c>
      <c r="C336" s="243" t="s">
        <v>53</v>
      </c>
      <c r="D336" s="243" t="s">
        <v>155</v>
      </c>
      <c r="E336" s="243" t="s">
        <v>707</v>
      </c>
      <c r="F336" s="243" t="s">
        <v>94</v>
      </c>
      <c r="G336" s="243" t="s">
        <v>708</v>
      </c>
      <c r="H336" s="243" t="s">
        <v>740</v>
      </c>
      <c r="I336" s="244" t="s">
        <v>710</v>
      </c>
      <c r="J336" s="243" t="s">
        <v>34</v>
      </c>
      <c r="K336" s="243" t="s">
        <v>2278</v>
      </c>
      <c r="L336" s="245" t="s">
        <v>2279</v>
      </c>
      <c r="M336" s="259">
        <v>7.2916666666666671E-2</v>
      </c>
      <c r="N336" s="259">
        <v>9.375E-2</v>
      </c>
      <c r="O336" s="243" t="s">
        <v>2271</v>
      </c>
      <c r="P336" s="243"/>
      <c r="Q336" s="243"/>
      <c r="R336" s="243"/>
      <c r="S336" s="243"/>
      <c r="T336" s="246"/>
      <c r="U336" s="246"/>
      <c r="V336" s="246"/>
    </row>
    <row r="337" spans="1:22" ht="12.75">
      <c r="A337" s="247">
        <v>46307</v>
      </c>
      <c r="B337" s="248" t="s">
        <v>547</v>
      </c>
      <c r="C337" s="248" t="s">
        <v>53</v>
      </c>
      <c r="D337" s="248" t="s">
        <v>155</v>
      </c>
      <c r="E337" s="248" t="s">
        <v>707</v>
      </c>
      <c r="F337" s="248" t="s">
        <v>94</v>
      </c>
      <c r="G337" s="248" t="s">
        <v>708</v>
      </c>
      <c r="H337" s="248" t="s">
        <v>740</v>
      </c>
      <c r="I337" s="249" t="s">
        <v>710</v>
      </c>
      <c r="J337" s="248" t="s">
        <v>34</v>
      </c>
      <c r="K337" s="248" t="s">
        <v>2280</v>
      </c>
      <c r="L337" s="250" t="s">
        <v>2281</v>
      </c>
      <c r="M337" s="256">
        <v>7.2916666666666671E-2</v>
      </c>
      <c r="N337" s="256">
        <v>9.375E-2</v>
      </c>
      <c r="O337" s="248" t="s">
        <v>2271</v>
      </c>
      <c r="P337" s="248"/>
      <c r="Q337" s="248"/>
      <c r="R337" s="248"/>
      <c r="S337" s="248"/>
      <c r="T337" s="246"/>
      <c r="U337" s="246"/>
      <c r="V337" s="246"/>
    </row>
    <row r="338" spans="1:22" ht="12.75">
      <c r="A338" s="242">
        <v>46307</v>
      </c>
      <c r="B338" s="243" t="s">
        <v>547</v>
      </c>
      <c r="C338" s="243" t="s">
        <v>53</v>
      </c>
      <c r="D338" s="243" t="s">
        <v>155</v>
      </c>
      <c r="E338" s="243" t="s">
        <v>707</v>
      </c>
      <c r="F338" s="243" t="s">
        <v>94</v>
      </c>
      <c r="G338" s="243" t="s">
        <v>708</v>
      </c>
      <c r="H338" s="243" t="s">
        <v>740</v>
      </c>
      <c r="I338" s="244" t="s">
        <v>710</v>
      </c>
      <c r="J338" s="243" t="s">
        <v>34</v>
      </c>
      <c r="K338" s="243" t="s">
        <v>2282</v>
      </c>
      <c r="L338" s="245" t="s">
        <v>2283</v>
      </c>
      <c r="M338" s="259">
        <v>7.6388888888888895E-2</v>
      </c>
      <c r="N338" s="259">
        <v>0.10069444444444445</v>
      </c>
      <c r="O338" s="243" t="s">
        <v>2271</v>
      </c>
      <c r="P338" s="243"/>
      <c r="Q338" s="243"/>
      <c r="R338" s="243"/>
      <c r="S338" s="243"/>
      <c r="T338" s="246"/>
      <c r="U338" s="246"/>
      <c r="V338" s="246"/>
    </row>
    <row r="339" spans="1:22" ht="12.75">
      <c r="A339" s="247">
        <v>46307</v>
      </c>
      <c r="B339" s="248" t="s">
        <v>547</v>
      </c>
      <c r="C339" s="248" t="s">
        <v>53</v>
      </c>
      <c r="D339" s="248" t="s">
        <v>155</v>
      </c>
      <c r="E339" s="248" t="s">
        <v>707</v>
      </c>
      <c r="F339" s="248" t="s">
        <v>94</v>
      </c>
      <c r="G339" s="248" t="s">
        <v>708</v>
      </c>
      <c r="H339" s="248" t="s">
        <v>740</v>
      </c>
      <c r="I339" s="249" t="s">
        <v>710</v>
      </c>
      <c r="J339" s="248" t="s">
        <v>34</v>
      </c>
      <c r="K339" s="248" t="s">
        <v>2284</v>
      </c>
      <c r="L339" s="250" t="s">
        <v>2285</v>
      </c>
      <c r="M339" s="256">
        <v>7.6388888888888895E-2</v>
      </c>
      <c r="N339" s="256">
        <v>0.10069444444444445</v>
      </c>
      <c r="O339" s="248" t="s">
        <v>2271</v>
      </c>
      <c r="P339" s="248"/>
      <c r="Q339" s="248"/>
      <c r="R339" s="248"/>
      <c r="S339" s="248"/>
      <c r="T339" s="246"/>
      <c r="U339" s="246"/>
      <c r="V339" s="246"/>
    </row>
    <row r="340" spans="1:22" ht="12.75">
      <c r="A340" s="242">
        <v>46307</v>
      </c>
      <c r="B340" s="243" t="s">
        <v>547</v>
      </c>
      <c r="C340" s="243" t="s">
        <v>53</v>
      </c>
      <c r="D340" s="243" t="s">
        <v>155</v>
      </c>
      <c r="E340" s="243" t="s">
        <v>707</v>
      </c>
      <c r="F340" s="243" t="s">
        <v>94</v>
      </c>
      <c r="G340" s="243" t="s">
        <v>708</v>
      </c>
      <c r="H340" s="243" t="s">
        <v>740</v>
      </c>
      <c r="I340" s="244" t="s">
        <v>710</v>
      </c>
      <c r="J340" s="243" t="s">
        <v>34</v>
      </c>
      <c r="K340" s="243" t="s">
        <v>2286</v>
      </c>
      <c r="L340" s="245" t="s">
        <v>2287</v>
      </c>
      <c r="M340" s="259">
        <v>8.3333333333333329E-2</v>
      </c>
      <c r="N340" s="259">
        <v>0.10416666666666667</v>
      </c>
      <c r="O340" s="243" t="s">
        <v>2271</v>
      </c>
      <c r="P340" s="243"/>
      <c r="Q340" s="243"/>
      <c r="R340" s="243"/>
      <c r="S340" s="243"/>
      <c r="T340" s="246"/>
      <c r="U340" s="246"/>
      <c r="V340" s="246"/>
    </row>
    <row r="341" spans="1:22" ht="12.75">
      <c r="A341" s="247">
        <v>46307</v>
      </c>
      <c r="B341" s="248" t="s">
        <v>547</v>
      </c>
      <c r="C341" s="248" t="s">
        <v>53</v>
      </c>
      <c r="D341" s="248" t="s">
        <v>155</v>
      </c>
      <c r="E341" s="248" t="s">
        <v>707</v>
      </c>
      <c r="F341" s="248" t="s">
        <v>94</v>
      </c>
      <c r="G341" s="248" t="s">
        <v>708</v>
      </c>
      <c r="H341" s="248" t="s">
        <v>740</v>
      </c>
      <c r="I341" s="249" t="s">
        <v>710</v>
      </c>
      <c r="J341" s="248" t="s">
        <v>34</v>
      </c>
      <c r="K341" s="248" t="s">
        <v>2288</v>
      </c>
      <c r="L341" s="250" t="s">
        <v>2289</v>
      </c>
      <c r="M341" s="256">
        <v>8.3333333333333329E-2</v>
      </c>
      <c r="N341" s="256">
        <v>0.10416666666666667</v>
      </c>
      <c r="O341" s="248" t="s">
        <v>2271</v>
      </c>
      <c r="P341" s="248"/>
      <c r="Q341" s="248"/>
      <c r="R341" s="248"/>
      <c r="S341" s="248"/>
      <c r="T341" s="246"/>
      <c r="U341" s="246"/>
      <c r="V341" s="246"/>
    </row>
    <row r="342" spans="1:22" ht="12.75">
      <c r="A342" s="242">
        <v>46307</v>
      </c>
      <c r="B342" s="243" t="s">
        <v>547</v>
      </c>
      <c r="C342" s="243" t="s">
        <v>53</v>
      </c>
      <c r="D342" s="243" t="s">
        <v>155</v>
      </c>
      <c r="E342" s="243" t="s">
        <v>707</v>
      </c>
      <c r="F342" s="243" t="s">
        <v>94</v>
      </c>
      <c r="G342" s="243" t="s">
        <v>708</v>
      </c>
      <c r="H342" s="243" t="s">
        <v>740</v>
      </c>
      <c r="I342" s="244" t="s">
        <v>710</v>
      </c>
      <c r="J342" s="243" t="s">
        <v>34</v>
      </c>
      <c r="K342" s="243" t="s">
        <v>2290</v>
      </c>
      <c r="L342" s="245" t="s">
        <v>2291</v>
      </c>
      <c r="M342" s="259">
        <v>9.0277777777777776E-2</v>
      </c>
      <c r="N342" s="259">
        <v>0.11805555555555555</v>
      </c>
      <c r="O342" s="243" t="s">
        <v>2271</v>
      </c>
      <c r="P342" s="243"/>
      <c r="Q342" s="243"/>
      <c r="R342" s="243"/>
      <c r="S342" s="243"/>
      <c r="T342" s="246"/>
      <c r="U342" s="246"/>
      <c r="V342" s="246"/>
    </row>
    <row r="343" spans="1:22" ht="12.75">
      <c r="A343" s="247">
        <v>46307</v>
      </c>
      <c r="B343" s="248" t="s">
        <v>547</v>
      </c>
      <c r="C343" s="248" t="s">
        <v>53</v>
      </c>
      <c r="D343" s="248" t="s">
        <v>155</v>
      </c>
      <c r="E343" s="248" t="s">
        <v>707</v>
      </c>
      <c r="F343" s="248" t="s">
        <v>94</v>
      </c>
      <c r="G343" s="248" t="s">
        <v>708</v>
      </c>
      <c r="H343" s="248" t="s">
        <v>740</v>
      </c>
      <c r="I343" s="249" t="s">
        <v>710</v>
      </c>
      <c r="J343" s="248" t="s">
        <v>34</v>
      </c>
      <c r="K343" s="248" t="s">
        <v>2292</v>
      </c>
      <c r="L343" s="250" t="s">
        <v>2293</v>
      </c>
      <c r="M343" s="256">
        <v>9.0277777777777776E-2</v>
      </c>
      <c r="N343" s="256">
        <v>0.11805555555555555</v>
      </c>
      <c r="O343" s="248" t="s">
        <v>2271</v>
      </c>
      <c r="P343" s="248"/>
      <c r="Q343" s="248"/>
      <c r="R343" s="248"/>
      <c r="S343" s="248"/>
      <c r="T343" s="246"/>
      <c r="U343" s="246"/>
      <c r="V343" s="246"/>
    </row>
    <row r="344" spans="1:22" ht="12.75">
      <c r="A344" s="242">
        <v>46307</v>
      </c>
      <c r="B344" s="243" t="s">
        <v>547</v>
      </c>
      <c r="C344" s="243" t="s">
        <v>53</v>
      </c>
      <c r="D344" s="243" t="s">
        <v>2294</v>
      </c>
      <c r="E344" s="243" t="s">
        <v>707</v>
      </c>
      <c r="F344" s="243" t="s">
        <v>94</v>
      </c>
      <c r="G344" s="243" t="s">
        <v>708</v>
      </c>
      <c r="H344" s="243" t="s">
        <v>740</v>
      </c>
      <c r="I344" s="244" t="s">
        <v>710</v>
      </c>
      <c r="J344" s="243" t="s">
        <v>34</v>
      </c>
      <c r="K344" s="243" t="s">
        <v>2295</v>
      </c>
      <c r="L344" s="245" t="s">
        <v>2296</v>
      </c>
      <c r="M344" s="259">
        <v>0.11805555555555555</v>
      </c>
      <c r="N344" s="259">
        <v>0.14930555555555555</v>
      </c>
      <c r="O344" s="243" t="s">
        <v>2271</v>
      </c>
      <c r="P344" s="243"/>
      <c r="Q344" s="243"/>
      <c r="R344" s="243"/>
      <c r="S344" s="243"/>
      <c r="T344" s="246"/>
      <c r="U344" s="246"/>
      <c r="V344" s="246"/>
    </row>
    <row r="345" spans="1:22" ht="12.75">
      <c r="A345" s="247">
        <v>46307</v>
      </c>
      <c r="B345" s="248" t="s">
        <v>547</v>
      </c>
      <c r="C345" s="248" t="s">
        <v>53</v>
      </c>
      <c r="D345" s="248" t="s">
        <v>2294</v>
      </c>
      <c r="E345" s="248" t="s">
        <v>707</v>
      </c>
      <c r="F345" s="248" t="s">
        <v>94</v>
      </c>
      <c r="G345" s="248" t="s">
        <v>708</v>
      </c>
      <c r="H345" s="248" t="s">
        <v>740</v>
      </c>
      <c r="I345" s="249" t="s">
        <v>710</v>
      </c>
      <c r="J345" s="248" t="s">
        <v>34</v>
      </c>
      <c r="K345" s="248" t="s">
        <v>2297</v>
      </c>
      <c r="L345" s="250" t="s">
        <v>2298</v>
      </c>
      <c r="M345" s="256">
        <v>0.14930555555555555</v>
      </c>
      <c r="N345" s="256">
        <v>0.1736111111111111</v>
      </c>
      <c r="O345" s="248" t="s">
        <v>2271</v>
      </c>
      <c r="P345" s="248"/>
      <c r="Q345" s="248"/>
      <c r="R345" s="248"/>
      <c r="S345" s="248"/>
      <c r="T345" s="246"/>
      <c r="U345" s="246"/>
      <c r="V345" s="246"/>
    </row>
    <row r="346" spans="1:22" ht="12.75">
      <c r="A346" s="242">
        <v>46307</v>
      </c>
      <c r="B346" s="243" t="s">
        <v>547</v>
      </c>
      <c r="C346" s="243" t="s">
        <v>53</v>
      </c>
      <c r="D346" s="243" t="s">
        <v>2294</v>
      </c>
      <c r="E346" s="243" t="s">
        <v>707</v>
      </c>
      <c r="F346" s="243" t="s">
        <v>94</v>
      </c>
      <c r="G346" s="243" t="s">
        <v>708</v>
      </c>
      <c r="H346" s="243" t="s">
        <v>740</v>
      </c>
      <c r="I346" s="244" t="s">
        <v>710</v>
      </c>
      <c r="J346" s="243" t="s">
        <v>34</v>
      </c>
      <c r="K346" s="243" t="s">
        <v>2299</v>
      </c>
      <c r="L346" s="245" t="s">
        <v>2300</v>
      </c>
      <c r="M346" s="259">
        <v>0.16666666666666666</v>
      </c>
      <c r="N346" s="259">
        <v>0.2048611111111111</v>
      </c>
      <c r="O346" s="243" t="s">
        <v>2271</v>
      </c>
      <c r="P346" s="243"/>
      <c r="Q346" s="243"/>
      <c r="R346" s="243"/>
      <c r="S346" s="243"/>
      <c r="T346" s="246"/>
      <c r="U346" s="246"/>
      <c r="V346" s="246"/>
    </row>
    <row r="347" spans="1:22" ht="12.75">
      <c r="A347" s="247">
        <v>46307</v>
      </c>
      <c r="B347" s="248" t="s">
        <v>547</v>
      </c>
      <c r="C347" s="248" t="s">
        <v>53</v>
      </c>
      <c r="D347" s="248" t="s">
        <v>2294</v>
      </c>
      <c r="E347" s="248" t="s">
        <v>707</v>
      </c>
      <c r="F347" s="248" t="s">
        <v>94</v>
      </c>
      <c r="G347" s="248" t="s">
        <v>708</v>
      </c>
      <c r="H347" s="248" t="s">
        <v>709</v>
      </c>
      <c r="I347" s="249" t="s">
        <v>710</v>
      </c>
      <c r="J347" s="248" t="s">
        <v>34</v>
      </c>
      <c r="K347" s="248" t="s">
        <v>2301</v>
      </c>
      <c r="L347" s="250" t="s">
        <v>2277</v>
      </c>
      <c r="M347" s="256">
        <v>0.20833333333333334</v>
      </c>
      <c r="N347" s="256">
        <v>0.29166666666666669</v>
      </c>
      <c r="O347" s="248" t="s">
        <v>2271</v>
      </c>
      <c r="P347" s="248"/>
      <c r="Q347" s="248"/>
      <c r="R347" s="248"/>
      <c r="S347" s="248"/>
      <c r="T347" s="246"/>
      <c r="U347" s="246"/>
      <c r="V347" s="246"/>
    </row>
    <row r="348" spans="1:22" ht="12.75">
      <c r="A348" s="242">
        <v>46307</v>
      </c>
      <c r="B348" s="243" t="s">
        <v>549</v>
      </c>
      <c r="C348" s="243" t="s">
        <v>738</v>
      </c>
      <c r="D348" s="243" t="s">
        <v>470</v>
      </c>
      <c r="E348" s="243" t="s">
        <v>707</v>
      </c>
      <c r="F348" s="243" t="s">
        <v>94</v>
      </c>
      <c r="G348" s="243" t="s">
        <v>708</v>
      </c>
      <c r="H348" s="243" t="s">
        <v>740</v>
      </c>
      <c r="I348" s="244" t="s">
        <v>710</v>
      </c>
      <c r="J348" s="243" t="s">
        <v>34</v>
      </c>
      <c r="K348" s="243" t="s">
        <v>2302</v>
      </c>
      <c r="L348" s="245" t="s">
        <v>2303</v>
      </c>
      <c r="M348" s="259">
        <v>0.79513888888888884</v>
      </c>
      <c r="N348" s="259">
        <v>0.87847222222222221</v>
      </c>
      <c r="O348" s="243" t="s">
        <v>2304</v>
      </c>
      <c r="P348" s="243"/>
      <c r="Q348" s="243"/>
      <c r="R348" s="243"/>
      <c r="S348" s="243"/>
      <c r="T348" s="246"/>
      <c r="U348" s="246"/>
      <c r="V348" s="246"/>
    </row>
    <row r="349" spans="1:22" ht="12.75">
      <c r="A349" s="247">
        <v>46307</v>
      </c>
      <c r="B349" s="248" t="s">
        <v>549</v>
      </c>
      <c r="C349" s="248" t="s">
        <v>738</v>
      </c>
      <c r="D349" s="248" t="s">
        <v>470</v>
      </c>
      <c r="E349" s="248" t="s">
        <v>707</v>
      </c>
      <c r="F349" s="248" t="s">
        <v>94</v>
      </c>
      <c r="G349" s="248" t="s">
        <v>708</v>
      </c>
      <c r="H349" s="248" t="s">
        <v>740</v>
      </c>
      <c r="I349" s="249" t="s">
        <v>710</v>
      </c>
      <c r="J349" s="248" t="s">
        <v>34</v>
      </c>
      <c r="K349" s="248" t="s">
        <v>2305</v>
      </c>
      <c r="L349" s="250" t="s">
        <v>2306</v>
      </c>
      <c r="M349" s="256">
        <v>0.87847222222222221</v>
      </c>
      <c r="N349" s="256">
        <v>0.89930555555555558</v>
      </c>
      <c r="O349" s="248" t="s">
        <v>2304</v>
      </c>
      <c r="P349" s="248"/>
      <c r="Q349" s="248"/>
      <c r="R349" s="248"/>
      <c r="S349" s="248"/>
      <c r="T349" s="246"/>
      <c r="U349" s="246"/>
      <c r="V349" s="246"/>
    </row>
    <row r="350" spans="1:22" ht="12.75">
      <c r="A350" s="242">
        <v>46307</v>
      </c>
      <c r="B350" s="243" t="s">
        <v>549</v>
      </c>
      <c r="C350" s="243" t="s">
        <v>738</v>
      </c>
      <c r="D350" s="243" t="s">
        <v>470</v>
      </c>
      <c r="E350" s="243" t="s">
        <v>707</v>
      </c>
      <c r="F350" s="243" t="s">
        <v>94</v>
      </c>
      <c r="G350" s="243" t="s">
        <v>708</v>
      </c>
      <c r="H350" s="243" t="s">
        <v>740</v>
      </c>
      <c r="I350" s="244" t="s">
        <v>710</v>
      </c>
      <c r="J350" s="243" t="s">
        <v>34</v>
      </c>
      <c r="K350" s="243" t="s">
        <v>2307</v>
      </c>
      <c r="L350" s="245" t="s">
        <v>2308</v>
      </c>
      <c r="M350" s="259">
        <v>0.92013888888888884</v>
      </c>
      <c r="N350" s="259">
        <v>0.96180555555555558</v>
      </c>
      <c r="O350" s="243" t="s">
        <v>2304</v>
      </c>
      <c r="P350" s="243"/>
      <c r="Q350" s="243"/>
      <c r="R350" s="243"/>
      <c r="S350" s="243"/>
      <c r="T350" s="246"/>
      <c r="U350" s="246"/>
      <c r="V350" s="246"/>
    </row>
    <row r="351" spans="1:22" ht="12.75">
      <c r="A351" s="247">
        <v>46307</v>
      </c>
      <c r="B351" s="248" t="s">
        <v>549</v>
      </c>
      <c r="C351" s="248" t="s">
        <v>738</v>
      </c>
      <c r="D351" s="248" t="s">
        <v>470</v>
      </c>
      <c r="E351" s="248" t="s">
        <v>707</v>
      </c>
      <c r="F351" s="248" t="s">
        <v>94</v>
      </c>
      <c r="G351" s="248" t="s">
        <v>708</v>
      </c>
      <c r="H351" s="248" t="s">
        <v>740</v>
      </c>
      <c r="I351" s="249" t="s">
        <v>710</v>
      </c>
      <c r="J351" s="248" t="s">
        <v>34</v>
      </c>
      <c r="K351" s="248" t="s">
        <v>2309</v>
      </c>
      <c r="L351" s="250" t="s">
        <v>2310</v>
      </c>
      <c r="M351" s="256">
        <v>0.96180555555555558</v>
      </c>
      <c r="N351" s="256">
        <v>3.472222222222222E-3</v>
      </c>
      <c r="O351" s="248" t="s">
        <v>2304</v>
      </c>
      <c r="P351" s="248"/>
      <c r="Q351" s="248"/>
      <c r="R351" s="248"/>
      <c r="S351" s="248"/>
      <c r="T351" s="246"/>
      <c r="U351" s="246"/>
      <c r="V351" s="246"/>
    </row>
    <row r="352" spans="1:22" ht="12.75">
      <c r="A352" s="242">
        <v>46307</v>
      </c>
      <c r="B352" s="243" t="s">
        <v>549</v>
      </c>
      <c r="C352" s="243" t="s">
        <v>738</v>
      </c>
      <c r="D352" s="243" t="s">
        <v>470</v>
      </c>
      <c r="E352" s="243" t="s">
        <v>707</v>
      </c>
      <c r="F352" s="243" t="s">
        <v>94</v>
      </c>
      <c r="G352" s="243" t="s">
        <v>708</v>
      </c>
      <c r="H352" s="243" t="s">
        <v>740</v>
      </c>
      <c r="I352" s="244" t="s">
        <v>710</v>
      </c>
      <c r="J352" s="243" t="s">
        <v>34</v>
      </c>
      <c r="K352" s="243" t="s">
        <v>2311</v>
      </c>
      <c r="L352" s="245" t="s">
        <v>2312</v>
      </c>
      <c r="M352" s="259">
        <v>3.472222222222222E-3</v>
      </c>
      <c r="N352" s="259">
        <v>4.5138888888888888E-2</v>
      </c>
      <c r="O352" s="243" t="s">
        <v>2304</v>
      </c>
      <c r="P352" s="243"/>
      <c r="Q352" s="243"/>
      <c r="R352" s="243"/>
      <c r="S352" s="243"/>
      <c r="T352" s="246"/>
      <c r="U352" s="246"/>
      <c r="V352" s="246"/>
    </row>
    <row r="353" spans="1:22" ht="12.75">
      <c r="A353" s="247">
        <v>46307</v>
      </c>
      <c r="B353" s="248" t="s">
        <v>549</v>
      </c>
      <c r="C353" s="248" t="s">
        <v>738</v>
      </c>
      <c r="D353" s="248" t="s">
        <v>470</v>
      </c>
      <c r="E353" s="248" t="s">
        <v>707</v>
      </c>
      <c r="F353" s="248" t="s">
        <v>94</v>
      </c>
      <c r="G353" s="248" t="s">
        <v>708</v>
      </c>
      <c r="H353" s="248" t="s">
        <v>740</v>
      </c>
      <c r="I353" s="249" t="s">
        <v>710</v>
      </c>
      <c r="J353" s="248" t="s">
        <v>34</v>
      </c>
      <c r="K353" s="248" t="s">
        <v>2313</v>
      </c>
      <c r="L353" s="250" t="s">
        <v>2314</v>
      </c>
      <c r="M353" s="256">
        <v>4.5138888888888888E-2</v>
      </c>
      <c r="N353" s="256">
        <v>8.6805555555555552E-2</v>
      </c>
      <c r="O353" s="248" t="s">
        <v>2304</v>
      </c>
      <c r="P353" s="248"/>
      <c r="Q353" s="248"/>
      <c r="R353" s="248"/>
      <c r="S353" s="248"/>
      <c r="T353" s="246"/>
      <c r="U353" s="246"/>
      <c r="V353" s="246"/>
    </row>
    <row r="354" spans="1:22" ht="12.75">
      <c r="A354" s="242">
        <v>46307</v>
      </c>
      <c r="B354" s="243" t="s">
        <v>549</v>
      </c>
      <c r="C354" s="243" t="s">
        <v>738</v>
      </c>
      <c r="D354" s="243" t="s">
        <v>470</v>
      </c>
      <c r="E354" s="243" t="s">
        <v>707</v>
      </c>
      <c r="F354" s="243" t="s">
        <v>94</v>
      </c>
      <c r="G354" s="243" t="s">
        <v>708</v>
      </c>
      <c r="H354" s="243" t="s">
        <v>740</v>
      </c>
      <c r="I354" s="244" t="s">
        <v>710</v>
      </c>
      <c r="J354" s="243" t="s">
        <v>34</v>
      </c>
      <c r="K354" s="243" t="s">
        <v>2315</v>
      </c>
      <c r="L354" s="245" t="s">
        <v>2316</v>
      </c>
      <c r="M354" s="259">
        <v>8.6805555555555552E-2</v>
      </c>
      <c r="N354" s="259">
        <v>0.12847222222222221</v>
      </c>
      <c r="O354" s="243" t="s">
        <v>2304</v>
      </c>
      <c r="P354" s="243"/>
      <c r="Q354" s="243"/>
      <c r="R354" s="243"/>
      <c r="S354" s="243"/>
      <c r="T354" s="246"/>
      <c r="U354" s="246"/>
      <c r="V354" s="246"/>
    </row>
    <row r="355" spans="1:22" ht="12.75">
      <c r="A355" s="247">
        <v>46307</v>
      </c>
      <c r="B355" s="248" t="s">
        <v>549</v>
      </c>
      <c r="C355" s="248" t="s">
        <v>738</v>
      </c>
      <c r="D355" s="248" t="s">
        <v>470</v>
      </c>
      <c r="E355" s="248" t="s">
        <v>707</v>
      </c>
      <c r="F355" s="248" t="s">
        <v>94</v>
      </c>
      <c r="G355" s="248" t="s">
        <v>708</v>
      </c>
      <c r="H355" s="248" t="s">
        <v>740</v>
      </c>
      <c r="I355" s="249" t="s">
        <v>710</v>
      </c>
      <c r="J355" s="248" t="s">
        <v>34</v>
      </c>
      <c r="K355" s="248" t="s">
        <v>2317</v>
      </c>
      <c r="L355" s="250" t="s">
        <v>2318</v>
      </c>
      <c r="M355" s="256">
        <v>0.12847222222222221</v>
      </c>
      <c r="N355" s="256">
        <v>0.1701388888888889</v>
      </c>
      <c r="O355" s="248" t="s">
        <v>2304</v>
      </c>
      <c r="P355" s="248"/>
      <c r="Q355" s="248"/>
      <c r="R355" s="248"/>
      <c r="S355" s="248"/>
      <c r="T355" s="246"/>
      <c r="U355" s="246"/>
      <c r="V355" s="246"/>
    </row>
    <row r="356" spans="1:22" ht="12.75">
      <c r="A356" s="242">
        <v>46307</v>
      </c>
      <c r="B356" s="243" t="s">
        <v>563</v>
      </c>
      <c r="C356" s="243" t="s">
        <v>53</v>
      </c>
      <c r="D356" s="243" t="s">
        <v>650</v>
      </c>
      <c r="E356" s="243" t="s">
        <v>707</v>
      </c>
      <c r="F356" s="243" t="s">
        <v>94</v>
      </c>
      <c r="G356" s="243" t="s">
        <v>708</v>
      </c>
      <c r="H356" s="243" t="s">
        <v>709</v>
      </c>
      <c r="I356" s="244" t="s">
        <v>710</v>
      </c>
      <c r="J356" s="243" t="s">
        <v>34</v>
      </c>
      <c r="K356" s="243" t="s">
        <v>2319</v>
      </c>
      <c r="L356" s="245" t="s">
        <v>2303</v>
      </c>
      <c r="M356" s="259">
        <v>0.1736111111111111</v>
      </c>
      <c r="N356" s="259">
        <v>0.25694444444444442</v>
      </c>
      <c r="O356" s="243" t="s">
        <v>2304</v>
      </c>
      <c r="P356" s="243"/>
      <c r="Q356" s="243"/>
      <c r="R356" s="243"/>
      <c r="S356" s="243"/>
      <c r="T356" s="246"/>
      <c r="U356" s="246"/>
      <c r="V356" s="246"/>
    </row>
    <row r="357" spans="1:22" ht="12.75">
      <c r="A357" s="247">
        <v>46307</v>
      </c>
      <c r="B357" s="248" t="s">
        <v>563</v>
      </c>
      <c r="C357" s="248" t="s">
        <v>53</v>
      </c>
      <c r="D357" s="248" t="s">
        <v>650</v>
      </c>
      <c r="E357" s="248" t="s">
        <v>707</v>
      </c>
      <c r="F357" s="248" t="s">
        <v>94</v>
      </c>
      <c r="G357" s="248" t="s">
        <v>708</v>
      </c>
      <c r="H357" s="248" t="s">
        <v>740</v>
      </c>
      <c r="I357" s="249" t="s">
        <v>710</v>
      </c>
      <c r="J357" s="248" t="s">
        <v>34</v>
      </c>
      <c r="K357" s="248" t="s">
        <v>2320</v>
      </c>
      <c r="L357" s="250" t="s">
        <v>2321</v>
      </c>
      <c r="M357" s="256">
        <v>0.25694444444444442</v>
      </c>
      <c r="N357" s="256">
        <v>0.2986111111111111</v>
      </c>
      <c r="O357" s="248" t="s">
        <v>2304</v>
      </c>
      <c r="P357" s="248"/>
      <c r="Q357" s="248"/>
      <c r="R357" s="248"/>
      <c r="S357" s="248"/>
      <c r="T357" s="246"/>
      <c r="U357" s="246"/>
      <c r="V357" s="246"/>
    </row>
    <row r="358" spans="1:22" ht="12.75">
      <c r="A358" s="242">
        <v>46307</v>
      </c>
      <c r="B358" s="243" t="s">
        <v>563</v>
      </c>
      <c r="C358" s="243" t="s">
        <v>53</v>
      </c>
      <c r="D358" s="243" t="s">
        <v>2322</v>
      </c>
      <c r="E358" s="243" t="s">
        <v>2323</v>
      </c>
      <c r="F358" s="243" t="s">
        <v>94</v>
      </c>
      <c r="G358" s="243" t="s">
        <v>708</v>
      </c>
      <c r="H358" s="243" t="s">
        <v>740</v>
      </c>
      <c r="I358" s="244" t="s">
        <v>710</v>
      </c>
      <c r="J358" s="243" t="s">
        <v>34</v>
      </c>
      <c r="K358" s="243" t="s">
        <v>2324</v>
      </c>
      <c r="L358" s="245" t="s">
        <v>2325</v>
      </c>
      <c r="M358" s="259">
        <v>0.80625000000000002</v>
      </c>
      <c r="N358" s="259">
        <v>0.84791666666666665</v>
      </c>
      <c r="O358" s="243" t="s">
        <v>2326</v>
      </c>
      <c r="P358" s="243"/>
      <c r="Q358" s="243"/>
      <c r="R358" s="243"/>
      <c r="S358" s="243"/>
      <c r="T358" s="246"/>
      <c r="U358" s="246"/>
      <c r="V358" s="246"/>
    </row>
    <row r="359" spans="1:22" ht="12.75">
      <c r="A359" s="247">
        <v>46307</v>
      </c>
      <c r="B359" s="248" t="s">
        <v>563</v>
      </c>
      <c r="C359" s="248" t="s">
        <v>53</v>
      </c>
      <c r="D359" s="248" t="s">
        <v>2322</v>
      </c>
      <c r="E359" s="248" t="s">
        <v>2323</v>
      </c>
      <c r="F359" s="248" t="s">
        <v>94</v>
      </c>
      <c r="G359" s="248" t="s">
        <v>708</v>
      </c>
      <c r="H359" s="248" t="s">
        <v>740</v>
      </c>
      <c r="I359" s="249" t="s">
        <v>710</v>
      </c>
      <c r="J359" s="248" t="s">
        <v>34</v>
      </c>
      <c r="K359" s="248" t="s">
        <v>2327</v>
      </c>
      <c r="L359" s="250" t="s">
        <v>2328</v>
      </c>
      <c r="M359" s="256">
        <v>0.84861111111111109</v>
      </c>
      <c r="N359" s="256">
        <v>0.89027777777777772</v>
      </c>
      <c r="O359" s="248" t="s">
        <v>2326</v>
      </c>
      <c r="P359" s="248"/>
      <c r="Q359" s="248"/>
      <c r="R359" s="248"/>
      <c r="S359" s="248"/>
      <c r="T359" s="246"/>
      <c r="U359" s="246"/>
      <c r="V359" s="246"/>
    </row>
    <row r="360" spans="1:22" ht="12.75">
      <c r="A360" s="242">
        <v>46307</v>
      </c>
      <c r="B360" s="243" t="s">
        <v>563</v>
      </c>
      <c r="C360" s="243" t="s">
        <v>53</v>
      </c>
      <c r="D360" s="243" t="s">
        <v>2322</v>
      </c>
      <c r="E360" s="243" t="s">
        <v>2323</v>
      </c>
      <c r="F360" s="243" t="s">
        <v>94</v>
      </c>
      <c r="G360" s="243" t="s">
        <v>708</v>
      </c>
      <c r="H360" s="243" t="s">
        <v>740</v>
      </c>
      <c r="I360" s="244" t="s">
        <v>710</v>
      </c>
      <c r="J360" s="243" t="s">
        <v>34</v>
      </c>
      <c r="K360" s="243" t="s">
        <v>2329</v>
      </c>
      <c r="L360" s="245" t="s">
        <v>2330</v>
      </c>
      <c r="M360" s="259">
        <v>0.89097222222222228</v>
      </c>
      <c r="N360" s="259">
        <v>0.97430555555555554</v>
      </c>
      <c r="O360" s="243" t="s">
        <v>2326</v>
      </c>
      <c r="P360" s="243"/>
      <c r="Q360" s="243"/>
      <c r="R360" s="243"/>
      <c r="S360" s="243"/>
      <c r="T360" s="246"/>
      <c r="U360" s="246"/>
      <c r="V360" s="246"/>
    </row>
    <row r="361" spans="1:22" ht="12.75">
      <c r="A361" s="247">
        <v>46307</v>
      </c>
      <c r="B361" s="248" t="s">
        <v>563</v>
      </c>
      <c r="C361" s="248" t="s">
        <v>53</v>
      </c>
      <c r="D361" s="248" t="s">
        <v>2322</v>
      </c>
      <c r="E361" s="248" t="s">
        <v>2323</v>
      </c>
      <c r="F361" s="248" t="s">
        <v>94</v>
      </c>
      <c r="G361" s="248" t="s">
        <v>708</v>
      </c>
      <c r="H361" s="248" t="s">
        <v>709</v>
      </c>
      <c r="I361" s="249" t="s">
        <v>710</v>
      </c>
      <c r="J361" s="248" t="s">
        <v>34</v>
      </c>
      <c r="K361" s="248" t="s">
        <v>2331</v>
      </c>
      <c r="L361" s="250" t="s">
        <v>2266</v>
      </c>
      <c r="M361" s="256">
        <v>0.97499999999999998</v>
      </c>
      <c r="N361" s="256">
        <v>5.8333333333333334E-2</v>
      </c>
      <c r="O361" s="248" t="s">
        <v>2326</v>
      </c>
      <c r="P361" s="248"/>
      <c r="Q361" s="248"/>
      <c r="R361" s="248"/>
      <c r="S361" s="248"/>
      <c r="T361" s="246"/>
      <c r="U361" s="246"/>
      <c r="V361" s="246"/>
    </row>
    <row r="362" spans="1:22" ht="12.75">
      <c r="A362" s="242">
        <v>46307</v>
      </c>
      <c r="B362" s="243" t="s">
        <v>563</v>
      </c>
      <c r="C362" s="243" t="s">
        <v>53</v>
      </c>
      <c r="D362" s="243" t="s">
        <v>2332</v>
      </c>
      <c r="E362" s="243" t="s">
        <v>707</v>
      </c>
      <c r="F362" s="243" t="s">
        <v>94</v>
      </c>
      <c r="G362" s="243" t="s">
        <v>708</v>
      </c>
      <c r="H362" s="243" t="s">
        <v>740</v>
      </c>
      <c r="I362" s="244" t="s">
        <v>710</v>
      </c>
      <c r="J362" s="243" t="s">
        <v>34</v>
      </c>
      <c r="K362" s="243" t="s">
        <v>2333</v>
      </c>
      <c r="L362" s="245" t="s">
        <v>2334</v>
      </c>
      <c r="M362" s="259">
        <v>5.9027777777777776E-2</v>
      </c>
      <c r="N362" s="259">
        <v>0.1423611111111111</v>
      </c>
      <c r="O362" s="243" t="s">
        <v>2326</v>
      </c>
      <c r="P362" s="243"/>
      <c r="Q362" s="243"/>
      <c r="R362" s="243"/>
      <c r="S362" s="243"/>
      <c r="T362" s="246"/>
      <c r="U362" s="246"/>
      <c r="V362" s="246"/>
    </row>
    <row r="363" spans="1:22" ht="12.75">
      <c r="A363" s="247">
        <v>46307</v>
      </c>
      <c r="B363" s="248" t="s">
        <v>563</v>
      </c>
      <c r="C363" s="248" t="s">
        <v>53</v>
      </c>
      <c r="D363" s="248" t="s">
        <v>2332</v>
      </c>
      <c r="E363" s="248" t="s">
        <v>707</v>
      </c>
      <c r="F363" s="248" t="s">
        <v>94</v>
      </c>
      <c r="G363" s="248" t="s">
        <v>708</v>
      </c>
      <c r="H363" s="248" t="s">
        <v>709</v>
      </c>
      <c r="I363" s="249" t="s">
        <v>710</v>
      </c>
      <c r="J363" s="248" t="s">
        <v>34</v>
      </c>
      <c r="K363" s="248" t="s">
        <v>2335</v>
      </c>
      <c r="L363" s="250" t="s">
        <v>2266</v>
      </c>
      <c r="M363" s="256">
        <v>0.14305555555555555</v>
      </c>
      <c r="N363" s="256">
        <v>0.22638888888888889</v>
      </c>
      <c r="O363" s="248" t="s">
        <v>2326</v>
      </c>
      <c r="P363" s="248"/>
      <c r="Q363" s="248"/>
      <c r="R363" s="248"/>
      <c r="S363" s="248"/>
      <c r="T363" s="246"/>
      <c r="U363" s="246"/>
      <c r="V363" s="246"/>
    </row>
    <row r="364" spans="1:22" ht="12.75">
      <c r="A364" s="242">
        <v>46307</v>
      </c>
      <c r="B364" s="243" t="s">
        <v>563</v>
      </c>
      <c r="C364" s="243" t="s">
        <v>53</v>
      </c>
      <c r="D364" s="243" t="s">
        <v>2332</v>
      </c>
      <c r="E364" s="243" t="s">
        <v>707</v>
      </c>
      <c r="F364" s="243" t="s">
        <v>94</v>
      </c>
      <c r="G364" s="243" t="s">
        <v>708</v>
      </c>
      <c r="H364" s="243" t="s">
        <v>740</v>
      </c>
      <c r="I364" s="244" t="s">
        <v>710</v>
      </c>
      <c r="J364" s="243" t="s">
        <v>34</v>
      </c>
      <c r="K364" s="243" t="s">
        <v>2336</v>
      </c>
      <c r="L364" s="245" t="s">
        <v>2337</v>
      </c>
      <c r="M364" s="259">
        <v>0.22708333333333333</v>
      </c>
      <c r="N364" s="259">
        <v>0.26874999999999999</v>
      </c>
      <c r="O364" s="243" t="s">
        <v>2326</v>
      </c>
      <c r="P364" s="243"/>
      <c r="Q364" s="243"/>
      <c r="R364" s="243"/>
      <c r="S364" s="243"/>
      <c r="T364" s="246"/>
      <c r="U364" s="246"/>
      <c r="V364" s="246"/>
    </row>
    <row r="365" spans="1:22" ht="12.75">
      <c r="A365" s="247">
        <v>46307</v>
      </c>
      <c r="B365" s="248" t="s">
        <v>549</v>
      </c>
      <c r="C365" s="248" t="s">
        <v>746</v>
      </c>
      <c r="D365" s="248" t="s">
        <v>2338</v>
      </c>
      <c r="E365" s="248" t="s">
        <v>707</v>
      </c>
      <c r="F365" s="248" t="s">
        <v>94</v>
      </c>
      <c r="G365" s="248" t="s">
        <v>708</v>
      </c>
      <c r="H365" s="248" t="s">
        <v>709</v>
      </c>
      <c r="I365" s="249" t="s">
        <v>710</v>
      </c>
      <c r="J365" s="248" t="s">
        <v>34</v>
      </c>
      <c r="K365" s="248" t="s">
        <v>2339</v>
      </c>
      <c r="L365" s="250" t="s">
        <v>2266</v>
      </c>
      <c r="M365" s="256">
        <v>0.26944444444444443</v>
      </c>
      <c r="N365" s="256">
        <v>0.3527777777777778</v>
      </c>
      <c r="O365" s="248" t="s">
        <v>2326</v>
      </c>
      <c r="P365" s="248"/>
      <c r="Q365" s="248"/>
      <c r="R365" s="248"/>
      <c r="S365" s="248"/>
      <c r="T365" s="246"/>
      <c r="U365" s="246"/>
      <c r="V365" s="246"/>
    </row>
    <row r="366" spans="1:22" ht="12.75">
      <c r="A366" s="242">
        <v>46307</v>
      </c>
      <c r="B366" s="243" t="s">
        <v>549</v>
      </c>
      <c r="C366" s="243" t="s">
        <v>746</v>
      </c>
      <c r="D366" s="243" t="s">
        <v>2338</v>
      </c>
      <c r="E366" s="243" t="s">
        <v>707</v>
      </c>
      <c r="F366" s="243" t="s">
        <v>94</v>
      </c>
      <c r="G366" s="243" t="s">
        <v>708</v>
      </c>
      <c r="H366" s="243" t="s">
        <v>740</v>
      </c>
      <c r="I366" s="244" t="s">
        <v>710</v>
      </c>
      <c r="J366" s="243" t="s">
        <v>34</v>
      </c>
      <c r="K366" s="243" t="s">
        <v>2340</v>
      </c>
      <c r="L366" s="245" t="s">
        <v>2341</v>
      </c>
      <c r="M366" s="259">
        <v>0.26944444444444443</v>
      </c>
      <c r="N366" s="259">
        <v>0.2902777777777778</v>
      </c>
      <c r="O366" s="243" t="s">
        <v>2326</v>
      </c>
      <c r="P366" s="243"/>
      <c r="Q366" s="243"/>
      <c r="R366" s="243"/>
      <c r="S366" s="243"/>
      <c r="T366" s="246"/>
      <c r="U366" s="246"/>
      <c r="V366" s="246"/>
    </row>
    <row r="367" spans="1:22" ht="12.75">
      <c r="A367" s="247">
        <v>46307</v>
      </c>
      <c r="B367" s="248" t="s">
        <v>549</v>
      </c>
      <c r="C367" s="248" t="s">
        <v>746</v>
      </c>
      <c r="D367" s="248" t="s">
        <v>2338</v>
      </c>
      <c r="E367" s="248" t="s">
        <v>707</v>
      </c>
      <c r="F367" s="248" t="s">
        <v>94</v>
      </c>
      <c r="G367" s="248" t="s">
        <v>708</v>
      </c>
      <c r="H367" s="248" t="s">
        <v>740</v>
      </c>
      <c r="I367" s="249" t="s">
        <v>710</v>
      </c>
      <c r="J367" s="248" t="s">
        <v>34</v>
      </c>
      <c r="K367" s="248" t="s">
        <v>2342</v>
      </c>
      <c r="L367" s="250" t="s">
        <v>2343</v>
      </c>
      <c r="M367" s="256">
        <v>0.26944444444444443</v>
      </c>
      <c r="N367" s="256">
        <v>0.31111111111111112</v>
      </c>
      <c r="O367" s="248" t="s">
        <v>2326</v>
      </c>
      <c r="P367" s="248"/>
      <c r="Q367" s="248"/>
      <c r="R367" s="248"/>
      <c r="S367" s="248"/>
      <c r="T367" s="246"/>
      <c r="U367" s="246"/>
      <c r="V367" s="246"/>
    </row>
    <row r="368" spans="1:22" ht="12.75">
      <c r="A368" s="242">
        <v>46307</v>
      </c>
      <c r="B368" s="243" t="s">
        <v>549</v>
      </c>
      <c r="C368" s="243" t="s">
        <v>746</v>
      </c>
      <c r="D368" s="243" t="s">
        <v>2338</v>
      </c>
      <c r="E368" s="243" t="s">
        <v>707</v>
      </c>
      <c r="F368" s="243" t="s">
        <v>94</v>
      </c>
      <c r="G368" s="243" t="s">
        <v>708</v>
      </c>
      <c r="H368" s="243" t="s">
        <v>740</v>
      </c>
      <c r="I368" s="244" t="s">
        <v>710</v>
      </c>
      <c r="J368" s="243" t="s">
        <v>34</v>
      </c>
      <c r="K368" s="243" t="s">
        <v>2344</v>
      </c>
      <c r="L368" s="245" t="s">
        <v>2345</v>
      </c>
      <c r="M368" s="259">
        <v>0.75</v>
      </c>
      <c r="N368" s="259">
        <v>0.77083333333333337</v>
      </c>
      <c r="O368" s="243" t="s">
        <v>2346</v>
      </c>
      <c r="P368" s="243" t="s">
        <v>2347</v>
      </c>
      <c r="Q368" s="243"/>
      <c r="R368" s="243"/>
      <c r="S368" s="243"/>
      <c r="T368" s="246"/>
      <c r="U368" s="246"/>
      <c r="V368" s="246"/>
    </row>
    <row r="369" spans="1:22" ht="12.75">
      <c r="A369" s="247">
        <v>46307</v>
      </c>
      <c r="B369" s="248" t="s">
        <v>549</v>
      </c>
      <c r="C369" s="248" t="s">
        <v>746</v>
      </c>
      <c r="D369" s="248" t="s">
        <v>2338</v>
      </c>
      <c r="E369" s="248" t="s">
        <v>707</v>
      </c>
      <c r="F369" s="248" t="s">
        <v>94</v>
      </c>
      <c r="G369" s="248" t="s">
        <v>708</v>
      </c>
      <c r="H369" s="248" t="s">
        <v>740</v>
      </c>
      <c r="I369" s="249" t="s">
        <v>710</v>
      </c>
      <c r="J369" s="248" t="s">
        <v>34</v>
      </c>
      <c r="K369" s="248" t="s">
        <v>2348</v>
      </c>
      <c r="L369" s="250" t="s">
        <v>2349</v>
      </c>
      <c r="M369" s="256">
        <v>0.79166666666666663</v>
      </c>
      <c r="N369" s="256">
        <v>0.8125</v>
      </c>
      <c r="O369" s="248" t="s">
        <v>2346</v>
      </c>
      <c r="P369" s="248" t="s">
        <v>2347</v>
      </c>
      <c r="Q369" s="248"/>
      <c r="R369" s="248"/>
      <c r="S369" s="248"/>
      <c r="T369" s="246"/>
      <c r="U369" s="246"/>
      <c r="V369" s="246"/>
    </row>
    <row r="370" spans="1:22" ht="12.75">
      <c r="A370" s="242">
        <v>46307</v>
      </c>
      <c r="B370" s="243" t="s">
        <v>549</v>
      </c>
      <c r="C370" s="243" t="s">
        <v>746</v>
      </c>
      <c r="D370" s="243" t="s">
        <v>2338</v>
      </c>
      <c r="E370" s="243" t="s">
        <v>707</v>
      </c>
      <c r="F370" s="243" t="s">
        <v>94</v>
      </c>
      <c r="G370" s="243" t="s">
        <v>708</v>
      </c>
      <c r="H370" s="243" t="s">
        <v>740</v>
      </c>
      <c r="I370" s="244" t="s">
        <v>710</v>
      </c>
      <c r="J370" s="243" t="s">
        <v>34</v>
      </c>
      <c r="K370" s="243" t="s">
        <v>2350</v>
      </c>
      <c r="L370" s="245" t="s">
        <v>2351</v>
      </c>
      <c r="M370" s="259">
        <v>0.83333333333333337</v>
      </c>
      <c r="N370" s="259">
        <v>0.875</v>
      </c>
      <c r="O370" s="243" t="s">
        <v>2346</v>
      </c>
      <c r="P370" s="243" t="s">
        <v>2347</v>
      </c>
      <c r="Q370" s="243"/>
      <c r="R370" s="243"/>
      <c r="S370" s="243"/>
      <c r="T370" s="246"/>
      <c r="U370" s="246"/>
      <c r="V370" s="246"/>
    </row>
    <row r="371" spans="1:22" ht="12.75">
      <c r="A371" s="247">
        <v>46307</v>
      </c>
      <c r="B371" s="248" t="s">
        <v>549</v>
      </c>
      <c r="C371" s="248" t="s">
        <v>746</v>
      </c>
      <c r="D371" s="248" t="s">
        <v>2338</v>
      </c>
      <c r="E371" s="248" t="s">
        <v>707</v>
      </c>
      <c r="F371" s="248" t="s">
        <v>94</v>
      </c>
      <c r="G371" s="248" t="s">
        <v>708</v>
      </c>
      <c r="H371" s="248" t="s">
        <v>740</v>
      </c>
      <c r="I371" s="249" t="s">
        <v>710</v>
      </c>
      <c r="J371" s="248" t="s">
        <v>34</v>
      </c>
      <c r="K371" s="248" t="s">
        <v>2352</v>
      </c>
      <c r="L371" s="250" t="s">
        <v>2353</v>
      </c>
      <c r="M371" s="256">
        <v>0.875</v>
      </c>
      <c r="N371" s="256">
        <v>0.9375</v>
      </c>
      <c r="O371" s="248" t="s">
        <v>2346</v>
      </c>
      <c r="P371" s="248" t="s">
        <v>2347</v>
      </c>
      <c r="Q371" s="248"/>
      <c r="R371" s="248"/>
      <c r="S371" s="248"/>
      <c r="T371" s="246"/>
      <c r="U371" s="246"/>
      <c r="V371" s="246"/>
    </row>
    <row r="372" spans="1:22" ht="12.75">
      <c r="A372" s="242">
        <v>46307</v>
      </c>
      <c r="B372" s="243" t="s">
        <v>549</v>
      </c>
      <c r="C372" s="243" t="s">
        <v>746</v>
      </c>
      <c r="D372" s="243" t="s">
        <v>2338</v>
      </c>
      <c r="E372" s="243" t="s">
        <v>707</v>
      </c>
      <c r="F372" s="243" t="s">
        <v>94</v>
      </c>
      <c r="G372" s="243" t="s">
        <v>708</v>
      </c>
      <c r="H372" s="243" t="s">
        <v>740</v>
      </c>
      <c r="I372" s="244" t="s">
        <v>710</v>
      </c>
      <c r="J372" s="243" t="s">
        <v>34</v>
      </c>
      <c r="K372" s="243" t="s">
        <v>2354</v>
      </c>
      <c r="L372" s="245" t="s">
        <v>2355</v>
      </c>
      <c r="M372" s="259">
        <v>0.9375</v>
      </c>
      <c r="N372" s="259">
        <v>0.97916666666666663</v>
      </c>
      <c r="O372" s="243" t="s">
        <v>2346</v>
      </c>
      <c r="P372" s="243" t="s">
        <v>2347</v>
      </c>
      <c r="Q372" s="243"/>
      <c r="R372" s="243"/>
      <c r="S372" s="243"/>
      <c r="T372" s="246"/>
      <c r="U372" s="246"/>
      <c r="V372" s="246"/>
    </row>
    <row r="373" spans="1:22" ht="12.75">
      <c r="A373" s="247">
        <v>46307</v>
      </c>
      <c r="B373" s="248" t="s">
        <v>549</v>
      </c>
      <c r="C373" s="248" t="s">
        <v>746</v>
      </c>
      <c r="D373" s="248" t="s">
        <v>418</v>
      </c>
      <c r="E373" s="248" t="s">
        <v>707</v>
      </c>
      <c r="F373" s="248" t="s">
        <v>94</v>
      </c>
      <c r="G373" s="248" t="s">
        <v>708</v>
      </c>
      <c r="H373" s="248" t="s">
        <v>740</v>
      </c>
      <c r="I373" s="249" t="s">
        <v>710</v>
      </c>
      <c r="J373" s="248" t="s">
        <v>34</v>
      </c>
      <c r="K373" s="248" t="s">
        <v>2356</v>
      </c>
      <c r="L373" s="250" t="s">
        <v>2357</v>
      </c>
      <c r="M373" s="256">
        <v>0.97916666666666663</v>
      </c>
      <c r="N373" s="256">
        <v>6.25E-2</v>
      </c>
      <c r="O373" s="248" t="s">
        <v>2347</v>
      </c>
      <c r="P373" s="248" t="s">
        <v>2346</v>
      </c>
      <c r="Q373" s="248"/>
      <c r="R373" s="248"/>
      <c r="S373" s="248"/>
      <c r="T373" s="246"/>
      <c r="U373" s="246"/>
      <c r="V373" s="246"/>
    </row>
    <row r="374" spans="1:22" ht="12.75">
      <c r="A374" s="242">
        <v>46307</v>
      </c>
      <c r="B374" s="243" t="s">
        <v>549</v>
      </c>
      <c r="C374" s="243" t="s">
        <v>746</v>
      </c>
      <c r="D374" s="243" t="s">
        <v>418</v>
      </c>
      <c r="E374" s="243" t="s">
        <v>707</v>
      </c>
      <c r="F374" s="243" t="s">
        <v>94</v>
      </c>
      <c r="G374" s="243" t="s">
        <v>708</v>
      </c>
      <c r="H374" s="243" t="s">
        <v>740</v>
      </c>
      <c r="I374" s="244" t="s">
        <v>710</v>
      </c>
      <c r="J374" s="243" t="s">
        <v>34</v>
      </c>
      <c r="K374" s="243" t="s">
        <v>2358</v>
      </c>
      <c r="L374" s="245" t="s">
        <v>2359</v>
      </c>
      <c r="M374" s="259">
        <v>6.25E-2</v>
      </c>
      <c r="N374" s="259">
        <v>0.125</v>
      </c>
      <c r="O374" s="243" t="s">
        <v>2347</v>
      </c>
      <c r="P374" s="243" t="s">
        <v>2346</v>
      </c>
      <c r="Q374" s="243"/>
      <c r="R374" s="243"/>
      <c r="S374" s="243"/>
      <c r="T374" s="246"/>
      <c r="U374" s="246"/>
      <c r="V374" s="246"/>
    </row>
    <row r="375" spans="1:22" ht="12.75">
      <c r="A375" s="247">
        <v>46307</v>
      </c>
      <c r="B375" s="248" t="s">
        <v>549</v>
      </c>
      <c r="C375" s="248" t="s">
        <v>746</v>
      </c>
      <c r="D375" s="248" t="s">
        <v>418</v>
      </c>
      <c r="E375" s="248" t="s">
        <v>707</v>
      </c>
      <c r="F375" s="248" t="s">
        <v>94</v>
      </c>
      <c r="G375" s="248" t="s">
        <v>708</v>
      </c>
      <c r="H375" s="248" t="s">
        <v>740</v>
      </c>
      <c r="I375" s="249" t="s">
        <v>710</v>
      </c>
      <c r="J375" s="248" t="s">
        <v>34</v>
      </c>
      <c r="K375" s="248" t="s">
        <v>2360</v>
      </c>
      <c r="L375" s="250" t="s">
        <v>2361</v>
      </c>
      <c r="M375" s="256">
        <v>0.125</v>
      </c>
      <c r="N375" s="256">
        <v>0.16666666666666666</v>
      </c>
      <c r="O375" s="248" t="s">
        <v>2347</v>
      </c>
      <c r="P375" s="248" t="s">
        <v>2346</v>
      </c>
      <c r="Q375" s="248"/>
      <c r="R375" s="248"/>
      <c r="S375" s="248"/>
      <c r="T375" s="246"/>
      <c r="U375" s="246"/>
      <c r="V375" s="246"/>
    </row>
    <row r="376" spans="1:22" ht="12.75">
      <c r="A376" s="242">
        <v>46307</v>
      </c>
      <c r="B376" s="243" t="s">
        <v>549</v>
      </c>
      <c r="C376" s="243" t="s">
        <v>746</v>
      </c>
      <c r="D376" s="243" t="s">
        <v>418</v>
      </c>
      <c r="E376" s="243" t="s">
        <v>707</v>
      </c>
      <c r="F376" s="243" t="s">
        <v>94</v>
      </c>
      <c r="G376" s="243" t="s">
        <v>708</v>
      </c>
      <c r="H376" s="243" t="s">
        <v>740</v>
      </c>
      <c r="I376" s="244" t="s">
        <v>710</v>
      </c>
      <c r="J376" s="243" t="s">
        <v>34</v>
      </c>
      <c r="K376" s="243" t="s">
        <v>2362</v>
      </c>
      <c r="L376" s="245" t="s">
        <v>2363</v>
      </c>
      <c r="M376" s="259">
        <v>0.16666666666666666</v>
      </c>
      <c r="N376" s="259">
        <v>0.20833333333333334</v>
      </c>
      <c r="O376" s="243" t="s">
        <v>2347</v>
      </c>
      <c r="P376" s="243" t="s">
        <v>2346</v>
      </c>
      <c r="Q376" s="243"/>
      <c r="R376" s="243"/>
      <c r="S376" s="243"/>
      <c r="T376" s="246"/>
      <c r="U376" s="246"/>
      <c r="V376" s="246"/>
    </row>
    <row r="377" spans="1:22" ht="12.75">
      <c r="A377" s="247">
        <v>46307</v>
      </c>
      <c r="B377" s="248" t="s">
        <v>547</v>
      </c>
      <c r="C377" s="248" t="s">
        <v>746</v>
      </c>
      <c r="D377" s="248" t="s">
        <v>394</v>
      </c>
      <c r="E377" s="248" t="s">
        <v>707</v>
      </c>
      <c r="F377" s="248" t="s">
        <v>94</v>
      </c>
      <c r="G377" s="248" t="s">
        <v>708</v>
      </c>
      <c r="H377" s="248" t="s">
        <v>709</v>
      </c>
      <c r="I377" s="249" t="s">
        <v>710</v>
      </c>
      <c r="J377" s="248" t="s">
        <v>34</v>
      </c>
      <c r="K377" s="248" t="s">
        <v>2364</v>
      </c>
      <c r="L377" s="250" t="s">
        <v>2365</v>
      </c>
      <c r="M377" s="256">
        <v>0.8125</v>
      </c>
      <c r="N377" s="256">
        <v>0.89583333333333337</v>
      </c>
      <c r="O377" s="248" t="s">
        <v>2366</v>
      </c>
      <c r="P377" s="248"/>
      <c r="Q377" s="248"/>
      <c r="R377" s="248"/>
      <c r="S377" s="248"/>
      <c r="T377" s="246"/>
      <c r="U377" s="246"/>
      <c r="V377" s="246"/>
    </row>
    <row r="378" spans="1:22" ht="12.75">
      <c r="A378" s="242">
        <v>46307</v>
      </c>
      <c r="B378" s="243" t="s">
        <v>547</v>
      </c>
      <c r="C378" s="243" t="s">
        <v>746</v>
      </c>
      <c r="D378" s="243" t="s">
        <v>394</v>
      </c>
      <c r="E378" s="243" t="s">
        <v>707</v>
      </c>
      <c r="F378" s="243" t="s">
        <v>94</v>
      </c>
      <c r="G378" s="243" t="s">
        <v>708</v>
      </c>
      <c r="H378" s="243" t="s">
        <v>740</v>
      </c>
      <c r="I378" s="244" t="s">
        <v>710</v>
      </c>
      <c r="J378" s="243" t="s">
        <v>34</v>
      </c>
      <c r="K378" s="243" t="s">
        <v>2367</v>
      </c>
      <c r="L378" s="245" t="s">
        <v>2368</v>
      </c>
      <c r="M378" s="259">
        <v>0.89583333333333337</v>
      </c>
      <c r="N378" s="259">
        <v>0.9375</v>
      </c>
      <c r="O378" s="243" t="s">
        <v>2366</v>
      </c>
      <c r="P378" s="243"/>
      <c r="Q378" s="243"/>
      <c r="R378" s="243"/>
      <c r="S378" s="243"/>
      <c r="T378" s="246"/>
      <c r="U378" s="246"/>
      <c r="V378" s="246"/>
    </row>
    <row r="379" spans="1:22" ht="12.75">
      <c r="A379" s="247">
        <v>46307</v>
      </c>
      <c r="B379" s="248" t="s">
        <v>563</v>
      </c>
      <c r="C379" s="248" t="s">
        <v>53</v>
      </c>
      <c r="D379" s="248" t="s">
        <v>1097</v>
      </c>
      <c r="E379" s="248" t="s">
        <v>707</v>
      </c>
      <c r="F379" s="248" t="s">
        <v>94</v>
      </c>
      <c r="G379" s="248" t="s">
        <v>708</v>
      </c>
      <c r="H379" s="248" t="s">
        <v>709</v>
      </c>
      <c r="I379" s="249" t="s">
        <v>710</v>
      </c>
      <c r="J379" s="248" t="s">
        <v>34</v>
      </c>
      <c r="K379" s="248" t="s">
        <v>2369</v>
      </c>
      <c r="L379" s="250" t="s">
        <v>2365</v>
      </c>
      <c r="M379" s="256">
        <v>0.94791666666666663</v>
      </c>
      <c r="N379" s="256">
        <v>3.125E-2</v>
      </c>
      <c r="O379" s="248" t="s">
        <v>2366</v>
      </c>
      <c r="P379" s="248"/>
      <c r="Q379" s="248"/>
      <c r="R379" s="248"/>
      <c r="S379" s="248"/>
      <c r="T379" s="246"/>
      <c r="U379" s="246"/>
      <c r="V379" s="246"/>
    </row>
    <row r="380" spans="1:22" ht="12.75">
      <c r="A380" s="242">
        <v>46307</v>
      </c>
      <c r="B380" s="243" t="s">
        <v>563</v>
      </c>
      <c r="C380" s="243" t="s">
        <v>53</v>
      </c>
      <c r="D380" s="243" t="s">
        <v>1097</v>
      </c>
      <c r="E380" s="243" t="s">
        <v>707</v>
      </c>
      <c r="F380" s="243" t="s">
        <v>94</v>
      </c>
      <c r="G380" s="243" t="s">
        <v>708</v>
      </c>
      <c r="H380" s="243" t="s">
        <v>740</v>
      </c>
      <c r="I380" s="244" t="s">
        <v>710</v>
      </c>
      <c r="J380" s="243" t="s">
        <v>34</v>
      </c>
      <c r="K380" s="243" t="s">
        <v>2370</v>
      </c>
      <c r="L380" s="245" t="s">
        <v>2371</v>
      </c>
      <c r="M380" s="259">
        <v>3.125E-2</v>
      </c>
      <c r="N380" s="259">
        <v>4.1666666666666664E-2</v>
      </c>
      <c r="O380" s="243" t="s">
        <v>2366</v>
      </c>
      <c r="P380" s="243"/>
      <c r="Q380" s="243"/>
      <c r="R380" s="243"/>
      <c r="S380" s="243"/>
      <c r="T380" s="246"/>
      <c r="U380" s="246"/>
      <c r="V380" s="246"/>
    </row>
    <row r="381" spans="1:22" ht="12.75">
      <c r="A381" s="247">
        <v>46307</v>
      </c>
      <c r="B381" s="248" t="s">
        <v>563</v>
      </c>
      <c r="C381" s="248" t="s">
        <v>53</v>
      </c>
      <c r="D381" s="248" t="s">
        <v>1097</v>
      </c>
      <c r="E381" s="248" t="s">
        <v>707</v>
      </c>
      <c r="F381" s="248" t="s">
        <v>94</v>
      </c>
      <c r="G381" s="248" t="s">
        <v>708</v>
      </c>
      <c r="H381" s="248" t="s">
        <v>740</v>
      </c>
      <c r="I381" s="249" t="s">
        <v>710</v>
      </c>
      <c r="J381" s="248" t="s">
        <v>34</v>
      </c>
      <c r="K381" s="248" t="s">
        <v>2372</v>
      </c>
      <c r="L381" s="250" t="s">
        <v>2373</v>
      </c>
      <c r="M381" s="256">
        <v>4.1666666666666664E-2</v>
      </c>
      <c r="N381" s="256">
        <v>8.3333333333333329E-2</v>
      </c>
      <c r="O381" s="248" t="s">
        <v>2366</v>
      </c>
      <c r="P381" s="248"/>
      <c r="Q381" s="248"/>
      <c r="R381" s="248"/>
      <c r="S381" s="248"/>
      <c r="T381" s="246"/>
      <c r="U381" s="246"/>
      <c r="V381" s="246"/>
    </row>
    <row r="382" spans="1:22" ht="12.75">
      <c r="A382" s="242">
        <v>46307</v>
      </c>
      <c r="B382" s="243" t="s">
        <v>563</v>
      </c>
      <c r="C382" s="243" t="s">
        <v>53</v>
      </c>
      <c r="D382" s="243" t="s">
        <v>410</v>
      </c>
      <c r="E382" s="243" t="s">
        <v>707</v>
      </c>
      <c r="F382" s="243" t="s">
        <v>94</v>
      </c>
      <c r="G382" s="243" t="s">
        <v>708</v>
      </c>
      <c r="H382" s="243" t="s">
        <v>709</v>
      </c>
      <c r="I382" s="244" t="s">
        <v>710</v>
      </c>
      <c r="J382" s="243" t="s">
        <v>34</v>
      </c>
      <c r="K382" s="243" t="s">
        <v>2374</v>
      </c>
      <c r="L382" s="245" t="s">
        <v>2365</v>
      </c>
      <c r="M382" s="259">
        <v>8.3333333333333329E-2</v>
      </c>
      <c r="N382" s="259">
        <v>0.16666666666666666</v>
      </c>
      <c r="O382" s="243" t="s">
        <v>2366</v>
      </c>
      <c r="P382" s="243"/>
      <c r="Q382" s="243"/>
      <c r="R382" s="243"/>
      <c r="S382" s="243"/>
      <c r="T382" s="246"/>
      <c r="U382" s="246"/>
      <c r="V382" s="246"/>
    </row>
    <row r="383" spans="1:22" ht="12.75">
      <c r="A383" s="247">
        <v>46307</v>
      </c>
      <c r="B383" s="248" t="s">
        <v>563</v>
      </c>
      <c r="C383" s="248" t="s">
        <v>53</v>
      </c>
      <c r="D383" s="248" t="s">
        <v>410</v>
      </c>
      <c r="E383" s="248" t="s">
        <v>707</v>
      </c>
      <c r="F383" s="248" t="s">
        <v>94</v>
      </c>
      <c r="G383" s="248" t="s">
        <v>708</v>
      </c>
      <c r="H383" s="248" t="s">
        <v>740</v>
      </c>
      <c r="I383" s="249" t="s">
        <v>710</v>
      </c>
      <c r="J383" s="248" t="s">
        <v>34</v>
      </c>
      <c r="K383" s="248" t="s">
        <v>2375</v>
      </c>
      <c r="L383" s="250" t="s">
        <v>2376</v>
      </c>
      <c r="M383" s="256">
        <v>0.16666666666666666</v>
      </c>
      <c r="N383" s="256">
        <v>0.1875</v>
      </c>
      <c r="O383" s="248" t="s">
        <v>2366</v>
      </c>
      <c r="P383" s="248"/>
      <c r="Q383" s="248"/>
      <c r="R383" s="248"/>
      <c r="S383" s="248"/>
      <c r="T383" s="246"/>
      <c r="U383" s="246"/>
      <c r="V383" s="246"/>
    </row>
    <row r="384" spans="1:22" ht="12.75">
      <c r="A384" s="242">
        <v>46307</v>
      </c>
      <c r="B384" s="243" t="s">
        <v>563</v>
      </c>
      <c r="C384" s="243" t="s">
        <v>53</v>
      </c>
      <c r="D384" s="243" t="s">
        <v>410</v>
      </c>
      <c r="E384" s="243" t="s">
        <v>707</v>
      </c>
      <c r="F384" s="243" t="s">
        <v>94</v>
      </c>
      <c r="G384" s="243" t="s">
        <v>708</v>
      </c>
      <c r="H384" s="243" t="s">
        <v>740</v>
      </c>
      <c r="I384" s="244" t="s">
        <v>710</v>
      </c>
      <c r="J384" s="243" t="s">
        <v>34</v>
      </c>
      <c r="K384" s="243" t="s">
        <v>2377</v>
      </c>
      <c r="L384" s="245" t="s">
        <v>2378</v>
      </c>
      <c r="M384" s="259">
        <v>0.1875</v>
      </c>
      <c r="N384" s="259">
        <v>0.20833333333333334</v>
      </c>
      <c r="O384" s="243" t="s">
        <v>2366</v>
      </c>
      <c r="P384" s="243"/>
      <c r="Q384" s="243"/>
      <c r="R384" s="243"/>
      <c r="S384" s="243"/>
      <c r="T384" s="246"/>
      <c r="U384" s="246"/>
      <c r="V384" s="246"/>
    </row>
    <row r="385" spans="1:22" ht="12.75">
      <c r="A385" s="247">
        <v>46307</v>
      </c>
      <c r="B385" s="248" t="s">
        <v>563</v>
      </c>
      <c r="C385" s="248" t="s">
        <v>53</v>
      </c>
      <c r="D385" s="248" t="s">
        <v>410</v>
      </c>
      <c r="E385" s="248" t="s">
        <v>707</v>
      </c>
      <c r="F385" s="248" t="s">
        <v>94</v>
      </c>
      <c r="G385" s="248" t="s">
        <v>708</v>
      </c>
      <c r="H385" s="248" t="s">
        <v>740</v>
      </c>
      <c r="I385" s="249" t="s">
        <v>710</v>
      </c>
      <c r="J385" s="248" t="s">
        <v>34</v>
      </c>
      <c r="K385" s="248" t="s">
        <v>2379</v>
      </c>
      <c r="L385" s="250" t="s">
        <v>2380</v>
      </c>
      <c r="M385" s="256">
        <v>0.20833333333333334</v>
      </c>
      <c r="N385" s="256">
        <v>0.22916666666666666</v>
      </c>
      <c r="O385" s="248" t="s">
        <v>2366</v>
      </c>
      <c r="P385" s="248"/>
      <c r="Q385" s="248"/>
      <c r="R385" s="248"/>
      <c r="S385" s="248"/>
      <c r="T385" s="246"/>
      <c r="U385" s="246"/>
      <c r="V385" s="246"/>
    </row>
    <row r="386" spans="1:22" ht="12.75">
      <c r="A386" s="242">
        <v>46307</v>
      </c>
      <c r="B386" s="243" t="s">
        <v>547</v>
      </c>
      <c r="C386" s="243" t="s">
        <v>53</v>
      </c>
      <c r="D386" s="243" t="s">
        <v>292</v>
      </c>
      <c r="E386" s="243" t="s">
        <v>707</v>
      </c>
      <c r="F386" s="243" t="s">
        <v>94</v>
      </c>
      <c r="G386" s="243" t="s">
        <v>708</v>
      </c>
      <c r="H386" s="243" t="s">
        <v>740</v>
      </c>
      <c r="I386" s="244" t="s">
        <v>710</v>
      </c>
      <c r="J386" s="243" t="s">
        <v>34</v>
      </c>
      <c r="K386" s="243" t="s">
        <v>2381</v>
      </c>
      <c r="L386" s="245" t="s">
        <v>2382</v>
      </c>
      <c r="M386" s="259">
        <v>0.83333333333333337</v>
      </c>
      <c r="N386" s="259">
        <v>0.875</v>
      </c>
      <c r="O386" s="243" t="s">
        <v>2383</v>
      </c>
      <c r="P386" s="243"/>
      <c r="Q386" s="243"/>
      <c r="R386" s="243"/>
      <c r="S386" s="243"/>
      <c r="T386" s="246"/>
      <c r="U386" s="246"/>
      <c r="V386" s="246"/>
    </row>
    <row r="387" spans="1:22" ht="12.75">
      <c r="A387" s="247">
        <v>46307</v>
      </c>
      <c r="B387" s="248" t="s">
        <v>547</v>
      </c>
      <c r="C387" s="248" t="s">
        <v>53</v>
      </c>
      <c r="D387" s="248" t="s">
        <v>292</v>
      </c>
      <c r="E387" s="248" t="s">
        <v>707</v>
      </c>
      <c r="F387" s="248" t="s">
        <v>94</v>
      </c>
      <c r="G387" s="248" t="s">
        <v>708</v>
      </c>
      <c r="H387" s="248" t="s">
        <v>740</v>
      </c>
      <c r="I387" s="249" t="s">
        <v>710</v>
      </c>
      <c r="J387" s="248" t="s">
        <v>34</v>
      </c>
      <c r="K387" s="248" t="s">
        <v>2384</v>
      </c>
      <c r="L387" s="250" t="s">
        <v>2365</v>
      </c>
      <c r="M387" s="256">
        <v>0.8125</v>
      </c>
      <c r="N387" s="256">
        <v>0.89583333333333337</v>
      </c>
      <c r="O387" s="248" t="s">
        <v>2383</v>
      </c>
      <c r="P387" s="248"/>
      <c r="Q387" s="248"/>
      <c r="R387" s="248"/>
      <c r="S387" s="248"/>
      <c r="T387" s="246"/>
      <c r="U387" s="246"/>
      <c r="V387" s="246"/>
    </row>
    <row r="388" spans="1:22" ht="12.75">
      <c r="A388" s="242">
        <v>46307</v>
      </c>
      <c r="B388" s="243" t="s">
        <v>549</v>
      </c>
      <c r="C388" s="243" t="s">
        <v>746</v>
      </c>
      <c r="D388" s="243" t="s">
        <v>418</v>
      </c>
      <c r="E388" s="243" t="s">
        <v>707</v>
      </c>
      <c r="F388" s="243" t="s">
        <v>94</v>
      </c>
      <c r="G388" s="243" t="s">
        <v>708</v>
      </c>
      <c r="H388" s="243" t="s">
        <v>740</v>
      </c>
      <c r="I388" s="244" t="s">
        <v>710</v>
      </c>
      <c r="J388" s="243" t="s">
        <v>34</v>
      </c>
      <c r="K388" s="243" t="s">
        <v>2385</v>
      </c>
      <c r="L388" s="245" t="s">
        <v>2386</v>
      </c>
      <c r="M388" s="259">
        <v>0.95833333333333337</v>
      </c>
      <c r="N388" s="259">
        <v>0.99305555555555558</v>
      </c>
      <c r="O388" s="243" t="s">
        <v>2383</v>
      </c>
      <c r="P388" s="243"/>
      <c r="Q388" s="243"/>
      <c r="R388" s="243"/>
      <c r="S388" s="243"/>
      <c r="T388" s="246"/>
      <c r="U388" s="246"/>
      <c r="V388" s="246"/>
    </row>
    <row r="389" spans="1:22" ht="12.75">
      <c r="A389" s="247">
        <v>46307</v>
      </c>
      <c r="B389" s="248" t="s">
        <v>549</v>
      </c>
      <c r="C389" s="248" t="s">
        <v>746</v>
      </c>
      <c r="D389" s="248" t="s">
        <v>418</v>
      </c>
      <c r="E389" s="248" t="s">
        <v>707</v>
      </c>
      <c r="F389" s="248" t="s">
        <v>94</v>
      </c>
      <c r="G389" s="248" t="s">
        <v>708</v>
      </c>
      <c r="H389" s="248" t="s">
        <v>740</v>
      </c>
      <c r="I389" s="249" t="s">
        <v>710</v>
      </c>
      <c r="J389" s="248" t="s">
        <v>34</v>
      </c>
      <c r="K389" s="248" t="s">
        <v>2387</v>
      </c>
      <c r="L389" s="250" t="s">
        <v>2388</v>
      </c>
      <c r="M389" s="256">
        <v>0</v>
      </c>
      <c r="N389" s="256">
        <v>3.125E-2</v>
      </c>
      <c r="O389" s="248" t="s">
        <v>2383</v>
      </c>
      <c r="P389" s="248"/>
      <c r="Q389" s="248"/>
      <c r="R389" s="248"/>
      <c r="S389" s="248"/>
      <c r="T389" s="246"/>
      <c r="U389" s="246"/>
      <c r="V389" s="246"/>
    </row>
    <row r="390" spans="1:22" ht="12.75">
      <c r="A390" s="242">
        <v>46307</v>
      </c>
      <c r="B390" s="243" t="s">
        <v>549</v>
      </c>
      <c r="C390" s="243" t="s">
        <v>746</v>
      </c>
      <c r="D390" s="243" t="s">
        <v>418</v>
      </c>
      <c r="E390" s="243" t="s">
        <v>707</v>
      </c>
      <c r="F390" s="243" t="s">
        <v>94</v>
      </c>
      <c r="G390" s="243" t="s">
        <v>708</v>
      </c>
      <c r="H390" s="243" t="s">
        <v>740</v>
      </c>
      <c r="I390" s="244" t="s">
        <v>710</v>
      </c>
      <c r="J390" s="243" t="s">
        <v>34</v>
      </c>
      <c r="K390" s="243" t="s">
        <v>2389</v>
      </c>
      <c r="L390" s="245" t="s">
        <v>2390</v>
      </c>
      <c r="M390" s="259">
        <v>3.4722222222222224E-2</v>
      </c>
      <c r="N390" s="259">
        <v>5.5555555555555552E-2</v>
      </c>
      <c r="O390" s="243" t="s">
        <v>2383</v>
      </c>
      <c r="P390" s="243"/>
      <c r="Q390" s="243"/>
      <c r="R390" s="243"/>
      <c r="S390" s="243"/>
      <c r="T390" s="246"/>
      <c r="U390" s="246"/>
      <c r="V390" s="246"/>
    </row>
    <row r="391" spans="1:22" ht="12.75">
      <c r="A391" s="247">
        <v>46307</v>
      </c>
      <c r="B391" s="248" t="s">
        <v>549</v>
      </c>
      <c r="C391" s="248" t="s">
        <v>746</v>
      </c>
      <c r="D391" s="248" t="s">
        <v>418</v>
      </c>
      <c r="E391" s="248" t="s">
        <v>707</v>
      </c>
      <c r="F391" s="248" t="s">
        <v>94</v>
      </c>
      <c r="G391" s="248" t="s">
        <v>708</v>
      </c>
      <c r="H391" s="248" t="s">
        <v>740</v>
      </c>
      <c r="I391" s="249" t="s">
        <v>710</v>
      </c>
      <c r="J391" s="248" t="s">
        <v>34</v>
      </c>
      <c r="K391" s="248" t="s">
        <v>2391</v>
      </c>
      <c r="L391" s="250" t="s">
        <v>2392</v>
      </c>
      <c r="M391" s="256">
        <v>6.25E-2</v>
      </c>
      <c r="N391" s="256">
        <v>8.3333333333333329E-2</v>
      </c>
      <c r="O391" s="248" t="s">
        <v>2383</v>
      </c>
      <c r="P391" s="248"/>
      <c r="Q391" s="248"/>
      <c r="R391" s="248"/>
      <c r="S391" s="248"/>
      <c r="T391" s="246"/>
      <c r="U391" s="246"/>
      <c r="V391" s="246"/>
    </row>
    <row r="392" spans="1:22" ht="12.75">
      <c r="A392" s="242">
        <v>46307</v>
      </c>
      <c r="B392" s="243" t="s">
        <v>549</v>
      </c>
      <c r="C392" s="243" t="s">
        <v>746</v>
      </c>
      <c r="D392" s="243" t="s">
        <v>418</v>
      </c>
      <c r="E392" s="243" t="s">
        <v>707</v>
      </c>
      <c r="F392" s="243" t="s">
        <v>94</v>
      </c>
      <c r="G392" s="243" t="s">
        <v>708</v>
      </c>
      <c r="H392" s="243" t="s">
        <v>740</v>
      </c>
      <c r="I392" s="244" t="s">
        <v>710</v>
      </c>
      <c r="J392" s="243" t="s">
        <v>34</v>
      </c>
      <c r="K392" s="243" t="s">
        <v>2393</v>
      </c>
      <c r="L392" s="245" t="s">
        <v>2394</v>
      </c>
      <c r="M392" s="259">
        <v>8.3333333333333329E-2</v>
      </c>
      <c r="N392" s="259">
        <v>0.1076388888888889</v>
      </c>
      <c r="O392" s="243" t="s">
        <v>2383</v>
      </c>
      <c r="P392" s="243"/>
      <c r="Q392" s="243"/>
      <c r="R392" s="243"/>
      <c r="S392" s="243"/>
      <c r="T392" s="246"/>
      <c r="U392" s="246"/>
      <c r="V392" s="246"/>
    </row>
    <row r="393" spans="1:22" ht="12.75">
      <c r="A393" s="247">
        <v>46307</v>
      </c>
      <c r="B393" s="248" t="s">
        <v>549</v>
      </c>
      <c r="C393" s="248" t="s">
        <v>746</v>
      </c>
      <c r="D393" s="248" t="s">
        <v>418</v>
      </c>
      <c r="E393" s="248" t="s">
        <v>707</v>
      </c>
      <c r="F393" s="248" t="s">
        <v>94</v>
      </c>
      <c r="G393" s="248" t="s">
        <v>708</v>
      </c>
      <c r="H393" s="248" t="s">
        <v>740</v>
      </c>
      <c r="I393" s="249" t="s">
        <v>710</v>
      </c>
      <c r="J393" s="248" t="s">
        <v>34</v>
      </c>
      <c r="K393" s="248" t="s">
        <v>2395</v>
      </c>
      <c r="L393" s="250" t="s">
        <v>2396</v>
      </c>
      <c r="M393" s="256">
        <v>0.1076388888888889</v>
      </c>
      <c r="N393" s="256">
        <v>0.12847222222222221</v>
      </c>
      <c r="O393" s="248" t="s">
        <v>2383</v>
      </c>
      <c r="P393" s="248"/>
      <c r="Q393" s="248"/>
      <c r="R393" s="248"/>
      <c r="S393" s="248"/>
      <c r="T393" s="246"/>
      <c r="U393" s="246"/>
      <c r="V393" s="246"/>
    </row>
    <row r="394" spans="1:22" ht="12.75">
      <c r="A394" s="242">
        <v>46307</v>
      </c>
      <c r="B394" s="243" t="s">
        <v>549</v>
      </c>
      <c r="C394" s="243" t="s">
        <v>746</v>
      </c>
      <c r="D394" s="243" t="s">
        <v>418</v>
      </c>
      <c r="E394" s="243" t="s">
        <v>707</v>
      </c>
      <c r="F394" s="243" t="s">
        <v>94</v>
      </c>
      <c r="G394" s="243" t="s">
        <v>708</v>
      </c>
      <c r="H394" s="243" t="s">
        <v>740</v>
      </c>
      <c r="I394" s="244" t="s">
        <v>710</v>
      </c>
      <c r="J394" s="243" t="s">
        <v>34</v>
      </c>
      <c r="K394" s="243" t="s">
        <v>2397</v>
      </c>
      <c r="L394" s="245" t="s">
        <v>2398</v>
      </c>
      <c r="M394" s="259">
        <v>6.25E-2</v>
      </c>
      <c r="N394" s="259">
        <v>8.3333333333333329E-2</v>
      </c>
      <c r="O394" s="243" t="s">
        <v>2383</v>
      </c>
      <c r="P394" s="243"/>
      <c r="Q394" s="243"/>
      <c r="R394" s="243"/>
      <c r="S394" s="243"/>
      <c r="T394" s="246"/>
      <c r="U394" s="246"/>
      <c r="V394" s="246"/>
    </row>
    <row r="395" spans="1:22" ht="12.75">
      <c r="A395" s="247">
        <v>46307</v>
      </c>
      <c r="B395" s="248" t="s">
        <v>549</v>
      </c>
      <c r="C395" s="248" t="s">
        <v>746</v>
      </c>
      <c r="D395" s="248" t="s">
        <v>418</v>
      </c>
      <c r="E395" s="248" t="s">
        <v>707</v>
      </c>
      <c r="F395" s="248" t="s">
        <v>94</v>
      </c>
      <c r="G395" s="248" t="s">
        <v>708</v>
      </c>
      <c r="H395" s="248" t="s">
        <v>740</v>
      </c>
      <c r="I395" s="249" t="s">
        <v>710</v>
      </c>
      <c r="J395" s="248" t="s">
        <v>34</v>
      </c>
      <c r="K395" s="248" t="s">
        <v>2399</v>
      </c>
      <c r="L395" s="250" t="s">
        <v>2400</v>
      </c>
      <c r="M395" s="256">
        <v>6.25E-2</v>
      </c>
      <c r="N395" s="256">
        <v>8.3333333333333329E-2</v>
      </c>
      <c r="O395" s="248" t="s">
        <v>2383</v>
      </c>
      <c r="P395" s="248"/>
      <c r="Q395" s="248"/>
      <c r="R395" s="248"/>
      <c r="S395" s="248"/>
      <c r="T395" s="246"/>
      <c r="U395" s="246"/>
      <c r="V395" s="246"/>
    </row>
    <row r="396" spans="1:22" ht="12.75">
      <c r="A396" s="242">
        <v>46307</v>
      </c>
      <c r="B396" s="243" t="s">
        <v>549</v>
      </c>
      <c r="C396" s="243" t="s">
        <v>746</v>
      </c>
      <c r="D396" s="243" t="s">
        <v>418</v>
      </c>
      <c r="E396" s="243" t="s">
        <v>707</v>
      </c>
      <c r="F396" s="243" t="s">
        <v>94</v>
      </c>
      <c r="G396" s="243" t="s">
        <v>708</v>
      </c>
      <c r="H396" s="243" t="s">
        <v>740</v>
      </c>
      <c r="I396" s="244" t="s">
        <v>710</v>
      </c>
      <c r="J396" s="243" t="s">
        <v>34</v>
      </c>
      <c r="K396" s="243" t="s">
        <v>2401</v>
      </c>
      <c r="L396" s="245" t="s">
        <v>2402</v>
      </c>
      <c r="M396" s="259">
        <v>0.1111111111111111</v>
      </c>
      <c r="N396" s="259">
        <v>0.13194444444444445</v>
      </c>
      <c r="O396" s="243" t="s">
        <v>2383</v>
      </c>
      <c r="P396" s="243"/>
      <c r="Q396" s="243"/>
      <c r="R396" s="243"/>
      <c r="S396" s="243"/>
      <c r="T396" s="246"/>
      <c r="U396" s="246"/>
      <c r="V396" s="246"/>
    </row>
    <row r="397" spans="1:22" ht="12.75">
      <c r="A397" s="247">
        <v>46307</v>
      </c>
      <c r="B397" s="248" t="s">
        <v>549</v>
      </c>
      <c r="C397" s="248" t="s">
        <v>746</v>
      </c>
      <c r="D397" s="248" t="s">
        <v>418</v>
      </c>
      <c r="E397" s="248" t="s">
        <v>707</v>
      </c>
      <c r="F397" s="248" t="s">
        <v>94</v>
      </c>
      <c r="G397" s="248" t="s">
        <v>708</v>
      </c>
      <c r="H397" s="248" t="s">
        <v>740</v>
      </c>
      <c r="I397" s="249" t="s">
        <v>710</v>
      </c>
      <c r="J397" s="248" t="s">
        <v>34</v>
      </c>
      <c r="K397" s="248" t="s">
        <v>2403</v>
      </c>
      <c r="L397" s="250" t="s">
        <v>2404</v>
      </c>
      <c r="M397" s="256">
        <v>0.13194444444444445</v>
      </c>
      <c r="N397" s="256">
        <v>0.15277777777777779</v>
      </c>
      <c r="O397" s="248" t="s">
        <v>2383</v>
      </c>
      <c r="P397" s="248"/>
      <c r="Q397" s="248"/>
      <c r="R397" s="248"/>
      <c r="S397" s="248"/>
      <c r="T397" s="246"/>
      <c r="U397" s="246"/>
      <c r="V397" s="246"/>
    </row>
    <row r="398" spans="1:22" ht="12.75">
      <c r="A398" s="242">
        <v>46307</v>
      </c>
      <c r="B398" s="243" t="s">
        <v>549</v>
      </c>
      <c r="C398" s="243" t="s">
        <v>746</v>
      </c>
      <c r="D398" s="243" t="s">
        <v>418</v>
      </c>
      <c r="E398" s="243" t="s">
        <v>707</v>
      </c>
      <c r="F398" s="243" t="s">
        <v>94</v>
      </c>
      <c r="G398" s="243" t="s">
        <v>708</v>
      </c>
      <c r="H398" s="243" t="s">
        <v>740</v>
      </c>
      <c r="I398" s="244" t="s">
        <v>710</v>
      </c>
      <c r="J398" s="243" t="s">
        <v>34</v>
      </c>
      <c r="K398" s="243" t="s">
        <v>2405</v>
      </c>
      <c r="L398" s="245" t="s">
        <v>2365</v>
      </c>
      <c r="M398" s="259">
        <v>0.91666666666666663</v>
      </c>
      <c r="N398" s="259">
        <v>0</v>
      </c>
      <c r="O398" s="243" t="s">
        <v>2383</v>
      </c>
      <c r="P398" s="243"/>
      <c r="Q398" s="243"/>
      <c r="R398" s="243"/>
      <c r="S398" s="243"/>
      <c r="T398" s="246"/>
      <c r="U398" s="246"/>
      <c r="V398" s="246"/>
    </row>
    <row r="399" spans="1:22" ht="12.75">
      <c r="A399" s="247">
        <v>46307</v>
      </c>
      <c r="B399" s="248" t="s">
        <v>549</v>
      </c>
      <c r="C399" s="248" t="s">
        <v>746</v>
      </c>
      <c r="D399" s="248" t="s">
        <v>418</v>
      </c>
      <c r="E399" s="248" t="s">
        <v>707</v>
      </c>
      <c r="F399" s="248" t="s">
        <v>94</v>
      </c>
      <c r="G399" s="248" t="s">
        <v>708</v>
      </c>
      <c r="H399" s="248" t="s">
        <v>740</v>
      </c>
      <c r="I399" s="249" t="s">
        <v>710</v>
      </c>
      <c r="J399" s="248" t="s">
        <v>34</v>
      </c>
      <c r="K399" s="248" t="s">
        <v>2406</v>
      </c>
      <c r="L399" s="250" t="s">
        <v>2407</v>
      </c>
      <c r="M399" s="256">
        <v>0.13194444444444445</v>
      </c>
      <c r="N399" s="256">
        <v>0.15277777777777779</v>
      </c>
      <c r="O399" s="248" t="s">
        <v>2383</v>
      </c>
      <c r="P399" s="248"/>
      <c r="Q399" s="248"/>
      <c r="R399" s="248"/>
      <c r="S399" s="248"/>
      <c r="T399" s="246"/>
      <c r="U399" s="246"/>
      <c r="V399" s="246"/>
    </row>
    <row r="400" spans="1:22" ht="12.75">
      <c r="A400" s="242">
        <v>46307</v>
      </c>
      <c r="B400" s="243" t="s">
        <v>549</v>
      </c>
      <c r="C400" s="243" t="s">
        <v>404</v>
      </c>
      <c r="D400" s="243" t="s">
        <v>399</v>
      </c>
      <c r="E400" s="243" t="s">
        <v>707</v>
      </c>
      <c r="F400" s="243" t="s">
        <v>94</v>
      </c>
      <c r="G400" s="243" t="s">
        <v>708</v>
      </c>
      <c r="H400" s="243" t="s">
        <v>740</v>
      </c>
      <c r="I400" s="244" t="s">
        <v>710</v>
      </c>
      <c r="J400" s="243" t="s">
        <v>34</v>
      </c>
      <c r="K400" s="243" t="s">
        <v>2408</v>
      </c>
      <c r="L400" s="245" t="s">
        <v>2365</v>
      </c>
      <c r="M400" s="259">
        <v>0.16666666666666666</v>
      </c>
      <c r="N400" s="259">
        <v>0.25</v>
      </c>
      <c r="O400" s="243" t="s">
        <v>2383</v>
      </c>
      <c r="P400" s="243" t="s">
        <v>2304</v>
      </c>
      <c r="Q400" s="243"/>
      <c r="R400" s="243"/>
      <c r="S400" s="243"/>
      <c r="T400" s="246"/>
      <c r="U400" s="246"/>
      <c r="V400" s="246"/>
    </row>
    <row r="401" spans="1:22" ht="12.75">
      <c r="A401" s="247">
        <v>46307</v>
      </c>
      <c r="B401" s="248" t="s">
        <v>563</v>
      </c>
      <c r="C401" s="248" t="s">
        <v>53</v>
      </c>
      <c r="D401" s="248" t="s">
        <v>877</v>
      </c>
      <c r="E401" s="248" t="s">
        <v>707</v>
      </c>
      <c r="F401" s="248" t="s">
        <v>375</v>
      </c>
      <c r="G401" s="248" t="s">
        <v>708</v>
      </c>
      <c r="H401" s="248" t="s">
        <v>709</v>
      </c>
      <c r="I401" s="249" t="s">
        <v>710</v>
      </c>
      <c r="J401" s="248" t="s">
        <v>34</v>
      </c>
      <c r="K401" s="248" t="s">
        <v>2409</v>
      </c>
      <c r="L401" s="250" t="s">
        <v>2410</v>
      </c>
      <c r="M401" s="256">
        <v>0.625</v>
      </c>
      <c r="N401" s="256">
        <v>0.66666666666666663</v>
      </c>
      <c r="O401" s="248" t="s">
        <v>2411</v>
      </c>
      <c r="P401" s="248"/>
      <c r="Q401" s="248"/>
      <c r="R401" s="248"/>
      <c r="S401" s="248"/>
      <c r="T401" s="246"/>
      <c r="U401" s="246"/>
      <c r="V401" s="246"/>
    </row>
    <row r="402" spans="1:22" ht="12.75">
      <c r="A402" s="242">
        <v>46307</v>
      </c>
      <c r="B402" s="243" t="s">
        <v>549</v>
      </c>
      <c r="C402" s="243" t="s">
        <v>619</v>
      </c>
      <c r="D402" s="243" t="s">
        <v>1789</v>
      </c>
      <c r="E402" s="243" t="s">
        <v>707</v>
      </c>
      <c r="F402" s="243" t="s">
        <v>375</v>
      </c>
      <c r="G402" s="243" t="s">
        <v>708</v>
      </c>
      <c r="H402" s="243" t="s">
        <v>709</v>
      </c>
      <c r="I402" s="244" t="s">
        <v>710</v>
      </c>
      <c r="J402" s="243" t="s">
        <v>34</v>
      </c>
      <c r="K402" s="243" t="s">
        <v>2412</v>
      </c>
      <c r="L402" s="245" t="s">
        <v>2410</v>
      </c>
      <c r="M402" s="259">
        <v>0.68055555555555558</v>
      </c>
      <c r="N402" s="259">
        <v>0.73611111111111116</v>
      </c>
      <c r="O402" s="243" t="s">
        <v>2411</v>
      </c>
      <c r="P402" s="243"/>
      <c r="Q402" s="243"/>
      <c r="R402" s="243"/>
      <c r="S402" s="243"/>
      <c r="T402" s="246"/>
      <c r="U402" s="246"/>
      <c r="V402" s="246"/>
    </row>
    <row r="403" spans="1:22" ht="12.75">
      <c r="A403" s="247">
        <v>46307</v>
      </c>
      <c r="B403" s="248" t="s">
        <v>549</v>
      </c>
      <c r="C403" s="248" t="s">
        <v>619</v>
      </c>
      <c r="D403" s="248" t="s">
        <v>1789</v>
      </c>
      <c r="E403" s="248" t="s">
        <v>707</v>
      </c>
      <c r="F403" s="248" t="s">
        <v>375</v>
      </c>
      <c r="G403" s="248" t="s">
        <v>708</v>
      </c>
      <c r="H403" s="248" t="s">
        <v>740</v>
      </c>
      <c r="I403" s="249" t="s">
        <v>710</v>
      </c>
      <c r="J403" s="248" t="s">
        <v>34</v>
      </c>
      <c r="K403" s="248" t="s">
        <v>2413</v>
      </c>
      <c r="L403" s="250" t="s">
        <v>2414</v>
      </c>
      <c r="M403" s="256">
        <v>0.73611111111111116</v>
      </c>
      <c r="N403" s="256">
        <v>0.74305555555555558</v>
      </c>
      <c r="O403" s="248" t="s">
        <v>2411</v>
      </c>
      <c r="P403" s="248"/>
      <c r="Q403" s="248"/>
      <c r="R403" s="248"/>
      <c r="S403" s="248"/>
      <c r="T403" s="246"/>
      <c r="U403" s="246"/>
      <c r="V403" s="246"/>
    </row>
    <row r="404" spans="1:22" ht="12.75">
      <c r="A404" s="242">
        <v>46307</v>
      </c>
      <c r="B404" s="243" t="s">
        <v>549</v>
      </c>
      <c r="C404" s="243" t="s">
        <v>619</v>
      </c>
      <c r="D404" s="243" t="s">
        <v>1789</v>
      </c>
      <c r="E404" s="243" t="s">
        <v>707</v>
      </c>
      <c r="F404" s="243" t="s">
        <v>375</v>
      </c>
      <c r="G404" s="243" t="s">
        <v>708</v>
      </c>
      <c r="H404" s="243" t="s">
        <v>740</v>
      </c>
      <c r="I404" s="244" t="s">
        <v>710</v>
      </c>
      <c r="J404" s="243" t="s">
        <v>34</v>
      </c>
      <c r="K404" s="243" t="s">
        <v>2415</v>
      </c>
      <c r="L404" s="245" t="s">
        <v>2416</v>
      </c>
      <c r="M404" s="259">
        <v>0.74305555555555558</v>
      </c>
      <c r="N404" s="259">
        <v>0.75</v>
      </c>
      <c r="O404" s="243" t="s">
        <v>2411</v>
      </c>
      <c r="P404" s="243"/>
      <c r="Q404" s="243"/>
      <c r="R404" s="243"/>
      <c r="S404" s="243"/>
      <c r="T404" s="246"/>
      <c r="U404" s="246"/>
      <c r="V404" s="246"/>
    </row>
    <row r="405" spans="1:22" ht="12.75">
      <c r="A405" s="247">
        <v>46307</v>
      </c>
      <c r="B405" s="248" t="s">
        <v>549</v>
      </c>
      <c r="C405" s="248" t="s">
        <v>619</v>
      </c>
      <c r="D405" s="248" t="s">
        <v>1789</v>
      </c>
      <c r="E405" s="248" t="s">
        <v>707</v>
      </c>
      <c r="F405" s="248" t="s">
        <v>375</v>
      </c>
      <c r="G405" s="248" t="s">
        <v>708</v>
      </c>
      <c r="H405" s="248" t="s">
        <v>740</v>
      </c>
      <c r="I405" s="249" t="s">
        <v>710</v>
      </c>
      <c r="J405" s="248" t="s">
        <v>34</v>
      </c>
      <c r="K405" s="248" t="s">
        <v>2417</v>
      </c>
      <c r="L405" s="250" t="s">
        <v>2418</v>
      </c>
      <c r="M405" s="256">
        <v>0.75</v>
      </c>
      <c r="N405" s="256">
        <v>0.76041666666666663</v>
      </c>
      <c r="O405" s="248" t="s">
        <v>2411</v>
      </c>
      <c r="P405" s="248"/>
      <c r="Q405" s="248"/>
      <c r="R405" s="248"/>
      <c r="S405" s="248"/>
      <c r="T405" s="246"/>
      <c r="U405" s="246"/>
      <c r="V405" s="246"/>
    </row>
    <row r="406" spans="1:22" ht="12.75">
      <c r="A406" s="242">
        <v>46307</v>
      </c>
      <c r="B406" s="243" t="s">
        <v>549</v>
      </c>
      <c r="C406" s="243" t="s">
        <v>619</v>
      </c>
      <c r="D406" s="243" t="s">
        <v>1789</v>
      </c>
      <c r="E406" s="243" t="s">
        <v>707</v>
      </c>
      <c r="F406" s="243" t="s">
        <v>375</v>
      </c>
      <c r="G406" s="243" t="s">
        <v>708</v>
      </c>
      <c r="H406" s="243" t="s">
        <v>740</v>
      </c>
      <c r="I406" s="244" t="s">
        <v>710</v>
      </c>
      <c r="J406" s="243" t="s">
        <v>34</v>
      </c>
      <c r="K406" s="243" t="s">
        <v>2419</v>
      </c>
      <c r="L406" s="245" t="s">
        <v>2420</v>
      </c>
      <c r="M406" s="259">
        <v>0.76041666666666663</v>
      </c>
      <c r="N406" s="259">
        <v>0.77777777777777779</v>
      </c>
      <c r="O406" s="243" t="s">
        <v>2411</v>
      </c>
      <c r="P406" s="243"/>
      <c r="Q406" s="243"/>
      <c r="R406" s="243"/>
      <c r="S406" s="243"/>
      <c r="T406" s="246"/>
      <c r="U406" s="246"/>
      <c r="V406" s="246"/>
    </row>
    <row r="407" spans="1:22" ht="12.75">
      <c r="A407" s="247">
        <v>46307</v>
      </c>
      <c r="B407" s="248" t="s">
        <v>549</v>
      </c>
      <c r="C407" s="248" t="s">
        <v>619</v>
      </c>
      <c r="D407" s="248" t="s">
        <v>1789</v>
      </c>
      <c r="E407" s="248" t="s">
        <v>707</v>
      </c>
      <c r="F407" s="248" t="s">
        <v>375</v>
      </c>
      <c r="G407" s="248" t="s">
        <v>708</v>
      </c>
      <c r="H407" s="248" t="s">
        <v>740</v>
      </c>
      <c r="I407" s="249" t="s">
        <v>710</v>
      </c>
      <c r="J407" s="248" t="s">
        <v>34</v>
      </c>
      <c r="K407" s="248" t="s">
        <v>2419</v>
      </c>
      <c r="L407" s="250" t="s">
        <v>2421</v>
      </c>
      <c r="M407" s="256">
        <v>0.79166666666666663</v>
      </c>
      <c r="N407" s="256">
        <v>0.80555555555555558</v>
      </c>
      <c r="O407" s="248" t="s">
        <v>2411</v>
      </c>
      <c r="P407" s="248"/>
      <c r="Q407" s="248"/>
      <c r="R407" s="248"/>
      <c r="S407" s="248"/>
      <c r="T407" s="246"/>
      <c r="U407" s="246"/>
      <c r="V407" s="246"/>
    </row>
    <row r="408" spans="1:22" ht="12.75">
      <c r="A408" s="242">
        <v>46307</v>
      </c>
      <c r="B408" s="243" t="s">
        <v>563</v>
      </c>
      <c r="C408" s="243" t="s">
        <v>53</v>
      </c>
      <c r="D408" s="243" t="s">
        <v>1955</v>
      </c>
      <c r="E408" s="243" t="s">
        <v>707</v>
      </c>
      <c r="F408" s="243" t="s">
        <v>375</v>
      </c>
      <c r="G408" s="243" t="s">
        <v>708</v>
      </c>
      <c r="H408" s="243" t="s">
        <v>709</v>
      </c>
      <c r="I408" s="244" t="s">
        <v>710</v>
      </c>
      <c r="J408" s="243" t="s">
        <v>34</v>
      </c>
      <c r="K408" s="243" t="s">
        <v>2422</v>
      </c>
      <c r="L408" s="245" t="s">
        <v>2410</v>
      </c>
      <c r="M408" s="259">
        <v>0.70833333333333337</v>
      </c>
      <c r="N408" s="259">
        <v>0.77083333333333337</v>
      </c>
      <c r="O408" s="243" t="s">
        <v>2423</v>
      </c>
      <c r="P408" s="243"/>
      <c r="Q408" s="243"/>
      <c r="R408" s="243"/>
      <c r="S408" s="243"/>
      <c r="T408" s="246"/>
      <c r="U408" s="246"/>
      <c r="V408" s="246"/>
    </row>
    <row r="409" spans="1:22" ht="12.75">
      <c r="A409" s="247">
        <v>46307</v>
      </c>
      <c r="B409" s="248" t="s">
        <v>563</v>
      </c>
      <c r="C409" s="248" t="s">
        <v>53</v>
      </c>
      <c r="D409" s="248" t="s">
        <v>1955</v>
      </c>
      <c r="E409" s="248" t="s">
        <v>707</v>
      </c>
      <c r="F409" s="248" t="s">
        <v>375</v>
      </c>
      <c r="G409" s="248" t="s">
        <v>708</v>
      </c>
      <c r="H409" s="248" t="s">
        <v>740</v>
      </c>
      <c r="I409" s="249" t="s">
        <v>710</v>
      </c>
      <c r="J409" s="248" t="s">
        <v>34</v>
      </c>
      <c r="K409" s="248" t="s">
        <v>2424</v>
      </c>
      <c r="L409" s="250" t="s">
        <v>2425</v>
      </c>
      <c r="M409" s="256">
        <v>0.77222222222222225</v>
      </c>
      <c r="N409" s="256">
        <v>0.78819444444444442</v>
      </c>
      <c r="O409" s="248" t="s">
        <v>2423</v>
      </c>
      <c r="P409" s="248"/>
      <c r="Q409" s="248"/>
      <c r="R409" s="248"/>
      <c r="S409" s="248"/>
      <c r="T409" s="246"/>
      <c r="U409" s="246"/>
      <c r="V409" s="246"/>
    </row>
    <row r="410" spans="1:22" ht="12.75">
      <c r="A410" s="242">
        <v>46307</v>
      </c>
      <c r="B410" s="243" t="s">
        <v>563</v>
      </c>
      <c r="C410" s="243" t="s">
        <v>53</v>
      </c>
      <c r="D410" s="243" t="s">
        <v>1955</v>
      </c>
      <c r="E410" s="243" t="s">
        <v>707</v>
      </c>
      <c r="F410" s="243" t="s">
        <v>375</v>
      </c>
      <c r="G410" s="243" t="s">
        <v>708</v>
      </c>
      <c r="H410" s="243" t="s">
        <v>740</v>
      </c>
      <c r="I410" s="244" t="s">
        <v>710</v>
      </c>
      <c r="J410" s="243" t="s">
        <v>34</v>
      </c>
      <c r="K410" s="243" t="s">
        <v>2426</v>
      </c>
      <c r="L410" s="245" t="s">
        <v>2427</v>
      </c>
      <c r="M410" s="259">
        <v>0.7895833333333333</v>
      </c>
      <c r="N410" s="259">
        <v>0.80347222222222225</v>
      </c>
      <c r="O410" s="243" t="s">
        <v>2423</v>
      </c>
      <c r="P410" s="243"/>
      <c r="Q410" s="243"/>
      <c r="R410" s="243"/>
      <c r="S410" s="243"/>
      <c r="T410" s="246"/>
      <c r="U410" s="246"/>
      <c r="V410" s="246"/>
    </row>
    <row r="411" spans="1:22" ht="12.75">
      <c r="A411" s="247">
        <v>46307</v>
      </c>
      <c r="B411" s="248" t="s">
        <v>563</v>
      </c>
      <c r="C411" s="248" t="s">
        <v>53</v>
      </c>
      <c r="D411" s="248" t="s">
        <v>1955</v>
      </c>
      <c r="E411" s="248" t="s">
        <v>707</v>
      </c>
      <c r="F411" s="248" t="s">
        <v>375</v>
      </c>
      <c r="G411" s="248" t="s">
        <v>708</v>
      </c>
      <c r="H411" s="248" t="s">
        <v>740</v>
      </c>
      <c r="I411" s="249" t="s">
        <v>710</v>
      </c>
      <c r="J411" s="248" t="s">
        <v>34</v>
      </c>
      <c r="K411" s="248" t="s">
        <v>2428</v>
      </c>
      <c r="L411" s="250" t="s">
        <v>2429</v>
      </c>
      <c r="M411" s="256">
        <v>5.5555555555555552E-2</v>
      </c>
      <c r="N411" s="256">
        <v>0.8125</v>
      </c>
      <c r="O411" s="248" t="s">
        <v>2423</v>
      </c>
      <c r="P411" s="248"/>
      <c r="Q411" s="248"/>
      <c r="R411" s="248"/>
      <c r="S411" s="248"/>
      <c r="T411" s="246"/>
      <c r="U411" s="246"/>
      <c r="V411" s="246"/>
    </row>
    <row r="412" spans="1:22" ht="12.75">
      <c r="A412" s="242">
        <v>46307</v>
      </c>
      <c r="B412" s="243" t="s">
        <v>549</v>
      </c>
      <c r="C412" s="243" t="s">
        <v>619</v>
      </c>
      <c r="D412" s="243" t="s">
        <v>2430</v>
      </c>
      <c r="E412" s="243" t="s">
        <v>707</v>
      </c>
      <c r="F412" s="243" t="s">
        <v>375</v>
      </c>
      <c r="G412" s="243" t="s">
        <v>708</v>
      </c>
      <c r="H412" s="243" t="s">
        <v>709</v>
      </c>
      <c r="I412" s="244" t="s">
        <v>710</v>
      </c>
      <c r="J412" s="243" t="s">
        <v>34</v>
      </c>
      <c r="K412" s="243" t="s">
        <v>2431</v>
      </c>
      <c r="L412" s="245" t="s">
        <v>2410</v>
      </c>
      <c r="M412" s="259">
        <v>0.83333333333333337</v>
      </c>
      <c r="N412" s="259">
        <v>0.89583333333333337</v>
      </c>
      <c r="O412" s="243" t="s">
        <v>2423</v>
      </c>
      <c r="P412" s="243"/>
      <c r="Q412" s="243"/>
      <c r="R412" s="243"/>
      <c r="S412" s="243"/>
      <c r="T412" s="246"/>
      <c r="U412" s="246"/>
      <c r="V412" s="246"/>
    </row>
    <row r="413" spans="1:22" ht="12.75">
      <c r="A413" s="247">
        <v>46307</v>
      </c>
      <c r="B413" s="248" t="s">
        <v>549</v>
      </c>
      <c r="C413" s="248" t="s">
        <v>619</v>
      </c>
      <c r="D413" s="248" t="s">
        <v>2430</v>
      </c>
      <c r="E413" s="248" t="s">
        <v>707</v>
      </c>
      <c r="F413" s="248" t="s">
        <v>375</v>
      </c>
      <c r="G413" s="248" t="s">
        <v>708</v>
      </c>
      <c r="H413" s="248" t="s">
        <v>740</v>
      </c>
      <c r="I413" s="249" t="s">
        <v>710</v>
      </c>
      <c r="J413" s="248" t="s">
        <v>34</v>
      </c>
      <c r="K413" s="248" t="s">
        <v>2432</v>
      </c>
      <c r="L413" s="250" t="s">
        <v>2433</v>
      </c>
      <c r="M413" s="256">
        <v>0.89722222222222225</v>
      </c>
      <c r="N413" s="256">
        <v>0.90625</v>
      </c>
      <c r="O413" s="248" t="s">
        <v>2423</v>
      </c>
      <c r="P413" s="248"/>
      <c r="Q413" s="248"/>
      <c r="R413" s="248"/>
      <c r="S413" s="248"/>
      <c r="T413" s="246"/>
      <c r="U413" s="246"/>
      <c r="V413" s="246"/>
    </row>
    <row r="414" spans="1:22" ht="12.75">
      <c r="A414" s="242">
        <v>46307</v>
      </c>
      <c r="B414" s="243" t="s">
        <v>549</v>
      </c>
      <c r="C414" s="243" t="s">
        <v>619</v>
      </c>
      <c r="D414" s="243" t="s">
        <v>2430</v>
      </c>
      <c r="E414" s="243" t="s">
        <v>707</v>
      </c>
      <c r="F414" s="243" t="s">
        <v>375</v>
      </c>
      <c r="G414" s="243" t="s">
        <v>708</v>
      </c>
      <c r="H414" s="243" t="s">
        <v>740</v>
      </c>
      <c r="I414" s="244" t="s">
        <v>710</v>
      </c>
      <c r="J414" s="243" t="s">
        <v>34</v>
      </c>
      <c r="K414" s="243" t="s">
        <v>2434</v>
      </c>
      <c r="L414" s="245" t="s">
        <v>2435</v>
      </c>
      <c r="M414" s="259">
        <v>0.90763888888888888</v>
      </c>
      <c r="N414" s="259">
        <v>0.92013888888888884</v>
      </c>
      <c r="O414" s="243" t="s">
        <v>2423</v>
      </c>
      <c r="P414" s="243"/>
      <c r="Q414" s="243"/>
      <c r="R414" s="243"/>
      <c r="S414" s="243"/>
      <c r="T414" s="246"/>
      <c r="U414" s="246"/>
      <c r="V414" s="246"/>
    </row>
    <row r="415" spans="1:22" ht="12.75">
      <c r="A415" s="247">
        <v>46307</v>
      </c>
      <c r="B415" s="248" t="s">
        <v>563</v>
      </c>
      <c r="C415" s="248" t="s">
        <v>53</v>
      </c>
      <c r="D415" s="248" t="s">
        <v>364</v>
      </c>
      <c r="E415" s="248" t="s">
        <v>707</v>
      </c>
      <c r="F415" s="248" t="s">
        <v>375</v>
      </c>
      <c r="G415" s="248" t="s">
        <v>708</v>
      </c>
      <c r="H415" s="248" t="s">
        <v>709</v>
      </c>
      <c r="I415" s="249" t="s">
        <v>710</v>
      </c>
      <c r="J415" s="248" t="s">
        <v>34</v>
      </c>
      <c r="K415" s="248" t="s">
        <v>2436</v>
      </c>
      <c r="L415" s="250" t="s">
        <v>2410</v>
      </c>
      <c r="M415" s="256">
        <v>0.92361111111111116</v>
      </c>
      <c r="N415" s="256">
        <v>0.97916666666666663</v>
      </c>
      <c r="O415" s="248" t="s">
        <v>2423</v>
      </c>
      <c r="P415" s="248"/>
      <c r="Q415" s="248"/>
      <c r="R415" s="248"/>
      <c r="S415" s="248"/>
      <c r="T415" s="246"/>
      <c r="U415" s="246"/>
      <c r="V415" s="246"/>
    </row>
    <row r="416" spans="1:22" ht="12.75">
      <c r="A416" s="242">
        <v>46307</v>
      </c>
      <c r="B416" s="243" t="s">
        <v>563</v>
      </c>
      <c r="C416" s="243" t="s">
        <v>53</v>
      </c>
      <c r="D416" s="243" t="s">
        <v>364</v>
      </c>
      <c r="E416" s="243" t="s">
        <v>707</v>
      </c>
      <c r="F416" s="243" t="s">
        <v>375</v>
      </c>
      <c r="G416" s="243" t="s">
        <v>708</v>
      </c>
      <c r="H416" s="243" t="s">
        <v>740</v>
      </c>
      <c r="I416" s="244" t="s">
        <v>710</v>
      </c>
      <c r="J416" s="243" t="s">
        <v>34</v>
      </c>
      <c r="K416" s="243" t="s">
        <v>2437</v>
      </c>
      <c r="L416" s="245" t="s">
        <v>2438</v>
      </c>
      <c r="M416" s="259">
        <v>0.98055555555555551</v>
      </c>
      <c r="N416" s="259">
        <v>0.99652777777777779</v>
      </c>
      <c r="O416" s="243" t="s">
        <v>2423</v>
      </c>
      <c r="P416" s="243"/>
      <c r="Q416" s="243"/>
      <c r="R416" s="243"/>
      <c r="S416" s="243"/>
      <c r="T416" s="246"/>
      <c r="U416" s="246"/>
      <c r="V416" s="246"/>
    </row>
    <row r="417" spans="1:22" ht="12.75">
      <c r="A417" s="247">
        <v>46307</v>
      </c>
      <c r="B417" s="248" t="s">
        <v>563</v>
      </c>
      <c r="C417" s="248" t="s">
        <v>53</v>
      </c>
      <c r="D417" s="248" t="s">
        <v>364</v>
      </c>
      <c r="E417" s="248" t="s">
        <v>707</v>
      </c>
      <c r="F417" s="248" t="s">
        <v>375</v>
      </c>
      <c r="G417" s="248" t="s">
        <v>708</v>
      </c>
      <c r="H417" s="248" t="s">
        <v>740</v>
      </c>
      <c r="I417" s="249" t="s">
        <v>710</v>
      </c>
      <c r="J417" s="248" t="s">
        <v>34</v>
      </c>
      <c r="K417" s="248" t="s">
        <v>2439</v>
      </c>
      <c r="L417" s="250" t="s">
        <v>2440</v>
      </c>
      <c r="M417" s="256">
        <v>0.99791666666666667</v>
      </c>
      <c r="N417" s="256">
        <v>1.0416666666666666E-2</v>
      </c>
      <c r="O417" s="248" t="s">
        <v>2423</v>
      </c>
      <c r="P417" s="248"/>
      <c r="Q417" s="248"/>
      <c r="R417" s="248"/>
      <c r="S417" s="248"/>
      <c r="T417" s="246"/>
      <c r="U417" s="246"/>
      <c r="V417" s="246"/>
    </row>
    <row r="418" spans="1:22" ht="12.75">
      <c r="A418" s="242">
        <v>46307</v>
      </c>
      <c r="B418" s="243" t="s">
        <v>547</v>
      </c>
      <c r="C418" s="243" t="s">
        <v>53</v>
      </c>
      <c r="D418" s="243" t="s">
        <v>2030</v>
      </c>
      <c r="E418" s="243" t="s">
        <v>1008</v>
      </c>
      <c r="F418" s="243" t="s">
        <v>111</v>
      </c>
      <c r="G418" s="243" t="s">
        <v>764</v>
      </c>
      <c r="H418" s="243" t="s">
        <v>740</v>
      </c>
      <c r="I418" s="244" t="s">
        <v>710</v>
      </c>
      <c r="J418" s="243" t="s">
        <v>34</v>
      </c>
      <c r="K418" s="243" t="s">
        <v>2441</v>
      </c>
      <c r="L418" s="245" t="s">
        <v>2442</v>
      </c>
      <c r="M418" s="259">
        <v>0.36180555555555555</v>
      </c>
      <c r="N418" s="259">
        <v>0.38124999999999998</v>
      </c>
      <c r="O418" s="243" t="s">
        <v>2443</v>
      </c>
      <c r="P418" s="243" t="s">
        <v>2444</v>
      </c>
      <c r="Q418" s="243"/>
      <c r="R418" s="243"/>
      <c r="S418" s="243"/>
      <c r="T418" s="246"/>
      <c r="U418" s="246"/>
      <c r="V418" s="246"/>
    </row>
    <row r="419" spans="1:22" ht="12.75">
      <c r="A419" s="247">
        <v>46307</v>
      </c>
      <c r="B419" s="248" t="s">
        <v>547</v>
      </c>
      <c r="C419" s="248" t="s">
        <v>53</v>
      </c>
      <c r="D419" s="248" t="s">
        <v>2030</v>
      </c>
      <c r="E419" s="248" t="s">
        <v>1008</v>
      </c>
      <c r="F419" s="248" t="s">
        <v>111</v>
      </c>
      <c r="G419" s="248" t="s">
        <v>764</v>
      </c>
      <c r="H419" s="248" t="s">
        <v>740</v>
      </c>
      <c r="I419" s="249" t="s">
        <v>710</v>
      </c>
      <c r="J419" s="248" t="s">
        <v>34</v>
      </c>
      <c r="K419" s="248" t="s">
        <v>2445</v>
      </c>
      <c r="L419" s="250" t="s">
        <v>2446</v>
      </c>
      <c r="M419" s="256">
        <v>0.38263888888888886</v>
      </c>
      <c r="N419" s="256">
        <v>0.40625</v>
      </c>
      <c r="O419" s="248" t="s">
        <v>2443</v>
      </c>
      <c r="P419" s="248" t="s">
        <v>2444</v>
      </c>
      <c r="Q419" s="248"/>
      <c r="R419" s="248"/>
      <c r="S419" s="248"/>
      <c r="T419" s="246"/>
      <c r="U419" s="246"/>
      <c r="V419" s="246"/>
    </row>
    <row r="420" spans="1:22" ht="12.75">
      <c r="A420" s="242">
        <v>46307</v>
      </c>
      <c r="B420" s="243" t="s">
        <v>549</v>
      </c>
      <c r="C420" s="243" t="s">
        <v>814</v>
      </c>
      <c r="D420" s="243" t="s">
        <v>1148</v>
      </c>
      <c r="E420" s="243" t="s">
        <v>815</v>
      </c>
      <c r="F420" s="243" t="s">
        <v>111</v>
      </c>
      <c r="G420" s="243" t="s">
        <v>764</v>
      </c>
      <c r="H420" s="243" t="s">
        <v>740</v>
      </c>
      <c r="I420" s="244" t="s">
        <v>710</v>
      </c>
      <c r="J420" s="243" t="s">
        <v>34</v>
      </c>
      <c r="K420" s="243" t="s">
        <v>2447</v>
      </c>
      <c r="L420" s="245" t="s">
        <v>2448</v>
      </c>
      <c r="M420" s="259">
        <v>0.40972222222222221</v>
      </c>
      <c r="N420" s="259">
        <v>0.4201388888888889</v>
      </c>
      <c r="O420" s="243" t="s">
        <v>2443</v>
      </c>
      <c r="P420" s="243" t="s">
        <v>2444</v>
      </c>
      <c r="Q420" s="243"/>
      <c r="R420" s="243"/>
      <c r="S420" s="243"/>
      <c r="T420" s="246"/>
      <c r="U420" s="246"/>
      <c r="V420" s="246"/>
    </row>
    <row r="421" spans="1:22" ht="12.75">
      <c r="A421" s="247">
        <v>46307</v>
      </c>
      <c r="B421" s="248" t="s">
        <v>563</v>
      </c>
      <c r="C421" s="248" t="s">
        <v>53</v>
      </c>
      <c r="D421" s="248" t="s">
        <v>877</v>
      </c>
      <c r="E421" s="248" t="s">
        <v>815</v>
      </c>
      <c r="F421" s="248" t="s">
        <v>111</v>
      </c>
      <c r="G421" s="248" t="s">
        <v>764</v>
      </c>
      <c r="H421" s="248" t="s">
        <v>740</v>
      </c>
      <c r="I421" s="249" t="s">
        <v>710</v>
      </c>
      <c r="J421" s="248" t="s">
        <v>34</v>
      </c>
      <c r="K421" s="248" t="s">
        <v>2449</v>
      </c>
      <c r="L421" s="250" t="s">
        <v>2450</v>
      </c>
      <c r="M421" s="256">
        <v>0.42708333333333331</v>
      </c>
      <c r="N421" s="256">
        <v>0.45833333333333331</v>
      </c>
      <c r="O421" s="248" t="s">
        <v>2443</v>
      </c>
      <c r="P421" s="248" t="s">
        <v>2444</v>
      </c>
      <c r="Q421" s="248"/>
      <c r="R421" s="248"/>
      <c r="S421" s="248"/>
      <c r="T421" s="246"/>
      <c r="U421" s="246"/>
      <c r="V421" s="246"/>
    </row>
    <row r="422" spans="1:22" ht="12.75">
      <c r="A422" s="242">
        <v>46307</v>
      </c>
      <c r="B422" s="243" t="s">
        <v>547</v>
      </c>
      <c r="C422" s="243" t="s">
        <v>53</v>
      </c>
      <c r="D422" s="243" t="s">
        <v>1562</v>
      </c>
      <c r="E422" s="243" t="s">
        <v>815</v>
      </c>
      <c r="F422" s="243" t="s">
        <v>111</v>
      </c>
      <c r="G422" s="243" t="s">
        <v>764</v>
      </c>
      <c r="H422" s="243" t="s">
        <v>740</v>
      </c>
      <c r="I422" s="244" t="s">
        <v>710</v>
      </c>
      <c r="J422" s="243" t="s">
        <v>34</v>
      </c>
      <c r="K422" s="243" t="s">
        <v>2451</v>
      </c>
      <c r="L422" s="245" t="s">
        <v>2452</v>
      </c>
      <c r="M422" s="259">
        <v>0.46319444444444446</v>
      </c>
      <c r="N422" s="259">
        <v>0.48402777777777778</v>
      </c>
      <c r="O422" s="243" t="s">
        <v>2444</v>
      </c>
      <c r="P422" s="243"/>
      <c r="Q422" s="243"/>
      <c r="R422" s="243"/>
      <c r="S422" s="243"/>
      <c r="T422" s="246"/>
      <c r="U422" s="246"/>
      <c r="V422" s="246"/>
    </row>
    <row r="423" spans="1:22" ht="12.75">
      <c r="A423" s="247">
        <v>46307</v>
      </c>
      <c r="B423" s="248" t="s">
        <v>547</v>
      </c>
      <c r="C423" s="248" t="s">
        <v>53</v>
      </c>
      <c r="D423" s="248" t="s">
        <v>1562</v>
      </c>
      <c r="E423" s="248" t="s">
        <v>815</v>
      </c>
      <c r="F423" s="248" t="s">
        <v>111</v>
      </c>
      <c r="G423" s="248" t="s">
        <v>764</v>
      </c>
      <c r="H423" s="248" t="s">
        <v>740</v>
      </c>
      <c r="I423" s="249" t="s">
        <v>710</v>
      </c>
      <c r="J423" s="248" t="s">
        <v>34</v>
      </c>
      <c r="K423" s="248" t="s">
        <v>2453</v>
      </c>
      <c r="L423" s="250" t="s">
        <v>2454</v>
      </c>
      <c r="M423" s="256">
        <v>0.46388888888888891</v>
      </c>
      <c r="N423" s="256">
        <v>0.50138888888888888</v>
      </c>
      <c r="O423" s="248" t="s">
        <v>2443</v>
      </c>
      <c r="P423" s="248"/>
      <c r="Q423" s="248"/>
      <c r="R423" s="248"/>
      <c r="S423" s="248"/>
      <c r="T423" s="246"/>
      <c r="U423" s="246"/>
      <c r="V423" s="246"/>
    </row>
    <row r="424" spans="1:22" ht="12.75">
      <c r="A424" s="242">
        <v>46307</v>
      </c>
      <c r="B424" s="243" t="s">
        <v>549</v>
      </c>
      <c r="C424" s="243" t="s">
        <v>2455</v>
      </c>
      <c r="D424" s="243" t="s">
        <v>2456</v>
      </c>
      <c r="E424" s="243" t="s">
        <v>815</v>
      </c>
      <c r="F424" s="243" t="s">
        <v>111</v>
      </c>
      <c r="G424" s="243" t="s">
        <v>764</v>
      </c>
      <c r="H424" s="243" t="s">
        <v>740</v>
      </c>
      <c r="I424" s="244" t="s">
        <v>710</v>
      </c>
      <c r="J424" s="243" t="s">
        <v>34</v>
      </c>
      <c r="K424" s="243" t="s">
        <v>2457</v>
      </c>
      <c r="L424" s="245" t="s">
        <v>2458</v>
      </c>
      <c r="M424" s="259">
        <v>0.53125</v>
      </c>
      <c r="N424" s="259">
        <v>0.54513888888888884</v>
      </c>
      <c r="O424" s="243" t="s">
        <v>2443</v>
      </c>
      <c r="P424" s="243"/>
      <c r="Q424" s="243"/>
      <c r="R424" s="243"/>
      <c r="S424" s="243"/>
      <c r="T424" s="246"/>
      <c r="U424" s="246"/>
      <c r="V424" s="246"/>
    </row>
    <row r="425" spans="1:22" ht="12.75">
      <c r="A425" s="247">
        <v>46307</v>
      </c>
      <c r="B425" s="248" t="s">
        <v>549</v>
      </c>
      <c r="C425" s="248" t="s">
        <v>814</v>
      </c>
      <c r="D425" s="248" t="s">
        <v>839</v>
      </c>
      <c r="E425" s="248" t="s">
        <v>815</v>
      </c>
      <c r="F425" s="248" t="s">
        <v>111</v>
      </c>
      <c r="G425" s="248" t="s">
        <v>764</v>
      </c>
      <c r="H425" s="248" t="s">
        <v>740</v>
      </c>
      <c r="I425" s="249" t="s">
        <v>710</v>
      </c>
      <c r="J425" s="248" t="s">
        <v>34</v>
      </c>
      <c r="K425" s="248" t="s">
        <v>2459</v>
      </c>
      <c r="L425" s="250" t="s">
        <v>2460</v>
      </c>
      <c r="M425" s="256">
        <v>0.56944444444444442</v>
      </c>
      <c r="N425" s="256">
        <v>0.57986111111111116</v>
      </c>
      <c r="O425" s="248" t="s">
        <v>2443</v>
      </c>
      <c r="P425" s="248" t="s">
        <v>2444</v>
      </c>
      <c r="Q425" s="248"/>
      <c r="R425" s="248"/>
      <c r="S425" s="248"/>
      <c r="T425" s="246"/>
      <c r="U425" s="246"/>
      <c r="V425" s="246"/>
    </row>
    <row r="426" spans="1:22" ht="12.75">
      <c r="A426" s="242">
        <v>46307</v>
      </c>
      <c r="B426" s="243" t="s">
        <v>547</v>
      </c>
      <c r="C426" s="243" t="s">
        <v>53</v>
      </c>
      <c r="D426" s="243" t="s">
        <v>1221</v>
      </c>
      <c r="E426" s="243" t="s">
        <v>815</v>
      </c>
      <c r="F426" s="243" t="s">
        <v>111</v>
      </c>
      <c r="G426" s="243" t="s">
        <v>764</v>
      </c>
      <c r="H426" s="243" t="s">
        <v>740</v>
      </c>
      <c r="I426" s="244" t="s">
        <v>710</v>
      </c>
      <c r="J426" s="243" t="s">
        <v>34</v>
      </c>
      <c r="K426" s="243" t="s">
        <v>2461</v>
      </c>
      <c r="L426" s="245" t="s">
        <v>2462</v>
      </c>
      <c r="M426" s="259">
        <v>0.63263888888888886</v>
      </c>
      <c r="N426" s="259">
        <v>0.65347222222222223</v>
      </c>
      <c r="O426" s="243" t="s">
        <v>2443</v>
      </c>
      <c r="P426" s="243"/>
      <c r="Q426" s="243"/>
      <c r="R426" s="243"/>
      <c r="S426" s="243"/>
      <c r="T426" s="246"/>
      <c r="U426" s="246"/>
      <c r="V426" s="246"/>
    </row>
    <row r="427" spans="1:22" ht="12.75">
      <c r="A427" s="247">
        <v>46307</v>
      </c>
      <c r="B427" s="248" t="s">
        <v>547</v>
      </c>
      <c r="C427" s="248" t="s">
        <v>53</v>
      </c>
      <c r="D427" s="248" t="s">
        <v>1221</v>
      </c>
      <c r="E427" s="248" t="s">
        <v>815</v>
      </c>
      <c r="F427" s="248" t="s">
        <v>111</v>
      </c>
      <c r="G427" s="248" t="s">
        <v>764</v>
      </c>
      <c r="H427" s="248" t="s">
        <v>740</v>
      </c>
      <c r="I427" s="249" t="s">
        <v>710</v>
      </c>
      <c r="J427" s="248" t="s">
        <v>34</v>
      </c>
      <c r="K427" s="248" t="s">
        <v>2463</v>
      </c>
      <c r="L427" s="250" t="s">
        <v>2464</v>
      </c>
      <c r="M427" s="256">
        <v>0.6333333333333333</v>
      </c>
      <c r="N427" s="256">
        <v>0.65416666666666667</v>
      </c>
      <c r="O427" s="248" t="s">
        <v>2444</v>
      </c>
      <c r="P427" s="248"/>
      <c r="Q427" s="248"/>
      <c r="R427" s="248"/>
      <c r="S427" s="248"/>
      <c r="T427" s="246"/>
      <c r="U427" s="246"/>
      <c r="V427" s="246"/>
    </row>
    <row r="428" spans="1:22" ht="12.75">
      <c r="A428" s="242">
        <v>46307</v>
      </c>
      <c r="B428" s="243" t="s">
        <v>547</v>
      </c>
      <c r="C428" s="243" t="s">
        <v>53</v>
      </c>
      <c r="D428" s="243" t="s">
        <v>422</v>
      </c>
      <c r="E428" s="243" t="s">
        <v>815</v>
      </c>
      <c r="F428" s="243" t="s">
        <v>111</v>
      </c>
      <c r="G428" s="243" t="s">
        <v>764</v>
      </c>
      <c r="H428" s="243" t="s">
        <v>740</v>
      </c>
      <c r="I428" s="244" t="s">
        <v>710</v>
      </c>
      <c r="J428" s="243" t="s">
        <v>34</v>
      </c>
      <c r="K428" s="243" t="s">
        <v>2465</v>
      </c>
      <c r="L428" s="245" t="s">
        <v>2466</v>
      </c>
      <c r="M428" s="259">
        <v>0.66666666666666663</v>
      </c>
      <c r="N428" s="259">
        <v>0.67708333333333337</v>
      </c>
      <c r="O428" s="243" t="s">
        <v>2443</v>
      </c>
      <c r="P428" s="243" t="s">
        <v>2444</v>
      </c>
      <c r="Q428" s="243"/>
      <c r="R428" s="243"/>
      <c r="S428" s="243"/>
      <c r="T428" s="246"/>
      <c r="U428" s="246"/>
      <c r="V428" s="246"/>
    </row>
    <row r="429" spans="1:22" ht="12.75">
      <c r="A429" s="247">
        <v>46307</v>
      </c>
      <c r="B429" s="248" t="s">
        <v>556</v>
      </c>
      <c r="C429" s="248" t="s">
        <v>2467</v>
      </c>
      <c r="D429" s="248" t="s">
        <v>249</v>
      </c>
      <c r="E429" s="248" t="s">
        <v>707</v>
      </c>
      <c r="F429" s="248" t="s">
        <v>111</v>
      </c>
      <c r="G429" s="248" t="s">
        <v>764</v>
      </c>
      <c r="H429" s="248" t="s">
        <v>740</v>
      </c>
      <c r="I429" s="249" t="s">
        <v>710</v>
      </c>
      <c r="J429" s="248" t="s">
        <v>34</v>
      </c>
      <c r="K429" s="248" t="s">
        <v>2468</v>
      </c>
      <c r="L429" s="250" t="s">
        <v>2469</v>
      </c>
      <c r="M429" s="256">
        <v>0.67986111111111114</v>
      </c>
      <c r="N429" s="256">
        <v>0.69374999999999998</v>
      </c>
      <c r="O429" s="248" t="s">
        <v>2443</v>
      </c>
      <c r="P429" s="248" t="s">
        <v>2444</v>
      </c>
      <c r="Q429" s="248"/>
      <c r="R429" s="248"/>
      <c r="S429" s="248"/>
      <c r="T429" s="246"/>
      <c r="U429" s="246"/>
      <c r="V429" s="246"/>
    </row>
    <row r="430" spans="1:22" ht="12.75">
      <c r="A430" s="242">
        <v>46307</v>
      </c>
      <c r="B430" s="243" t="s">
        <v>556</v>
      </c>
      <c r="C430" s="243" t="s">
        <v>2470</v>
      </c>
      <c r="D430" s="243" t="s">
        <v>559</v>
      </c>
      <c r="E430" s="243" t="s">
        <v>707</v>
      </c>
      <c r="F430" s="243" t="s">
        <v>111</v>
      </c>
      <c r="G430" s="243" t="s">
        <v>764</v>
      </c>
      <c r="H430" s="243" t="s">
        <v>740</v>
      </c>
      <c r="I430" s="244" t="s">
        <v>710</v>
      </c>
      <c r="J430" s="243" t="s">
        <v>34</v>
      </c>
      <c r="K430" s="243" t="s">
        <v>2471</v>
      </c>
      <c r="L430" s="245" t="s">
        <v>2472</v>
      </c>
      <c r="M430" s="259">
        <v>0.69652777777777775</v>
      </c>
      <c r="N430" s="259">
        <v>0.75</v>
      </c>
      <c r="O430" s="243" t="s">
        <v>2443</v>
      </c>
      <c r="P430" s="243" t="s">
        <v>2444</v>
      </c>
      <c r="Q430" s="243"/>
      <c r="R430" s="243"/>
      <c r="S430" s="243"/>
      <c r="T430" s="246"/>
      <c r="U430" s="246"/>
      <c r="V430" s="246"/>
    </row>
    <row r="431" spans="1:22" ht="12.75">
      <c r="A431" s="247">
        <v>46307</v>
      </c>
      <c r="B431" s="248" t="s">
        <v>549</v>
      </c>
      <c r="C431" s="248" t="s">
        <v>2455</v>
      </c>
      <c r="D431" s="248" t="s">
        <v>1320</v>
      </c>
      <c r="E431" s="248" t="s">
        <v>707</v>
      </c>
      <c r="F431" s="248" t="s">
        <v>111</v>
      </c>
      <c r="G431" s="248" t="s">
        <v>708</v>
      </c>
      <c r="H431" s="248" t="s">
        <v>740</v>
      </c>
      <c r="I431" s="249" t="s">
        <v>710</v>
      </c>
      <c r="J431" s="248" t="s">
        <v>34</v>
      </c>
      <c r="K431" s="248" t="s">
        <v>2473</v>
      </c>
      <c r="L431" s="250" t="s">
        <v>2474</v>
      </c>
      <c r="M431" s="256">
        <v>0.88541666666666663</v>
      </c>
      <c r="N431" s="256">
        <v>0.92361111111111116</v>
      </c>
      <c r="O431" s="248" t="s">
        <v>2475</v>
      </c>
      <c r="P431" s="248"/>
      <c r="Q431" s="248"/>
      <c r="R431" s="248"/>
      <c r="S431" s="248"/>
      <c r="T431" s="246"/>
      <c r="U431" s="246"/>
      <c r="V431" s="246"/>
    </row>
    <row r="432" spans="1:22" ht="12.75">
      <c r="A432" s="242">
        <v>46307</v>
      </c>
      <c r="B432" s="243" t="s">
        <v>549</v>
      </c>
      <c r="C432" s="243" t="s">
        <v>2455</v>
      </c>
      <c r="D432" s="243" t="s">
        <v>1320</v>
      </c>
      <c r="E432" s="243" t="s">
        <v>707</v>
      </c>
      <c r="F432" s="243" t="s">
        <v>111</v>
      </c>
      <c r="G432" s="243" t="s">
        <v>708</v>
      </c>
      <c r="H432" s="243" t="s">
        <v>740</v>
      </c>
      <c r="I432" s="244" t="s">
        <v>710</v>
      </c>
      <c r="J432" s="243" t="s">
        <v>34</v>
      </c>
      <c r="K432" s="243" t="s">
        <v>2476</v>
      </c>
      <c r="L432" s="245" t="s">
        <v>2043</v>
      </c>
      <c r="M432" s="259">
        <v>0.85763888888888884</v>
      </c>
      <c r="N432" s="259">
        <v>0.88194444444444442</v>
      </c>
      <c r="O432" s="243" t="s">
        <v>2475</v>
      </c>
      <c r="P432" s="243"/>
      <c r="Q432" s="243"/>
      <c r="R432" s="243"/>
      <c r="S432" s="243"/>
      <c r="T432" s="246"/>
      <c r="U432" s="246"/>
      <c r="V432" s="246"/>
    </row>
    <row r="433" spans="1:22" ht="12.75">
      <c r="A433" s="247">
        <v>46307</v>
      </c>
      <c r="B433" s="248" t="s">
        <v>549</v>
      </c>
      <c r="C433" s="248" t="s">
        <v>2455</v>
      </c>
      <c r="D433" s="248" t="s">
        <v>1320</v>
      </c>
      <c r="E433" s="248" t="s">
        <v>707</v>
      </c>
      <c r="F433" s="248" t="s">
        <v>111</v>
      </c>
      <c r="G433" s="248" t="s">
        <v>708</v>
      </c>
      <c r="H433" s="248" t="s">
        <v>709</v>
      </c>
      <c r="I433" s="249" t="s">
        <v>710</v>
      </c>
      <c r="J433" s="248" t="s">
        <v>34</v>
      </c>
      <c r="K433" s="248" t="s">
        <v>2477</v>
      </c>
      <c r="L433" s="250" t="s">
        <v>2478</v>
      </c>
      <c r="M433" s="256">
        <v>0.92361111111111116</v>
      </c>
      <c r="N433" s="256">
        <v>0</v>
      </c>
      <c r="O433" s="248" t="s">
        <v>2475</v>
      </c>
      <c r="P433" s="248"/>
      <c r="Q433" s="248"/>
      <c r="R433" s="248"/>
      <c r="S433" s="248"/>
      <c r="T433" s="246"/>
      <c r="U433" s="246"/>
      <c r="V433" s="246"/>
    </row>
    <row r="434" spans="1:22" ht="12.75">
      <c r="A434" s="242">
        <v>46307</v>
      </c>
      <c r="B434" s="243" t="s">
        <v>556</v>
      </c>
      <c r="C434" s="243" t="s">
        <v>2470</v>
      </c>
      <c r="D434" s="243" t="s">
        <v>1053</v>
      </c>
      <c r="E434" s="243" t="s">
        <v>707</v>
      </c>
      <c r="F434" s="243" t="s">
        <v>111</v>
      </c>
      <c r="G434" s="243" t="s">
        <v>708</v>
      </c>
      <c r="H434" s="243" t="s">
        <v>740</v>
      </c>
      <c r="I434" s="244" t="s">
        <v>710</v>
      </c>
      <c r="J434" s="243" t="s">
        <v>34</v>
      </c>
      <c r="K434" s="243" t="s">
        <v>2479</v>
      </c>
      <c r="L434" s="245" t="s">
        <v>2480</v>
      </c>
      <c r="M434" s="259">
        <v>0.85069444444444442</v>
      </c>
      <c r="N434" s="259">
        <v>0.87152777777777779</v>
      </c>
      <c r="O434" s="243" t="s">
        <v>2481</v>
      </c>
      <c r="P434" s="243"/>
      <c r="Q434" s="243"/>
      <c r="R434" s="243"/>
      <c r="S434" s="243"/>
      <c r="T434" s="246"/>
      <c r="U434" s="246"/>
      <c r="V434" s="246"/>
    </row>
    <row r="435" spans="1:22" ht="12.75">
      <c r="A435" s="247">
        <v>46307</v>
      </c>
      <c r="B435" s="248" t="s">
        <v>556</v>
      </c>
      <c r="C435" s="248" t="s">
        <v>2470</v>
      </c>
      <c r="D435" s="248" t="s">
        <v>1053</v>
      </c>
      <c r="E435" s="248" t="s">
        <v>707</v>
      </c>
      <c r="F435" s="248" t="s">
        <v>111</v>
      </c>
      <c r="G435" s="248" t="s">
        <v>708</v>
      </c>
      <c r="H435" s="248" t="s">
        <v>709</v>
      </c>
      <c r="I435" s="249" t="s">
        <v>710</v>
      </c>
      <c r="J435" s="248" t="s">
        <v>34</v>
      </c>
      <c r="K435" s="248" t="s">
        <v>2482</v>
      </c>
      <c r="L435" s="250" t="s">
        <v>2483</v>
      </c>
      <c r="M435" s="256">
        <v>0.87152777777777779</v>
      </c>
      <c r="N435" s="256">
        <v>0.91597222222222219</v>
      </c>
      <c r="O435" s="248" t="s">
        <v>2481</v>
      </c>
      <c r="P435" s="248"/>
      <c r="Q435" s="248"/>
      <c r="R435" s="248"/>
      <c r="S435" s="248"/>
      <c r="T435" s="246"/>
      <c r="U435" s="246"/>
      <c r="V435" s="246"/>
    </row>
    <row r="436" spans="1:22" ht="12.75">
      <c r="A436" s="242">
        <v>46307</v>
      </c>
      <c r="B436" s="243" t="s">
        <v>556</v>
      </c>
      <c r="C436" s="243" t="s">
        <v>2470</v>
      </c>
      <c r="D436" s="243" t="s">
        <v>559</v>
      </c>
      <c r="E436" s="243" t="s">
        <v>707</v>
      </c>
      <c r="F436" s="243" t="s">
        <v>111</v>
      </c>
      <c r="G436" s="243" t="s">
        <v>708</v>
      </c>
      <c r="H436" s="243" t="s">
        <v>740</v>
      </c>
      <c r="I436" s="244" t="s">
        <v>710</v>
      </c>
      <c r="J436" s="243" t="s">
        <v>34</v>
      </c>
      <c r="K436" s="243" t="s">
        <v>2484</v>
      </c>
      <c r="L436" s="245" t="s">
        <v>2485</v>
      </c>
      <c r="M436" s="259">
        <v>0.91597222222222219</v>
      </c>
      <c r="N436" s="259">
        <v>0.93055555555555558</v>
      </c>
      <c r="O436" s="243" t="s">
        <v>2481</v>
      </c>
      <c r="P436" s="243"/>
      <c r="Q436" s="243"/>
      <c r="R436" s="243"/>
      <c r="S436" s="243"/>
      <c r="T436" s="246"/>
      <c r="U436" s="246"/>
      <c r="V436" s="246"/>
    </row>
    <row r="437" spans="1:22" ht="12.75">
      <c r="A437" s="247">
        <v>46307</v>
      </c>
      <c r="B437" s="248" t="s">
        <v>556</v>
      </c>
      <c r="C437" s="248" t="s">
        <v>2470</v>
      </c>
      <c r="D437" s="248" t="s">
        <v>559</v>
      </c>
      <c r="E437" s="248" t="s">
        <v>707</v>
      </c>
      <c r="F437" s="248" t="s">
        <v>111</v>
      </c>
      <c r="G437" s="248" t="s">
        <v>708</v>
      </c>
      <c r="H437" s="248" t="s">
        <v>740</v>
      </c>
      <c r="I437" s="249" t="s">
        <v>710</v>
      </c>
      <c r="J437" s="248" t="s">
        <v>34</v>
      </c>
      <c r="K437" s="248" t="s">
        <v>2486</v>
      </c>
      <c r="L437" s="250" t="s">
        <v>2487</v>
      </c>
      <c r="M437" s="256">
        <v>0.93055555555555558</v>
      </c>
      <c r="N437" s="256">
        <v>0.95138888888888884</v>
      </c>
      <c r="O437" s="248" t="s">
        <v>2481</v>
      </c>
      <c r="P437" s="248"/>
      <c r="Q437" s="248"/>
      <c r="R437" s="248"/>
      <c r="S437" s="248"/>
      <c r="T437" s="246"/>
      <c r="U437" s="246"/>
      <c r="V437" s="246"/>
    </row>
    <row r="438" spans="1:22" ht="12.75">
      <c r="A438" s="242">
        <v>46307</v>
      </c>
      <c r="B438" s="243" t="s">
        <v>556</v>
      </c>
      <c r="C438" s="243" t="s">
        <v>2470</v>
      </c>
      <c r="D438" s="243" t="s">
        <v>559</v>
      </c>
      <c r="E438" s="243" t="s">
        <v>707</v>
      </c>
      <c r="F438" s="243" t="s">
        <v>111</v>
      </c>
      <c r="G438" s="243" t="s">
        <v>708</v>
      </c>
      <c r="H438" s="243" t="s">
        <v>709</v>
      </c>
      <c r="I438" s="244" t="s">
        <v>710</v>
      </c>
      <c r="J438" s="243" t="s">
        <v>34</v>
      </c>
      <c r="K438" s="243" t="s">
        <v>2488</v>
      </c>
      <c r="L438" s="245" t="s">
        <v>2483</v>
      </c>
      <c r="M438" s="259">
        <v>0.95138888888888884</v>
      </c>
      <c r="N438" s="259">
        <v>0.99652777777777779</v>
      </c>
      <c r="O438" s="243" t="s">
        <v>2481</v>
      </c>
      <c r="P438" s="243"/>
      <c r="Q438" s="243"/>
      <c r="R438" s="243"/>
      <c r="S438" s="243"/>
      <c r="T438" s="246"/>
      <c r="U438" s="246"/>
      <c r="V438" s="246"/>
    </row>
    <row r="439" spans="1:22" ht="12.75">
      <c r="A439" s="247">
        <v>46307</v>
      </c>
      <c r="B439" s="248" t="s">
        <v>556</v>
      </c>
      <c r="C439" s="248" t="s">
        <v>2467</v>
      </c>
      <c r="D439" s="248" t="s">
        <v>249</v>
      </c>
      <c r="E439" s="248" t="s">
        <v>707</v>
      </c>
      <c r="F439" s="248" t="s">
        <v>111</v>
      </c>
      <c r="G439" s="248" t="s">
        <v>708</v>
      </c>
      <c r="H439" s="248" t="s">
        <v>709</v>
      </c>
      <c r="I439" s="249" t="s">
        <v>710</v>
      </c>
      <c r="J439" s="248" t="s">
        <v>34</v>
      </c>
      <c r="K439" s="248" t="s">
        <v>2489</v>
      </c>
      <c r="L439" s="250" t="s">
        <v>2483</v>
      </c>
      <c r="M439" s="256">
        <v>0.99652777777777779</v>
      </c>
      <c r="N439" s="256">
        <v>4.5138888888888888E-2</v>
      </c>
      <c r="O439" s="248" t="s">
        <v>2481</v>
      </c>
      <c r="P439" s="248"/>
      <c r="Q439" s="248"/>
      <c r="R439" s="248"/>
      <c r="S439" s="248"/>
      <c r="T439" s="246"/>
      <c r="U439" s="246"/>
      <c r="V439" s="246"/>
    </row>
    <row r="440" spans="1:22" ht="12.75">
      <c r="A440" s="242">
        <v>46307</v>
      </c>
      <c r="B440" s="243" t="s">
        <v>556</v>
      </c>
      <c r="C440" s="243" t="s">
        <v>2470</v>
      </c>
      <c r="D440" s="243" t="s">
        <v>2490</v>
      </c>
      <c r="E440" s="243" t="s">
        <v>707</v>
      </c>
      <c r="F440" s="243" t="s">
        <v>111</v>
      </c>
      <c r="G440" s="243" t="s">
        <v>708</v>
      </c>
      <c r="H440" s="243" t="s">
        <v>709</v>
      </c>
      <c r="I440" s="244" t="s">
        <v>710</v>
      </c>
      <c r="J440" s="243" t="s">
        <v>34</v>
      </c>
      <c r="K440" s="243" t="s">
        <v>2491</v>
      </c>
      <c r="L440" s="245" t="s">
        <v>2483</v>
      </c>
      <c r="M440" s="259">
        <v>7.9861111111111105E-2</v>
      </c>
      <c r="N440" s="259">
        <v>0.12847222222222221</v>
      </c>
      <c r="O440" s="243" t="s">
        <v>2481</v>
      </c>
      <c r="P440" s="243"/>
      <c r="Q440" s="243"/>
      <c r="R440" s="243"/>
      <c r="S440" s="243"/>
      <c r="T440" s="246"/>
      <c r="U440" s="246"/>
      <c r="V440" s="246"/>
    </row>
    <row r="441" spans="1:22" ht="12.75">
      <c r="A441" s="247">
        <v>46307</v>
      </c>
      <c r="B441" s="248" t="s">
        <v>556</v>
      </c>
      <c r="C441" s="248" t="s">
        <v>2467</v>
      </c>
      <c r="D441" s="248" t="s">
        <v>1206</v>
      </c>
      <c r="E441" s="248" t="s">
        <v>707</v>
      </c>
      <c r="F441" s="248" t="s">
        <v>111</v>
      </c>
      <c r="G441" s="248" t="s">
        <v>708</v>
      </c>
      <c r="H441" s="248" t="s">
        <v>709</v>
      </c>
      <c r="I441" s="249" t="s">
        <v>710</v>
      </c>
      <c r="J441" s="248" t="s">
        <v>34</v>
      </c>
      <c r="K441" s="248" t="s">
        <v>2492</v>
      </c>
      <c r="L441" s="250" t="s">
        <v>2483</v>
      </c>
      <c r="M441" s="256">
        <v>0.12847222222222221</v>
      </c>
      <c r="N441" s="256">
        <v>0.1736111111111111</v>
      </c>
      <c r="O441" s="248" t="s">
        <v>2481</v>
      </c>
      <c r="P441" s="248"/>
      <c r="Q441" s="248"/>
      <c r="R441" s="248"/>
      <c r="S441" s="248"/>
      <c r="T441" s="246"/>
      <c r="U441" s="246"/>
      <c r="V441" s="246"/>
    </row>
    <row r="442" spans="1:22" ht="12.75">
      <c r="A442" s="242">
        <v>46307</v>
      </c>
      <c r="B442" s="243" t="s">
        <v>556</v>
      </c>
      <c r="C442" s="243" t="s">
        <v>2470</v>
      </c>
      <c r="D442" s="243" t="s">
        <v>2046</v>
      </c>
      <c r="E442" s="243" t="s">
        <v>707</v>
      </c>
      <c r="F442" s="243" t="s">
        <v>111</v>
      </c>
      <c r="G442" s="243" t="s">
        <v>708</v>
      </c>
      <c r="H442" s="243" t="s">
        <v>709</v>
      </c>
      <c r="I442" s="244" t="s">
        <v>710</v>
      </c>
      <c r="J442" s="243" t="s">
        <v>34</v>
      </c>
      <c r="K442" s="243" t="s">
        <v>2493</v>
      </c>
      <c r="L442" s="245" t="s">
        <v>2483</v>
      </c>
      <c r="M442" s="259">
        <v>0.1736111111111111</v>
      </c>
      <c r="N442" s="259">
        <v>0.21875</v>
      </c>
      <c r="O442" s="243" t="s">
        <v>2481</v>
      </c>
      <c r="P442" s="243"/>
      <c r="Q442" s="243"/>
      <c r="R442" s="243"/>
      <c r="S442" s="243"/>
      <c r="T442" s="246"/>
      <c r="U442" s="246"/>
      <c r="V442" s="246"/>
    </row>
    <row r="443" spans="1:22" ht="12.75">
      <c r="A443" s="247">
        <v>46307</v>
      </c>
      <c r="B443" s="248" t="s">
        <v>556</v>
      </c>
      <c r="C443" s="248" t="s">
        <v>2467</v>
      </c>
      <c r="D443" s="248" t="s">
        <v>685</v>
      </c>
      <c r="E443" s="248" t="s">
        <v>707</v>
      </c>
      <c r="F443" s="248" t="s">
        <v>111</v>
      </c>
      <c r="G443" s="248" t="s">
        <v>708</v>
      </c>
      <c r="H443" s="248" t="s">
        <v>709</v>
      </c>
      <c r="I443" s="249" t="s">
        <v>710</v>
      </c>
      <c r="J443" s="248" t="s">
        <v>34</v>
      </c>
      <c r="K443" s="248" t="s">
        <v>2494</v>
      </c>
      <c r="L443" s="250" t="s">
        <v>2483</v>
      </c>
      <c r="M443" s="256">
        <v>0.21875</v>
      </c>
      <c r="N443" s="256">
        <v>0.26041666666666669</v>
      </c>
      <c r="O443" s="248" t="s">
        <v>2481</v>
      </c>
      <c r="P443" s="248"/>
      <c r="Q443" s="248"/>
      <c r="R443" s="248"/>
      <c r="S443" s="248"/>
      <c r="T443" s="246"/>
      <c r="U443" s="246"/>
      <c r="V443" s="246"/>
    </row>
    <row r="444" spans="1:22" ht="12.75">
      <c r="A444" s="242">
        <v>46307</v>
      </c>
      <c r="B444" s="243" t="s">
        <v>547</v>
      </c>
      <c r="C444" s="243" t="s">
        <v>53</v>
      </c>
      <c r="D444" s="243" t="s">
        <v>250</v>
      </c>
      <c r="E444" s="243" t="s">
        <v>707</v>
      </c>
      <c r="F444" s="243" t="s">
        <v>111</v>
      </c>
      <c r="G444" s="243" t="s">
        <v>708</v>
      </c>
      <c r="H444" s="243" t="s">
        <v>709</v>
      </c>
      <c r="I444" s="244" t="s">
        <v>710</v>
      </c>
      <c r="J444" s="243" t="s">
        <v>34</v>
      </c>
      <c r="K444" s="243" t="s">
        <v>2495</v>
      </c>
      <c r="L444" s="245" t="s">
        <v>2483</v>
      </c>
      <c r="M444" s="259">
        <v>0.26041666666666669</v>
      </c>
      <c r="N444" s="259">
        <v>0.30208333333333331</v>
      </c>
      <c r="O444" s="243" t="s">
        <v>2481</v>
      </c>
      <c r="P444" s="243"/>
      <c r="Q444" s="243"/>
      <c r="R444" s="243"/>
      <c r="S444" s="243"/>
      <c r="T444" s="246"/>
      <c r="U444" s="246"/>
      <c r="V444" s="246"/>
    </row>
    <row r="445" spans="1:22" ht="12.75">
      <c r="A445" s="247">
        <v>46307</v>
      </c>
      <c r="B445" s="248" t="s">
        <v>549</v>
      </c>
      <c r="C445" s="248" t="s">
        <v>814</v>
      </c>
      <c r="D445" s="248" t="s">
        <v>1148</v>
      </c>
      <c r="E445" s="248" t="s">
        <v>707</v>
      </c>
      <c r="F445" s="248" t="s">
        <v>111</v>
      </c>
      <c r="G445" s="248" t="s">
        <v>708</v>
      </c>
      <c r="H445" s="248" t="s">
        <v>740</v>
      </c>
      <c r="I445" s="249" t="s">
        <v>710</v>
      </c>
      <c r="J445" s="248" t="s">
        <v>34</v>
      </c>
      <c r="K445" s="248" t="s">
        <v>2496</v>
      </c>
      <c r="L445" s="250" t="s">
        <v>2497</v>
      </c>
      <c r="M445" s="256">
        <v>0.86388888888888893</v>
      </c>
      <c r="N445" s="256">
        <v>0.87777777777777777</v>
      </c>
      <c r="O445" s="248" t="s">
        <v>2498</v>
      </c>
      <c r="P445" s="248"/>
      <c r="Q445" s="248"/>
      <c r="R445" s="248"/>
      <c r="S445" s="248"/>
      <c r="T445" s="246"/>
      <c r="U445" s="246"/>
      <c r="V445" s="246"/>
    </row>
    <row r="446" spans="1:22" ht="12.75">
      <c r="A446" s="242">
        <v>46307</v>
      </c>
      <c r="B446" s="243" t="s">
        <v>549</v>
      </c>
      <c r="C446" s="243" t="s">
        <v>814</v>
      </c>
      <c r="D446" s="243" t="s">
        <v>1148</v>
      </c>
      <c r="E446" s="243" t="s">
        <v>707</v>
      </c>
      <c r="F446" s="243" t="s">
        <v>111</v>
      </c>
      <c r="G446" s="243" t="s">
        <v>708</v>
      </c>
      <c r="H446" s="243" t="s">
        <v>740</v>
      </c>
      <c r="I446" s="244" t="s">
        <v>710</v>
      </c>
      <c r="J446" s="243" t="s">
        <v>34</v>
      </c>
      <c r="K446" s="243" t="s">
        <v>2499</v>
      </c>
      <c r="L446" s="245" t="s">
        <v>2500</v>
      </c>
      <c r="M446" s="259">
        <v>0.87777777777777777</v>
      </c>
      <c r="N446" s="259">
        <v>0.90069444444444446</v>
      </c>
      <c r="O446" s="243" t="s">
        <v>2498</v>
      </c>
      <c r="P446" s="243"/>
      <c r="Q446" s="243"/>
      <c r="R446" s="243"/>
      <c r="S446" s="243"/>
      <c r="T446" s="246"/>
      <c r="U446" s="246"/>
      <c r="V446" s="246"/>
    </row>
    <row r="447" spans="1:22" ht="12.75">
      <c r="A447" s="247">
        <v>46307</v>
      </c>
      <c r="B447" s="248" t="s">
        <v>549</v>
      </c>
      <c r="C447" s="248" t="s">
        <v>814</v>
      </c>
      <c r="D447" s="248" t="s">
        <v>1148</v>
      </c>
      <c r="E447" s="248" t="s">
        <v>707</v>
      </c>
      <c r="F447" s="248" t="s">
        <v>111</v>
      </c>
      <c r="G447" s="248" t="s">
        <v>708</v>
      </c>
      <c r="H447" s="248" t="s">
        <v>740</v>
      </c>
      <c r="I447" s="249" t="s">
        <v>710</v>
      </c>
      <c r="J447" s="248" t="s">
        <v>34</v>
      </c>
      <c r="K447" s="248" t="s">
        <v>2501</v>
      </c>
      <c r="L447" s="250" t="s">
        <v>2502</v>
      </c>
      <c r="M447" s="256">
        <v>0.90069444444444446</v>
      </c>
      <c r="N447" s="256">
        <v>0.91180555555555554</v>
      </c>
      <c r="O447" s="248" t="s">
        <v>2498</v>
      </c>
      <c r="P447" s="248"/>
      <c r="Q447" s="248"/>
      <c r="R447" s="248"/>
      <c r="S447" s="248"/>
      <c r="T447" s="246"/>
      <c r="U447" s="246"/>
      <c r="V447" s="246"/>
    </row>
    <row r="448" spans="1:22" ht="12.75">
      <c r="A448" s="242">
        <v>46307</v>
      </c>
      <c r="B448" s="243" t="s">
        <v>549</v>
      </c>
      <c r="C448" s="243" t="s">
        <v>814</v>
      </c>
      <c r="D448" s="243" t="s">
        <v>1148</v>
      </c>
      <c r="E448" s="243" t="s">
        <v>707</v>
      </c>
      <c r="F448" s="243" t="s">
        <v>111</v>
      </c>
      <c r="G448" s="243" t="s">
        <v>708</v>
      </c>
      <c r="H448" s="243" t="s">
        <v>740</v>
      </c>
      <c r="I448" s="244" t="s">
        <v>710</v>
      </c>
      <c r="J448" s="243" t="s">
        <v>34</v>
      </c>
      <c r="K448" s="243" t="s">
        <v>2503</v>
      </c>
      <c r="L448" s="245" t="s">
        <v>2504</v>
      </c>
      <c r="M448" s="259">
        <v>0.91180555555555554</v>
      </c>
      <c r="N448" s="259">
        <v>0.92708333333333337</v>
      </c>
      <c r="O448" s="243" t="s">
        <v>2498</v>
      </c>
      <c r="P448" s="243"/>
      <c r="Q448" s="243"/>
      <c r="R448" s="243"/>
      <c r="S448" s="243"/>
      <c r="T448" s="246"/>
      <c r="U448" s="246"/>
      <c r="V448" s="246"/>
    </row>
    <row r="449" spans="1:22" ht="12.75">
      <c r="A449" s="247">
        <v>46307</v>
      </c>
      <c r="B449" s="248" t="s">
        <v>549</v>
      </c>
      <c r="C449" s="248" t="s">
        <v>814</v>
      </c>
      <c r="D449" s="248" t="s">
        <v>1148</v>
      </c>
      <c r="E449" s="248" t="s">
        <v>707</v>
      </c>
      <c r="F449" s="248" t="s">
        <v>111</v>
      </c>
      <c r="G449" s="248" t="s">
        <v>708</v>
      </c>
      <c r="H449" s="248" t="s">
        <v>709</v>
      </c>
      <c r="I449" s="249" t="s">
        <v>710</v>
      </c>
      <c r="J449" s="248" t="s">
        <v>34</v>
      </c>
      <c r="K449" s="248" t="s">
        <v>2505</v>
      </c>
      <c r="L449" s="250" t="s">
        <v>2506</v>
      </c>
      <c r="M449" s="256">
        <v>0.92708333333333337</v>
      </c>
      <c r="N449" s="256">
        <v>0.98263888888888884</v>
      </c>
      <c r="O449" s="248" t="s">
        <v>2498</v>
      </c>
      <c r="P449" s="248"/>
      <c r="Q449" s="248"/>
      <c r="R449" s="248"/>
      <c r="S449" s="248"/>
      <c r="T449" s="246"/>
      <c r="U449" s="246"/>
      <c r="V449" s="246"/>
    </row>
    <row r="450" spans="1:22" ht="12.75">
      <c r="A450" s="242">
        <v>46307</v>
      </c>
      <c r="B450" s="243" t="s">
        <v>549</v>
      </c>
      <c r="C450" s="243" t="s">
        <v>2455</v>
      </c>
      <c r="D450" s="243" t="s">
        <v>1651</v>
      </c>
      <c r="E450" s="243" t="s">
        <v>707</v>
      </c>
      <c r="F450" s="243" t="s">
        <v>111</v>
      </c>
      <c r="G450" s="243" t="s">
        <v>708</v>
      </c>
      <c r="H450" s="243" t="s">
        <v>709</v>
      </c>
      <c r="I450" s="244" t="s">
        <v>710</v>
      </c>
      <c r="J450" s="243" t="s">
        <v>34</v>
      </c>
      <c r="K450" s="243" t="s">
        <v>2507</v>
      </c>
      <c r="L450" s="245" t="s">
        <v>2506</v>
      </c>
      <c r="M450" s="259">
        <v>0.98333333333333328</v>
      </c>
      <c r="N450" s="259">
        <v>3.8194444444444448E-2</v>
      </c>
      <c r="O450" s="243" t="s">
        <v>2498</v>
      </c>
      <c r="P450" s="243"/>
      <c r="Q450" s="243"/>
      <c r="R450" s="243"/>
      <c r="S450" s="243"/>
      <c r="T450" s="246"/>
      <c r="U450" s="246"/>
      <c r="V450" s="246"/>
    </row>
    <row r="451" spans="1:22" ht="12.75">
      <c r="A451" s="247">
        <v>46307</v>
      </c>
      <c r="B451" s="248" t="s">
        <v>549</v>
      </c>
      <c r="C451" s="248" t="s">
        <v>2455</v>
      </c>
      <c r="D451" s="248" t="s">
        <v>2456</v>
      </c>
      <c r="E451" s="248" t="s">
        <v>707</v>
      </c>
      <c r="F451" s="248" t="s">
        <v>111</v>
      </c>
      <c r="G451" s="248" t="s">
        <v>708</v>
      </c>
      <c r="H451" s="248" t="s">
        <v>740</v>
      </c>
      <c r="I451" s="249" t="s">
        <v>710</v>
      </c>
      <c r="J451" s="248" t="s">
        <v>34</v>
      </c>
      <c r="K451" s="248" t="s">
        <v>2508</v>
      </c>
      <c r="L451" s="250" t="s">
        <v>2509</v>
      </c>
      <c r="M451" s="256">
        <v>0.14444444444444443</v>
      </c>
      <c r="N451" s="256">
        <v>0.15555555555555556</v>
      </c>
      <c r="O451" s="248" t="s">
        <v>2498</v>
      </c>
      <c r="P451" s="248" t="s">
        <v>2510</v>
      </c>
      <c r="Q451" s="248"/>
      <c r="R451" s="248"/>
      <c r="S451" s="248"/>
      <c r="T451" s="246"/>
      <c r="U451" s="246"/>
      <c r="V451" s="246"/>
    </row>
    <row r="452" spans="1:22" ht="12.75">
      <c r="A452" s="242">
        <v>46307</v>
      </c>
      <c r="B452" s="243" t="s">
        <v>549</v>
      </c>
      <c r="C452" s="243" t="s">
        <v>2455</v>
      </c>
      <c r="D452" s="243" t="s">
        <v>2456</v>
      </c>
      <c r="E452" s="243" t="s">
        <v>707</v>
      </c>
      <c r="F452" s="243" t="s">
        <v>111</v>
      </c>
      <c r="G452" s="243" t="s">
        <v>708</v>
      </c>
      <c r="H452" s="243" t="s">
        <v>709</v>
      </c>
      <c r="I452" s="244" t="s">
        <v>710</v>
      </c>
      <c r="J452" s="243" t="s">
        <v>34</v>
      </c>
      <c r="K452" s="243" t="s">
        <v>2511</v>
      </c>
      <c r="L452" s="245" t="s">
        <v>2506</v>
      </c>
      <c r="M452" s="259">
        <v>0.15555555555555556</v>
      </c>
      <c r="N452" s="259">
        <v>0.2048611111111111</v>
      </c>
      <c r="O452" s="243" t="s">
        <v>2498</v>
      </c>
      <c r="P452" s="243" t="s">
        <v>2510</v>
      </c>
      <c r="Q452" s="243"/>
      <c r="R452" s="243"/>
      <c r="S452" s="243"/>
      <c r="T452" s="246"/>
      <c r="U452" s="246"/>
      <c r="V452" s="246"/>
    </row>
    <row r="453" spans="1:22" ht="12.75">
      <c r="A453" s="247">
        <v>46307</v>
      </c>
      <c r="B453" s="248" t="s">
        <v>547</v>
      </c>
      <c r="C453" s="248" t="s">
        <v>53</v>
      </c>
      <c r="D453" s="248" t="s">
        <v>2030</v>
      </c>
      <c r="E453" s="248" t="s">
        <v>707</v>
      </c>
      <c r="F453" s="248" t="s">
        <v>111</v>
      </c>
      <c r="G453" s="248" t="s">
        <v>708</v>
      </c>
      <c r="H453" s="248" t="s">
        <v>709</v>
      </c>
      <c r="I453" s="249" t="s">
        <v>710</v>
      </c>
      <c r="J453" s="248" t="s">
        <v>34</v>
      </c>
      <c r="K453" s="248" t="s">
        <v>2512</v>
      </c>
      <c r="L453" s="250" t="s">
        <v>2506</v>
      </c>
      <c r="M453" s="256">
        <v>0.20555555555555555</v>
      </c>
      <c r="N453" s="256">
        <v>0.25833333333333336</v>
      </c>
      <c r="O453" s="248" t="s">
        <v>2498</v>
      </c>
      <c r="P453" s="248"/>
      <c r="Q453" s="248"/>
      <c r="R453" s="248"/>
      <c r="S453" s="248"/>
      <c r="T453" s="246"/>
      <c r="U453" s="246"/>
      <c r="V453" s="246"/>
    </row>
    <row r="454" spans="1:22" ht="12.75">
      <c r="A454" s="242">
        <v>46307</v>
      </c>
      <c r="B454" s="243" t="s">
        <v>549</v>
      </c>
      <c r="C454" s="243" t="s">
        <v>814</v>
      </c>
      <c r="D454" s="243" t="s">
        <v>253</v>
      </c>
      <c r="E454" s="243" t="s">
        <v>707</v>
      </c>
      <c r="F454" s="243" t="s">
        <v>111</v>
      </c>
      <c r="G454" s="243" t="s">
        <v>708</v>
      </c>
      <c r="H454" s="243" t="s">
        <v>740</v>
      </c>
      <c r="I454" s="244" t="s">
        <v>710</v>
      </c>
      <c r="J454" s="243" t="s">
        <v>34</v>
      </c>
      <c r="K454" s="243" t="s">
        <v>2513</v>
      </c>
      <c r="L454" s="245" t="s">
        <v>2514</v>
      </c>
      <c r="M454" s="259">
        <v>0.26527777777777778</v>
      </c>
      <c r="N454" s="259">
        <v>0.27361111111111114</v>
      </c>
      <c r="O454" s="243" t="s">
        <v>2498</v>
      </c>
      <c r="P454" s="243"/>
      <c r="Q454" s="243"/>
      <c r="R454" s="243"/>
      <c r="S454" s="243"/>
      <c r="T454" s="246"/>
      <c r="U454" s="246"/>
      <c r="V454" s="246"/>
    </row>
    <row r="455" spans="1:22" ht="12.75">
      <c r="A455" s="247">
        <v>46307</v>
      </c>
      <c r="B455" s="248" t="s">
        <v>549</v>
      </c>
      <c r="C455" s="248" t="s">
        <v>814</v>
      </c>
      <c r="D455" s="248" t="s">
        <v>253</v>
      </c>
      <c r="E455" s="248" t="s">
        <v>707</v>
      </c>
      <c r="F455" s="248" t="s">
        <v>111</v>
      </c>
      <c r="G455" s="248" t="s">
        <v>708</v>
      </c>
      <c r="H455" s="248" t="s">
        <v>740</v>
      </c>
      <c r="I455" s="249" t="s">
        <v>710</v>
      </c>
      <c r="J455" s="248" t="s">
        <v>34</v>
      </c>
      <c r="K455" s="248" t="s">
        <v>2515</v>
      </c>
      <c r="L455" s="250" t="s">
        <v>2516</v>
      </c>
      <c r="M455" s="256">
        <v>0.27361111111111114</v>
      </c>
      <c r="N455" s="256">
        <v>0.28125</v>
      </c>
      <c r="O455" s="248" t="s">
        <v>2498</v>
      </c>
      <c r="P455" s="248"/>
      <c r="Q455" s="248"/>
      <c r="R455" s="248"/>
      <c r="S455" s="248"/>
      <c r="T455" s="246"/>
      <c r="U455" s="246"/>
      <c r="V455" s="246"/>
    </row>
    <row r="456" spans="1:22" ht="12.75">
      <c r="A456" s="242">
        <v>46307</v>
      </c>
      <c r="B456" s="243" t="s">
        <v>549</v>
      </c>
      <c r="C456" s="243" t="s">
        <v>814</v>
      </c>
      <c r="D456" s="243" t="s">
        <v>253</v>
      </c>
      <c r="E456" s="243" t="s">
        <v>707</v>
      </c>
      <c r="F456" s="243" t="s">
        <v>111</v>
      </c>
      <c r="G456" s="243" t="s">
        <v>708</v>
      </c>
      <c r="H456" s="243" t="s">
        <v>709</v>
      </c>
      <c r="I456" s="244" t="s">
        <v>710</v>
      </c>
      <c r="J456" s="243" t="s">
        <v>34</v>
      </c>
      <c r="K456" s="243" t="s">
        <v>2517</v>
      </c>
      <c r="L456" s="245" t="s">
        <v>2506</v>
      </c>
      <c r="M456" s="259">
        <v>0.28125</v>
      </c>
      <c r="N456" s="259">
        <v>0.32569444444444445</v>
      </c>
      <c r="O456" s="243" t="s">
        <v>2498</v>
      </c>
      <c r="P456" s="243"/>
      <c r="Q456" s="243"/>
      <c r="R456" s="243"/>
      <c r="S456" s="243"/>
      <c r="T456" s="246"/>
      <c r="U456" s="246"/>
      <c r="V456" s="246"/>
    </row>
    <row r="457" spans="1:22" ht="12.75">
      <c r="A457" s="247">
        <v>46307</v>
      </c>
      <c r="B457" s="248" t="s">
        <v>563</v>
      </c>
      <c r="C457" s="248" t="s">
        <v>53</v>
      </c>
      <c r="D457" s="248" t="s">
        <v>124</v>
      </c>
      <c r="E457" s="248" t="s">
        <v>707</v>
      </c>
      <c r="F457" s="248" t="s">
        <v>111</v>
      </c>
      <c r="G457" s="248" t="s">
        <v>708</v>
      </c>
      <c r="H457" s="248" t="s">
        <v>709</v>
      </c>
      <c r="I457" s="249" t="s">
        <v>710</v>
      </c>
      <c r="J457" s="248" t="s">
        <v>34</v>
      </c>
      <c r="K457" s="248" t="s">
        <v>2518</v>
      </c>
      <c r="L457" s="250" t="s">
        <v>2519</v>
      </c>
      <c r="M457" s="256">
        <v>0.84722222222222221</v>
      </c>
      <c r="N457" s="256">
        <v>0.92708333333333337</v>
      </c>
      <c r="O457" s="248" t="s">
        <v>2510</v>
      </c>
      <c r="P457" s="248"/>
      <c r="Q457" s="248"/>
      <c r="R457" s="248"/>
      <c r="S457" s="248"/>
      <c r="T457" s="246"/>
      <c r="U457" s="246"/>
      <c r="V457" s="246"/>
    </row>
    <row r="458" spans="1:22" ht="12.75">
      <c r="A458" s="242">
        <v>46307</v>
      </c>
      <c r="B458" s="243" t="s">
        <v>563</v>
      </c>
      <c r="C458" s="243" t="s">
        <v>53</v>
      </c>
      <c r="D458" s="243" t="s">
        <v>124</v>
      </c>
      <c r="E458" s="243" t="s">
        <v>707</v>
      </c>
      <c r="F458" s="243" t="s">
        <v>111</v>
      </c>
      <c r="G458" s="243" t="s">
        <v>708</v>
      </c>
      <c r="H458" s="243" t="s">
        <v>740</v>
      </c>
      <c r="I458" s="244" t="s">
        <v>710</v>
      </c>
      <c r="J458" s="243" t="s">
        <v>34</v>
      </c>
      <c r="K458" s="243" t="s">
        <v>2520</v>
      </c>
      <c r="L458" s="245" t="s">
        <v>2521</v>
      </c>
      <c r="M458" s="259">
        <v>0.92708333333333337</v>
      </c>
      <c r="N458" s="259">
        <v>0.96527777777777779</v>
      </c>
      <c r="O458" s="243" t="s">
        <v>2510</v>
      </c>
      <c r="P458" s="243"/>
      <c r="Q458" s="243"/>
      <c r="R458" s="243"/>
      <c r="S458" s="243"/>
      <c r="T458" s="246"/>
      <c r="U458" s="246"/>
      <c r="V458" s="246"/>
    </row>
    <row r="459" spans="1:22" ht="12.75">
      <c r="A459" s="247">
        <v>46307</v>
      </c>
      <c r="B459" s="248" t="s">
        <v>563</v>
      </c>
      <c r="C459" s="248" t="s">
        <v>53</v>
      </c>
      <c r="D459" s="248" t="s">
        <v>124</v>
      </c>
      <c r="E459" s="248" t="s">
        <v>707</v>
      </c>
      <c r="F459" s="248" t="s">
        <v>111</v>
      </c>
      <c r="G459" s="248" t="s">
        <v>708</v>
      </c>
      <c r="H459" s="248" t="s">
        <v>740</v>
      </c>
      <c r="I459" s="249" t="s">
        <v>710</v>
      </c>
      <c r="J459" s="248" t="s">
        <v>34</v>
      </c>
      <c r="K459" s="248" t="s">
        <v>2522</v>
      </c>
      <c r="L459" s="250" t="s">
        <v>2523</v>
      </c>
      <c r="M459" s="256">
        <v>0.96527777777777779</v>
      </c>
      <c r="N459" s="256">
        <v>0.97013888888888888</v>
      </c>
      <c r="O459" s="248" t="s">
        <v>2510</v>
      </c>
      <c r="P459" s="248"/>
      <c r="Q459" s="248"/>
      <c r="R459" s="248"/>
      <c r="S459" s="248"/>
      <c r="T459" s="246"/>
      <c r="U459" s="246"/>
      <c r="V459" s="246"/>
    </row>
    <row r="460" spans="1:22" ht="12.75">
      <c r="A460" s="242">
        <v>46307</v>
      </c>
      <c r="B460" s="243" t="s">
        <v>563</v>
      </c>
      <c r="C460" s="243" t="s">
        <v>53</v>
      </c>
      <c r="D460" s="243" t="s">
        <v>124</v>
      </c>
      <c r="E460" s="243" t="s">
        <v>707</v>
      </c>
      <c r="F460" s="243" t="s">
        <v>111</v>
      </c>
      <c r="G460" s="243" t="s">
        <v>708</v>
      </c>
      <c r="H460" s="243" t="s">
        <v>740</v>
      </c>
      <c r="I460" s="244" t="s">
        <v>710</v>
      </c>
      <c r="J460" s="243" t="s">
        <v>34</v>
      </c>
      <c r="K460" s="243" t="s">
        <v>2524</v>
      </c>
      <c r="L460" s="245" t="s">
        <v>2525</v>
      </c>
      <c r="M460" s="259">
        <v>0.97013888888888888</v>
      </c>
      <c r="N460" s="259">
        <v>6.9444444444444441E-3</v>
      </c>
      <c r="O460" s="243" t="s">
        <v>2510</v>
      </c>
      <c r="P460" s="243"/>
      <c r="Q460" s="243"/>
      <c r="R460" s="243"/>
      <c r="S460" s="243"/>
      <c r="T460" s="246"/>
      <c r="U460" s="246"/>
      <c r="V460" s="246"/>
    </row>
    <row r="461" spans="1:22" ht="12.75">
      <c r="A461" s="247">
        <v>46307</v>
      </c>
      <c r="B461" s="248" t="s">
        <v>547</v>
      </c>
      <c r="C461" s="248" t="s">
        <v>53</v>
      </c>
      <c r="D461" s="248" t="s">
        <v>2526</v>
      </c>
      <c r="E461" s="248" t="s">
        <v>707</v>
      </c>
      <c r="F461" s="248" t="s">
        <v>111</v>
      </c>
      <c r="G461" s="248" t="s">
        <v>708</v>
      </c>
      <c r="H461" s="248" t="s">
        <v>740</v>
      </c>
      <c r="I461" s="249" t="s">
        <v>710</v>
      </c>
      <c r="J461" s="248" t="s">
        <v>34</v>
      </c>
      <c r="K461" s="248" t="s">
        <v>2527</v>
      </c>
      <c r="L461" s="250" t="s">
        <v>2528</v>
      </c>
      <c r="M461" s="256">
        <v>2.7777777777777776E-2</v>
      </c>
      <c r="N461" s="256">
        <v>3.4722222222222224E-2</v>
      </c>
      <c r="O461" s="248" t="s">
        <v>2510</v>
      </c>
      <c r="P461" s="248"/>
      <c r="Q461" s="248"/>
      <c r="R461" s="248"/>
      <c r="S461" s="248"/>
      <c r="T461" s="246"/>
      <c r="U461" s="246"/>
      <c r="V461" s="246"/>
    </row>
    <row r="462" spans="1:22" ht="12.75">
      <c r="A462" s="242">
        <v>46307</v>
      </c>
      <c r="B462" s="243" t="s">
        <v>547</v>
      </c>
      <c r="C462" s="243" t="s">
        <v>53</v>
      </c>
      <c r="D462" s="243" t="s">
        <v>2526</v>
      </c>
      <c r="E462" s="243" t="s">
        <v>707</v>
      </c>
      <c r="F462" s="243" t="s">
        <v>111</v>
      </c>
      <c r="G462" s="243" t="s">
        <v>708</v>
      </c>
      <c r="H462" s="243" t="s">
        <v>709</v>
      </c>
      <c r="I462" s="244" t="s">
        <v>710</v>
      </c>
      <c r="J462" s="243" t="s">
        <v>34</v>
      </c>
      <c r="K462" s="243" t="s">
        <v>2529</v>
      </c>
      <c r="L462" s="245" t="s">
        <v>2519</v>
      </c>
      <c r="M462" s="259">
        <v>3.4722222222222224E-2</v>
      </c>
      <c r="N462" s="259">
        <v>0.125</v>
      </c>
      <c r="O462" s="243" t="s">
        <v>2510</v>
      </c>
      <c r="P462" s="243"/>
      <c r="Q462" s="243"/>
      <c r="R462" s="243"/>
      <c r="S462" s="243"/>
      <c r="T462" s="246"/>
      <c r="U462" s="246"/>
      <c r="V462" s="246"/>
    </row>
    <row r="463" spans="1:22" ht="12.75">
      <c r="A463" s="247">
        <v>46307</v>
      </c>
      <c r="B463" s="248" t="s">
        <v>549</v>
      </c>
      <c r="C463" s="248" t="s">
        <v>2455</v>
      </c>
      <c r="D463" s="248" t="s">
        <v>806</v>
      </c>
      <c r="E463" s="248" t="s">
        <v>707</v>
      </c>
      <c r="F463" s="248" t="s">
        <v>111</v>
      </c>
      <c r="G463" s="248" t="s">
        <v>708</v>
      </c>
      <c r="H463" s="248" t="s">
        <v>740</v>
      </c>
      <c r="I463" s="249" t="s">
        <v>710</v>
      </c>
      <c r="J463" s="248" t="s">
        <v>34</v>
      </c>
      <c r="K463" s="248" t="s">
        <v>2530</v>
      </c>
      <c r="L463" s="250" t="s">
        <v>2531</v>
      </c>
      <c r="M463" s="256">
        <v>0.83750000000000002</v>
      </c>
      <c r="N463" s="256">
        <v>2.7777777777777776E-2</v>
      </c>
      <c r="O463" s="248" t="s">
        <v>2532</v>
      </c>
      <c r="P463" s="248"/>
      <c r="Q463" s="248"/>
      <c r="R463" s="248"/>
      <c r="S463" s="248"/>
      <c r="T463" s="246"/>
      <c r="U463" s="246"/>
      <c r="V463" s="246"/>
    </row>
    <row r="464" spans="1:22" ht="12.75">
      <c r="A464" s="242">
        <v>46307</v>
      </c>
      <c r="B464" s="243" t="s">
        <v>549</v>
      </c>
      <c r="C464" s="243" t="s">
        <v>2455</v>
      </c>
      <c r="D464" s="243" t="s">
        <v>806</v>
      </c>
      <c r="E464" s="243" t="s">
        <v>707</v>
      </c>
      <c r="F464" s="243" t="s">
        <v>111</v>
      </c>
      <c r="G464" s="243" t="s">
        <v>708</v>
      </c>
      <c r="H464" s="243" t="s">
        <v>740</v>
      </c>
      <c r="I464" s="244" t="s">
        <v>710</v>
      </c>
      <c r="J464" s="243" t="s">
        <v>34</v>
      </c>
      <c r="K464" s="243" t="s">
        <v>2533</v>
      </c>
      <c r="L464" s="245" t="s">
        <v>2534</v>
      </c>
      <c r="M464" s="259">
        <v>5.2777777777777778E-2</v>
      </c>
      <c r="N464" s="259">
        <v>9.5138888888888884E-2</v>
      </c>
      <c r="O464" s="243" t="s">
        <v>2532</v>
      </c>
      <c r="P464" s="243" t="s">
        <v>2475</v>
      </c>
      <c r="Q464" s="243"/>
      <c r="R464" s="243"/>
      <c r="S464" s="243"/>
      <c r="T464" s="246"/>
      <c r="U464" s="246"/>
      <c r="V464" s="246"/>
    </row>
    <row r="465" spans="1:22" ht="12.75">
      <c r="A465" s="247">
        <v>46307</v>
      </c>
      <c r="B465" s="248" t="s">
        <v>549</v>
      </c>
      <c r="C465" s="248" t="s">
        <v>2455</v>
      </c>
      <c r="D465" s="248" t="s">
        <v>806</v>
      </c>
      <c r="E465" s="248" t="s">
        <v>707</v>
      </c>
      <c r="F465" s="248" t="s">
        <v>111</v>
      </c>
      <c r="G465" s="248" t="s">
        <v>708</v>
      </c>
      <c r="H465" s="248" t="s">
        <v>740</v>
      </c>
      <c r="I465" s="249" t="s">
        <v>710</v>
      </c>
      <c r="J465" s="248" t="s">
        <v>34</v>
      </c>
      <c r="K465" s="248" t="s">
        <v>2535</v>
      </c>
      <c r="L465" s="250" t="s">
        <v>2536</v>
      </c>
      <c r="M465" s="256">
        <v>9.583333333333334E-2</v>
      </c>
      <c r="N465" s="256">
        <v>0.12152777777777778</v>
      </c>
      <c r="O465" s="248" t="s">
        <v>2532</v>
      </c>
      <c r="P465" s="248" t="s">
        <v>2475</v>
      </c>
      <c r="Q465" s="248"/>
      <c r="R465" s="248"/>
      <c r="S465" s="248"/>
      <c r="T465" s="246"/>
      <c r="U465" s="246"/>
      <c r="V465" s="246"/>
    </row>
    <row r="466" spans="1:22" ht="12.75">
      <c r="A466" s="242">
        <v>46307</v>
      </c>
      <c r="B466" s="243" t="s">
        <v>549</v>
      </c>
      <c r="C466" s="243" t="s">
        <v>2455</v>
      </c>
      <c r="D466" s="243" t="s">
        <v>806</v>
      </c>
      <c r="E466" s="243" t="s">
        <v>707</v>
      </c>
      <c r="F466" s="243" t="s">
        <v>111</v>
      </c>
      <c r="G466" s="243" t="s">
        <v>708</v>
      </c>
      <c r="H466" s="243" t="s">
        <v>709</v>
      </c>
      <c r="I466" s="244" t="s">
        <v>710</v>
      </c>
      <c r="J466" s="243" t="s">
        <v>34</v>
      </c>
      <c r="K466" s="243" t="s">
        <v>2537</v>
      </c>
      <c r="L466" s="245" t="s">
        <v>2519</v>
      </c>
      <c r="M466" s="259">
        <v>0.12361111111111112</v>
      </c>
      <c r="N466" s="259">
        <v>0.2013888888888889</v>
      </c>
      <c r="O466" s="243" t="s">
        <v>2532</v>
      </c>
      <c r="P466" s="243" t="s">
        <v>2475</v>
      </c>
      <c r="Q466" s="243"/>
      <c r="R466" s="243"/>
      <c r="S466" s="243"/>
      <c r="T466" s="246"/>
      <c r="U466" s="246"/>
      <c r="V466" s="246"/>
    </row>
    <row r="467" spans="1:22" ht="12.75">
      <c r="A467" s="247">
        <v>46307</v>
      </c>
      <c r="B467" s="248" t="s">
        <v>549</v>
      </c>
      <c r="C467" s="248" t="s">
        <v>2455</v>
      </c>
      <c r="D467" s="248" t="s">
        <v>1550</v>
      </c>
      <c r="E467" s="248" t="s">
        <v>707</v>
      </c>
      <c r="F467" s="248" t="s">
        <v>111</v>
      </c>
      <c r="G467" s="248" t="s">
        <v>708</v>
      </c>
      <c r="H467" s="248" t="s">
        <v>740</v>
      </c>
      <c r="I467" s="249" t="s">
        <v>710</v>
      </c>
      <c r="J467" s="248" t="s">
        <v>34</v>
      </c>
      <c r="K467" s="248" t="s">
        <v>2538</v>
      </c>
      <c r="L467" s="250" t="s">
        <v>2539</v>
      </c>
      <c r="M467" s="256">
        <v>0.20208333333333334</v>
      </c>
      <c r="N467" s="256">
        <v>0.21527777777777779</v>
      </c>
      <c r="O467" s="248" t="s">
        <v>2532</v>
      </c>
      <c r="P467" s="248"/>
      <c r="Q467" s="248"/>
      <c r="R467" s="248"/>
      <c r="S467" s="248"/>
      <c r="T467" s="246"/>
      <c r="U467" s="246"/>
      <c r="V467" s="246"/>
    </row>
    <row r="468" spans="1:22" ht="12.75">
      <c r="A468" s="242">
        <v>46307</v>
      </c>
      <c r="B468" s="243" t="s">
        <v>549</v>
      </c>
      <c r="C468" s="243" t="s">
        <v>2455</v>
      </c>
      <c r="D468" s="243" t="s">
        <v>1550</v>
      </c>
      <c r="E468" s="243" t="s">
        <v>707</v>
      </c>
      <c r="F468" s="243" t="s">
        <v>111</v>
      </c>
      <c r="G468" s="243" t="s">
        <v>708</v>
      </c>
      <c r="H468" s="243" t="s">
        <v>740</v>
      </c>
      <c r="I468" s="244" t="s">
        <v>710</v>
      </c>
      <c r="J468" s="243" t="s">
        <v>34</v>
      </c>
      <c r="K468" s="243" t="s">
        <v>2540</v>
      </c>
      <c r="L468" s="245" t="s">
        <v>2541</v>
      </c>
      <c r="M468" s="259">
        <v>0.21597222222222223</v>
      </c>
      <c r="N468" s="259">
        <v>0.25</v>
      </c>
      <c r="O468" s="243" t="s">
        <v>2532</v>
      </c>
      <c r="P468" s="243" t="s">
        <v>2475</v>
      </c>
      <c r="Q468" s="243"/>
      <c r="R468" s="243"/>
      <c r="S468" s="243"/>
      <c r="T468" s="246"/>
      <c r="U468" s="246"/>
      <c r="V468" s="246"/>
    </row>
    <row r="469" spans="1:22" ht="12.75">
      <c r="A469" s="247">
        <v>46307</v>
      </c>
      <c r="B469" s="248" t="s">
        <v>549</v>
      </c>
      <c r="C469" s="248" t="s">
        <v>2455</v>
      </c>
      <c r="D469" s="248" t="s">
        <v>1550</v>
      </c>
      <c r="E469" s="248" t="s">
        <v>707</v>
      </c>
      <c r="F469" s="248" t="s">
        <v>111</v>
      </c>
      <c r="G469" s="248" t="s">
        <v>708</v>
      </c>
      <c r="H469" s="248" t="s">
        <v>709</v>
      </c>
      <c r="I469" s="249" t="s">
        <v>710</v>
      </c>
      <c r="J469" s="248" t="s">
        <v>34</v>
      </c>
      <c r="K469" s="248" t="s">
        <v>2542</v>
      </c>
      <c r="L469" s="250" t="s">
        <v>2519</v>
      </c>
      <c r="M469" s="256">
        <v>0.25069444444444444</v>
      </c>
      <c r="N469" s="256">
        <v>0.3263888888888889</v>
      </c>
      <c r="O469" s="248" t="s">
        <v>2532</v>
      </c>
      <c r="P469" s="248" t="s">
        <v>2475</v>
      </c>
      <c r="Q469" s="248"/>
      <c r="R469" s="248"/>
      <c r="S469" s="248"/>
      <c r="T469" s="246"/>
      <c r="U469" s="246"/>
      <c r="V469" s="246"/>
    </row>
    <row r="470" spans="1:22">
      <c r="A470" s="242">
        <v>46307</v>
      </c>
      <c r="B470" s="357" t="s">
        <v>549</v>
      </c>
      <c r="C470" s="357" t="s">
        <v>628</v>
      </c>
      <c r="D470" s="357" t="s">
        <v>628</v>
      </c>
      <c r="E470" s="243" t="s">
        <v>707</v>
      </c>
      <c r="F470" s="244" t="s">
        <v>55</v>
      </c>
      <c r="G470" s="243" t="s">
        <v>708</v>
      </c>
      <c r="H470" s="357"/>
      <c r="I470" s="358" t="s">
        <v>710</v>
      </c>
      <c r="J470" s="243" t="s">
        <v>34</v>
      </c>
      <c r="K470" s="357" t="s">
        <v>2543</v>
      </c>
      <c r="L470" s="359" t="s">
        <v>2544</v>
      </c>
      <c r="M470" s="243"/>
      <c r="N470" s="243"/>
      <c r="O470" s="243"/>
      <c r="P470" s="243"/>
      <c r="Q470" s="243"/>
      <c r="R470" s="243"/>
      <c r="S470" s="243"/>
      <c r="T470" s="246"/>
      <c r="U470" s="246"/>
      <c r="V470" s="246"/>
    </row>
    <row r="471" spans="1:22">
      <c r="A471" s="247">
        <v>46307</v>
      </c>
      <c r="B471" s="360" t="s">
        <v>549</v>
      </c>
      <c r="C471" s="360" t="s">
        <v>628</v>
      </c>
      <c r="D471" s="360" t="s">
        <v>628</v>
      </c>
      <c r="E471" s="248" t="s">
        <v>707</v>
      </c>
      <c r="F471" s="249" t="s">
        <v>55</v>
      </c>
      <c r="G471" s="248" t="s">
        <v>708</v>
      </c>
      <c r="H471" s="360"/>
      <c r="I471" s="361" t="s">
        <v>710</v>
      </c>
      <c r="J471" s="248" t="s">
        <v>34</v>
      </c>
      <c r="K471" s="360" t="s">
        <v>2545</v>
      </c>
      <c r="L471" s="362" t="s">
        <v>2546</v>
      </c>
      <c r="M471" s="248"/>
      <c r="N471" s="248"/>
      <c r="O471" s="248"/>
      <c r="P471" s="248"/>
      <c r="Q471" s="248"/>
      <c r="R471" s="248"/>
      <c r="S471" s="248"/>
      <c r="T471" s="246"/>
      <c r="U471" s="246"/>
      <c r="V471" s="246"/>
    </row>
    <row r="472" spans="1:22">
      <c r="A472" s="242">
        <v>46307</v>
      </c>
      <c r="B472" s="357" t="s">
        <v>549</v>
      </c>
      <c r="C472" s="357" t="s">
        <v>628</v>
      </c>
      <c r="D472" s="357" t="s">
        <v>628</v>
      </c>
      <c r="E472" s="243" t="s">
        <v>707</v>
      </c>
      <c r="F472" s="244" t="s">
        <v>55</v>
      </c>
      <c r="G472" s="243" t="s">
        <v>708</v>
      </c>
      <c r="H472" s="357"/>
      <c r="I472" s="358" t="s">
        <v>710</v>
      </c>
      <c r="J472" s="243" t="s">
        <v>34</v>
      </c>
      <c r="K472" s="357" t="s">
        <v>2547</v>
      </c>
      <c r="L472" s="359" t="s">
        <v>2548</v>
      </c>
      <c r="M472" s="243"/>
      <c r="N472" s="243"/>
      <c r="O472" s="243"/>
      <c r="P472" s="243"/>
      <c r="Q472" s="243"/>
      <c r="R472" s="243"/>
      <c r="S472" s="243"/>
      <c r="T472" s="246"/>
      <c r="U472" s="246"/>
      <c r="V472" s="246"/>
    </row>
    <row r="473" spans="1:22">
      <c r="A473" s="247">
        <v>46307</v>
      </c>
      <c r="B473" s="360" t="s">
        <v>549</v>
      </c>
      <c r="C473" s="360" t="s">
        <v>628</v>
      </c>
      <c r="D473" s="360" t="s">
        <v>628</v>
      </c>
      <c r="E473" s="248" t="s">
        <v>707</v>
      </c>
      <c r="F473" s="249" t="s">
        <v>55</v>
      </c>
      <c r="G473" s="248" t="s">
        <v>708</v>
      </c>
      <c r="H473" s="360"/>
      <c r="I473" s="361" t="s">
        <v>710</v>
      </c>
      <c r="J473" s="248" t="s">
        <v>34</v>
      </c>
      <c r="K473" s="360" t="s">
        <v>2549</v>
      </c>
      <c r="L473" s="362" t="s">
        <v>2550</v>
      </c>
      <c r="M473" s="248"/>
      <c r="N473" s="248"/>
      <c r="O473" s="248"/>
      <c r="P473" s="248"/>
      <c r="Q473" s="248"/>
      <c r="R473" s="248"/>
      <c r="S473" s="248"/>
      <c r="T473" s="246"/>
      <c r="U473" s="246"/>
      <c r="V473" s="246"/>
    </row>
    <row r="474" spans="1:22">
      <c r="A474" s="242">
        <v>46307</v>
      </c>
      <c r="B474" s="357" t="s">
        <v>549</v>
      </c>
      <c r="C474" s="357" t="s">
        <v>628</v>
      </c>
      <c r="D474" s="357" t="s">
        <v>628</v>
      </c>
      <c r="E474" s="243" t="s">
        <v>707</v>
      </c>
      <c r="F474" s="244" t="s">
        <v>55</v>
      </c>
      <c r="G474" s="243" t="s">
        <v>708</v>
      </c>
      <c r="H474" s="357"/>
      <c r="I474" s="358" t="s">
        <v>710</v>
      </c>
      <c r="J474" s="243" t="s">
        <v>34</v>
      </c>
      <c r="K474" s="357" t="s">
        <v>2551</v>
      </c>
      <c r="L474" s="359" t="s">
        <v>2552</v>
      </c>
      <c r="M474" s="243"/>
      <c r="N474" s="243"/>
      <c r="O474" s="243"/>
      <c r="P474" s="243"/>
      <c r="Q474" s="243"/>
      <c r="R474" s="243"/>
      <c r="S474" s="243"/>
      <c r="T474" s="246"/>
      <c r="U474" s="246"/>
      <c r="V474" s="246"/>
    </row>
    <row r="475" spans="1:22">
      <c r="A475" s="247">
        <v>46307</v>
      </c>
      <c r="B475" s="360" t="s">
        <v>549</v>
      </c>
      <c r="C475" s="360" t="s">
        <v>418</v>
      </c>
      <c r="D475" s="360" t="s">
        <v>418</v>
      </c>
      <c r="E475" s="248" t="s">
        <v>707</v>
      </c>
      <c r="F475" s="249" t="s">
        <v>55</v>
      </c>
      <c r="G475" s="248" t="s">
        <v>708</v>
      </c>
      <c r="H475" s="360"/>
      <c r="I475" s="361" t="s">
        <v>710</v>
      </c>
      <c r="J475" s="248" t="s">
        <v>34</v>
      </c>
      <c r="K475" s="360" t="s">
        <v>2362</v>
      </c>
      <c r="L475" s="362" t="s">
        <v>2553</v>
      </c>
      <c r="M475" s="248"/>
      <c r="N475" s="248"/>
      <c r="O475" s="248"/>
      <c r="P475" s="248"/>
      <c r="Q475" s="248"/>
      <c r="R475" s="248"/>
      <c r="S475" s="248"/>
      <c r="T475" s="246"/>
      <c r="U475" s="246"/>
      <c r="V475" s="246"/>
    </row>
    <row r="476" spans="1:22">
      <c r="A476" s="242">
        <v>46307</v>
      </c>
      <c r="B476" s="357" t="s">
        <v>563</v>
      </c>
      <c r="C476" s="357" t="s">
        <v>1426</v>
      </c>
      <c r="D476" s="357" t="s">
        <v>1426</v>
      </c>
      <c r="E476" s="243" t="s">
        <v>707</v>
      </c>
      <c r="F476" s="244" t="s">
        <v>55</v>
      </c>
      <c r="G476" s="243" t="s">
        <v>708</v>
      </c>
      <c r="H476" s="357"/>
      <c r="I476" s="358" t="s">
        <v>710</v>
      </c>
      <c r="J476" s="243" t="s">
        <v>34</v>
      </c>
      <c r="K476" s="357" t="s">
        <v>2554</v>
      </c>
      <c r="L476" s="359" t="s">
        <v>2555</v>
      </c>
      <c r="M476" s="243"/>
      <c r="N476" s="243"/>
      <c r="O476" s="243"/>
      <c r="P476" s="243"/>
      <c r="Q476" s="243"/>
      <c r="R476" s="243"/>
      <c r="S476" s="243"/>
      <c r="T476" s="246"/>
      <c r="U476" s="246"/>
      <c r="V476" s="246"/>
    </row>
    <row r="477" spans="1:22">
      <c r="A477" s="247">
        <v>46307</v>
      </c>
      <c r="B477" s="360" t="s">
        <v>563</v>
      </c>
      <c r="C477" s="360" t="s">
        <v>1426</v>
      </c>
      <c r="D477" s="360" t="s">
        <v>1426</v>
      </c>
      <c r="E477" s="248" t="s">
        <v>707</v>
      </c>
      <c r="F477" s="249" t="s">
        <v>55</v>
      </c>
      <c r="G477" s="248" t="s">
        <v>708</v>
      </c>
      <c r="H477" s="360"/>
      <c r="I477" s="361" t="s">
        <v>710</v>
      </c>
      <c r="J477" s="248" t="s">
        <v>34</v>
      </c>
      <c r="K477" s="360" t="s">
        <v>2556</v>
      </c>
      <c r="L477" s="362" t="s">
        <v>2557</v>
      </c>
      <c r="M477" s="248"/>
      <c r="N477" s="248"/>
      <c r="O477" s="248"/>
      <c r="P477" s="248"/>
      <c r="Q477" s="248"/>
      <c r="R477" s="248"/>
      <c r="S477" s="248"/>
      <c r="T477" s="246"/>
      <c r="U477" s="246"/>
      <c r="V477" s="246"/>
    </row>
    <row r="478" spans="1:22">
      <c r="A478" s="242">
        <v>46307</v>
      </c>
      <c r="B478" s="357" t="s">
        <v>563</v>
      </c>
      <c r="C478" s="357" t="s">
        <v>1426</v>
      </c>
      <c r="D478" s="357" t="s">
        <v>1426</v>
      </c>
      <c r="E478" s="243" t="s">
        <v>707</v>
      </c>
      <c r="F478" s="244" t="s">
        <v>55</v>
      </c>
      <c r="G478" s="243" t="s">
        <v>708</v>
      </c>
      <c r="H478" s="357"/>
      <c r="I478" s="358" t="s">
        <v>710</v>
      </c>
      <c r="J478" s="243" t="s">
        <v>34</v>
      </c>
      <c r="K478" s="357" t="s">
        <v>2558</v>
      </c>
      <c r="L478" s="359" t="s">
        <v>2559</v>
      </c>
      <c r="M478" s="243"/>
      <c r="N478" s="243"/>
      <c r="O478" s="243"/>
      <c r="P478" s="243"/>
      <c r="Q478" s="243"/>
      <c r="R478" s="243"/>
      <c r="S478" s="243"/>
      <c r="T478" s="246"/>
      <c r="U478" s="246"/>
      <c r="V478" s="246"/>
    </row>
    <row r="479" spans="1:22" ht="25.5">
      <c r="A479" s="153">
        <v>46308</v>
      </c>
      <c r="B479" s="200" t="s">
        <v>563</v>
      </c>
      <c r="C479" s="200" t="s">
        <v>53</v>
      </c>
      <c r="D479" s="200" t="s">
        <v>364</v>
      </c>
      <c r="E479" s="200" t="s">
        <v>815</v>
      </c>
      <c r="F479" s="200" t="s">
        <v>89</v>
      </c>
      <c r="G479" s="200" t="s">
        <v>708</v>
      </c>
      <c r="H479" s="200" t="s">
        <v>740</v>
      </c>
      <c r="I479" s="200" t="s">
        <v>710</v>
      </c>
      <c r="J479" s="158" t="s">
        <v>34</v>
      </c>
      <c r="K479" s="158" t="s">
        <v>2560</v>
      </c>
      <c r="L479" s="363" t="s">
        <v>2561</v>
      </c>
      <c r="M479" s="364">
        <v>0.50763888888888886</v>
      </c>
      <c r="N479" s="364">
        <v>0.52013888888888893</v>
      </c>
      <c r="O479" s="158" t="s">
        <v>744</v>
      </c>
      <c r="P479" s="158"/>
      <c r="Q479" s="158"/>
      <c r="R479" s="158"/>
      <c r="S479" s="158"/>
      <c r="T479" s="365"/>
      <c r="U479" s="365"/>
      <c r="V479" s="365"/>
    </row>
    <row r="480" spans="1:22" ht="25.5">
      <c r="A480" s="153">
        <v>46308</v>
      </c>
      <c r="B480" s="200" t="s">
        <v>549</v>
      </c>
      <c r="C480" s="200" t="s">
        <v>2562</v>
      </c>
      <c r="D480" s="200" t="s">
        <v>820</v>
      </c>
      <c r="E480" s="200" t="s">
        <v>707</v>
      </c>
      <c r="F480" s="200" t="s">
        <v>89</v>
      </c>
      <c r="G480" s="200" t="s">
        <v>708</v>
      </c>
      <c r="H480" s="200" t="s">
        <v>740</v>
      </c>
      <c r="I480" s="200" t="s">
        <v>710</v>
      </c>
      <c r="J480" s="158" t="s">
        <v>34</v>
      </c>
      <c r="K480" s="158" t="s">
        <v>2563</v>
      </c>
      <c r="L480" s="363" t="s">
        <v>2564</v>
      </c>
      <c r="M480" s="364">
        <v>0.52777777777777779</v>
      </c>
      <c r="N480" s="364">
        <v>0.54652777777777772</v>
      </c>
      <c r="O480" s="158" t="s">
        <v>744</v>
      </c>
      <c r="P480" s="158"/>
      <c r="Q480" s="158"/>
      <c r="R480" s="158"/>
      <c r="S480" s="158"/>
      <c r="T480" s="365"/>
      <c r="U480" s="365"/>
      <c r="V480" s="365"/>
    </row>
    <row r="481" spans="1:22" ht="38.25">
      <c r="A481" s="153">
        <v>46308</v>
      </c>
      <c r="B481" s="200" t="s">
        <v>549</v>
      </c>
      <c r="C481" s="200" t="s">
        <v>2562</v>
      </c>
      <c r="D481" s="200" t="s">
        <v>820</v>
      </c>
      <c r="E481" s="200" t="s">
        <v>707</v>
      </c>
      <c r="F481" s="200" t="s">
        <v>89</v>
      </c>
      <c r="G481" s="200" t="s">
        <v>708</v>
      </c>
      <c r="H481" s="200" t="s">
        <v>740</v>
      </c>
      <c r="I481" s="200" t="s">
        <v>710</v>
      </c>
      <c r="J481" s="158" t="s">
        <v>34</v>
      </c>
      <c r="K481" s="158" t="s">
        <v>2565</v>
      </c>
      <c r="L481" s="363" t="s">
        <v>2566</v>
      </c>
      <c r="M481" s="364">
        <v>0.54652777777777772</v>
      </c>
      <c r="N481" s="364">
        <v>0.56041666666666667</v>
      </c>
      <c r="O481" s="158" t="s">
        <v>744</v>
      </c>
      <c r="P481" s="158"/>
      <c r="Q481" s="158"/>
      <c r="R481" s="158"/>
      <c r="S481" s="158"/>
      <c r="T481" s="365"/>
      <c r="U481" s="365"/>
      <c r="V481" s="365"/>
    </row>
    <row r="482" spans="1:22" ht="25.5">
      <c r="A482" s="153">
        <v>46308</v>
      </c>
      <c r="B482" s="200" t="s">
        <v>549</v>
      </c>
      <c r="C482" s="200" t="s">
        <v>2562</v>
      </c>
      <c r="D482" s="200" t="s">
        <v>820</v>
      </c>
      <c r="E482" s="200" t="s">
        <v>707</v>
      </c>
      <c r="F482" s="200" t="s">
        <v>89</v>
      </c>
      <c r="G482" s="200" t="s">
        <v>708</v>
      </c>
      <c r="H482" s="200" t="s">
        <v>740</v>
      </c>
      <c r="I482" s="200" t="s">
        <v>710</v>
      </c>
      <c r="J482" s="158" t="s">
        <v>34</v>
      </c>
      <c r="K482" s="158" t="s">
        <v>2567</v>
      </c>
      <c r="L482" s="363" t="s">
        <v>2568</v>
      </c>
      <c r="M482" s="364">
        <v>0.56041666666666667</v>
      </c>
      <c r="N482" s="364">
        <v>0.57291666666666663</v>
      </c>
      <c r="O482" s="158" t="s">
        <v>744</v>
      </c>
      <c r="P482" s="158"/>
      <c r="Q482" s="158"/>
      <c r="R482" s="158"/>
      <c r="S482" s="158"/>
      <c r="T482" s="365"/>
      <c r="U482" s="365"/>
      <c r="V482" s="365"/>
    </row>
    <row r="483" spans="1:22" ht="25.5">
      <c r="A483" s="153">
        <v>46308</v>
      </c>
      <c r="B483" s="200" t="s">
        <v>549</v>
      </c>
      <c r="C483" s="200" t="s">
        <v>2562</v>
      </c>
      <c r="D483" s="200" t="s">
        <v>820</v>
      </c>
      <c r="E483" s="200" t="s">
        <v>707</v>
      </c>
      <c r="F483" s="200" t="s">
        <v>89</v>
      </c>
      <c r="G483" s="200" t="s">
        <v>708</v>
      </c>
      <c r="H483" s="200" t="s">
        <v>740</v>
      </c>
      <c r="I483" s="200" t="s">
        <v>710</v>
      </c>
      <c r="J483" s="158" t="s">
        <v>34</v>
      </c>
      <c r="K483" s="158" t="s">
        <v>2569</v>
      </c>
      <c r="L483" s="363" t="s">
        <v>2570</v>
      </c>
      <c r="M483" s="364">
        <v>0.57291666666666663</v>
      </c>
      <c r="N483" s="364">
        <v>0.59444444444444444</v>
      </c>
      <c r="O483" s="158" t="s">
        <v>744</v>
      </c>
      <c r="P483" s="158"/>
      <c r="Q483" s="158"/>
      <c r="R483" s="158"/>
      <c r="S483" s="158"/>
      <c r="T483" s="365"/>
      <c r="U483" s="365"/>
      <c r="V483" s="365"/>
    </row>
    <row r="484" spans="1:22" ht="25.5">
      <c r="A484" s="153">
        <v>46308</v>
      </c>
      <c r="B484" s="200" t="s">
        <v>549</v>
      </c>
      <c r="C484" s="200" t="s">
        <v>2562</v>
      </c>
      <c r="D484" s="200" t="s">
        <v>820</v>
      </c>
      <c r="E484" s="200" t="s">
        <v>707</v>
      </c>
      <c r="F484" s="200" t="s">
        <v>89</v>
      </c>
      <c r="G484" s="200" t="s">
        <v>708</v>
      </c>
      <c r="H484" s="200" t="s">
        <v>740</v>
      </c>
      <c r="I484" s="200" t="s">
        <v>710</v>
      </c>
      <c r="J484" s="158" t="s">
        <v>34</v>
      </c>
      <c r="K484" s="158" t="s">
        <v>2571</v>
      </c>
      <c r="L484" s="363" t="s">
        <v>749</v>
      </c>
      <c r="M484" s="364">
        <v>0.59444444444444444</v>
      </c>
      <c r="N484" s="364">
        <v>0.60416666666666663</v>
      </c>
      <c r="O484" s="158" t="s">
        <v>744</v>
      </c>
      <c r="P484" s="158"/>
      <c r="Q484" s="158"/>
      <c r="R484" s="158"/>
      <c r="S484" s="158"/>
      <c r="T484" s="365"/>
      <c r="U484" s="365"/>
      <c r="V484" s="365"/>
    </row>
    <row r="485" spans="1:22" ht="25.5">
      <c r="A485" s="153">
        <v>46308</v>
      </c>
      <c r="B485" s="200" t="s">
        <v>549</v>
      </c>
      <c r="C485" s="200" t="s">
        <v>2562</v>
      </c>
      <c r="D485" s="200" t="s">
        <v>820</v>
      </c>
      <c r="E485" s="200" t="s">
        <v>707</v>
      </c>
      <c r="F485" s="200" t="s">
        <v>89</v>
      </c>
      <c r="G485" s="200" t="s">
        <v>708</v>
      </c>
      <c r="H485" s="200" t="s">
        <v>740</v>
      </c>
      <c r="I485" s="200" t="s">
        <v>710</v>
      </c>
      <c r="J485" s="158" t="s">
        <v>34</v>
      </c>
      <c r="K485" s="158" t="s">
        <v>2572</v>
      </c>
      <c r="L485" s="363" t="s">
        <v>2573</v>
      </c>
      <c r="M485" s="364">
        <v>0.62152777777777779</v>
      </c>
      <c r="N485" s="364">
        <v>0.63541666666666663</v>
      </c>
      <c r="O485" s="158" t="s">
        <v>744</v>
      </c>
      <c r="P485" s="158"/>
      <c r="Q485" s="158"/>
      <c r="R485" s="158"/>
      <c r="S485" s="158"/>
      <c r="T485" s="365"/>
      <c r="U485" s="365"/>
      <c r="V485" s="365"/>
    </row>
    <row r="486" spans="1:22" ht="25.5">
      <c r="A486" s="153">
        <v>46308</v>
      </c>
      <c r="B486" s="200" t="s">
        <v>549</v>
      </c>
      <c r="C486" s="200" t="s">
        <v>2562</v>
      </c>
      <c r="D486" s="200" t="s">
        <v>820</v>
      </c>
      <c r="E486" s="200" t="s">
        <v>707</v>
      </c>
      <c r="F486" s="200" t="s">
        <v>89</v>
      </c>
      <c r="G486" s="200" t="s">
        <v>708</v>
      </c>
      <c r="H486" s="200" t="s">
        <v>740</v>
      </c>
      <c r="I486" s="200" t="s">
        <v>710</v>
      </c>
      <c r="J486" s="158" t="s">
        <v>34</v>
      </c>
      <c r="K486" s="158" t="s">
        <v>2574</v>
      </c>
      <c r="L486" s="363" t="s">
        <v>2575</v>
      </c>
      <c r="M486" s="364">
        <v>0.63541666666666663</v>
      </c>
      <c r="N486" s="364">
        <v>0.64930555555555558</v>
      </c>
      <c r="O486" s="158" t="s">
        <v>744</v>
      </c>
      <c r="P486" s="158"/>
      <c r="Q486" s="158"/>
      <c r="R486" s="158"/>
      <c r="S486" s="158"/>
      <c r="T486" s="365"/>
      <c r="U486" s="365"/>
      <c r="V486" s="365"/>
    </row>
    <row r="487" spans="1:22" ht="25.5">
      <c r="A487" s="153">
        <v>46308</v>
      </c>
      <c r="B487" s="200" t="s">
        <v>549</v>
      </c>
      <c r="C487" s="200" t="s">
        <v>2562</v>
      </c>
      <c r="D487" s="200" t="s">
        <v>820</v>
      </c>
      <c r="E487" s="200" t="s">
        <v>707</v>
      </c>
      <c r="F487" s="200" t="s">
        <v>89</v>
      </c>
      <c r="G487" s="200" t="s">
        <v>708</v>
      </c>
      <c r="H487" s="200" t="s">
        <v>709</v>
      </c>
      <c r="I487" s="200" t="s">
        <v>710</v>
      </c>
      <c r="J487" s="158" t="s">
        <v>34</v>
      </c>
      <c r="K487" s="158" t="s">
        <v>2576</v>
      </c>
      <c r="L487" s="363" t="s">
        <v>2577</v>
      </c>
      <c r="M487" s="364">
        <v>0.64930555555555558</v>
      </c>
      <c r="N487" s="364">
        <v>0.69097222222222221</v>
      </c>
      <c r="O487" s="158" t="s">
        <v>744</v>
      </c>
      <c r="P487" s="158"/>
      <c r="Q487" s="158"/>
      <c r="R487" s="158"/>
      <c r="S487" s="158"/>
      <c r="T487" s="365"/>
      <c r="U487" s="365"/>
      <c r="V487" s="365"/>
    </row>
    <row r="488" spans="1:22" ht="25.5">
      <c r="A488" s="153">
        <v>46308</v>
      </c>
      <c r="B488" s="200" t="s">
        <v>556</v>
      </c>
      <c r="C488" s="200" t="s">
        <v>835</v>
      </c>
      <c r="D488" s="200" t="s">
        <v>2578</v>
      </c>
      <c r="E488" s="200" t="s">
        <v>707</v>
      </c>
      <c r="F488" s="200" t="s">
        <v>89</v>
      </c>
      <c r="G488" s="200" t="s">
        <v>708</v>
      </c>
      <c r="H488" s="200" t="s">
        <v>709</v>
      </c>
      <c r="I488" s="200" t="s">
        <v>710</v>
      </c>
      <c r="J488" s="158" t="s">
        <v>34</v>
      </c>
      <c r="K488" s="158" t="s">
        <v>2579</v>
      </c>
      <c r="L488" s="363" t="s">
        <v>2577</v>
      </c>
      <c r="M488" s="364">
        <v>0.79166666666666663</v>
      </c>
      <c r="N488" s="364">
        <v>0.83333333333333337</v>
      </c>
      <c r="O488" s="158" t="s">
        <v>744</v>
      </c>
      <c r="P488" s="158"/>
      <c r="Q488" s="158"/>
      <c r="R488" s="158"/>
      <c r="S488" s="158"/>
      <c r="T488" s="365"/>
      <c r="U488" s="365"/>
      <c r="V488" s="365"/>
    </row>
    <row r="489" spans="1:22" ht="25.5">
      <c r="A489" s="153">
        <v>46308</v>
      </c>
      <c r="B489" s="200" t="s">
        <v>549</v>
      </c>
      <c r="C489" s="200" t="s">
        <v>746</v>
      </c>
      <c r="D489" s="200" t="s">
        <v>747</v>
      </c>
      <c r="E489" s="200" t="s">
        <v>707</v>
      </c>
      <c r="F489" s="200" t="s">
        <v>89</v>
      </c>
      <c r="G489" s="200" t="s">
        <v>708</v>
      </c>
      <c r="H489" s="200" t="s">
        <v>709</v>
      </c>
      <c r="I489" s="200" t="s">
        <v>710</v>
      </c>
      <c r="J489" s="158" t="s">
        <v>34</v>
      </c>
      <c r="K489" s="158" t="s">
        <v>2580</v>
      </c>
      <c r="L489" s="363" t="s">
        <v>2577</v>
      </c>
      <c r="M489" s="364">
        <v>0.85555555555555551</v>
      </c>
      <c r="N489" s="364">
        <v>0.89722222222222225</v>
      </c>
      <c r="O489" s="158" t="s">
        <v>744</v>
      </c>
      <c r="P489" s="158"/>
      <c r="Q489" s="158"/>
      <c r="R489" s="158"/>
      <c r="S489" s="158"/>
      <c r="T489" s="365"/>
      <c r="U489" s="365"/>
      <c r="V489" s="365"/>
    </row>
    <row r="490" spans="1:22" ht="25.5">
      <c r="A490" s="153">
        <v>46308</v>
      </c>
      <c r="B490" s="200" t="s">
        <v>547</v>
      </c>
      <c r="C490" s="200" t="s">
        <v>53</v>
      </c>
      <c r="D490" s="200" t="s">
        <v>349</v>
      </c>
      <c r="E490" s="200" t="s">
        <v>707</v>
      </c>
      <c r="F490" s="200" t="s">
        <v>89</v>
      </c>
      <c r="G490" s="200" t="s">
        <v>708</v>
      </c>
      <c r="H490" s="200" t="s">
        <v>740</v>
      </c>
      <c r="I490" s="200" t="s">
        <v>710</v>
      </c>
      <c r="J490" s="158" t="s">
        <v>34</v>
      </c>
      <c r="K490" s="158" t="s">
        <v>2581</v>
      </c>
      <c r="L490" s="363" t="s">
        <v>2582</v>
      </c>
      <c r="M490" s="364">
        <v>0.90277777777777779</v>
      </c>
      <c r="N490" s="364">
        <v>0.92361111111111116</v>
      </c>
      <c r="O490" s="158" t="s">
        <v>744</v>
      </c>
      <c r="P490" s="158"/>
      <c r="Q490" s="158"/>
      <c r="R490" s="158"/>
      <c r="S490" s="158"/>
      <c r="T490" s="365"/>
      <c r="U490" s="365"/>
      <c r="V490" s="365"/>
    </row>
    <row r="491" spans="1:22" ht="25.5">
      <c r="A491" s="153">
        <v>46308</v>
      </c>
      <c r="B491" s="200" t="s">
        <v>547</v>
      </c>
      <c r="C491" s="200" t="s">
        <v>53</v>
      </c>
      <c r="D491" s="200" t="s">
        <v>349</v>
      </c>
      <c r="E491" s="200" t="s">
        <v>707</v>
      </c>
      <c r="F491" s="200" t="s">
        <v>89</v>
      </c>
      <c r="G491" s="200" t="s">
        <v>708</v>
      </c>
      <c r="H491" s="200" t="s">
        <v>709</v>
      </c>
      <c r="I491" s="200" t="s">
        <v>710</v>
      </c>
      <c r="J491" s="158" t="s">
        <v>34</v>
      </c>
      <c r="K491" s="158" t="s">
        <v>2583</v>
      </c>
      <c r="L491" s="363" t="s">
        <v>2577</v>
      </c>
      <c r="M491" s="364">
        <v>0.92361111111111116</v>
      </c>
      <c r="N491" s="364">
        <v>0.96527777777777779</v>
      </c>
      <c r="O491" s="158" t="s">
        <v>744</v>
      </c>
      <c r="P491" s="158"/>
      <c r="Q491" s="158"/>
      <c r="R491" s="158"/>
      <c r="S491" s="158"/>
      <c r="T491" s="365"/>
      <c r="U491" s="365"/>
      <c r="V491" s="365"/>
    </row>
    <row r="492" spans="1:22" ht="25.5">
      <c r="A492" s="153">
        <v>46308</v>
      </c>
      <c r="B492" s="200" t="s">
        <v>556</v>
      </c>
      <c r="C492" s="200" t="s">
        <v>706</v>
      </c>
      <c r="D492" s="200" t="s">
        <v>191</v>
      </c>
      <c r="E492" s="200" t="s">
        <v>707</v>
      </c>
      <c r="F492" s="200" t="s">
        <v>97</v>
      </c>
      <c r="G492" s="200" t="s">
        <v>708</v>
      </c>
      <c r="H492" s="200" t="s">
        <v>709</v>
      </c>
      <c r="I492" s="200" t="s">
        <v>710</v>
      </c>
      <c r="J492" s="158" t="s">
        <v>34</v>
      </c>
      <c r="K492" s="158" t="s">
        <v>2584</v>
      </c>
      <c r="L492" s="363" t="s">
        <v>712</v>
      </c>
      <c r="M492" s="364">
        <v>0.72916666666666663</v>
      </c>
      <c r="N492" s="364">
        <v>0.77083333333333337</v>
      </c>
      <c r="O492" s="158" t="s">
        <v>2585</v>
      </c>
      <c r="P492" s="158" t="s">
        <v>2586</v>
      </c>
      <c r="Q492" s="158"/>
      <c r="R492" s="158"/>
      <c r="S492" s="158"/>
      <c r="T492" s="365"/>
      <c r="U492" s="365"/>
      <c r="V492" s="365"/>
    </row>
    <row r="493" spans="1:22" ht="25.5">
      <c r="A493" s="153">
        <v>46308</v>
      </c>
      <c r="B493" s="200" t="s">
        <v>556</v>
      </c>
      <c r="C493" s="200" t="s">
        <v>706</v>
      </c>
      <c r="D493" s="200" t="s">
        <v>191</v>
      </c>
      <c r="E493" s="200" t="s">
        <v>707</v>
      </c>
      <c r="F493" s="200" t="s">
        <v>97</v>
      </c>
      <c r="G493" s="200" t="s">
        <v>708</v>
      </c>
      <c r="H493" s="200" t="s">
        <v>709</v>
      </c>
      <c r="I493" s="200" t="s">
        <v>710</v>
      </c>
      <c r="J493" s="158" t="s">
        <v>34</v>
      </c>
      <c r="K493" s="158" t="s">
        <v>2587</v>
      </c>
      <c r="L493" s="363" t="s">
        <v>2588</v>
      </c>
      <c r="M493" s="364">
        <v>0.77777777777777779</v>
      </c>
      <c r="N493" s="364">
        <v>0.81944444444444442</v>
      </c>
      <c r="O493" s="158" t="s">
        <v>2585</v>
      </c>
      <c r="P493" s="158" t="s">
        <v>2586</v>
      </c>
      <c r="Q493" s="158"/>
      <c r="R493" s="158"/>
      <c r="S493" s="158"/>
      <c r="T493" s="365"/>
      <c r="U493" s="365"/>
      <c r="V493" s="365"/>
    </row>
    <row r="494" spans="1:22" ht="25.5">
      <c r="A494" s="153">
        <v>46308</v>
      </c>
      <c r="B494" s="200" t="s">
        <v>556</v>
      </c>
      <c r="C494" s="200" t="s">
        <v>706</v>
      </c>
      <c r="D494" s="200" t="s">
        <v>191</v>
      </c>
      <c r="E494" s="200" t="s">
        <v>707</v>
      </c>
      <c r="F494" s="200" t="s">
        <v>97</v>
      </c>
      <c r="G494" s="200" t="s">
        <v>708</v>
      </c>
      <c r="H494" s="200" t="s">
        <v>709</v>
      </c>
      <c r="I494" s="200" t="s">
        <v>710</v>
      </c>
      <c r="J494" s="158" t="s">
        <v>34</v>
      </c>
      <c r="K494" s="158" t="s">
        <v>2589</v>
      </c>
      <c r="L494" s="363" t="s">
        <v>2590</v>
      </c>
      <c r="M494" s="364">
        <v>0.82638888888888884</v>
      </c>
      <c r="N494" s="364">
        <v>0.86805555555555558</v>
      </c>
      <c r="O494" s="158" t="s">
        <v>2585</v>
      </c>
      <c r="P494" s="158" t="s">
        <v>2586</v>
      </c>
      <c r="Q494" s="158"/>
      <c r="R494" s="158"/>
      <c r="S494" s="158"/>
      <c r="T494" s="365"/>
      <c r="U494" s="365"/>
      <c r="V494" s="365"/>
    </row>
    <row r="495" spans="1:22" ht="25.5">
      <c r="A495" s="153">
        <v>46308</v>
      </c>
      <c r="B495" s="200" t="s">
        <v>556</v>
      </c>
      <c r="C495" s="200" t="s">
        <v>706</v>
      </c>
      <c r="D495" s="200" t="s">
        <v>191</v>
      </c>
      <c r="E495" s="200" t="s">
        <v>707</v>
      </c>
      <c r="F495" s="200" t="s">
        <v>97</v>
      </c>
      <c r="G495" s="200" t="s">
        <v>708</v>
      </c>
      <c r="H495" s="200" t="s">
        <v>709</v>
      </c>
      <c r="I495" s="200" t="s">
        <v>710</v>
      </c>
      <c r="J495" s="158" t="s">
        <v>34</v>
      </c>
      <c r="K495" s="158" t="s">
        <v>2591</v>
      </c>
      <c r="L495" s="363" t="s">
        <v>2592</v>
      </c>
      <c r="M495" s="364">
        <v>0.875</v>
      </c>
      <c r="N495" s="364">
        <v>0.89583333333333337</v>
      </c>
      <c r="O495" s="158" t="s">
        <v>2585</v>
      </c>
      <c r="P495" s="158" t="s">
        <v>2586</v>
      </c>
      <c r="Q495" s="158"/>
      <c r="R495" s="158"/>
      <c r="S495" s="158"/>
      <c r="T495" s="365"/>
      <c r="U495" s="365"/>
      <c r="V495" s="365"/>
    </row>
    <row r="496" spans="1:22" ht="25.5">
      <c r="A496" s="153">
        <v>46308</v>
      </c>
      <c r="B496" s="200" t="s">
        <v>556</v>
      </c>
      <c r="C496" s="200" t="s">
        <v>706</v>
      </c>
      <c r="D496" s="200" t="s">
        <v>191</v>
      </c>
      <c r="E496" s="200" t="s">
        <v>707</v>
      </c>
      <c r="F496" s="200" t="s">
        <v>97</v>
      </c>
      <c r="G496" s="200" t="s">
        <v>708</v>
      </c>
      <c r="H496" s="200" t="s">
        <v>709</v>
      </c>
      <c r="I496" s="200" t="s">
        <v>710</v>
      </c>
      <c r="J496" s="158" t="s">
        <v>34</v>
      </c>
      <c r="K496" s="158" t="s">
        <v>2593</v>
      </c>
      <c r="L496" s="363" t="s">
        <v>2594</v>
      </c>
      <c r="M496" s="364">
        <v>0.90277777777777779</v>
      </c>
      <c r="N496" s="364">
        <v>0.96527777777777779</v>
      </c>
      <c r="O496" s="158" t="s">
        <v>2585</v>
      </c>
      <c r="P496" s="158" t="s">
        <v>2586</v>
      </c>
      <c r="Q496" s="158"/>
      <c r="R496" s="158"/>
      <c r="S496" s="158"/>
      <c r="T496" s="365"/>
      <c r="U496" s="365"/>
      <c r="V496" s="365"/>
    </row>
    <row r="497" spans="1:22" ht="25.5">
      <c r="A497" s="153">
        <v>46308</v>
      </c>
      <c r="B497" s="200" t="s">
        <v>547</v>
      </c>
      <c r="C497" s="200" t="s">
        <v>53</v>
      </c>
      <c r="D497" s="200" t="s">
        <v>272</v>
      </c>
      <c r="E497" s="200" t="s">
        <v>707</v>
      </c>
      <c r="F497" s="200" t="s">
        <v>97</v>
      </c>
      <c r="G497" s="200" t="s">
        <v>708</v>
      </c>
      <c r="H497" s="200" t="s">
        <v>709</v>
      </c>
      <c r="I497" s="200" t="s">
        <v>710</v>
      </c>
      <c r="J497" s="158" t="s">
        <v>34</v>
      </c>
      <c r="K497" s="158" t="s">
        <v>2595</v>
      </c>
      <c r="L497" s="363" t="s">
        <v>712</v>
      </c>
      <c r="M497" s="364">
        <v>0.97222222222222221</v>
      </c>
      <c r="N497" s="364">
        <v>1.3888888888888888E-2</v>
      </c>
      <c r="O497" s="158" t="s">
        <v>2585</v>
      </c>
      <c r="P497" s="158" t="s">
        <v>2586</v>
      </c>
      <c r="Q497" s="158"/>
      <c r="R497" s="158"/>
      <c r="S497" s="158"/>
      <c r="T497" s="365"/>
      <c r="U497" s="365"/>
      <c r="V497" s="365"/>
    </row>
    <row r="498" spans="1:22" ht="25.5">
      <c r="A498" s="153">
        <v>46308</v>
      </c>
      <c r="B498" s="200" t="s">
        <v>549</v>
      </c>
      <c r="C498" s="200" t="s">
        <v>721</v>
      </c>
      <c r="D498" s="200" t="s">
        <v>470</v>
      </c>
      <c r="E498" s="200" t="s">
        <v>707</v>
      </c>
      <c r="F498" s="200" t="s">
        <v>97</v>
      </c>
      <c r="G498" s="200" t="s">
        <v>708</v>
      </c>
      <c r="H498" s="200" t="s">
        <v>709</v>
      </c>
      <c r="I498" s="200" t="s">
        <v>710</v>
      </c>
      <c r="J498" s="158" t="s">
        <v>34</v>
      </c>
      <c r="K498" s="158" t="s">
        <v>2596</v>
      </c>
      <c r="L498" s="363" t="s">
        <v>712</v>
      </c>
      <c r="M498" s="364">
        <v>2.0833333333333332E-2</v>
      </c>
      <c r="N498" s="364">
        <v>6.25E-2</v>
      </c>
      <c r="O498" s="158" t="s">
        <v>2585</v>
      </c>
      <c r="P498" s="158" t="s">
        <v>2586</v>
      </c>
      <c r="Q498" s="158"/>
      <c r="R498" s="158"/>
      <c r="S498" s="158"/>
      <c r="T498" s="365"/>
      <c r="U498" s="365"/>
      <c r="V498" s="365"/>
    </row>
    <row r="499" spans="1:22" ht="25.5">
      <c r="A499" s="153">
        <v>46308</v>
      </c>
      <c r="B499" s="200" t="s">
        <v>549</v>
      </c>
      <c r="C499" s="200" t="s">
        <v>721</v>
      </c>
      <c r="D499" s="200" t="s">
        <v>470</v>
      </c>
      <c r="E499" s="200" t="s">
        <v>707</v>
      </c>
      <c r="F499" s="200" t="s">
        <v>97</v>
      </c>
      <c r="G499" s="200" t="s">
        <v>708</v>
      </c>
      <c r="H499" s="200" t="s">
        <v>709</v>
      </c>
      <c r="I499" s="200" t="s">
        <v>710</v>
      </c>
      <c r="J499" s="158" t="s">
        <v>34</v>
      </c>
      <c r="K499" s="158" t="s">
        <v>2597</v>
      </c>
      <c r="L499" s="363" t="s">
        <v>2598</v>
      </c>
      <c r="M499" s="364">
        <v>6.9444444444444448E-2</v>
      </c>
      <c r="N499" s="364">
        <v>9.0277777777777776E-2</v>
      </c>
      <c r="O499" s="158" t="s">
        <v>2585</v>
      </c>
      <c r="P499" s="158" t="s">
        <v>2586</v>
      </c>
      <c r="Q499" s="158"/>
      <c r="R499" s="158"/>
      <c r="S499" s="158"/>
      <c r="T499" s="365"/>
      <c r="U499" s="365"/>
      <c r="V499" s="365"/>
    </row>
    <row r="500" spans="1:22" ht="25.5">
      <c r="A500" s="153">
        <v>46308</v>
      </c>
      <c r="B500" s="200" t="s">
        <v>549</v>
      </c>
      <c r="C500" s="200" t="s">
        <v>721</v>
      </c>
      <c r="D500" s="200" t="s">
        <v>470</v>
      </c>
      <c r="E500" s="200" t="s">
        <v>707</v>
      </c>
      <c r="F500" s="200" t="s">
        <v>97</v>
      </c>
      <c r="G500" s="200" t="s">
        <v>708</v>
      </c>
      <c r="H500" s="200" t="s">
        <v>709</v>
      </c>
      <c r="I500" s="200" t="s">
        <v>710</v>
      </c>
      <c r="J500" s="158" t="s">
        <v>34</v>
      </c>
      <c r="K500" s="158" t="s">
        <v>2599</v>
      </c>
      <c r="L500" s="363" t="s">
        <v>2600</v>
      </c>
      <c r="M500" s="364">
        <v>9.7222222222222224E-2</v>
      </c>
      <c r="N500" s="364">
        <v>0.14583333333333334</v>
      </c>
      <c r="O500" s="158" t="s">
        <v>2585</v>
      </c>
      <c r="P500" s="158" t="s">
        <v>2586</v>
      </c>
      <c r="Q500" s="158"/>
      <c r="R500" s="158"/>
      <c r="S500" s="158"/>
      <c r="T500" s="365"/>
      <c r="U500" s="365"/>
      <c r="V500" s="365"/>
    </row>
    <row r="501" spans="1:22" ht="25.5">
      <c r="A501" s="153">
        <v>46308</v>
      </c>
      <c r="B501" s="200" t="s">
        <v>549</v>
      </c>
      <c r="C501" s="200" t="s">
        <v>721</v>
      </c>
      <c r="D501" s="200" t="s">
        <v>470</v>
      </c>
      <c r="E501" s="200" t="s">
        <v>707</v>
      </c>
      <c r="F501" s="200" t="s">
        <v>97</v>
      </c>
      <c r="G501" s="200" t="s">
        <v>708</v>
      </c>
      <c r="H501" s="200" t="s">
        <v>709</v>
      </c>
      <c r="I501" s="200" t="s">
        <v>710</v>
      </c>
      <c r="J501" s="158" t="s">
        <v>34</v>
      </c>
      <c r="K501" s="158" t="s">
        <v>2601</v>
      </c>
      <c r="L501" s="363" t="s">
        <v>2602</v>
      </c>
      <c r="M501" s="364">
        <v>0.15277777777777779</v>
      </c>
      <c r="N501" s="364">
        <v>0.1736111111111111</v>
      </c>
      <c r="O501" s="158" t="s">
        <v>2585</v>
      </c>
      <c r="P501" s="158" t="s">
        <v>2586</v>
      </c>
      <c r="Q501" s="158"/>
      <c r="R501" s="158"/>
      <c r="S501" s="158"/>
      <c r="T501" s="365"/>
      <c r="U501" s="365"/>
      <c r="V501" s="365"/>
    </row>
    <row r="502" spans="1:22" ht="25.5">
      <c r="A502" s="153">
        <v>46308</v>
      </c>
      <c r="B502" s="200" t="s">
        <v>547</v>
      </c>
      <c r="C502" s="200" t="s">
        <v>53</v>
      </c>
      <c r="D502" s="200" t="s">
        <v>1507</v>
      </c>
      <c r="E502" s="200" t="s">
        <v>762</v>
      </c>
      <c r="F502" s="200" t="s">
        <v>109</v>
      </c>
      <c r="G502" s="200" t="s">
        <v>764</v>
      </c>
      <c r="H502" s="200" t="s">
        <v>740</v>
      </c>
      <c r="I502" s="200" t="s">
        <v>710</v>
      </c>
      <c r="J502" s="158" t="s">
        <v>34</v>
      </c>
      <c r="K502" s="158" t="s">
        <v>2603</v>
      </c>
      <c r="L502" s="363" t="s">
        <v>2604</v>
      </c>
      <c r="M502" s="364">
        <v>0.375</v>
      </c>
      <c r="N502" s="364">
        <v>0.39583333333333331</v>
      </c>
      <c r="O502" s="158" t="s">
        <v>2605</v>
      </c>
      <c r="P502" s="158"/>
      <c r="Q502" s="158"/>
      <c r="R502" s="158"/>
      <c r="S502" s="158"/>
      <c r="T502" s="365"/>
      <c r="U502" s="365"/>
      <c r="V502" s="365"/>
    </row>
    <row r="503" spans="1:22" ht="25.5">
      <c r="A503" s="153">
        <v>46308</v>
      </c>
      <c r="B503" s="200" t="s">
        <v>547</v>
      </c>
      <c r="C503" s="200" t="s">
        <v>53</v>
      </c>
      <c r="D503" s="200" t="s">
        <v>1507</v>
      </c>
      <c r="E503" s="200" t="s">
        <v>762</v>
      </c>
      <c r="F503" s="200" t="s">
        <v>109</v>
      </c>
      <c r="G503" s="200" t="s">
        <v>764</v>
      </c>
      <c r="H503" s="200" t="s">
        <v>740</v>
      </c>
      <c r="I503" s="200" t="s">
        <v>710</v>
      </c>
      <c r="J503" s="158" t="s">
        <v>34</v>
      </c>
      <c r="K503" s="158" t="s">
        <v>2606</v>
      </c>
      <c r="L503" s="363" t="s">
        <v>2607</v>
      </c>
      <c r="M503" s="364">
        <v>0.39583333333333331</v>
      </c>
      <c r="N503" s="364">
        <v>0.41666666666666669</v>
      </c>
      <c r="O503" s="158" t="s">
        <v>2605</v>
      </c>
      <c r="P503" s="158"/>
      <c r="Q503" s="158"/>
      <c r="R503" s="158"/>
      <c r="S503" s="158"/>
      <c r="T503" s="365"/>
      <c r="U503" s="365"/>
      <c r="V503" s="365"/>
    </row>
    <row r="504" spans="1:22" ht="25.5">
      <c r="A504" s="153">
        <v>46308</v>
      </c>
      <c r="B504" s="200" t="s">
        <v>547</v>
      </c>
      <c r="C504" s="200" t="s">
        <v>53</v>
      </c>
      <c r="D504" s="200" t="s">
        <v>1507</v>
      </c>
      <c r="E504" s="200" t="s">
        <v>762</v>
      </c>
      <c r="F504" s="200" t="s">
        <v>109</v>
      </c>
      <c r="G504" s="200" t="s">
        <v>764</v>
      </c>
      <c r="H504" s="200" t="s">
        <v>740</v>
      </c>
      <c r="I504" s="200" t="s">
        <v>710</v>
      </c>
      <c r="J504" s="158" t="s">
        <v>34</v>
      </c>
      <c r="K504" s="158" t="s">
        <v>2608</v>
      </c>
      <c r="L504" s="363" t="s">
        <v>2609</v>
      </c>
      <c r="M504" s="364">
        <v>0.41666666666666669</v>
      </c>
      <c r="N504" s="364">
        <v>0.4375</v>
      </c>
      <c r="O504" s="158" t="s">
        <v>2605</v>
      </c>
      <c r="P504" s="158"/>
      <c r="Q504" s="158"/>
      <c r="R504" s="158"/>
      <c r="S504" s="158"/>
      <c r="T504" s="365"/>
      <c r="U504" s="365"/>
      <c r="V504" s="365"/>
    </row>
    <row r="505" spans="1:22" ht="25.5">
      <c r="A505" s="153">
        <v>46308</v>
      </c>
      <c r="B505" s="200" t="s">
        <v>547</v>
      </c>
      <c r="C505" s="200" t="s">
        <v>53</v>
      </c>
      <c r="D505" s="200" t="s">
        <v>1507</v>
      </c>
      <c r="E505" s="200" t="s">
        <v>762</v>
      </c>
      <c r="F505" s="200" t="s">
        <v>109</v>
      </c>
      <c r="G505" s="200" t="s">
        <v>764</v>
      </c>
      <c r="H505" s="200" t="s">
        <v>740</v>
      </c>
      <c r="I505" s="200" t="s">
        <v>710</v>
      </c>
      <c r="J505" s="158" t="s">
        <v>34</v>
      </c>
      <c r="K505" s="158" t="s">
        <v>2610</v>
      </c>
      <c r="L505" s="363" t="s">
        <v>2611</v>
      </c>
      <c r="M505" s="364">
        <v>0.4375</v>
      </c>
      <c r="N505" s="364">
        <v>0.45833333333333331</v>
      </c>
      <c r="O505" s="158" t="s">
        <v>2605</v>
      </c>
      <c r="P505" s="158"/>
      <c r="Q505" s="158"/>
      <c r="R505" s="158"/>
      <c r="S505" s="158"/>
      <c r="T505" s="365"/>
      <c r="U505" s="365"/>
      <c r="V505" s="365"/>
    </row>
    <row r="506" spans="1:22" ht="25.5">
      <c r="A506" s="153">
        <v>46308</v>
      </c>
      <c r="B506" s="200" t="s">
        <v>563</v>
      </c>
      <c r="C506" s="200" t="s">
        <v>53</v>
      </c>
      <c r="D506" s="200" t="s">
        <v>217</v>
      </c>
      <c r="E506" s="200" t="s">
        <v>707</v>
      </c>
      <c r="F506" s="200" t="s">
        <v>109</v>
      </c>
      <c r="G506" s="200" t="s">
        <v>764</v>
      </c>
      <c r="H506" s="200" t="s">
        <v>740</v>
      </c>
      <c r="I506" s="200" t="s">
        <v>710</v>
      </c>
      <c r="J506" s="158" t="s">
        <v>34</v>
      </c>
      <c r="K506" s="158" t="s">
        <v>2612</v>
      </c>
      <c r="L506" s="363" t="s">
        <v>2613</v>
      </c>
      <c r="M506" s="364">
        <v>0.57291666666666663</v>
      </c>
      <c r="N506" s="364">
        <v>0.61458333333333337</v>
      </c>
      <c r="O506" s="158" t="s">
        <v>2605</v>
      </c>
      <c r="P506" s="158"/>
      <c r="Q506" s="158"/>
      <c r="R506" s="158"/>
      <c r="S506" s="158"/>
      <c r="T506" s="365"/>
      <c r="U506" s="365"/>
      <c r="V506" s="365"/>
    </row>
    <row r="507" spans="1:22" ht="25.5">
      <c r="A507" s="153">
        <v>46308</v>
      </c>
      <c r="B507" s="200" t="s">
        <v>563</v>
      </c>
      <c r="C507" s="200" t="s">
        <v>53</v>
      </c>
      <c r="D507" s="200" t="s">
        <v>217</v>
      </c>
      <c r="E507" s="200" t="s">
        <v>707</v>
      </c>
      <c r="F507" s="200" t="s">
        <v>109</v>
      </c>
      <c r="G507" s="200" t="s">
        <v>764</v>
      </c>
      <c r="H507" s="200" t="s">
        <v>709</v>
      </c>
      <c r="I507" s="200" t="s">
        <v>710</v>
      </c>
      <c r="J507" s="158" t="s">
        <v>34</v>
      </c>
      <c r="K507" s="158" t="s">
        <v>2614</v>
      </c>
      <c r="L507" s="363" t="s">
        <v>2615</v>
      </c>
      <c r="M507" s="364">
        <v>0.60416666666666663</v>
      </c>
      <c r="N507" s="364">
        <v>0.64583333333333337</v>
      </c>
      <c r="O507" s="158" t="s">
        <v>768</v>
      </c>
      <c r="P507" s="158" t="s">
        <v>771</v>
      </c>
      <c r="Q507" s="158"/>
      <c r="R507" s="158"/>
      <c r="S507" s="158"/>
      <c r="T507" s="365"/>
      <c r="U507" s="365"/>
      <c r="V507" s="365"/>
    </row>
    <row r="508" spans="1:22" ht="25.5">
      <c r="A508" s="153">
        <v>46308</v>
      </c>
      <c r="B508" s="200" t="s">
        <v>563</v>
      </c>
      <c r="C508" s="200" t="s">
        <v>53</v>
      </c>
      <c r="D508" s="200" t="s">
        <v>217</v>
      </c>
      <c r="E508" s="200" t="s">
        <v>707</v>
      </c>
      <c r="F508" s="200" t="s">
        <v>109</v>
      </c>
      <c r="G508" s="200" t="s">
        <v>764</v>
      </c>
      <c r="H508" s="200" t="s">
        <v>709</v>
      </c>
      <c r="I508" s="200" t="s">
        <v>710</v>
      </c>
      <c r="J508" s="158" t="s">
        <v>34</v>
      </c>
      <c r="K508" s="158" t="s">
        <v>2616</v>
      </c>
      <c r="L508" s="363" t="s">
        <v>2617</v>
      </c>
      <c r="M508" s="364">
        <v>0.64583333333333337</v>
      </c>
      <c r="N508" s="364">
        <v>0.66666666666666663</v>
      </c>
      <c r="O508" s="158" t="s">
        <v>768</v>
      </c>
      <c r="P508" s="158"/>
      <c r="Q508" s="158"/>
      <c r="R508" s="158"/>
      <c r="S508" s="158"/>
      <c r="T508" s="365"/>
      <c r="U508" s="365"/>
      <c r="V508" s="365"/>
    </row>
    <row r="509" spans="1:22" ht="25.5">
      <c r="A509" s="153">
        <v>46308</v>
      </c>
      <c r="B509" s="200" t="s">
        <v>563</v>
      </c>
      <c r="C509" s="200" t="s">
        <v>53</v>
      </c>
      <c r="D509" s="200" t="s">
        <v>217</v>
      </c>
      <c r="E509" s="200" t="s">
        <v>707</v>
      </c>
      <c r="F509" s="200" t="s">
        <v>109</v>
      </c>
      <c r="G509" s="200" t="s">
        <v>764</v>
      </c>
      <c r="H509" s="200" t="s">
        <v>709</v>
      </c>
      <c r="I509" s="200" t="s">
        <v>710</v>
      </c>
      <c r="J509" s="158" t="s">
        <v>34</v>
      </c>
      <c r="K509" s="158" t="s">
        <v>2618</v>
      </c>
      <c r="L509" s="363" t="s">
        <v>2619</v>
      </c>
      <c r="M509" s="364">
        <v>0.66666666666666663</v>
      </c>
      <c r="N509" s="364">
        <v>0.70833333333333337</v>
      </c>
      <c r="O509" s="158" t="s">
        <v>2605</v>
      </c>
      <c r="P509" s="158"/>
      <c r="Q509" s="158"/>
      <c r="R509" s="158"/>
      <c r="S509" s="158"/>
      <c r="T509" s="365"/>
      <c r="U509" s="365"/>
      <c r="V509" s="365"/>
    </row>
    <row r="510" spans="1:22" ht="25.5">
      <c r="A510" s="153">
        <v>46308</v>
      </c>
      <c r="B510" s="200" t="s">
        <v>563</v>
      </c>
      <c r="C510" s="200" t="s">
        <v>53</v>
      </c>
      <c r="D510" s="200" t="s">
        <v>217</v>
      </c>
      <c r="E510" s="200" t="s">
        <v>707</v>
      </c>
      <c r="F510" s="200" t="s">
        <v>109</v>
      </c>
      <c r="G510" s="200" t="s">
        <v>764</v>
      </c>
      <c r="H510" s="200" t="s">
        <v>709</v>
      </c>
      <c r="I510" s="200" t="s">
        <v>710</v>
      </c>
      <c r="J510" s="158" t="s">
        <v>34</v>
      </c>
      <c r="K510" s="158" t="s">
        <v>2620</v>
      </c>
      <c r="L510" s="363" t="s">
        <v>798</v>
      </c>
      <c r="M510" s="364">
        <v>0.70833333333333337</v>
      </c>
      <c r="N510" s="364">
        <v>0.79166666666666663</v>
      </c>
      <c r="O510" s="158" t="s">
        <v>768</v>
      </c>
      <c r="P510" s="158" t="s">
        <v>2605</v>
      </c>
      <c r="Q510" s="158"/>
      <c r="R510" s="158"/>
      <c r="S510" s="158"/>
      <c r="T510" s="365"/>
      <c r="U510" s="365"/>
      <c r="V510" s="365"/>
    </row>
    <row r="511" spans="1:22" ht="25.5">
      <c r="A511" s="153">
        <v>46308</v>
      </c>
      <c r="B511" s="200" t="s">
        <v>563</v>
      </c>
      <c r="C511" s="200" t="s">
        <v>53</v>
      </c>
      <c r="D511" s="200" t="s">
        <v>101</v>
      </c>
      <c r="E511" s="200" t="s">
        <v>707</v>
      </c>
      <c r="F511" s="200" t="s">
        <v>109</v>
      </c>
      <c r="G511" s="200" t="s">
        <v>764</v>
      </c>
      <c r="H511" s="200" t="s">
        <v>740</v>
      </c>
      <c r="I511" s="200" t="s">
        <v>710</v>
      </c>
      <c r="J511" s="158" t="s">
        <v>34</v>
      </c>
      <c r="K511" s="158" t="s">
        <v>2621</v>
      </c>
      <c r="L511" s="363" t="s">
        <v>2622</v>
      </c>
      <c r="M511" s="364">
        <v>0.64583333333333337</v>
      </c>
      <c r="N511" s="364">
        <v>0.66666666666666663</v>
      </c>
      <c r="O511" s="158" t="s">
        <v>771</v>
      </c>
      <c r="P511" s="158"/>
      <c r="Q511" s="158"/>
      <c r="R511" s="158"/>
      <c r="S511" s="158"/>
      <c r="T511" s="365"/>
      <c r="U511" s="365"/>
      <c r="V511" s="365"/>
    </row>
    <row r="512" spans="1:22" ht="12.75">
      <c r="A512" s="153">
        <v>46308</v>
      </c>
      <c r="B512" s="200" t="s">
        <v>563</v>
      </c>
      <c r="C512" s="200" t="s">
        <v>53</v>
      </c>
      <c r="D512" s="200" t="s">
        <v>101</v>
      </c>
      <c r="E512" s="200" t="s">
        <v>707</v>
      </c>
      <c r="F512" s="200" t="s">
        <v>109</v>
      </c>
      <c r="G512" s="200" t="s">
        <v>764</v>
      </c>
      <c r="H512" s="200" t="s">
        <v>709</v>
      </c>
      <c r="I512" s="200" t="s">
        <v>710</v>
      </c>
      <c r="J512" s="158" t="s">
        <v>34</v>
      </c>
      <c r="K512" s="158" t="s">
        <v>2623</v>
      </c>
      <c r="L512" s="363" t="s">
        <v>2624</v>
      </c>
      <c r="M512" s="364">
        <v>0.66666666666666663</v>
      </c>
      <c r="N512" s="364">
        <v>0.70833333333333337</v>
      </c>
      <c r="O512" s="158" t="s">
        <v>771</v>
      </c>
      <c r="P512" s="158"/>
      <c r="Q512" s="158"/>
      <c r="R512" s="158"/>
      <c r="S512" s="158"/>
      <c r="T512" s="365"/>
      <c r="U512" s="365"/>
      <c r="V512" s="365"/>
    </row>
    <row r="513" spans="1:22" ht="25.5">
      <c r="A513" s="153">
        <v>46308</v>
      </c>
      <c r="B513" s="200" t="s">
        <v>563</v>
      </c>
      <c r="C513" s="200" t="s">
        <v>53</v>
      </c>
      <c r="D513" s="200" t="s">
        <v>101</v>
      </c>
      <c r="E513" s="200" t="s">
        <v>707</v>
      </c>
      <c r="F513" s="200" t="s">
        <v>109</v>
      </c>
      <c r="G513" s="200" t="s">
        <v>764</v>
      </c>
      <c r="H513" s="200" t="s">
        <v>709</v>
      </c>
      <c r="I513" s="200" t="s">
        <v>710</v>
      </c>
      <c r="J513" s="158" t="s">
        <v>34</v>
      </c>
      <c r="K513" s="158" t="s">
        <v>2625</v>
      </c>
      <c r="L513" s="363" t="s">
        <v>2626</v>
      </c>
      <c r="M513" s="364">
        <v>0.70833333333333337</v>
      </c>
      <c r="N513" s="364">
        <v>0.75</v>
      </c>
      <c r="O513" s="158" t="s">
        <v>771</v>
      </c>
      <c r="P513" s="158" t="s">
        <v>768</v>
      </c>
      <c r="Q513" s="158"/>
      <c r="R513" s="158"/>
      <c r="S513" s="158"/>
      <c r="T513" s="365"/>
      <c r="U513" s="365"/>
      <c r="V513" s="365"/>
    </row>
    <row r="514" spans="1:22" ht="25.5">
      <c r="A514" s="153">
        <v>46308</v>
      </c>
      <c r="B514" s="200" t="s">
        <v>563</v>
      </c>
      <c r="C514" s="200" t="s">
        <v>53</v>
      </c>
      <c r="D514" s="200" t="s">
        <v>101</v>
      </c>
      <c r="E514" s="200" t="s">
        <v>707</v>
      </c>
      <c r="F514" s="200" t="s">
        <v>109</v>
      </c>
      <c r="G514" s="200" t="s">
        <v>764</v>
      </c>
      <c r="H514" s="200" t="s">
        <v>709</v>
      </c>
      <c r="I514" s="200" t="s">
        <v>710</v>
      </c>
      <c r="J514" s="158" t="s">
        <v>34</v>
      </c>
      <c r="K514" s="158" t="s">
        <v>2627</v>
      </c>
      <c r="L514" s="363" t="s">
        <v>2628</v>
      </c>
      <c r="M514" s="364">
        <v>0.75</v>
      </c>
      <c r="N514" s="364">
        <v>0.77083333333333337</v>
      </c>
      <c r="O514" s="158" t="s">
        <v>768</v>
      </c>
      <c r="P514" s="158"/>
      <c r="Q514" s="158"/>
      <c r="R514" s="158"/>
      <c r="S514" s="158"/>
      <c r="T514" s="365"/>
      <c r="U514" s="365"/>
      <c r="V514" s="365"/>
    </row>
    <row r="515" spans="1:22" ht="25.5">
      <c r="A515" s="153">
        <v>46308</v>
      </c>
      <c r="B515" s="200" t="s">
        <v>563</v>
      </c>
      <c r="C515" s="200" t="s">
        <v>53</v>
      </c>
      <c r="D515" s="200" t="s">
        <v>101</v>
      </c>
      <c r="E515" s="200" t="s">
        <v>707</v>
      </c>
      <c r="F515" s="200" t="s">
        <v>109</v>
      </c>
      <c r="G515" s="200" t="s">
        <v>764</v>
      </c>
      <c r="H515" s="200" t="s">
        <v>709</v>
      </c>
      <c r="I515" s="200" t="s">
        <v>710</v>
      </c>
      <c r="J515" s="158" t="s">
        <v>34</v>
      </c>
      <c r="K515" s="158" t="s">
        <v>2629</v>
      </c>
      <c r="L515" s="363" t="s">
        <v>798</v>
      </c>
      <c r="M515" s="364">
        <v>0.77083333333333337</v>
      </c>
      <c r="N515" s="364">
        <v>0.85416666666666663</v>
      </c>
      <c r="O515" s="158" t="s">
        <v>771</v>
      </c>
      <c r="P515" s="158" t="s">
        <v>768</v>
      </c>
      <c r="Q515" s="158"/>
      <c r="R515" s="158"/>
      <c r="S515" s="158"/>
      <c r="T515" s="365"/>
      <c r="U515" s="365"/>
      <c r="V515" s="365"/>
    </row>
    <row r="516" spans="1:22" ht="25.5">
      <c r="A516" s="153">
        <v>46308</v>
      </c>
      <c r="B516" s="200" t="s">
        <v>547</v>
      </c>
      <c r="C516" s="200" t="s">
        <v>53</v>
      </c>
      <c r="D516" s="200" t="s">
        <v>1507</v>
      </c>
      <c r="E516" s="200" t="s">
        <v>707</v>
      </c>
      <c r="F516" s="200" t="s">
        <v>109</v>
      </c>
      <c r="G516" s="200" t="s">
        <v>764</v>
      </c>
      <c r="H516" s="200" t="s">
        <v>740</v>
      </c>
      <c r="I516" s="200" t="s">
        <v>710</v>
      </c>
      <c r="J516" s="158" t="s">
        <v>34</v>
      </c>
      <c r="K516" s="158" t="s">
        <v>2630</v>
      </c>
      <c r="L516" s="363" t="s">
        <v>2631</v>
      </c>
      <c r="M516" s="364">
        <v>0.89583333333333337</v>
      </c>
      <c r="N516" s="364">
        <v>0.91666666666666663</v>
      </c>
      <c r="O516" s="158" t="s">
        <v>768</v>
      </c>
      <c r="P516" s="158"/>
      <c r="Q516" s="158"/>
      <c r="R516" s="158"/>
      <c r="S516" s="158"/>
      <c r="T516" s="365"/>
      <c r="U516" s="365"/>
      <c r="V516" s="365"/>
    </row>
    <row r="517" spans="1:22" ht="25.5">
      <c r="A517" s="153">
        <v>46308</v>
      </c>
      <c r="B517" s="200" t="s">
        <v>547</v>
      </c>
      <c r="C517" s="200" t="s">
        <v>53</v>
      </c>
      <c r="D517" s="200" t="s">
        <v>1507</v>
      </c>
      <c r="E517" s="200" t="s">
        <v>707</v>
      </c>
      <c r="F517" s="200" t="s">
        <v>109</v>
      </c>
      <c r="G517" s="200" t="s">
        <v>764</v>
      </c>
      <c r="H517" s="200" t="s">
        <v>709</v>
      </c>
      <c r="I517" s="200" t="s">
        <v>710</v>
      </c>
      <c r="J517" s="158" t="s">
        <v>34</v>
      </c>
      <c r="K517" s="158" t="s">
        <v>2632</v>
      </c>
      <c r="L517" s="363" t="s">
        <v>2633</v>
      </c>
      <c r="M517" s="364">
        <v>0.91666666666666663</v>
      </c>
      <c r="N517" s="364">
        <v>0.95833333333333337</v>
      </c>
      <c r="O517" s="158" t="s">
        <v>771</v>
      </c>
      <c r="P517" s="158" t="s">
        <v>768</v>
      </c>
      <c r="Q517" s="158"/>
      <c r="R517" s="158"/>
      <c r="S517" s="158"/>
      <c r="T517" s="365"/>
      <c r="U517" s="365"/>
      <c r="V517" s="365"/>
    </row>
    <row r="518" spans="1:22" ht="12.75">
      <c r="A518" s="153">
        <v>46308</v>
      </c>
      <c r="B518" s="200" t="s">
        <v>547</v>
      </c>
      <c r="C518" s="200" t="s">
        <v>53</v>
      </c>
      <c r="D518" s="200" t="s">
        <v>1507</v>
      </c>
      <c r="E518" s="200" t="s">
        <v>707</v>
      </c>
      <c r="F518" s="200" t="s">
        <v>109</v>
      </c>
      <c r="G518" s="200" t="s">
        <v>764</v>
      </c>
      <c r="H518" s="200" t="s">
        <v>709</v>
      </c>
      <c r="I518" s="200" t="s">
        <v>710</v>
      </c>
      <c r="J518" s="158" t="s">
        <v>34</v>
      </c>
      <c r="K518" s="158" t="s">
        <v>2634</v>
      </c>
      <c r="L518" s="363" t="s">
        <v>2635</v>
      </c>
      <c r="M518" s="364">
        <v>0.95833333333333337</v>
      </c>
      <c r="N518" s="364">
        <v>0.97916666666666663</v>
      </c>
      <c r="O518" s="158" t="s">
        <v>768</v>
      </c>
      <c r="P518" s="158"/>
      <c r="Q518" s="158"/>
      <c r="R518" s="158"/>
      <c r="S518" s="158"/>
      <c r="T518" s="365"/>
      <c r="U518" s="365"/>
      <c r="V518" s="365"/>
    </row>
    <row r="519" spans="1:22" ht="12.75">
      <c r="A519" s="153">
        <v>46308</v>
      </c>
      <c r="B519" s="200" t="s">
        <v>547</v>
      </c>
      <c r="C519" s="200" t="s">
        <v>53</v>
      </c>
      <c r="D519" s="200" t="s">
        <v>1507</v>
      </c>
      <c r="E519" s="200" t="s">
        <v>707</v>
      </c>
      <c r="F519" s="200" t="s">
        <v>109</v>
      </c>
      <c r="G519" s="200" t="s">
        <v>764</v>
      </c>
      <c r="H519" s="200" t="s">
        <v>709</v>
      </c>
      <c r="I519" s="200" t="s">
        <v>710</v>
      </c>
      <c r="J519" s="158" t="s">
        <v>34</v>
      </c>
      <c r="K519" s="158" t="s">
        <v>2636</v>
      </c>
      <c r="L519" s="363" t="s">
        <v>2637</v>
      </c>
      <c r="M519" s="364">
        <v>0.95833333333333337</v>
      </c>
      <c r="N519" s="364">
        <v>0.97916666666666663</v>
      </c>
      <c r="O519" s="158" t="s">
        <v>771</v>
      </c>
      <c r="P519" s="158"/>
      <c r="Q519" s="158"/>
      <c r="R519" s="158"/>
      <c r="S519" s="158"/>
      <c r="T519" s="365"/>
      <c r="U519" s="365"/>
      <c r="V519" s="365"/>
    </row>
    <row r="520" spans="1:22" ht="12.75">
      <c r="A520" s="153">
        <v>46308</v>
      </c>
      <c r="B520" s="200" t="s">
        <v>547</v>
      </c>
      <c r="C520" s="200" t="s">
        <v>53</v>
      </c>
      <c r="D520" s="200" t="s">
        <v>1507</v>
      </c>
      <c r="E520" s="200" t="s">
        <v>707</v>
      </c>
      <c r="F520" s="200" t="s">
        <v>109</v>
      </c>
      <c r="G520" s="200" t="s">
        <v>764</v>
      </c>
      <c r="H520" s="200" t="s">
        <v>709</v>
      </c>
      <c r="I520" s="200" t="s">
        <v>710</v>
      </c>
      <c r="J520" s="158" t="s">
        <v>34</v>
      </c>
      <c r="K520" s="158" t="s">
        <v>2638</v>
      </c>
      <c r="L520" s="363" t="s">
        <v>2639</v>
      </c>
      <c r="M520" s="364">
        <v>0.97916666666666663</v>
      </c>
      <c r="N520" s="364">
        <v>6.25E-2</v>
      </c>
      <c r="O520" s="158" t="s">
        <v>768</v>
      </c>
      <c r="P520" s="158" t="s">
        <v>771</v>
      </c>
      <c r="Q520" s="158"/>
      <c r="R520" s="158"/>
      <c r="S520" s="158"/>
      <c r="T520" s="365"/>
      <c r="U520" s="365"/>
      <c r="V520" s="365"/>
    </row>
    <row r="521" spans="1:22" ht="38.25">
      <c r="A521" s="153">
        <v>46308</v>
      </c>
      <c r="B521" s="200" t="s">
        <v>549</v>
      </c>
      <c r="C521" s="200" t="s">
        <v>626</v>
      </c>
      <c r="D521" s="200" t="s">
        <v>2640</v>
      </c>
      <c r="E521" s="200" t="s">
        <v>707</v>
      </c>
      <c r="F521" s="200" t="s">
        <v>388</v>
      </c>
      <c r="G521" s="200" t="s">
        <v>708</v>
      </c>
      <c r="H521" s="200" t="s">
        <v>1761</v>
      </c>
      <c r="I521" s="200" t="s">
        <v>710</v>
      </c>
      <c r="J521" s="158" t="s">
        <v>34</v>
      </c>
      <c r="K521" s="158" t="s">
        <v>2641</v>
      </c>
      <c r="L521" s="363" t="s">
        <v>2642</v>
      </c>
      <c r="M521" s="364">
        <v>0.8125</v>
      </c>
      <c r="N521" s="364">
        <v>0.875</v>
      </c>
      <c r="O521" s="158" t="s">
        <v>1767</v>
      </c>
      <c r="P521" s="158"/>
      <c r="Q521" s="158"/>
      <c r="R521" s="158"/>
      <c r="S521" s="158"/>
      <c r="T521" s="365"/>
      <c r="U521" s="365"/>
      <c r="V521" s="365"/>
    </row>
    <row r="522" spans="1:22" ht="38.25">
      <c r="A522" s="153">
        <v>46308</v>
      </c>
      <c r="B522" s="200" t="s">
        <v>549</v>
      </c>
      <c r="C522" s="200" t="s">
        <v>626</v>
      </c>
      <c r="D522" s="200" t="s">
        <v>2640</v>
      </c>
      <c r="E522" s="200" t="s">
        <v>707</v>
      </c>
      <c r="F522" s="200" t="s">
        <v>388</v>
      </c>
      <c r="G522" s="200" t="s">
        <v>708</v>
      </c>
      <c r="H522" s="200" t="s">
        <v>1761</v>
      </c>
      <c r="I522" s="200" t="s">
        <v>710</v>
      </c>
      <c r="J522" s="158" t="s">
        <v>34</v>
      </c>
      <c r="K522" s="158" t="s">
        <v>2643</v>
      </c>
      <c r="L522" s="363" t="s">
        <v>2644</v>
      </c>
      <c r="M522" s="364">
        <v>0.875</v>
      </c>
      <c r="N522" s="364">
        <v>0.91666666666666663</v>
      </c>
      <c r="O522" s="158" t="s">
        <v>1767</v>
      </c>
      <c r="P522" s="158"/>
      <c r="Q522" s="158"/>
      <c r="R522" s="158"/>
      <c r="S522" s="158"/>
      <c r="T522" s="365"/>
      <c r="U522" s="365"/>
      <c r="V522" s="365"/>
    </row>
    <row r="523" spans="1:22" ht="25.5">
      <c r="A523" s="153">
        <v>46308</v>
      </c>
      <c r="B523" s="200" t="s">
        <v>549</v>
      </c>
      <c r="C523" s="200" t="s">
        <v>626</v>
      </c>
      <c r="D523" s="200" t="s">
        <v>2640</v>
      </c>
      <c r="E523" s="200" t="s">
        <v>707</v>
      </c>
      <c r="F523" s="200" t="s">
        <v>388</v>
      </c>
      <c r="G523" s="200" t="s">
        <v>708</v>
      </c>
      <c r="H523" s="200" t="s">
        <v>1761</v>
      </c>
      <c r="I523" s="200" t="s">
        <v>710</v>
      </c>
      <c r="J523" s="158" t="s">
        <v>34</v>
      </c>
      <c r="K523" s="158" t="s">
        <v>2645</v>
      </c>
      <c r="L523" s="363" t="s">
        <v>2646</v>
      </c>
      <c r="M523" s="364">
        <v>0.91666666666666663</v>
      </c>
      <c r="N523" s="364">
        <v>0.95833333333333337</v>
      </c>
      <c r="O523" s="158" t="s">
        <v>1767</v>
      </c>
      <c r="P523" s="158"/>
      <c r="Q523" s="158"/>
      <c r="R523" s="158"/>
      <c r="S523" s="158"/>
      <c r="T523" s="365"/>
      <c r="U523" s="365"/>
      <c r="V523" s="365"/>
    </row>
    <row r="524" spans="1:22" ht="25.5">
      <c r="A524" s="153">
        <v>46308</v>
      </c>
      <c r="B524" s="200" t="s">
        <v>549</v>
      </c>
      <c r="C524" s="200" t="s">
        <v>626</v>
      </c>
      <c r="D524" s="200" t="s">
        <v>2640</v>
      </c>
      <c r="E524" s="200" t="s">
        <v>707</v>
      </c>
      <c r="F524" s="200" t="s">
        <v>388</v>
      </c>
      <c r="G524" s="200" t="s">
        <v>708</v>
      </c>
      <c r="H524" s="200" t="s">
        <v>1761</v>
      </c>
      <c r="I524" s="200" t="s">
        <v>710</v>
      </c>
      <c r="J524" s="158" t="s">
        <v>34</v>
      </c>
      <c r="K524" s="158" t="s">
        <v>2647</v>
      </c>
      <c r="L524" s="363" t="s">
        <v>2648</v>
      </c>
      <c r="M524" s="364">
        <v>0.95833333333333337</v>
      </c>
      <c r="N524" s="364">
        <v>0.97916666666666663</v>
      </c>
      <c r="O524" s="158" t="s">
        <v>1767</v>
      </c>
      <c r="P524" s="158"/>
      <c r="Q524" s="158"/>
      <c r="R524" s="158"/>
      <c r="S524" s="158"/>
      <c r="T524" s="365"/>
      <c r="U524" s="365"/>
      <c r="V524" s="365"/>
    </row>
    <row r="525" spans="1:22" ht="25.5">
      <c r="A525" s="153">
        <v>46308</v>
      </c>
      <c r="B525" s="200" t="s">
        <v>549</v>
      </c>
      <c r="C525" s="200" t="s">
        <v>626</v>
      </c>
      <c r="D525" s="200" t="s">
        <v>2640</v>
      </c>
      <c r="E525" s="200" t="s">
        <v>707</v>
      </c>
      <c r="F525" s="200" t="s">
        <v>388</v>
      </c>
      <c r="G525" s="200" t="s">
        <v>708</v>
      </c>
      <c r="H525" s="200" t="s">
        <v>709</v>
      </c>
      <c r="I525" s="200" t="s">
        <v>710</v>
      </c>
      <c r="J525" s="158" t="s">
        <v>34</v>
      </c>
      <c r="K525" s="158" t="s">
        <v>2649</v>
      </c>
      <c r="L525" s="363" t="s">
        <v>1809</v>
      </c>
      <c r="M525" s="364">
        <v>0.875</v>
      </c>
      <c r="N525" s="364">
        <v>0.91666666666666663</v>
      </c>
      <c r="O525" s="158" t="s">
        <v>1767</v>
      </c>
      <c r="P525" s="158"/>
      <c r="Q525" s="158"/>
      <c r="R525" s="158"/>
      <c r="S525" s="158"/>
      <c r="T525" s="365"/>
      <c r="U525" s="365"/>
      <c r="V525" s="365"/>
    </row>
    <row r="526" spans="1:22" ht="25.5">
      <c r="A526" s="153">
        <v>46308</v>
      </c>
      <c r="B526" s="200" t="s">
        <v>563</v>
      </c>
      <c r="C526" s="200" t="s">
        <v>53</v>
      </c>
      <c r="D526" s="200" t="s">
        <v>2322</v>
      </c>
      <c r="E526" s="200" t="s">
        <v>707</v>
      </c>
      <c r="F526" s="200" t="s">
        <v>388</v>
      </c>
      <c r="G526" s="200" t="s">
        <v>708</v>
      </c>
      <c r="H526" s="200" t="s">
        <v>1761</v>
      </c>
      <c r="I526" s="200" t="s">
        <v>710</v>
      </c>
      <c r="J526" s="158" t="s">
        <v>34</v>
      </c>
      <c r="K526" s="158" t="s">
        <v>2650</v>
      </c>
      <c r="L526" s="363" t="s">
        <v>2651</v>
      </c>
      <c r="M526" s="364">
        <v>4.8611111111111112E-2</v>
      </c>
      <c r="N526" s="364">
        <v>9.0277777777777776E-2</v>
      </c>
      <c r="O526" s="158" t="s">
        <v>1767</v>
      </c>
      <c r="P526" s="158"/>
      <c r="Q526" s="158"/>
      <c r="R526" s="158"/>
      <c r="S526" s="158"/>
      <c r="T526" s="365"/>
      <c r="U526" s="365"/>
      <c r="V526" s="365"/>
    </row>
    <row r="527" spans="1:22" ht="25.5">
      <c r="A527" s="153">
        <v>46308</v>
      </c>
      <c r="B527" s="200" t="s">
        <v>563</v>
      </c>
      <c r="C527" s="200" t="s">
        <v>53</v>
      </c>
      <c r="D527" s="200" t="s">
        <v>2322</v>
      </c>
      <c r="E527" s="200" t="s">
        <v>707</v>
      </c>
      <c r="F527" s="200" t="s">
        <v>388</v>
      </c>
      <c r="G527" s="200" t="s">
        <v>708</v>
      </c>
      <c r="H527" s="200" t="s">
        <v>1761</v>
      </c>
      <c r="I527" s="200" t="s">
        <v>710</v>
      </c>
      <c r="J527" s="158" t="s">
        <v>34</v>
      </c>
      <c r="K527" s="158" t="s">
        <v>2652</v>
      </c>
      <c r="L527" s="363" t="s">
        <v>2653</v>
      </c>
      <c r="M527" s="364">
        <v>9.0277777777777776E-2</v>
      </c>
      <c r="N527" s="364">
        <v>0.13194444444444445</v>
      </c>
      <c r="O527" s="158" t="s">
        <v>1767</v>
      </c>
      <c r="P527" s="158"/>
      <c r="Q527" s="158"/>
      <c r="R527" s="158"/>
      <c r="S527" s="158"/>
      <c r="T527" s="365"/>
      <c r="U527" s="365"/>
      <c r="V527" s="365"/>
    </row>
    <row r="528" spans="1:22" ht="25.5">
      <c r="A528" s="153">
        <v>46308</v>
      </c>
      <c r="B528" s="200" t="s">
        <v>563</v>
      </c>
      <c r="C528" s="200" t="s">
        <v>53</v>
      </c>
      <c r="D528" s="200" t="s">
        <v>2322</v>
      </c>
      <c r="E528" s="200" t="s">
        <v>707</v>
      </c>
      <c r="F528" s="200" t="s">
        <v>388</v>
      </c>
      <c r="G528" s="200" t="s">
        <v>708</v>
      </c>
      <c r="H528" s="200" t="s">
        <v>709</v>
      </c>
      <c r="I528" s="200" t="s">
        <v>710</v>
      </c>
      <c r="J528" s="158" t="s">
        <v>34</v>
      </c>
      <c r="K528" s="158" t="s">
        <v>2654</v>
      </c>
      <c r="L528" s="363" t="s">
        <v>1809</v>
      </c>
      <c r="M528" s="364">
        <v>0.10416666666666667</v>
      </c>
      <c r="N528" s="364">
        <v>0.14583333333333334</v>
      </c>
      <c r="O528" s="158" t="s">
        <v>1767</v>
      </c>
      <c r="P528" s="158"/>
      <c r="Q528" s="158"/>
      <c r="R528" s="158"/>
      <c r="S528" s="158"/>
      <c r="T528" s="365"/>
      <c r="U528" s="365"/>
      <c r="V528" s="365"/>
    </row>
    <row r="529" spans="1:22" ht="25.5">
      <c r="A529" s="153">
        <v>46308</v>
      </c>
      <c r="B529" s="200" t="s">
        <v>556</v>
      </c>
      <c r="C529" s="200" t="s">
        <v>835</v>
      </c>
      <c r="D529" s="200" t="s">
        <v>2490</v>
      </c>
      <c r="E529" s="200" t="s">
        <v>815</v>
      </c>
      <c r="F529" s="200" t="s">
        <v>958</v>
      </c>
      <c r="G529" s="200" t="s">
        <v>764</v>
      </c>
      <c r="H529" s="200" t="s">
        <v>740</v>
      </c>
      <c r="I529" s="200" t="s">
        <v>710</v>
      </c>
      <c r="J529" s="158" t="s">
        <v>34</v>
      </c>
      <c r="K529" s="158" t="s">
        <v>2655</v>
      </c>
      <c r="L529" s="363" t="s">
        <v>2656</v>
      </c>
      <c r="M529" s="364">
        <v>0.33333333333333331</v>
      </c>
      <c r="N529" s="364">
        <v>0.39583333333333331</v>
      </c>
      <c r="O529" s="158" t="s">
        <v>1011</v>
      </c>
      <c r="P529" s="158"/>
      <c r="Q529" s="158"/>
      <c r="R529" s="158"/>
      <c r="S529" s="158"/>
      <c r="T529" s="365"/>
      <c r="U529" s="365"/>
      <c r="V529" s="365"/>
    </row>
    <row r="530" spans="1:22" ht="25.5">
      <c r="A530" s="153">
        <v>46308</v>
      </c>
      <c r="B530" s="200" t="s">
        <v>549</v>
      </c>
      <c r="C530" s="200" t="s">
        <v>2455</v>
      </c>
      <c r="D530" s="200" t="s">
        <v>312</v>
      </c>
      <c r="E530" s="200" t="s">
        <v>815</v>
      </c>
      <c r="F530" s="200" t="s">
        <v>958</v>
      </c>
      <c r="G530" s="200" t="s">
        <v>764</v>
      </c>
      <c r="H530" s="200" t="s">
        <v>740</v>
      </c>
      <c r="I530" s="200" t="s">
        <v>710</v>
      </c>
      <c r="J530" s="158" t="s">
        <v>34</v>
      </c>
      <c r="K530" s="158" t="s">
        <v>2657</v>
      </c>
      <c r="L530" s="363" t="s">
        <v>2658</v>
      </c>
      <c r="M530" s="364">
        <v>0.41666666666666669</v>
      </c>
      <c r="N530" s="364">
        <v>0.47916666666666669</v>
      </c>
      <c r="O530" s="158" t="s">
        <v>1011</v>
      </c>
      <c r="P530" s="158"/>
      <c r="Q530" s="158"/>
      <c r="R530" s="158"/>
      <c r="S530" s="158"/>
      <c r="T530" s="365"/>
      <c r="U530" s="365"/>
      <c r="V530" s="365"/>
    </row>
    <row r="531" spans="1:22" ht="25.5">
      <c r="A531" s="153">
        <v>46308</v>
      </c>
      <c r="B531" s="200" t="s">
        <v>556</v>
      </c>
      <c r="C531" s="200" t="s">
        <v>835</v>
      </c>
      <c r="D531" s="200" t="s">
        <v>1042</v>
      </c>
      <c r="E531" s="200" t="s">
        <v>707</v>
      </c>
      <c r="F531" s="200" t="s">
        <v>958</v>
      </c>
      <c r="G531" s="200" t="s">
        <v>764</v>
      </c>
      <c r="H531" s="200" t="s">
        <v>709</v>
      </c>
      <c r="I531" s="200" t="s">
        <v>710</v>
      </c>
      <c r="J531" s="158" t="s">
        <v>34</v>
      </c>
      <c r="K531" s="158" t="s">
        <v>2659</v>
      </c>
      <c r="L531" s="363" t="s">
        <v>1015</v>
      </c>
      <c r="M531" s="364">
        <v>0.47916666666666669</v>
      </c>
      <c r="N531" s="364">
        <v>0.60416666666666663</v>
      </c>
      <c r="O531" s="158" t="s">
        <v>1011</v>
      </c>
      <c r="P531" s="158"/>
      <c r="Q531" s="158"/>
      <c r="R531" s="158"/>
      <c r="S531" s="158"/>
      <c r="T531" s="365"/>
      <c r="U531" s="365"/>
      <c r="V531" s="365"/>
    </row>
    <row r="532" spans="1:22" ht="25.5">
      <c r="A532" s="153">
        <v>46308</v>
      </c>
      <c r="B532" s="200" t="s">
        <v>549</v>
      </c>
      <c r="C532" s="200" t="s">
        <v>814</v>
      </c>
      <c r="D532" s="200" t="s">
        <v>75</v>
      </c>
      <c r="E532" s="200" t="s">
        <v>815</v>
      </c>
      <c r="F532" s="200" t="s">
        <v>958</v>
      </c>
      <c r="G532" s="200" t="s">
        <v>764</v>
      </c>
      <c r="H532" s="200" t="s">
        <v>740</v>
      </c>
      <c r="I532" s="200" t="s">
        <v>710</v>
      </c>
      <c r="J532" s="158" t="s">
        <v>34</v>
      </c>
      <c r="K532" s="158" t="s">
        <v>2660</v>
      </c>
      <c r="L532" s="363" t="s">
        <v>2661</v>
      </c>
      <c r="M532" s="364">
        <v>0.60416666666666663</v>
      </c>
      <c r="N532" s="364">
        <v>0.66666666666666663</v>
      </c>
      <c r="O532" s="158" t="s">
        <v>1011</v>
      </c>
      <c r="P532" s="158"/>
      <c r="Q532" s="158"/>
      <c r="R532" s="158"/>
      <c r="S532" s="158"/>
      <c r="T532" s="365"/>
      <c r="U532" s="365"/>
      <c r="V532" s="365"/>
    </row>
    <row r="533" spans="1:22" ht="25.5">
      <c r="A533" s="153">
        <v>46308</v>
      </c>
      <c r="B533" s="200" t="s">
        <v>549</v>
      </c>
      <c r="C533" s="200" t="s">
        <v>814</v>
      </c>
      <c r="D533" s="200" t="s">
        <v>1007</v>
      </c>
      <c r="E533" s="200" t="s">
        <v>707</v>
      </c>
      <c r="F533" s="200" t="s">
        <v>958</v>
      </c>
      <c r="G533" s="200" t="s">
        <v>708</v>
      </c>
      <c r="H533" s="200" t="s">
        <v>709</v>
      </c>
      <c r="I533" s="200" t="s">
        <v>710</v>
      </c>
      <c r="J533" s="158" t="s">
        <v>34</v>
      </c>
      <c r="K533" s="158" t="s">
        <v>2662</v>
      </c>
      <c r="L533" s="363" t="s">
        <v>1015</v>
      </c>
      <c r="M533" s="364">
        <v>0.8125</v>
      </c>
      <c r="N533" s="364">
        <v>0.89583333333333337</v>
      </c>
      <c r="O533" s="158" t="s">
        <v>1018</v>
      </c>
      <c r="P533" s="158" t="s">
        <v>1019</v>
      </c>
      <c r="Q533" s="158"/>
      <c r="R533" s="158"/>
      <c r="S533" s="158"/>
      <c r="T533" s="365"/>
      <c r="U533" s="365"/>
      <c r="V533" s="365"/>
    </row>
    <row r="534" spans="1:22" ht="25.5">
      <c r="A534" s="153">
        <v>46308</v>
      </c>
      <c r="B534" s="200" t="s">
        <v>549</v>
      </c>
      <c r="C534" s="200" t="s">
        <v>814</v>
      </c>
      <c r="D534" s="200" t="s">
        <v>1007</v>
      </c>
      <c r="E534" s="200" t="s">
        <v>707</v>
      </c>
      <c r="F534" s="200" t="s">
        <v>958</v>
      </c>
      <c r="G534" s="200" t="s">
        <v>708</v>
      </c>
      <c r="H534" s="200" t="s">
        <v>740</v>
      </c>
      <c r="I534" s="200" t="s">
        <v>710</v>
      </c>
      <c r="J534" s="158" t="s">
        <v>34</v>
      </c>
      <c r="K534" s="158" t="s">
        <v>2663</v>
      </c>
      <c r="L534" s="363" t="s">
        <v>2664</v>
      </c>
      <c r="M534" s="364">
        <v>0.89583333333333337</v>
      </c>
      <c r="N534" s="364">
        <v>0.9375</v>
      </c>
      <c r="O534" s="158" t="s">
        <v>1018</v>
      </c>
      <c r="P534" s="158" t="s">
        <v>1019</v>
      </c>
      <c r="Q534" s="158"/>
      <c r="R534" s="158"/>
      <c r="S534" s="158"/>
      <c r="T534" s="365"/>
      <c r="U534" s="365"/>
      <c r="V534" s="365"/>
    </row>
    <row r="535" spans="1:22" ht="25.5">
      <c r="A535" s="153">
        <v>46308</v>
      </c>
      <c r="B535" s="200" t="s">
        <v>549</v>
      </c>
      <c r="C535" s="200" t="s">
        <v>814</v>
      </c>
      <c r="D535" s="200" t="s">
        <v>1007</v>
      </c>
      <c r="E535" s="200" t="s">
        <v>707</v>
      </c>
      <c r="F535" s="200" t="s">
        <v>958</v>
      </c>
      <c r="G535" s="200" t="s">
        <v>708</v>
      </c>
      <c r="H535" s="200" t="s">
        <v>740</v>
      </c>
      <c r="I535" s="200" t="s">
        <v>710</v>
      </c>
      <c r="J535" s="158" t="s">
        <v>34</v>
      </c>
      <c r="K535" s="158" t="s">
        <v>2665</v>
      </c>
      <c r="L535" s="363" t="s">
        <v>2666</v>
      </c>
      <c r="M535" s="364">
        <v>0.9375</v>
      </c>
      <c r="N535" s="364">
        <v>0.97916666666666663</v>
      </c>
      <c r="O535" s="158" t="s">
        <v>1018</v>
      </c>
      <c r="P535" s="158" t="s">
        <v>1019</v>
      </c>
      <c r="Q535" s="158"/>
      <c r="R535" s="158"/>
      <c r="S535" s="158"/>
      <c r="T535" s="365"/>
      <c r="U535" s="365"/>
      <c r="V535" s="365"/>
    </row>
    <row r="536" spans="1:22" ht="25.5">
      <c r="A536" s="153">
        <v>46308</v>
      </c>
      <c r="B536" s="200" t="s">
        <v>549</v>
      </c>
      <c r="C536" s="200" t="s">
        <v>814</v>
      </c>
      <c r="D536" s="200" t="s">
        <v>1016</v>
      </c>
      <c r="E536" s="200" t="s">
        <v>707</v>
      </c>
      <c r="F536" s="200" t="s">
        <v>958</v>
      </c>
      <c r="G536" s="200" t="s">
        <v>708</v>
      </c>
      <c r="H536" s="200" t="s">
        <v>709</v>
      </c>
      <c r="I536" s="200" t="s">
        <v>710</v>
      </c>
      <c r="J536" s="158" t="s">
        <v>34</v>
      </c>
      <c r="K536" s="158" t="s">
        <v>2667</v>
      </c>
      <c r="L536" s="363" t="s">
        <v>1015</v>
      </c>
      <c r="M536" s="364">
        <v>0.97916666666666663</v>
      </c>
      <c r="N536" s="364">
        <v>6.25E-2</v>
      </c>
      <c r="O536" s="158" t="s">
        <v>1018</v>
      </c>
      <c r="P536" s="158" t="s">
        <v>1019</v>
      </c>
      <c r="Q536" s="158"/>
      <c r="R536" s="158"/>
      <c r="S536" s="158"/>
      <c r="T536" s="365"/>
      <c r="U536" s="365"/>
      <c r="V536" s="365"/>
    </row>
    <row r="537" spans="1:22" ht="25.5">
      <c r="A537" s="153">
        <v>46308</v>
      </c>
      <c r="B537" s="200" t="s">
        <v>563</v>
      </c>
      <c r="C537" s="200" t="s">
        <v>53</v>
      </c>
      <c r="D537" s="200" t="s">
        <v>984</v>
      </c>
      <c r="E537" s="200" t="s">
        <v>707</v>
      </c>
      <c r="F537" s="200" t="s">
        <v>958</v>
      </c>
      <c r="G537" s="200" t="s">
        <v>708</v>
      </c>
      <c r="H537" s="200" t="s">
        <v>709</v>
      </c>
      <c r="I537" s="200" t="s">
        <v>710</v>
      </c>
      <c r="J537" s="158" t="s">
        <v>34</v>
      </c>
      <c r="K537" s="158" t="s">
        <v>2668</v>
      </c>
      <c r="L537" s="363" t="s">
        <v>1015</v>
      </c>
      <c r="M537" s="364">
        <v>6.25E-2</v>
      </c>
      <c r="N537" s="364">
        <v>0.14583333333333334</v>
      </c>
      <c r="O537" s="158" t="s">
        <v>1018</v>
      </c>
      <c r="P537" s="158" t="s">
        <v>1019</v>
      </c>
      <c r="Q537" s="158"/>
      <c r="R537" s="158"/>
      <c r="S537" s="158"/>
      <c r="T537" s="365"/>
      <c r="U537" s="365"/>
      <c r="V537" s="365"/>
    </row>
    <row r="538" spans="1:22" ht="25.5">
      <c r="A538" s="153">
        <v>46308</v>
      </c>
      <c r="B538" s="200" t="s">
        <v>556</v>
      </c>
      <c r="C538" s="200" t="s">
        <v>835</v>
      </c>
      <c r="D538" s="200" t="s">
        <v>2490</v>
      </c>
      <c r="E538" s="200" t="s">
        <v>707</v>
      </c>
      <c r="F538" s="200" t="s">
        <v>958</v>
      </c>
      <c r="G538" s="200" t="s">
        <v>708</v>
      </c>
      <c r="H538" s="200" t="s">
        <v>709</v>
      </c>
      <c r="I538" s="200" t="s">
        <v>710</v>
      </c>
      <c r="J538" s="158" t="s">
        <v>34</v>
      </c>
      <c r="K538" s="158" t="s">
        <v>2669</v>
      </c>
      <c r="L538" s="363" t="s">
        <v>1015</v>
      </c>
      <c r="M538" s="364">
        <v>0.14583333333333334</v>
      </c>
      <c r="N538" s="364">
        <v>0.22916666666666666</v>
      </c>
      <c r="O538" s="158" t="s">
        <v>1018</v>
      </c>
      <c r="P538" s="158" t="s">
        <v>1019</v>
      </c>
      <c r="Q538" s="158"/>
      <c r="R538" s="158"/>
      <c r="S538" s="158"/>
      <c r="T538" s="365"/>
      <c r="U538" s="365"/>
      <c r="V538" s="365"/>
    </row>
    <row r="539" spans="1:22" ht="25.5">
      <c r="A539" s="153">
        <v>46308</v>
      </c>
      <c r="B539" s="200" t="s">
        <v>556</v>
      </c>
      <c r="C539" s="200" t="s">
        <v>835</v>
      </c>
      <c r="D539" s="200" t="s">
        <v>2490</v>
      </c>
      <c r="E539" s="200" t="s">
        <v>707</v>
      </c>
      <c r="F539" s="200" t="s">
        <v>958</v>
      </c>
      <c r="G539" s="200" t="s">
        <v>708</v>
      </c>
      <c r="H539" s="200" t="s">
        <v>709</v>
      </c>
      <c r="I539" s="200" t="s">
        <v>710</v>
      </c>
      <c r="J539" s="158" t="s">
        <v>34</v>
      </c>
      <c r="K539" s="158" t="s">
        <v>2670</v>
      </c>
      <c r="L539" s="363" t="s">
        <v>1015</v>
      </c>
      <c r="M539" s="364">
        <v>0.22916666666666666</v>
      </c>
      <c r="N539" s="364">
        <v>0.3125</v>
      </c>
      <c r="O539" s="158" t="s">
        <v>1018</v>
      </c>
      <c r="P539" s="158" t="s">
        <v>1019</v>
      </c>
      <c r="Q539" s="158"/>
      <c r="R539" s="158"/>
      <c r="S539" s="158"/>
      <c r="T539" s="365"/>
      <c r="U539" s="365"/>
      <c r="V539" s="365"/>
    </row>
    <row r="540" spans="1:22" ht="25.5">
      <c r="A540" s="153">
        <v>46308</v>
      </c>
      <c r="B540" s="200" t="s">
        <v>563</v>
      </c>
      <c r="C540" s="200" t="s">
        <v>53</v>
      </c>
      <c r="D540" s="200" t="s">
        <v>776</v>
      </c>
      <c r="E540" s="200" t="s">
        <v>707</v>
      </c>
      <c r="F540" s="200" t="s">
        <v>66</v>
      </c>
      <c r="G540" s="200" t="s">
        <v>764</v>
      </c>
      <c r="H540" s="200" t="s">
        <v>740</v>
      </c>
      <c r="I540" s="200" t="s">
        <v>710</v>
      </c>
      <c r="J540" s="158" t="s">
        <v>34</v>
      </c>
      <c r="K540" s="158" t="s">
        <v>2671</v>
      </c>
      <c r="L540" s="363" t="s">
        <v>2672</v>
      </c>
      <c r="M540" s="364">
        <v>0.60069444444444442</v>
      </c>
      <c r="N540" s="364">
        <v>0.63194444444444442</v>
      </c>
      <c r="O540" s="158" t="s">
        <v>1963</v>
      </c>
      <c r="P540" s="158" t="s">
        <v>1964</v>
      </c>
      <c r="Q540" s="158"/>
      <c r="R540" s="158"/>
      <c r="S540" s="158"/>
      <c r="T540" s="365"/>
      <c r="U540" s="365"/>
      <c r="V540" s="365"/>
    </row>
    <row r="541" spans="1:22" ht="25.5">
      <c r="A541" s="153">
        <v>46308</v>
      </c>
      <c r="B541" s="200" t="s">
        <v>563</v>
      </c>
      <c r="C541" s="200" t="s">
        <v>53</v>
      </c>
      <c r="D541" s="200" t="s">
        <v>776</v>
      </c>
      <c r="E541" s="200" t="s">
        <v>707</v>
      </c>
      <c r="F541" s="200" t="s">
        <v>66</v>
      </c>
      <c r="G541" s="200" t="s">
        <v>764</v>
      </c>
      <c r="H541" s="200" t="s">
        <v>740</v>
      </c>
      <c r="I541" s="200" t="s">
        <v>710</v>
      </c>
      <c r="J541" s="158" t="s">
        <v>34</v>
      </c>
      <c r="K541" s="158" t="s">
        <v>2673</v>
      </c>
      <c r="L541" s="363" t="s">
        <v>2674</v>
      </c>
      <c r="M541" s="364">
        <v>0.63194444444444442</v>
      </c>
      <c r="N541" s="364">
        <v>0.64722222222222225</v>
      </c>
      <c r="O541" s="158" t="s">
        <v>1963</v>
      </c>
      <c r="P541" s="158" t="s">
        <v>1964</v>
      </c>
      <c r="Q541" s="158"/>
      <c r="R541" s="158"/>
      <c r="S541" s="158"/>
      <c r="T541" s="365"/>
      <c r="U541" s="365"/>
      <c r="V541" s="365"/>
    </row>
    <row r="542" spans="1:22" ht="38.25">
      <c r="A542" s="153">
        <v>46308</v>
      </c>
      <c r="B542" s="200" t="s">
        <v>563</v>
      </c>
      <c r="C542" s="200" t="s">
        <v>53</v>
      </c>
      <c r="D542" s="200" t="s">
        <v>776</v>
      </c>
      <c r="E542" s="200" t="s">
        <v>707</v>
      </c>
      <c r="F542" s="200" t="s">
        <v>66</v>
      </c>
      <c r="G542" s="200" t="s">
        <v>764</v>
      </c>
      <c r="H542" s="200" t="s">
        <v>740</v>
      </c>
      <c r="I542" s="200" t="s">
        <v>710</v>
      </c>
      <c r="J542" s="158" t="s">
        <v>34</v>
      </c>
      <c r="K542" s="158" t="s">
        <v>2675</v>
      </c>
      <c r="L542" s="363" t="s">
        <v>2676</v>
      </c>
      <c r="M542" s="364">
        <v>0.60069444444444442</v>
      </c>
      <c r="N542" s="364">
        <v>0.61111111111111116</v>
      </c>
      <c r="O542" s="158" t="s">
        <v>1966</v>
      </c>
      <c r="P542" s="158"/>
      <c r="Q542" s="158"/>
      <c r="R542" s="158"/>
      <c r="S542" s="158"/>
      <c r="T542" s="365"/>
      <c r="U542" s="365"/>
      <c r="V542" s="365"/>
    </row>
    <row r="543" spans="1:22" ht="25.5">
      <c r="A543" s="153">
        <v>46308</v>
      </c>
      <c r="B543" s="200" t="s">
        <v>563</v>
      </c>
      <c r="C543" s="200" t="s">
        <v>53</v>
      </c>
      <c r="D543" s="200" t="s">
        <v>776</v>
      </c>
      <c r="E543" s="200" t="s">
        <v>707</v>
      </c>
      <c r="F543" s="200" t="s">
        <v>66</v>
      </c>
      <c r="G543" s="200" t="s">
        <v>764</v>
      </c>
      <c r="H543" s="200" t="s">
        <v>740</v>
      </c>
      <c r="I543" s="200" t="s">
        <v>710</v>
      </c>
      <c r="J543" s="158" t="s">
        <v>34</v>
      </c>
      <c r="K543" s="158" t="s">
        <v>2677</v>
      </c>
      <c r="L543" s="363" t="s">
        <v>2678</v>
      </c>
      <c r="M543" s="364">
        <v>0.64930555555555558</v>
      </c>
      <c r="N543" s="364">
        <v>0.68055555555555558</v>
      </c>
      <c r="O543" s="158" t="s">
        <v>1963</v>
      </c>
      <c r="P543" s="158" t="s">
        <v>1964</v>
      </c>
      <c r="Q543" s="158"/>
      <c r="R543" s="158"/>
      <c r="S543" s="158"/>
      <c r="T543" s="365"/>
      <c r="U543" s="365"/>
      <c r="V543" s="365"/>
    </row>
    <row r="544" spans="1:22" ht="25.5">
      <c r="A544" s="153">
        <v>46308</v>
      </c>
      <c r="B544" s="200" t="s">
        <v>563</v>
      </c>
      <c r="C544" s="200" t="s">
        <v>53</v>
      </c>
      <c r="D544" s="200" t="s">
        <v>776</v>
      </c>
      <c r="E544" s="200" t="s">
        <v>707</v>
      </c>
      <c r="F544" s="200" t="s">
        <v>66</v>
      </c>
      <c r="G544" s="200" t="s">
        <v>764</v>
      </c>
      <c r="H544" s="200" t="s">
        <v>740</v>
      </c>
      <c r="I544" s="200" t="s">
        <v>710</v>
      </c>
      <c r="J544" s="158" t="s">
        <v>34</v>
      </c>
      <c r="K544" s="158" t="s">
        <v>2679</v>
      </c>
      <c r="L544" s="363" t="s">
        <v>2680</v>
      </c>
      <c r="M544" s="364">
        <v>0.68055555555555558</v>
      </c>
      <c r="N544" s="364">
        <v>0.71180555555555558</v>
      </c>
      <c r="O544" s="158" t="s">
        <v>1963</v>
      </c>
      <c r="P544" s="158" t="s">
        <v>1964</v>
      </c>
      <c r="Q544" s="158"/>
      <c r="R544" s="158"/>
      <c r="S544" s="158"/>
      <c r="T544" s="365"/>
      <c r="U544" s="365"/>
      <c r="V544" s="365"/>
    </row>
    <row r="545" spans="1:22" ht="38.25">
      <c r="A545" s="153">
        <v>46308</v>
      </c>
      <c r="B545" s="200" t="s">
        <v>563</v>
      </c>
      <c r="C545" s="200" t="s">
        <v>53</v>
      </c>
      <c r="D545" s="200" t="s">
        <v>776</v>
      </c>
      <c r="E545" s="200" t="s">
        <v>707</v>
      </c>
      <c r="F545" s="200" t="s">
        <v>66</v>
      </c>
      <c r="G545" s="200" t="s">
        <v>764</v>
      </c>
      <c r="H545" s="200" t="s">
        <v>740</v>
      </c>
      <c r="I545" s="200" t="s">
        <v>710</v>
      </c>
      <c r="J545" s="158" t="s">
        <v>34</v>
      </c>
      <c r="K545" s="158" t="s">
        <v>2681</v>
      </c>
      <c r="L545" s="363" t="s">
        <v>2682</v>
      </c>
      <c r="M545" s="364">
        <v>0.74305555555555558</v>
      </c>
      <c r="N545" s="364">
        <v>0.7583333333333333</v>
      </c>
      <c r="O545" s="158" t="s">
        <v>1963</v>
      </c>
      <c r="P545" s="158" t="s">
        <v>1964</v>
      </c>
      <c r="Q545" s="158"/>
      <c r="R545" s="158"/>
      <c r="S545" s="158"/>
      <c r="T545" s="365"/>
      <c r="U545" s="365"/>
      <c r="V545" s="365"/>
    </row>
    <row r="546" spans="1:22" ht="38.25">
      <c r="A546" s="153">
        <v>46308</v>
      </c>
      <c r="B546" s="200" t="s">
        <v>563</v>
      </c>
      <c r="C546" s="200" t="s">
        <v>53</v>
      </c>
      <c r="D546" s="200" t="s">
        <v>776</v>
      </c>
      <c r="E546" s="200" t="s">
        <v>707</v>
      </c>
      <c r="F546" s="200" t="s">
        <v>66</v>
      </c>
      <c r="G546" s="200" t="s">
        <v>764</v>
      </c>
      <c r="H546" s="200" t="s">
        <v>740</v>
      </c>
      <c r="I546" s="200" t="s">
        <v>710</v>
      </c>
      <c r="J546" s="158" t="s">
        <v>34</v>
      </c>
      <c r="K546" s="158" t="s">
        <v>2683</v>
      </c>
      <c r="L546" s="363" t="s">
        <v>2684</v>
      </c>
      <c r="M546" s="364">
        <v>0.76041666666666663</v>
      </c>
      <c r="N546" s="364">
        <v>0.78125</v>
      </c>
      <c r="O546" s="158" t="s">
        <v>1963</v>
      </c>
      <c r="P546" s="158" t="s">
        <v>1964</v>
      </c>
      <c r="Q546" s="158"/>
      <c r="R546" s="158"/>
      <c r="S546" s="158"/>
      <c r="T546" s="365"/>
      <c r="U546" s="365"/>
      <c r="V546" s="365"/>
    </row>
    <row r="547" spans="1:22" ht="38.25">
      <c r="A547" s="153">
        <v>46308</v>
      </c>
      <c r="B547" s="200" t="s">
        <v>563</v>
      </c>
      <c r="C547" s="200" t="s">
        <v>53</v>
      </c>
      <c r="D547" s="200" t="s">
        <v>776</v>
      </c>
      <c r="E547" s="200" t="s">
        <v>707</v>
      </c>
      <c r="F547" s="200" t="s">
        <v>66</v>
      </c>
      <c r="G547" s="200" t="s">
        <v>764</v>
      </c>
      <c r="H547" s="200" t="s">
        <v>740</v>
      </c>
      <c r="I547" s="200" t="s">
        <v>710</v>
      </c>
      <c r="J547" s="158" t="s">
        <v>34</v>
      </c>
      <c r="K547" s="158" t="s">
        <v>2685</v>
      </c>
      <c r="L547" s="363" t="s">
        <v>2686</v>
      </c>
      <c r="M547" s="364">
        <v>0.79652777777777772</v>
      </c>
      <c r="N547" s="364">
        <v>0.8125</v>
      </c>
      <c r="O547" s="158" t="s">
        <v>1963</v>
      </c>
      <c r="P547" s="158" t="s">
        <v>1964</v>
      </c>
      <c r="Q547" s="158"/>
      <c r="R547" s="158"/>
      <c r="S547" s="158"/>
      <c r="T547" s="365"/>
      <c r="U547" s="365"/>
      <c r="V547" s="365"/>
    </row>
    <row r="548" spans="1:22" ht="38.25">
      <c r="A548" s="153">
        <v>46308</v>
      </c>
      <c r="B548" s="200" t="s">
        <v>563</v>
      </c>
      <c r="C548" s="200" t="s">
        <v>53</v>
      </c>
      <c r="D548" s="200" t="s">
        <v>776</v>
      </c>
      <c r="E548" s="200" t="s">
        <v>707</v>
      </c>
      <c r="F548" s="200" t="s">
        <v>66</v>
      </c>
      <c r="G548" s="200" t="s">
        <v>764</v>
      </c>
      <c r="H548" s="200" t="s">
        <v>740</v>
      </c>
      <c r="I548" s="200" t="s">
        <v>710</v>
      </c>
      <c r="J548" s="158" t="s">
        <v>34</v>
      </c>
      <c r="K548" s="158" t="s">
        <v>2687</v>
      </c>
      <c r="L548" s="363" t="s">
        <v>2688</v>
      </c>
      <c r="M548" s="364">
        <v>0.77430555555555558</v>
      </c>
      <c r="N548" s="364">
        <v>0.80555555555555558</v>
      </c>
      <c r="O548" s="158" t="s">
        <v>1966</v>
      </c>
      <c r="P548" s="158"/>
      <c r="Q548" s="158"/>
      <c r="R548" s="158"/>
      <c r="S548" s="158"/>
      <c r="T548" s="365"/>
      <c r="U548" s="365"/>
      <c r="V548" s="365"/>
    </row>
    <row r="549" spans="1:22" ht="25.5">
      <c r="A549" s="153">
        <v>46308</v>
      </c>
      <c r="B549" s="200" t="s">
        <v>563</v>
      </c>
      <c r="C549" s="200" t="s">
        <v>53</v>
      </c>
      <c r="D549" s="200" t="s">
        <v>776</v>
      </c>
      <c r="E549" s="200" t="s">
        <v>707</v>
      </c>
      <c r="F549" s="200" t="s">
        <v>66</v>
      </c>
      <c r="G549" s="200" t="s">
        <v>764</v>
      </c>
      <c r="H549" s="200" t="s">
        <v>740</v>
      </c>
      <c r="I549" s="200" t="s">
        <v>710</v>
      </c>
      <c r="J549" s="158" t="s">
        <v>34</v>
      </c>
      <c r="K549" s="158" t="s">
        <v>2689</v>
      </c>
      <c r="L549" s="363" t="s">
        <v>2690</v>
      </c>
      <c r="M549" s="364">
        <v>0.84375</v>
      </c>
      <c r="N549" s="364">
        <v>0.85902777777777772</v>
      </c>
      <c r="O549" s="158" t="s">
        <v>1963</v>
      </c>
      <c r="P549" s="158" t="s">
        <v>1964</v>
      </c>
      <c r="Q549" s="158"/>
      <c r="R549" s="158"/>
      <c r="S549" s="158"/>
      <c r="T549" s="365"/>
      <c r="U549" s="365"/>
      <c r="V549" s="365"/>
    </row>
    <row r="550" spans="1:22" ht="38.25">
      <c r="A550" s="153">
        <v>46308</v>
      </c>
      <c r="B550" s="200" t="s">
        <v>563</v>
      </c>
      <c r="C550" s="200" t="s">
        <v>53</v>
      </c>
      <c r="D550" s="200" t="s">
        <v>776</v>
      </c>
      <c r="E550" s="200" t="s">
        <v>707</v>
      </c>
      <c r="F550" s="200" t="s">
        <v>66</v>
      </c>
      <c r="G550" s="200" t="s">
        <v>764</v>
      </c>
      <c r="H550" s="200" t="s">
        <v>740</v>
      </c>
      <c r="I550" s="200" t="s">
        <v>710</v>
      </c>
      <c r="J550" s="158" t="s">
        <v>34</v>
      </c>
      <c r="K550" s="158" t="s">
        <v>2691</v>
      </c>
      <c r="L550" s="363" t="s">
        <v>2692</v>
      </c>
      <c r="M550" s="364">
        <v>0.89027777777777772</v>
      </c>
      <c r="N550" s="364">
        <v>0.90625</v>
      </c>
      <c r="O550" s="158" t="s">
        <v>1963</v>
      </c>
      <c r="P550" s="158" t="s">
        <v>1964</v>
      </c>
      <c r="Q550" s="158"/>
      <c r="R550" s="158"/>
      <c r="S550" s="158"/>
      <c r="T550" s="365"/>
      <c r="U550" s="365"/>
      <c r="V550" s="365"/>
    </row>
    <row r="551" spans="1:22" ht="25.5">
      <c r="A551" s="153">
        <v>46308</v>
      </c>
      <c r="B551" s="200" t="s">
        <v>563</v>
      </c>
      <c r="C551" s="200" t="s">
        <v>53</v>
      </c>
      <c r="D551" s="200" t="s">
        <v>776</v>
      </c>
      <c r="E551" s="200" t="s">
        <v>707</v>
      </c>
      <c r="F551" s="200" t="s">
        <v>66</v>
      </c>
      <c r="G551" s="200" t="s">
        <v>764</v>
      </c>
      <c r="H551" s="200" t="s">
        <v>709</v>
      </c>
      <c r="I551" s="200" t="s">
        <v>710</v>
      </c>
      <c r="J551" s="158" t="s">
        <v>34</v>
      </c>
      <c r="K551" s="158" t="s">
        <v>2693</v>
      </c>
      <c r="L551" s="363" t="s">
        <v>2008</v>
      </c>
      <c r="M551" s="364">
        <v>0.92361111111111116</v>
      </c>
      <c r="N551" s="364">
        <v>0.98611111111111116</v>
      </c>
      <c r="O551" s="158" t="s">
        <v>1963</v>
      </c>
      <c r="P551" s="158" t="s">
        <v>1964</v>
      </c>
      <c r="Q551" s="158"/>
      <c r="R551" s="158"/>
      <c r="S551" s="158"/>
      <c r="T551" s="365"/>
      <c r="U551" s="365"/>
      <c r="V551" s="365"/>
    </row>
    <row r="552" spans="1:22" ht="25.5">
      <c r="A552" s="153">
        <v>46308</v>
      </c>
      <c r="B552" s="200" t="s">
        <v>547</v>
      </c>
      <c r="C552" s="200" t="s">
        <v>53</v>
      </c>
      <c r="D552" s="200" t="s">
        <v>60</v>
      </c>
      <c r="E552" s="200" t="s">
        <v>707</v>
      </c>
      <c r="F552" s="200" t="s">
        <v>66</v>
      </c>
      <c r="G552" s="200" t="s">
        <v>764</v>
      </c>
      <c r="H552" s="200" t="s">
        <v>740</v>
      </c>
      <c r="I552" s="200" t="s">
        <v>710</v>
      </c>
      <c r="J552" s="158" t="s">
        <v>34</v>
      </c>
      <c r="K552" s="158" t="s">
        <v>2694</v>
      </c>
      <c r="L552" s="363" t="s">
        <v>2695</v>
      </c>
      <c r="M552" s="364">
        <v>0.98611111111111116</v>
      </c>
      <c r="N552" s="364">
        <v>6.9444444444444441E-3</v>
      </c>
      <c r="O552" s="158" t="s">
        <v>1964</v>
      </c>
      <c r="P552" s="158" t="s">
        <v>1963</v>
      </c>
      <c r="Q552" s="158"/>
      <c r="R552" s="158"/>
      <c r="S552" s="158"/>
      <c r="T552" s="365"/>
      <c r="U552" s="365"/>
      <c r="V552" s="365"/>
    </row>
    <row r="553" spans="1:22" ht="25.5">
      <c r="A553" s="153">
        <v>46308</v>
      </c>
      <c r="B553" s="200" t="s">
        <v>547</v>
      </c>
      <c r="C553" s="200" t="s">
        <v>53</v>
      </c>
      <c r="D553" s="200" t="s">
        <v>60</v>
      </c>
      <c r="E553" s="200" t="s">
        <v>707</v>
      </c>
      <c r="F553" s="200" t="s">
        <v>66</v>
      </c>
      <c r="G553" s="200" t="s">
        <v>764</v>
      </c>
      <c r="H553" s="200" t="s">
        <v>740</v>
      </c>
      <c r="I553" s="200" t="s">
        <v>710</v>
      </c>
      <c r="J553" s="158" t="s">
        <v>34</v>
      </c>
      <c r="K553" s="158" t="s">
        <v>2696</v>
      </c>
      <c r="L553" s="363" t="s">
        <v>2697</v>
      </c>
      <c r="M553" s="364">
        <v>6.9444444444444441E-3</v>
      </c>
      <c r="N553" s="364">
        <v>3.8194444444444448E-2</v>
      </c>
      <c r="O553" s="158" t="s">
        <v>1964</v>
      </c>
      <c r="P553" s="158" t="s">
        <v>1963</v>
      </c>
      <c r="Q553" s="158"/>
      <c r="R553" s="158"/>
      <c r="S553" s="158"/>
      <c r="T553" s="365"/>
      <c r="U553" s="365"/>
      <c r="V553" s="365"/>
    </row>
    <row r="554" spans="1:22" ht="25.5">
      <c r="A554" s="153">
        <v>46308</v>
      </c>
      <c r="B554" s="200" t="s">
        <v>547</v>
      </c>
      <c r="C554" s="200" t="s">
        <v>53</v>
      </c>
      <c r="D554" s="200" t="s">
        <v>60</v>
      </c>
      <c r="E554" s="200" t="s">
        <v>707</v>
      </c>
      <c r="F554" s="200" t="s">
        <v>66</v>
      </c>
      <c r="G554" s="200" t="s">
        <v>764</v>
      </c>
      <c r="H554" s="200" t="s">
        <v>740</v>
      </c>
      <c r="I554" s="200" t="s">
        <v>710</v>
      </c>
      <c r="J554" s="158" t="s">
        <v>34</v>
      </c>
      <c r="K554" s="158" t="s">
        <v>2698</v>
      </c>
      <c r="L554" s="363" t="s">
        <v>2680</v>
      </c>
      <c r="M554" s="364">
        <v>3.8194444444444448E-2</v>
      </c>
      <c r="N554" s="364">
        <v>6.9444444444444448E-2</v>
      </c>
      <c r="O554" s="158" t="s">
        <v>1964</v>
      </c>
      <c r="P554" s="158" t="s">
        <v>1963</v>
      </c>
      <c r="Q554" s="158"/>
      <c r="R554" s="158"/>
      <c r="S554" s="158"/>
      <c r="T554" s="365"/>
      <c r="U554" s="365"/>
      <c r="V554" s="365"/>
    </row>
    <row r="555" spans="1:22" ht="25.5">
      <c r="A555" s="153">
        <v>46308</v>
      </c>
      <c r="B555" s="200" t="s">
        <v>547</v>
      </c>
      <c r="C555" s="200" t="s">
        <v>53</v>
      </c>
      <c r="D555" s="200" t="s">
        <v>60</v>
      </c>
      <c r="E555" s="200" t="s">
        <v>707</v>
      </c>
      <c r="F555" s="200" t="s">
        <v>66</v>
      </c>
      <c r="G555" s="200" t="s">
        <v>764</v>
      </c>
      <c r="H555" s="200" t="s">
        <v>740</v>
      </c>
      <c r="I555" s="200" t="s">
        <v>710</v>
      </c>
      <c r="J555" s="158" t="s">
        <v>34</v>
      </c>
      <c r="K555" s="158" t="s">
        <v>2699</v>
      </c>
      <c r="L555" s="363" t="s">
        <v>2700</v>
      </c>
      <c r="M555" s="364">
        <v>7.9861111111111105E-2</v>
      </c>
      <c r="N555" s="364">
        <v>9.0277777777777776E-2</v>
      </c>
      <c r="O555" s="158" t="s">
        <v>1964</v>
      </c>
      <c r="P555" s="158" t="s">
        <v>1963</v>
      </c>
      <c r="Q555" s="158"/>
      <c r="R555" s="158"/>
      <c r="S555" s="158"/>
      <c r="T555" s="365"/>
      <c r="U555" s="365"/>
      <c r="V555" s="365"/>
    </row>
    <row r="556" spans="1:22" ht="25.5">
      <c r="A556" s="153">
        <v>46308</v>
      </c>
      <c r="B556" s="200" t="s">
        <v>547</v>
      </c>
      <c r="C556" s="200" t="s">
        <v>53</v>
      </c>
      <c r="D556" s="200" t="s">
        <v>60</v>
      </c>
      <c r="E556" s="200" t="s">
        <v>707</v>
      </c>
      <c r="F556" s="200" t="s">
        <v>66</v>
      </c>
      <c r="G556" s="200" t="s">
        <v>764</v>
      </c>
      <c r="H556" s="200" t="s">
        <v>709</v>
      </c>
      <c r="I556" s="200" t="s">
        <v>710</v>
      </c>
      <c r="J556" s="158" t="s">
        <v>34</v>
      </c>
      <c r="K556" s="158" t="s">
        <v>2701</v>
      </c>
      <c r="L556" s="363" t="s">
        <v>2008</v>
      </c>
      <c r="M556" s="364">
        <v>0.10069444444444445</v>
      </c>
      <c r="N556" s="364">
        <v>0.16319444444444445</v>
      </c>
      <c r="O556" s="158" t="s">
        <v>1964</v>
      </c>
      <c r="P556" s="158" t="s">
        <v>1963</v>
      </c>
      <c r="Q556" s="158"/>
      <c r="R556" s="158"/>
      <c r="S556" s="158"/>
      <c r="T556" s="365"/>
      <c r="U556" s="365"/>
      <c r="V556" s="365"/>
    </row>
    <row r="557" spans="1:22" ht="25.5">
      <c r="A557" s="153">
        <v>46308</v>
      </c>
      <c r="B557" s="200" t="s">
        <v>547</v>
      </c>
      <c r="C557" s="200" t="s">
        <v>53</v>
      </c>
      <c r="D557" s="200" t="s">
        <v>223</v>
      </c>
      <c r="E557" s="200" t="s">
        <v>815</v>
      </c>
      <c r="F557" s="200" t="s">
        <v>317</v>
      </c>
      <c r="G557" s="200" t="s">
        <v>764</v>
      </c>
      <c r="H557" s="200" t="s">
        <v>838</v>
      </c>
      <c r="I557" s="200" t="s">
        <v>710</v>
      </c>
      <c r="J557" s="158" t="s">
        <v>34</v>
      </c>
      <c r="K557" s="158" t="s">
        <v>2702</v>
      </c>
      <c r="L557" s="363" t="s">
        <v>848</v>
      </c>
      <c r="M557" s="364">
        <v>0.3125</v>
      </c>
      <c r="N557" s="364">
        <v>0.34027777777777779</v>
      </c>
      <c r="O557" s="158" t="s">
        <v>844</v>
      </c>
      <c r="P557" s="158"/>
      <c r="Q557" s="158"/>
      <c r="R557" s="158"/>
      <c r="S557" s="158"/>
      <c r="T557" s="365"/>
      <c r="U557" s="365"/>
      <c r="V557" s="365"/>
    </row>
    <row r="558" spans="1:22" ht="25.5">
      <c r="A558" s="153">
        <v>46308</v>
      </c>
      <c r="B558" s="200" t="s">
        <v>547</v>
      </c>
      <c r="C558" s="200" t="s">
        <v>53</v>
      </c>
      <c r="D558" s="200" t="s">
        <v>223</v>
      </c>
      <c r="E558" s="200" t="s">
        <v>815</v>
      </c>
      <c r="F558" s="200" t="s">
        <v>317</v>
      </c>
      <c r="G558" s="200" t="s">
        <v>764</v>
      </c>
      <c r="H558" s="200" t="s">
        <v>838</v>
      </c>
      <c r="I558" s="200" t="s">
        <v>710</v>
      </c>
      <c r="J558" s="158" t="s">
        <v>34</v>
      </c>
      <c r="K558" s="158" t="s">
        <v>2703</v>
      </c>
      <c r="L558" s="363" t="s">
        <v>855</v>
      </c>
      <c r="M558" s="364">
        <v>0.34097222222222223</v>
      </c>
      <c r="N558" s="364">
        <v>0.36875000000000002</v>
      </c>
      <c r="O558" s="158" t="s">
        <v>844</v>
      </c>
      <c r="P558" s="158"/>
      <c r="Q558" s="158"/>
      <c r="R558" s="158"/>
      <c r="S558" s="158"/>
      <c r="T558" s="365"/>
      <c r="U558" s="365"/>
      <c r="V558" s="365"/>
    </row>
    <row r="559" spans="1:22" ht="25.5">
      <c r="A559" s="153">
        <v>46308</v>
      </c>
      <c r="B559" s="200" t="s">
        <v>547</v>
      </c>
      <c r="C559" s="200" t="s">
        <v>53</v>
      </c>
      <c r="D559" s="200" t="s">
        <v>223</v>
      </c>
      <c r="E559" s="200" t="s">
        <v>815</v>
      </c>
      <c r="F559" s="200" t="s">
        <v>317</v>
      </c>
      <c r="G559" s="200" t="s">
        <v>764</v>
      </c>
      <c r="H559" s="200" t="s">
        <v>838</v>
      </c>
      <c r="I559" s="200" t="s">
        <v>710</v>
      </c>
      <c r="J559" s="158" t="s">
        <v>34</v>
      </c>
      <c r="K559" s="158" t="s">
        <v>2704</v>
      </c>
      <c r="L559" s="363" t="s">
        <v>864</v>
      </c>
      <c r="M559" s="364">
        <v>0.36944444444444446</v>
      </c>
      <c r="N559" s="364">
        <v>0.39027777777777778</v>
      </c>
      <c r="O559" s="158" t="s">
        <v>844</v>
      </c>
      <c r="P559" s="158"/>
      <c r="Q559" s="158"/>
      <c r="R559" s="158"/>
      <c r="S559" s="158"/>
      <c r="T559" s="365"/>
      <c r="U559" s="365"/>
      <c r="V559" s="365"/>
    </row>
    <row r="560" spans="1:22" ht="25.5">
      <c r="A560" s="153">
        <v>46308</v>
      </c>
      <c r="B560" s="200" t="s">
        <v>547</v>
      </c>
      <c r="C560" s="200" t="s">
        <v>53</v>
      </c>
      <c r="D560" s="200" t="s">
        <v>1596</v>
      </c>
      <c r="E560" s="200" t="s">
        <v>815</v>
      </c>
      <c r="F560" s="200" t="s">
        <v>317</v>
      </c>
      <c r="G560" s="200" t="s">
        <v>764</v>
      </c>
      <c r="H560" s="200" t="s">
        <v>838</v>
      </c>
      <c r="I560" s="200" t="s">
        <v>710</v>
      </c>
      <c r="J560" s="158" t="s">
        <v>34</v>
      </c>
      <c r="K560" s="158" t="s">
        <v>2705</v>
      </c>
      <c r="L560" s="363" t="s">
        <v>2706</v>
      </c>
      <c r="M560" s="364">
        <v>0.51388888888888884</v>
      </c>
      <c r="N560" s="364">
        <v>0.53472222222222221</v>
      </c>
      <c r="O560" s="158" t="s">
        <v>844</v>
      </c>
      <c r="P560" s="158"/>
      <c r="Q560" s="158"/>
      <c r="R560" s="158"/>
      <c r="S560" s="158"/>
      <c r="T560" s="365"/>
      <c r="U560" s="365"/>
      <c r="V560" s="365"/>
    </row>
    <row r="561" spans="1:22" ht="25.5">
      <c r="A561" s="153">
        <v>46308</v>
      </c>
      <c r="B561" s="200" t="s">
        <v>547</v>
      </c>
      <c r="C561" s="200" t="s">
        <v>53</v>
      </c>
      <c r="D561" s="200" t="s">
        <v>2294</v>
      </c>
      <c r="E561" s="200" t="s">
        <v>895</v>
      </c>
      <c r="F561" s="200" t="s">
        <v>317</v>
      </c>
      <c r="G561" s="200" t="s">
        <v>764</v>
      </c>
      <c r="H561" s="200" t="s">
        <v>838</v>
      </c>
      <c r="I561" s="200" t="s">
        <v>710</v>
      </c>
      <c r="J561" s="158" t="s">
        <v>34</v>
      </c>
      <c r="K561" s="158" t="s">
        <v>2707</v>
      </c>
      <c r="L561" s="363" t="s">
        <v>2708</v>
      </c>
      <c r="M561" s="364">
        <v>0.61805555555555558</v>
      </c>
      <c r="N561" s="364">
        <v>0.65972222222222221</v>
      </c>
      <c r="O561" s="158" t="s">
        <v>844</v>
      </c>
      <c r="P561" s="158"/>
      <c r="Q561" s="158"/>
      <c r="R561" s="158"/>
      <c r="S561" s="158"/>
      <c r="T561" s="365"/>
      <c r="U561" s="365"/>
      <c r="V561" s="365"/>
    </row>
    <row r="562" spans="1:22" ht="25.5">
      <c r="A562" s="153">
        <v>46308</v>
      </c>
      <c r="B562" s="200" t="s">
        <v>547</v>
      </c>
      <c r="C562" s="200" t="s">
        <v>53</v>
      </c>
      <c r="D562" s="200" t="s">
        <v>223</v>
      </c>
      <c r="E562" s="200" t="s">
        <v>895</v>
      </c>
      <c r="F562" s="200" t="s">
        <v>317</v>
      </c>
      <c r="G562" s="200" t="s">
        <v>764</v>
      </c>
      <c r="H562" s="200" t="s">
        <v>838</v>
      </c>
      <c r="I562" s="200" t="s">
        <v>710</v>
      </c>
      <c r="J562" s="158" t="s">
        <v>34</v>
      </c>
      <c r="K562" s="158" t="s">
        <v>2709</v>
      </c>
      <c r="L562" s="363" t="s">
        <v>2710</v>
      </c>
      <c r="M562" s="364">
        <v>0.75</v>
      </c>
      <c r="N562" s="364">
        <v>0.78472222222222221</v>
      </c>
      <c r="O562" s="158" t="s">
        <v>844</v>
      </c>
      <c r="P562" s="158"/>
      <c r="Q562" s="158"/>
      <c r="R562" s="158"/>
      <c r="S562" s="158"/>
      <c r="T562" s="365"/>
      <c r="U562" s="365"/>
      <c r="V562" s="365"/>
    </row>
    <row r="563" spans="1:22" ht="25.5">
      <c r="A563" s="153">
        <v>46308</v>
      </c>
      <c r="B563" s="200" t="s">
        <v>547</v>
      </c>
      <c r="C563" s="200" t="s">
        <v>53</v>
      </c>
      <c r="D563" s="200" t="s">
        <v>965</v>
      </c>
      <c r="E563" s="200" t="s">
        <v>707</v>
      </c>
      <c r="F563" s="200" t="s">
        <v>317</v>
      </c>
      <c r="G563" s="200" t="s">
        <v>708</v>
      </c>
      <c r="H563" s="200" t="s">
        <v>709</v>
      </c>
      <c r="I563" s="200" t="s">
        <v>710</v>
      </c>
      <c r="J563" s="158" t="s">
        <v>34</v>
      </c>
      <c r="K563" s="158" t="s">
        <v>2711</v>
      </c>
      <c r="L563" s="363" t="s">
        <v>946</v>
      </c>
      <c r="M563" s="364">
        <v>0.78819444444444442</v>
      </c>
      <c r="N563" s="364">
        <v>0.85069444444444442</v>
      </c>
      <c r="O563" s="158" t="s">
        <v>844</v>
      </c>
      <c r="P563" s="158" t="s">
        <v>2712</v>
      </c>
      <c r="Q563" s="158"/>
      <c r="R563" s="158"/>
      <c r="S563" s="158"/>
      <c r="T563" s="365"/>
      <c r="U563" s="365"/>
      <c r="V563" s="365"/>
    </row>
    <row r="564" spans="1:22" ht="25.5">
      <c r="A564" s="153">
        <v>46308</v>
      </c>
      <c r="B564" s="200" t="s">
        <v>556</v>
      </c>
      <c r="C564" s="200" t="s">
        <v>835</v>
      </c>
      <c r="D564" s="200" t="s">
        <v>1615</v>
      </c>
      <c r="E564" s="200" t="s">
        <v>707</v>
      </c>
      <c r="F564" s="200" t="s">
        <v>317</v>
      </c>
      <c r="G564" s="200" t="s">
        <v>708</v>
      </c>
      <c r="H564" s="200" t="s">
        <v>709</v>
      </c>
      <c r="I564" s="200" t="s">
        <v>710</v>
      </c>
      <c r="J564" s="158" t="s">
        <v>34</v>
      </c>
      <c r="K564" s="158" t="s">
        <v>2713</v>
      </c>
      <c r="L564" s="363" t="s">
        <v>2714</v>
      </c>
      <c r="M564" s="364">
        <v>0.85138888888888886</v>
      </c>
      <c r="N564" s="364">
        <v>0.86805555555555558</v>
      </c>
      <c r="O564" s="158" t="s">
        <v>2712</v>
      </c>
      <c r="P564" s="158"/>
      <c r="Q564" s="158"/>
      <c r="R564" s="158"/>
      <c r="S564" s="158"/>
      <c r="T564" s="365"/>
      <c r="U564" s="365"/>
      <c r="V564" s="365"/>
    </row>
    <row r="565" spans="1:22" ht="25.5">
      <c r="A565" s="153">
        <v>46308</v>
      </c>
      <c r="B565" s="200" t="s">
        <v>556</v>
      </c>
      <c r="C565" s="200" t="s">
        <v>835</v>
      </c>
      <c r="D565" s="200" t="s">
        <v>1615</v>
      </c>
      <c r="E565" s="200" t="s">
        <v>707</v>
      </c>
      <c r="F565" s="200" t="s">
        <v>317</v>
      </c>
      <c r="G565" s="200" t="s">
        <v>708</v>
      </c>
      <c r="H565" s="200" t="s">
        <v>709</v>
      </c>
      <c r="I565" s="200" t="s">
        <v>710</v>
      </c>
      <c r="J565" s="158" t="s">
        <v>34</v>
      </c>
      <c r="K565" s="158" t="s">
        <v>2715</v>
      </c>
      <c r="L565" s="363" t="s">
        <v>2716</v>
      </c>
      <c r="M565" s="364">
        <v>0.86875000000000002</v>
      </c>
      <c r="N565" s="364">
        <v>0.88888888888888884</v>
      </c>
      <c r="O565" s="158" t="s">
        <v>2712</v>
      </c>
      <c r="P565" s="158"/>
      <c r="Q565" s="158"/>
      <c r="R565" s="158"/>
      <c r="S565" s="158"/>
      <c r="T565" s="365"/>
      <c r="U565" s="365"/>
      <c r="V565" s="365"/>
    </row>
    <row r="566" spans="1:22" ht="25.5">
      <c r="A566" s="153">
        <v>46308</v>
      </c>
      <c r="B566" s="200" t="s">
        <v>556</v>
      </c>
      <c r="C566" s="200" t="s">
        <v>835</v>
      </c>
      <c r="D566" s="200" t="s">
        <v>1615</v>
      </c>
      <c r="E566" s="200" t="s">
        <v>707</v>
      </c>
      <c r="F566" s="200" t="s">
        <v>317</v>
      </c>
      <c r="G566" s="200" t="s">
        <v>708</v>
      </c>
      <c r="H566" s="200" t="s">
        <v>709</v>
      </c>
      <c r="I566" s="200" t="s">
        <v>710</v>
      </c>
      <c r="J566" s="158" t="s">
        <v>34</v>
      </c>
      <c r="K566" s="158" t="s">
        <v>2717</v>
      </c>
      <c r="L566" s="363" t="s">
        <v>946</v>
      </c>
      <c r="M566" s="364">
        <v>0.84861111111111109</v>
      </c>
      <c r="N566" s="364">
        <v>0.89027777777777772</v>
      </c>
      <c r="O566" s="158" t="s">
        <v>2712</v>
      </c>
      <c r="P566" s="158"/>
      <c r="Q566" s="158"/>
      <c r="R566" s="158"/>
      <c r="S566" s="158"/>
      <c r="T566" s="365"/>
      <c r="U566" s="365"/>
      <c r="V566" s="365"/>
    </row>
    <row r="567" spans="1:22" ht="25.5">
      <c r="A567" s="153">
        <v>46308</v>
      </c>
      <c r="B567" s="200" t="s">
        <v>547</v>
      </c>
      <c r="C567" s="200" t="s">
        <v>53</v>
      </c>
      <c r="D567" s="200" t="s">
        <v>2294</v>
      </c>
      <c r="E567" s="200" t="s">
        <v>707</v>
      </c>
      <c r="F567" s="200" t="s">
        <v>317</v>
      </c>
      <c r="G567" s="200" t="s">
        <v>708</v>
      </c>
      <c r="H567" s="200" t="s">
        <v>709</v>
      </c>
      <c r="I567" s="200" t="s">
        <v>710</v>
      </c>
      <c r="J567" s="158" t="s">
        <v>34</v>
      </c>
      <c r="K567" s="158" t="s">
        <v>2718</v>
      </c>
      <c r="L567" s="363" t="s">
        <v>2719</v>
      </c>
      <c r="M567" s="364">
        <v>0.89236111111111116</v>
      </c>
      <c r="N567" s="364">
        <v>0.91527777777777775</v>
      </c>
      <c r="O567" s="158" t="s">
        <v>2712</v>
      </c>
      <c r="P567" s="158"/>
      <c r="Q567" s="158"/>
      <c r="R567" s="158"/>
      <c r="S567" s="158"/>
      <c r="T567" s="365"/>
      <c r="U567" s="365"/>
      <c r="V567" s="365"/>
    </row>
    <row r="568" spans="1:22" ht="25.5">
      <c r="A568" s="153">
        <v>46308</v>
      </c>
      <c r="B568" s="200" t="s">
        <v>547</v>
      </c>
      <c r="C568" s="200" t="s">
        <v>53</v>
      </c>
      <c r="D568" s="200" t="s">
        <v>2294</v>
      </c>
      <c r="E568" s="200" t="s">
        <v>707</v>
      </c>
      <c r="F568" s="200" t="s">
        <v>317</v>
      </c>
      <c r="G568" s="200" t="s">
        <v>708</v>
      </c>
      <c r="H568" s="200" t="s">
        <v>709</v>
      </c>
      <c r="I568" s="200" t="s">
        <v>710</v>
      </c>
      <c r="J568" s="158" t="s">
        <v>34</v>
      </c>
      <c r="K568" s="158" t="s">
        <v>2720</v>
      </c>
      <c r="L568" s="363" t="s">
        <v>2721</v>
      </c>
      <c r="M568" s="364">
        <v>0.91597222222222219</v>
      </c>
      <c r="N568" s="364">
        <v>0.92986111111111114</v>
      </c>
      <c r="O568" s="158" t="s">
        <v>2712</v>
      </c>
      <c r="P568" s="158"/>
      <c r="Q568" s="158"/>
      <c r="R568" s="158"/>
      <c r="S568" s="158"/>
      <c r="T568" s="365"/>
      <c r="U568" s="365"/>
      <c r="V568" s="365"/>
    </row>
    <row r="569" spans="1:22" ht="25.5">
      <c r="A569" s="153">
        <v>46308</v>
      </c>
      <c r="B569" s="200" t="s">
        <v>547</v>
      </c>
      <c r="C569" s="200" t="s">
        <v>53</v>
      </c>
      <c r="D569" s="200" t="s">
        <v>2294</v>
      </c>
      <c r="E569" s="200" t="s">
        <v>707</v>
      </c>
      <c r="F569" s="200" t="s">
        <v>317</v>
      </c>
      <c r="G569" s="200" t="s">
        <v>708</v>
      </c>
      <c r="H569" s="200" t="s">
        <v>709</v>
      </c>
      <c r="I569" s="200" t="s">
        <v>710</v>
      </c>
      <c r="J569" s="158" t="s">
        <v>34</v>
      </c>
      <c r="K569" s="158" t="s">
        <v>2722</v>
      </c>
      <c r="L569" s="363" t="s">
        <v>946</v>
      </c>
      <c r="M569" s="364">
        <v>0.93055555555555558</v>
      </c>
      <c r="N569" s="364">
        <v>0.97569444444444442</v>
      </c>
      <c r="O569" s="158" t="s">
        <v>2712</v>
      </c>
      <c r="P569" s="158"/>
      <c r="Q569" s="158"/>
      <c r="R569" s="158"/>
      <c r="S569" s="158"/>
      <c r="T569" s="365"/>
      <c r="U569" s="365"/>
      <c r="V569" s="365"/>
    </row>
    <row r="570" spans="1:22" ht="25.5">
      <c r="A570" s="153">
        <v>46308</v>
      </c>
      <c r="B570" s="200" t="s">
        <v>549</v>
      </c>
      <c r="C570" s="200" t="s">
        <v>746</v>
      </c>
      <c r="D570" s="200" t="s">
        <v>2723</v>
      </c>
      <c r="E570" s="200" t="s">
        <v>707</v>
      </c>
      <c r="F570" s="200" t="s">
        <v>317</v>
      </c>
      <c r="G570" s="200" t="s">
        <v>708</v>
      </c>
      <c r="H570" s="200" t="s">
        <v>709</v>
      </c>
      <c r="I570" s="200" t="s">
        <v>710</v>
      </c>
      <c r="J570" s="158" t="s">
        <v>34</v>
      </c>
      <c r="K570" s="158" t="s">
        <v>2724</v>
      </c>
      <c r="L570" s="363" t="s">
        <v>2725</v>
      </c>
      <c r="M570" s="364">
        <v>0.97916666666666663</v>
      </c>
      <c r="N570" s="364">
        <v>0.99652777777777779</v>
      </c>
      <c r="O570" s="158" t="s">
        <v>2712</v>
      </c>
      <c r="P570" s="158"/>
      <c r="Q570" s="158"/>
      <c r="R570" s="158"/>
      <c r="S570" s="158"/>
      <c r="T570" s="365"/>
      <c r="U570" s="365"/>
      <c r="V570" s="365"/>
    </row>
    <row r="571" spans="1:22" ht="25.5">
      <c r="A571" s="153">
        <v>46308</v>
      </c>
      <c r="B571" s="200" t="s">
        <v>549</v>
      </c>
      <c r="C571" s="200" t="s">
        <v>746</v>
      </c>
      <c r="D571" s="200" t="s">
        <v>2723</v>
      </c>
      <c r="E571" s="200" t="s">
        <v>707</v>
      </c>
      <c r="F571" s="200" t="s">
        <v>317</v>
      </c>
      <c r="G571" s="200" t="s">
        <v>708</v>
      </c>
      <c r="H571" s="200" t="s">
        <v>709</v>
      </c>
      <c r="I571" s="200" t="s">
        <v>710</v>
      </c>
      <c r="J571" s="158" t="s">
        <v>34</v>
      </c>
      <c r="K571" s="158" t="s">
        <v>2726</v>
      </c>
      <c r="L571" s="363" t="s">
        <v>2727</v>
      </c>
      <c r="M571" s="364">
        <v>0.99722222222222223</v>
      </c>
      <c r="N571" s="364">
        <v>1.7361111111111112E-2</v>
      </c>
      <c r="O571" s="158" t="s">
        <v>2712</v>
      </c>
      <c r="P571" s="158"/>
      <c r="Q571" s="158"/>
      <c r="R571" s="158"/>
      <c r="S571" s="158"/>
      <c r="T571" s="365"/>
      <c r="U571" s="365"/>
      <c r="V571" s="365"/>
    </row>
    <row r="572" spans="1:22" ht="12.75">
      <c r="A572" s="153">
        <v>46308</v>
      </c>
      <c r="B572" s="200" t="s">
        <v>549</v>
      </c>
      <c r="C572" s="200" t="s">
        <v>746</v>
      </c>
      <c r="D572" s="200" t="s">
        <v>2723</v>
      </c>
      <c r="E572" s="200" t="s">
        <v>707</v>
      </c>
      <c r="F572" s="200" t="s">
        <v>317</v>
      </c>
      <c r="G572" s="200" t="s">
        <v>708</v>
      </c>
      <c r="H572" s="200" t="s">
        <v>709</v>
      </c>
      <c r="I572" s="200" t="s">
        <v>710</v>
      </c>
      <c r="J572" s="158" t="s">
        <v>34</v>
      </c>
      <c r="K572" s="158" t="s">
        <v>2728</v>
      </c>
      <c r="L572" s="363" t="s">
        <v>2729</v>
      </c>
      <c r="M572" s="364">
        <v>1.8055555555555554E-2</v>
      </c>
      <c r="N572" s="364">
        <v>3.7499999999999999E-2</v>
      </c>
      <c r="O572" s="158" t="s">
        <v>2712</v>
      </c>
      <c r="P572" s="158"/>
      <c r="Q572" s="158"/>
      <c r="R572" s="158"/>
      <c r="S572" s="158"/>
      <c r="T572" s="365"/>
      <c r="U572" s="365"/>
      <c r="V572" s="365"/>
    </row>
    <row r="573" spans="1:22" ht="12.75">
      <c r="A573" s="153">
        <v>46308</v>
      </c>
      <c r="B573" s="200" t="s">
        <v>549</v>
      </c>
      <c r="C573" s="200" t="s">
        <v>746</v>
      </c>
      <c r="D573" s="200" t="s">
        <v>2723</v>
      </c>
      <c r="E573" s="200" t="s">
        <v>707</v>
      </c>
      <c r="F573" s="200" t="s">
        <v>317</v>
      </c>
      <c r="G573" s="200" t="s">
        <v>708</v>
      </c>
      <c r="H573" s="200" t="s">
        <v>709</v>
      </c>
      <c r="I573" s="200" t="s">
        <v>710</v>
      </c>
      <c r="J573" s="158" t="s">
        <v>34</v>
      </c>
      <c r="K573" s="158" t="s">
        <v>2730</v>
      </c>
      <c r="L573" s="363" t="s">
        <v>2731</v>
      </c>
      <c r="M573" s="364">
        <v>3.8194444444444448E-2</v>
      </c>
      <c r="N573" s="364">
        <v>5.1388888888888887E-2</v>
      </c>
      <c r="O573" s="158" t="s">
        <v>2712</v>
      </c>
      <c r="P573" s="158"/>
      <c r="Q573" s="158"/>
      <c r="R573" s="158"/>
      <c r="S573" s="158"/>
      <c r="T573" s="365"/>
      <c r="U573" s="365"/>
      <c r="V573" s="365"/>
    </row>
    <row r="574" spans="1:22" ht="25.5">
      <c r="A574" s="153">
        <v>46308</v>
      </c>
      <c r="B574" s="200" t="s">
        <v>549</v>
      </c>
      <c r="C574" s="200" t="s">
        <v>746</v>
      </c>
      <c r="D574" s="200" t="s">
        <v>2723</v>
      </c>
      <c r="E574" s="200" t="s">
        <v>707</v>
      </c>
      <c r="F574" s="200" t="s">
        <v>317</v>
      </c>
      <c r="G574" s="200" t="s">
        <v>708</v>
      </c>
      <c r="H574" s="200" t="s">
        <v>709</v>
      </c>
      <c r="I574" s="200" t="s">
        <v>710</v>
      </c>
      <c r="J574" s="158" t="s">
        <v>34</v>
      </c>
      <c r="K574" s="158" t="s">
        <v>2732</v>
      </c>
      <c r="L574" s="363" t="s">
        <v>946</v>
      </c>
      <c r="M574" s="364">
        <v>5.2083333333333336E-2</v>
      </c>
      <c r="N574" s="364">
        <v>0.13541666666666666</v>
      </c>
      <c r="O574" s="158" t="s">
        <v>2712</v>
      </c>
      <c r="P574" s="158"/>
      <c r="Q574" s="158"/>
      <c r="R574" s="158"/>
      <c r="S574" s="158"/>
      <c r="T574" s="365"/>
      <c r="U574" s="365"/>
      <c r="V574" s="365"/>
    </row>
    <row r="575" spans="1:22" ht="25.5">
      <c r="A575" s="153">
        <v>46308</v>
      </c>
      <c r="B575" s="200" t="s">
        <v>563</v>
      </c>
      <c r="C575" s="200" t="s">
        <v>53</v>
      </c>
      <c r="D575" s="200" t="s">
        <v>1330</v>
      </c>
      <c r="E575" s="200" t="s">
        <v>707</v>
      </c>
      <c r="F575" s="200" t="s">
        <v>317</v>
      </c>
      <c r="G575" s="200" t="s">
        <v>708</v>
      </c>
      <c r="H575" s="200" t="s">
        <v>709</v>
      </c>
      <c r="I575" s="200" t="s">
        <v>710</v>
      </c>
      <c r="J575" s="158" t="s">
        <v>34</v>
      </c>
      <c r="K575" s="158" t="s">
        <v>2733</v>
      </c>
      <c r="L575" s="363" t="s">
        <v>2734</v>
      </c>
      <c r="M575" s="364">
        <v>0.13750000000000001</v>
      </c>
      <c r="N575" s="364">
        <v>0.15833333333333333</v>
      </c>
      <c r="O575" s="158" t="s">
        <v>2712</v>
      </c>
      <c r="P575" s="158"/>
      <c r="Q575" s="158"/>
      <c r="R575" s="158"/>
      <c r="S575" s="158"/>
      <c r="T575" s="365"/>
      <c r="U575" s="365"/>
      <c r="V575" s="365"/>
    </row>
    <row r="576" spans="1:22" ht="25.5">
      <c r="A576" s="153">
        <v>46308</v>
      </c>
      <c r="B576" s="200" t="s">
        <v>563</v>
      </c>
      <c r="C576" s="200" t="s">
        <v>53</v>
      </c>
      <c r="D576" s="200" t="s">
        <v>1330</v>
      </c>
      <c r="E576" s="200" t="s">
        <v>707</v>
      </c>
      <c r="F576" s="200" t="s">
        <v>317</v>
      </c>
      <c r="G576" s="200" t="s">
        <v>708</v>
      </c>
      <c r="H576" s="200" t="s">
        <v>709</v>
      </c>
      <c r="I576" s="200" t="s">
        <v>710</v>
      </c>
      <c r="J576" s="158" t="s">
        <v>34</v>
      </c>
      <c r="K576" s="158" t="s">
        <v>2735</v>
      </c>
      <c r="L576" s="363" t="s">
        <v>946</v>
      </c>
      <c r="M576" s="364">
        <v>0.16666666666666666</v>
      </c>
      <c r="N576" s="364">
        <v>0.25</v>
      </c>
      <c r="O576" s="158" t="s">
        <v>2712</v>
      </c>
      <c r="P576" s="158"/>
      <c r="Q576" s="158"/>
      <c r="R576" s="158"/>
      <c r="S576" s="158"/>
      <c r="T576" s="365"/>
      <c r="U576" s="365"/>
      <c r="V576" s="365"/>
    </row>
    <row r="577" spans="1:22" ht="25.5">
      <c r="A577" s="153">
        <v>46308</v>
      </c>
      <c r="B577" s="200" t="s">
        <v>547</v>
      </c>
      <c r="C577" s="200" t="s">
        <v>53</v>
      </c>
      <c r="D577" s="200" t="s">
        <v>292</v>
      </c>
      <c r="E577" s="200" t="s">
        <v>895</v>
      </c>
      <c r="F577" s="200" t="s">
        <v>322</v>
      </c>
      <c r="G577" s="200" t="s">
        <v>764</v>
      </c>
      <c r="H577" s="200" t="s">
        <v>709</v>
      </c>
      <c r="I577" s="200" t="s">
        <v>710</v>
      </c>
      <c r="J577" s="158" t="s">
        <v>34</v>
      </c>
      <c r="K577" s="158" t="s">
        <v>2736</v>
      </c>
      <c r="L577" s="363" t="s">
        <v>2737</v>
      </c>
      <c r="M577" s="364">
        <v>0.27083333333333331</v>
      </c>
      <c r="N577" s="364">
        <v>0.29166666666666669</v>
      </c>
      <c r="O577" s="158">
        <v>142244</v>
      </c>
      <c r="P577" s="158"/>
      <c r="Q577" s="158"/>
      <c r="R577" s="158"/>
      <c r="S577" s="158"/>
      <c r="T577" s="365"/>
      <c r="U577" s="365"/>
      <c r="V577" s="365"/>
    </row>
    <row r="578" spans="1:22" ht="25.5">
      <c r="A578" s="153">
        <v>46308</v>
      </c>
      <c r="B578" s="200" t="s">
        <v>547</v>
      </c>
      <c r="C578" s="200" t="s">
        <v>53</v>
      </c>
      <c r="D578" s="200" t="s">
        <v>292</v>
      </c>
      <c r="E578" s="200" t="s">
        <v>895</v>
      </c>
      <c r="F578" s="200" t="s">
        <v>322</v>
      </c>
      <c r="G578" s="200" t="s">
        <v>764</v>
      </c>
      <c r="H578" s="200" t="s">
        <v>709</v>
      </c>
      <c r="I578" s="200" t="s">
        <v>710</v>
      </c>
      <c r="J578" s="158" t="s">
        <v>34</v>
      </c>
      <c r="K578" s="158" t="s">
        <v>2738</v>
      </c>
      <c r="L578" s="363" t="s">
        <v>2739</v>
      </c>
      <c r="M578" s="364">
        <v>0.29166666666666669</v>
      </c>
      <c r="N578" s="364">
        <v>0.3125</v>
      </c>
      <c r="O578" s="158">
        <v>142244</v>
      </c>
      <c r="P578" s="158"/>
      <c r="Q578" s="158"/>
      <c r="R578" s="158"/>
      <c r="S578" s="158"/>
      <c r="T578" s="365"/>
      <c r="U578" s="365"/>
      <c r="V578" s="365"/>
    </row>
    <row r="579" spans="1:22" ht="38.25">
      <c r="A579" s="153">
        <v>46308</v>
      </c>
      <c r="B579" s="200" t="s">
        <v>547</v>
      </c>
      <c r="C579" s="200" t="s">
        <v>53</v>
      </c>
      <c r="D579" s="200" t="s">
        <v>292</v>
      </c>
      <c r="E579" s="200" t="s">
        <v>895</v>
      </c>
      <c r="F579" s="200" t="s">
        <v>322</v>
      </c>
      <c r="G579" s="200" t="s">
        <v>764</v>
      </c>
      <c r="H579" s="200" t="s">
        <v>709</v>
      </c>
      <c r="I579" s="200" t="s">
        <v>710</v>
      </c>
      <c r="J579" s="158" t="s">
        <v>34</v>
      </c>
      <c r="K579" s="158" t="s">
        <v>2740</v>
      </c>
      <c r="L579" s="363" t="s">
        <v>2741</v>
      </c>
      <c r="M579" s="364">
        <v>0.30208333333333331</v>
      </c>
      <c r="N579" s="364">
        <v>0.3125</v>
      </c>
      <c r="O579" s="158">
        <v>142244</v>
      </c>
      <c r="P579" s="158"/>
      <c r="Q579" s="158"/>
      <c r="R579" s="158"/>
      <c r="S579" s="158"/>
      <c r="T579" s="365"/>
      <c r="U579" s="365"/>
      <c r="V579" s="365"/>
    </row>
    <row r="580" spans="1:22" ht="38.25">
      <c r="A580" s="153">
        <v>46308</v>
      </c>
      <c r="B580" s="200" t="s">
        <v>547</v>
      </c>
      <c r="C580" s="200" t="s">
        <v>53</v>
      </c>
      <c r="D580" s="200" t="s">
        <v>319</v>
      </c>
      <c r="E580" s="200" t="s">
        <v>1008</v>
      </c>
      <c r="F580" s="200" t="s">
        <v>322</v>
      </c>
      <c r="G580" s="200" t="s">
        <v>764</v>
      </c>
      <c r="H580" s="200" t="s">
        <v>709</v>
      </c>
      <c r="I580" s="200" t="s">
        <v>710</v>
      </c>
      <c r="J580" s="158" t="s">
        <v>34</v>
      </c>
      <c r="K580" s="158" t="s">
        <v>2742</v>
      </c>
      <c r="L580" s="363" t="s">
        <v>2743</v>
      </c>
      <c r="M580" s="364">
        <v>0.4236111111111111</v>
      </c>
      <c r="N580" s="364">
        <v>0.44444444444444442</v>
      </c>
      <c r="O580" s="158">
        <v>142244</v>
      </c>
      <c r="P580" s="158"/>
      <c r="Q580" s="158"/>
      <c r="R580" s="158"/>
      <c r="S580" s="158"/>
      <c r="T580" s="365"/>
      <c r="U580" s="365"/>
      <c r="V580" s="365"/>
    </row>
    <row r="581" spans="1:22" ht="38.25">
      <c r="A581" s="153">
        <v>46308</v>
      </c>
      <c r="B581" s="200" t="s">
        <v>547</v>
      </c>
      <c r="C581" s="200" t="s">
        <v>53</v>
      </c>
      <c r="D581" s="200" t="s">
        <v>227</v>
      </c>
      <c r="E581" s="200" t="s">
        <v>895</v>
      </c>
      <c r="F581" s="200" t="s">
        <v>322</v>
      </c>
      <c r="G581" s="200" t="s">
        <v>764</v>
      </c>
      <c r="H581" s="200" t="s">
        <v>709</v>
      </c>
      <c r="I581" s="200" t="s">
        <v>710</v>
      </c>
      <c r="J581" s="158" t="s">
        <v>34</v>
      </c>
      <c r="K581" s="158" t="s">
        <v>2744</v>
      </c>
      <c r="L581" s="363" t="s">
        <v>2745</v>
      </c>
      <c r="M581" s="364">
        <v>0.36875000000000002</v>
      </c>
      <c r="N581" s="364">
        <v>0.38958333333333334</v>
      </c>
      <c r="O581" s="158">
        <v>145329</v>
      </c>
      <c r="P581" s="158">
        <v>83124751</v>
      </c>
      <c r="Q581" s="158"/>
      <c r="R581" s="158"/>
      <c r="S581" s="158"/>
      <c r="T581" s="365"/>
      <c r="U581" s="365"/>
      <c r="V581" s="365"/>
    </row>
    <row r="582" spans="1:22" ht="25.5">
      <c r="A582" s="153">
        <v>46308</v>
      </c>
      <c r="B582" s="200" t="s">
        <v>547</v>
      </c>
      <c r="C582" s="200" t="s">
        <v>53</v>
      </c>
      <c r="D582" s="200" t="s">
        <v>227</v>
      </c>
      <c r="E582" s="200" t="s">
        <v>895</v>
      </c>
      <c r="F582" s="200" t="s">
        <v>322</v>
      </c>
      <c r="G582" s="200" t="s">
        <v>764</v>
      </c>
      <c r="H582" s="200" t="s">
        <v>709</v>
      </c>
      <c r="I582" s="200" t="s">
        <v>710</v>
      </c>
      <c r="J582" s="158" t="s">
        <v>34</v>
      </c>
      <c r="K582" s="158" t="s">
        <v>2746</v>
      </c>
      <c r="L582" s="363" t="s">
        <v>2747</v>
      </c>
      <c r="M582" s="364">
        <v>0.3888888888888889</v>
      </c>
      <c r="N582" s="364">
        <v>0.40972222222222221</v>
      </c>
      <c r="O582" s="158">
        <v>145329</v>
      </c>
      <c r="P582" s="158">
        <v>83124751</v>
      </c>
      <c r="Q582" s="158"/>
      <c r="R582" s="158"/>
      <c r="S582" s="158"/>
      <c r="T582" s="365"/>
      <c r="U582" s="365"/>
      <c r="V582" s="365"/>
    </row>
    <row r="583" spans="1:22" ht="25.5">
      <c r="A583" s="153">
        <v>46308</v>
      </c>
      <c r="B583" s="200" t="s">
        <v>547</v>
      </c>
      <c r="C583" s="200" t="s">
        <v>53</v>
      </c>
      <c r="D583" s="200" t="s">
        <v>227</v>
      </c>
      <c r="E583" s="200" t="s">
        <v>895</v>
      </c>
      <c r="F583" s="200" t="s">
        <v>322</v>
      </c>
      <c r="G583" s="200" t="s">
        <v>764</v>
      </c>
      <c r="H583" s="200" t="s">
        <v>709</v>
      </c>
      <c r="I583" s="200" t="s">
        <v>710</v>
      </c>
      <c r="J583" s="158" t="s">
        <v>34</v>
      </c>
      <c r="K583" s="158" t="s">
        <v>2748</v>
      </c>
      <c r="L583" s="363" t="s">
        <v>2749</v>
      </c>
      <c r="M583" s="364">
        <v>0.40625</v>
      </c>
      <c r="N583" s="364">
        <v>0.44791666666666669</v>
      </c>
      <c r="O583" s="158">
        <v>145329</v>
      </c>
      <c r="P583" s="158">
        <v>142244</v>
      </c>
      <c r="Q583" s="158"/>
      <c r="R583" s="158"/>
      <c r="S583" s="158"/>
      <c r="T583" s="365"/>
      <c r="U583" s="365"/>
      <c r="V583" s="365"/>
    </row>
    <row r="584" spans="1:22" ht="25.5">
      <c r="A584" s="153">
        <v>46308</v>
      </c>
      <c r="B584" s="200" t="s">
        <v>547</v>
      </c>
      <c r="C584" s="200" t="s">
        <v>53</v>
      </c>
      <c r="D584" s="200" t="s">
        <v>227</v>
      </c>
      <c r="E584" s="200" t="s">
        <v>895</v>
      </c>
      <c r="F584" s="200" t="s">
        <v>322</v>
      </c>
      <c r="G584" s="200" t="s">
        <v>764</v>
      </c>
      <c r="H584" s="200" t="s">
        <v>709</v>
      </c>
      <c r="I584" s="200" t="s">
        <v>710</v>
      </c>
      <c r="J584" s="158" t="s">
        <v>34</v>
      </c>
      <c r="K584" s="158" t="s">
        <v>2750</v>
      </c>
      <c r="L584" s="363" t="s">
        <v>2751</v>
      </c>
      <c r="M584" s="364">
        <v>0.42708333333333331</v>
      </c>
      <c r="N584" s="364">
        <v>0.44791666666666669</v>
      </c>
      <c r="O584" s="158">
        <v>145329</v>
      </c>
      <c r="P584" s="158"/>
      <c r="Q584" s="158"/>
      <c r="R584" s="158"/>
      <c r="S584" s="158"/>
      <c r="T584" s="365"/>
      <c r="U584" s="365"/>
      <c r="V584" s="365"/>
    </row>
    <row r="585" spans="1:22" ht="25.5">
      <c r="A585" s="153">
        <v>46308</v>
      </c>
      <c r="B585" s="200" t="s">
        <v>547</v>
      </c>
      <c r="C585" s="200" t="s">
        <v>53</v>
      </c>
      <c r="D585" s="200" t="s">
        <v>390</v>
      </c>
      <c r="E585" s="200" t="s">
        <v>707</v>
      </c>
      <c r="F585" s="200" t="s">
        <v>322</v>
      </c>
      <c r="G585" s="200" t="s">
        <v>764</v>
      </c>
      <c r="H585" s="200" t="s">
        <v>709</v>
      </c>
      <c r="I585" s="200" t="s">
        <v>710</v>
      </c>
      <c r="J585" s="158" t="s">
        <v>34</v>
      </c>
      <c r="K585" s="158" t="s">
        <v>2752</v>
      </c>
      <c r="L585" s="363" t="s">
        <v>2753</v>
      </c>
      <c r="M585" s="364">
        <v>0.70972222222222225</v>
      </c>
      <c r="N585" s="364">
        <v>0.72430555555555554</v>
      </c>
      <c r="O585" s="158">
        <v>145329</v>
      </c>
      <c r="P585" s="158"/>
      <c r="Q585" s="158"/>
      <c r="R585" s="158"/>
      <c r="S585" s="158"/>
      <c r="T585" s="365"/>
      <c r="U585" s="365"/>
      <c r="V585" s="365"/>
    </row>
    <row r="586" spans="1:22" ht="25.5">
      <c r="A586" s="153">
        <v>46308</v>
      </c>
      <c r="B586" s="200" t="s">
        <v>547</v>
      </c>
      <c r="C586" s="200" t="s">
        <v>53</v>
      </c>
      <c r="D586" s="200" t="s">
        <v>319</v>
      </c>
      <c r="E586" s="200" t="s">
        <v>707</v>
      </c>
      <c r="F586" s="200" t="s">
        <v>322</v>
      </c>
      <c r="G586" s="200" t="s">
        <v>708</v>
      </c>
      <c r="H586" s="200" t="s">
        <v>709</v>
      </c>
      <c r="I586" s="200" t="s">
        <v>710</v>
      </c>
      <c r="J586" s="158" t="s">
        <v>34</v>
      </c>
      <c r="K586" s="158" t="s">
        <v>2754</v>
      </c>
      <c r="L586" s="363" t="s">
        <v>2755</v>
      </c>
      <c r="M586" s="364">
        <v>0.89583333333333337</v>
      </c>
      <c r="N586" s="364">
        <v>0.91666666666666663</v>
      </c>
      <c r="O586" s="158">
        <v>83086304</v>
      </c>
      <c r="P586" s="158"/>
      <c r="Q586" s="158"/>
      <c r="R586" s="158"/>
      <c r="S586" s="158"/>
      <c r="T586" s="365"/>
      <c r="U586" s="365"/>
      <c r="V586" s="365"/>
    </row>
    <row r="587" spans="1:22" ht="25.5">
      <c r="A587" s="153">
        <v>46308</v>
      </c>
      <c r="B587" s="200" t="s">
        <v>547</v>
      </c>
      <c r="C587" s="200" t="s">
        <v>53</v>
      </c>
      <c r="D587" s="200" t="s">
        <v>319</v>
      </c>
      <c r="E587" s="200" t="s">
        <v>707</v>
      </c>
      <c r="F587" s="200" t="s">
        <v>322</v>
      </c>
      <c r="G587" s="200" t="s">
        <v>708</v>
      </c>
      <c r="H587" s="200" t="s">
        <v>709</v>
      </c>
      <c r="I587" s="200" t="s">
        <v>710</v>
      </c>
      <c r="J587" s="158" t="s">
        <v>34</v>
      </c>
      <c r="K587" s="158" t="s">
        <v>2756</v>
      </c>
      <c r="L587" s="363" t="s">
        <v>2757</v>
      </c>
      <c r="M587" s="364">
        <v>0.91666666666666663</v>
      </c>
      <c r="N587" s="364">
        <v>0.9375</v>
      </c>
      <c r="O587" s="158">
        <v>83086304</v>
      </c>
      <c r="P587" s="158"/>
      <c r="Q587" s="158"/>
      <c r="R587" s="158"/>
      <c r="S587" s="158"/>
      <c r="T587" s="365"/>
      <c r="U587" s="365"/>
      <c r="V587" s="365"/>
    </row>
    <row r="588" spans="1:22" ht="25.5">
      <c r="A588" s="153">
        <v>46308</v>
      </c>
      <c r="B588" s="200" t="s">
        <v>547</v>
      </c>
      <c r="C588" s="200" t="s">
        <v>53</v>
      </c>
      <c r="D588" s="200" t="s">
        <v>319</v>
      </c>
      <c r="E588" s="200" t="s">
        <v>707</v>
      </c>
      <c r="F588" s="200" t="s">
        <v>322</v>
      </c>
      <c r="G588" s="200" t="s">
        <v>708</v>
      </c>
      <c r="H588" s="200" t="s">
        <v>709</v>
      </c>
      <c r="I588" s="200" t="s">
        <v>710</v>
      </c>
      <c r="J588" s="158" t="s">
        <v>34</v>
      </c>
      <c r="K588" s="158" t="s">
        <v>2758</v>
      </c>
      <c r="L588" s="363" t="s">
        <v>2759</v>
      </c>
      <c r="M588" s="364">
        <v>0.93055555555555558</v>
      </c>
      <c r="N588" s="364">
        <v>0.95138888888888884</v>
      </c>
      <c r="O588" s="158">
        <v>83086304</v>
      </c>
      <c r="P588" s="158"/>
      <c r="Q588" s="158"/>
      <c r="R588" s="158"/>
      <c r="S588" s="158"/>
      <c r="T588" s="365"/>
      <c r="U588" s="365"/>
      <c r="V588" s="365"/>
    </row>
    <row r="589" spans="1:22" ht="25.5">
      <c r="A589" s="153">
        <v>46308</v>
      </c>
      <c r="B589" s="200" t="s">
        <v>547</v>
      </c>
      <c r="C589" s="200" t="s">
        <v>53</v>
      </c>
      <c r="D589" s="200" t="s">
        <v>319</v>
      </c>
      <c r="E589" s="200" t="s">
        <v>707</v>
      </c>
      <c r="F589" s="200" t="s">
        <v>322</v>
      </c>
      <c r="G589" s="200" t="s">
        <v>708</v>
      </c>
      <c r="H589" s="200" t="s">
        <v>709</v>
      </c>
      <c r="I589" s="200" t="s">
        <v>710</v>
      </c>
      <c r="J589" s="158" t="s">
        <v>34</v>
      </c>
      <c r="K589" s="158" t="s">
        <v>2760</v>
      </c>
      <c r="L589" s="363" t="s">
        <v>2761</v>
      </c>
      <c r="M589" s="364">
        <v>0.94791666666666663</v>
      </c>
      <c r="N589" s="364">
        <v>1.0416666666666666E-2</v>
      </c>
      <c r="O589" s="158">
        <v>83086304</v>
      </c>
      <c r="P589" s="158"/>
      <c r="Q589" s="158"/>
      <c r="R589" s="158"/>
      <c r="S589" s="158"/>
      <c r="T589" s="365"/>
      <c r="U589" s="365"/>
      <c r="V589" s="365"/>
    </row>
    <row r="590" spans="1:22" ht="25.5">
      <c r="A590" s="153">
        <v>46308</v>
      </c>
      <c r="B590" s="200" t="s">
        <v>547</v>
      </c>
      <c r="C590" s="200" t="s">
        <v>53</v>
      </c>
      <c r="D590" s="200" t="s">
        <v>319</v>
      </c>
      <c r="E590" s="200" t="s">
        <v>707</v>
      </c>
      <c r="F590" s="200" t="s">
        <v>322</v>
      </c>
      <c r="G590" s="200" t="s">
        <v>708</v>
      </c>
      <c r="H590" s="200" t="s">
        <v>709</v>
      </c>
      <c r="I590" s="200" t="s">
        <v>710</v>
      </c>
      <c r="J590" s="158" t="s">
        <v>34</v>
      </c>
      <c r="K590" s="158" t="s">
        <v>2762</v>
      </c>
      <c r="L590" s="363" t="s">
        <v>2763</v>
      </c>
      <c r="M590" s="364">
        <v>0.97222222222222221</v>
      </c>
      <c r="N590" s="364">
        <v>0.99305555555555558</v>
      </c>
      <c r="O590" s="158">
        <v>83086304</v>
      </c>
      <c r="P590" s="158"/>
      <c r="Q590" s="158"/>
      <c r="R590" s="158"/>
      <c r="S590" s="158"/>
      <c r="T590" s="365"/>
      <c r="U590" s="365"/>
      <c r="V590" s="365"/>
    </row>
    <row r="591" spans="1:22" ht="25.5">
      <c r="A591" s="153">
        <v>46308</v>
      </c>
      <c r="B591" s="200" t="s">
        <v>547</v>
      </c>
      <c r="C591" s="200" t="s">
        <v>53</v>
      </c>
      <c r="D591" s="200" t="s">
        <v>319</v>
      </c>
      <c r="E591" s="200" t="s">
        <v>707</v>
      </c>
      <c r="F591" s="200" t="s">
        <v>322</v>
      </c>
      <c r="G591" s="200" t="s">
        <v>708</v>
      </c>
      <c r="H591" s="200" t="s">
        <v>709</v>
      </c>
      <c r="I591" s="200" t="s">
        <v>710</v>
      </c>
      <c r="J591" s="158" t="s">
        <v>34</v>
      </c>
      <c r="K591" s="158" t="s">
        <v>2764</v>
      </c>
      <c r="L591" s="363" t="s">
        <v>2765</v>
      </c>
      <c r="M591" s="364">
        <v>7.6388888888888895E-2</v>
      </c>
      <c r="N591" s="364">
        <v>8.6805555555555552E-2</v>
      </c>
      <c r="O591" s="158">
        <v>83086304</v>
      </c>
      <c r="P591" s="158"/>
      <c r="Q591" s="158"/>
      <c r="R591" s="158"/>
      <c r="S591" s="158"/>
      <c r="T591" s="365"/>
      <c r="U591" s="365"/>
      <c r="V591" s="365"/>
    </row>
    <row r="592" spans="1:22" ht="25.5">
      <c r="A592" s="153">
        <v>46308</v>
      </c>
      <c r="B592" s="200" t="s">
        <v>547</v>
      </c>
      <c r="C592" s="200" t="s">
        <v>53</v>
      </c>
      <c r="D592" s="200" t="s">
        <v>390</v>
      </c>
      <c r="E592" s="200" t="s">
        <v>707</v>
      </c>
      <c r="F592" s="200" t="s">
        <v>322</v>
      </c>
      <c r="G592" s="200" t="s">
        <v>708</v>
      </c>
      <c r="H592" s="200" t="s">
        <v>709</v>
      </c>
      <c r="I592" s="200" t="s">
        <v>710</v>
      </c>
      <c r="J592" s="158" t="s">
        <v>34</v>
      </c>
      <c r="K592" s="158" t="s">
        <v>2766</v>
      </c>
      <c r="L592" s="363" t="s">
        <v>2767</v>
      </c>
      <c r="M592" s="364">
        <v>0.84375</v>
      </c>
      <c r="N592" s="364">
        <v>0.86458333333333337</v>
      </c>
      <c r="O592" s="158">
        <v>145341</v>
      </c>
      <c r="P592" s="158"/>
      <c r="Q592" s="158"/>
      <c r="R592" s="158"/>
      <c r="S592" s="158"/>
      <c r="T592" s="365"/>
      <c r="U592" s="365"/>
      <c r="V592" s="365"/>
    </row>
    <row r="593" spans="1:22" ht="25.5">
      <c r="A593" s="153">
        <v>46308</v>
      </c>
      <c r="B593" s="200" t="s">
        <v>547</v>
      </c>
      <c r="C593" s="200" t="s">
        <v>53</v>
      </c>
      <c r="D593" s="200" t="s">
        <v>390</v>
      </c>
      <c r="E593" s="200" t="s">
        <v>707</v>
      </c>
      <c r="F593" s="200" t="s">
        <v>322</v>
      </c>
      <c r="G593" s="200" t="s">
        <v>708</v>
      </c>
      <c r="H593" s="200" t="s">
        <v>709</v>
      </c>
      <c r="I593" s="200" t="s">
        <v>710</v>
      </c>
      <c r="J593" s="158" t="s">
        <v>34</v>
      </c>
      <c r="K593" s="158" t="s">
        <v>2768</v>
      </c>
      <c r="L593" s="363" t="s">
        <v>2769</v>
      </c>
      <c r="M593" s="364">
        <v>0.86458333333333337</v>
      </c>
      <c r="N593" s="364">
        <v>0.88541666666666663</v>
      </c>
      <c r="O593" s="158">
        <v>145341</v>
      </c>
      <c r="P593" s="158"/>
      <c r="Q593" s="158"/>
      <c r="R593" s="158"/>
      <c r="S593" s="158"/>
      <c r="T593" s="365"/>
      <c r="U593" s="365"/>
      <c r="V593" s="365"/>
    </row>
    <row r="594" spans="1:22" ht="25.5">
      <c r="A594" s="153">
        <v>46308</v>
      </c>
      <c r="B594" s="200" t="s">
        <v>547</v>
      </c>
      <c r="C594" s="200" t="s">
        <v>53</v>
      </c>
      <c r="D594" s="200" t="s">
        <v>390</v>
      </c>
      <c r="E594" s="200" t="s">
        <v>707</v>
      </c>
      <c r="F594" s="200" t="s">
        <v>322</v>
      </c>
      <c r="G594" s="200" t="s">
        <v>708</v>
      </c>
      <c r="H594" s="200" t="s">
        <v>709</v>
      </c>
      <c r="I594" s="200" t="s">
        <v>710</v>
      </c>
      <c r="J594" s="158" t="s">
        <v>34</v>
      </c>
      <c r="K594" s="158" t="s">
        <v>2770</v>
      </c>
      <c r="L594" s="363" t="s">
        <v>2771</v>
      </c>
      <c r="M594" s="364">
        <v>0.88541666666666663</v>
      </c>
      <c r="N594" s="364">
        <v>0.89583333333333337</v>
      </c>
      <c r="O594" s="158">
        <v>145341</v>
      </c>
      <c r="P594" s="158"/>
      <c r="Q594" s="158"/>
      <c r="R594" s="158"/>
      <c r="S594" s="158"/>
      <c r="T594" s="365"/>
      <c r="U594" s="365"/>
      <c r="V594" s="365"/>
    </row>
    <row r="595" spans="1:22" ht="25.5">
      <c r="A595" s="153">
        <v>46308</v>
      </c>
      <c r="B595" s="200" t="s">
        <v>547</v>
      </c>
      <c r="C595" s="200" t="s">
        <v>53</v>
      </c>
      <c r="D595" s="200" t="s">
        <v>390</v>
      </c>
      <c r="E595" s="200" t="s">
        <v>707</v>
      </c>
      <c r="F595" s="200" t="s">
        <v>322</v>
      </c>
      <c r="G595" s="200" t="s">
        <v>708</v>
      </c>
      <c r="H595" s="200" t="s">
        <v>709</v>
      </c>
      <c r="I595" s="200" t="s">
        <v>710</v>
      </c>
      <c r="J595" s="158" t="s">
        <v>34</v>
      </c>
      <c r="K595" s="158" t="s">
        <v>2772</v>
      </c>
      <c r="L595" s="363" t="s">
        <v>2773</v>
      </c>
      <c r="M595" s="364">
        <v>0.88541666666666663</v>
      </c>
      <c r="N595" s="364">
        <v>0.89583333333333337</v>
      </c>
      <c r="O595" s="158">
        <v>145341</v>
      </c>
      <c r="P595" s="158"/>
      <c r="Q595" s="158"/>
      <c r="R595" s="158"/>
      <c r="S595" s="158"/>
      <c r="T595" s="365"/>
      <c r="U595" s="365"/>
      <c r="V595" s="365"/>
    </row>
    <row r="596" spans="1:22" ht="25.5">
      <c r="A596" s="153">
        <v>46308</v>
      </c>
      <c r="B596" s="200" t="s">
        <v>547</v>
      </c>
      <c r="C596" s="200" t="s">
        <v>53</v>
      </c>
      <c r="D596" s="200" t="s">
        <v>390</v>
      </c>
      <c r="E596" s="200" t="s">
        <v>707</v>
      </c>
      <c r="F596" s="200" t="s">
        <v>322</v>
      </c>
      <c r="G596" s="200" t="s">
        <v>708</v>
      </c>
      <c r="H596" s="200" t="s">
        <v>709</v>
      </c>
      <c r="I596" s="200" t="s">
        <v>710</v>
      </c>
      <c r="J596" s="158" t="s">
        <v>34</v>
      </c>
      <c r="K596" s="158" t="s">
        <v>2774</v>
      </c>
      <c r="L596" s="363" t="s">
        <v>1096</v>
      </c>
      <c r="M596" s="364">
        <v>0.89583333333333337</v>
      </c>
      <c r="N596" s="364">
        <v>0.97916666666666663</v>
      </c>
      <c r="O596" s="158">
        <v>145341</v>
      </c>
      <c r="P596" s="158">
        <v>83102211</v>
      </c>
      <c r="Q596" s="158"/>
      <c r="R596" s="158"/>
      <c r="S596" s="158"/>
      <c r="T596" s="365"/>
      <c r="U596" s="365"/>
      <c r="V596" s="365"/>
    </row>
    <row r="597" spans="1:22" ht="25.5">
      <c r="A597" s="153">
        <v>46308</v>
      </c>
      <c r="B597" s="200" t="s">
        <v>547</v>
      </c>
      <c r="C597" s="200" t="s">
        <v>53</v>
      </c>
      <c r="D597" s="200" t="s">
        <v>390</v>
      </c>
      <c r="E597" s="200" t="s">
        <v>707</v>
      </c>
      <c r="F597" s="200" t="s">
        <v>322</v>
      </c>
      <c r="G597" s="200" t="s">
        <v>708</v>
      </c>
      <c r="H597" s="200" t="s">
        <v>709</v>
      </c>
      <c r="I597" s="200" t="s">
        <v>710</v>
      </c>
      <c r="J597" s="158" t="s">
        <v>34</v>
      </c>
      <c r="K597" s="158" t="s">
        <v>2775</v>
      </c>
      <c r="L597" s="363" t="s">
        <v>2776</v>
      </c>
      <c r="M597" s="364">
        <v>0.95833333333333337</v>
      </c>
      <c r="N597" s="364">
        <v>0.97916666666666663</v>
      </c>
      <c r="O597" s="158">
        <v>145341</v>
      </c>
      <c r="P597" s="158"/>
      <c r="Q597" s="158"/>
      <c r="R597" s="158"/>
      <c r="S597" s="158"/>
      <c r="T597" s="365"/>
      <c r="U597" s="365"/>
      <c r="V597" s="365"/>
    </row>
    <row r="598" spans="1:22" ht="25.5">
      <c r="A598" s="153">
        <v>46308</v>
      </c>
      <c r="B598" s="200" t="s">
        <v>547</v>
      </c>
      <c r="C598" s="200" t="s">
        <v>53</v>
      </c>
      <c r="D598" s="200" t="s">
        <v>390</v>
      </c>
      <c r="E598" s="200" t="s">
        <v>707</v>
      </c>
      <c r="F598" s="200" t="s">
        <v>322</v>
      </c>
      <c r="G598" s="200" t="s">
        <v>708</v>
      </c>
      <c r="H598" s="200" t="s">
        <v>709</v>
      </c>
      <c r="I598" s="200" t="s">
        <v>710</v>
      </c>
      <c r="J598" s="158" t="s">
        <v>34</v>
      </c>
      <c r="K598" s="158" t="s">
        <v>2777</v>
      </c>
      <c r="L598" s="363" t="s">
        <v>2778</v>
      </c>
      <c r="M598" s="364">
        <v>0.97916666666666663</v>
      </c>
      <c r="N598" s="364">
        <v>0</v>
      </c>
      <c r="O598" s="158">
        <v>145341</v>
      </c>
      <c r="P598" s="158"/>
      <c r="Q598" s="158"/>
      <c r="R598" s="158"/>
      <c r="S598" s="158"/>
      <c r="T598" s="365"/>
      <c r="U598" s="365"/>
      <c r="V598" s="365"/>
    </row>
    <row r="599" spans="1:22" ht="25.5">
      <c r="A599" s="153">
        <v>46308</v>
      </c>
      <c r="B599" s="200" t="s">
        <v>547</v>
      </c>
      <c r="C599" s="200" t="s">
        <v>53</v>
      </c>
      <c r="D599" s="200" t="s">
        <v>390</v>
      </c>
      <c r="E599" s="200" t="s">
        <v>707</v>
      </c>
      <c r="F599" s="200" t="s">
        <v>322</v>
      </c>
      <c r="G599" s="200" t="s">
        <v>708</v>
      </c>
      <c r="H599" s="200" t="s">
        <v>709</v>
      </c>
      <c r="I599" s="200" t="s">
        <v>710</v>
      </c>
      <c r="J599" s="158" t="s">
        <v>34</v>
      </c>
      <c r="K599" s="158" t="s">
        <v>2779</v>
      </c>
      <c r="L599" s="363" t="s">
        <v>2780</v>
      </c>
      <c r="M599" s="364">
        <v>0</v>
      </c>
      <c r="N599" s="364">
        <v>1.0416666666666666E-2</v>
      </c>
      <c r="O599" s="158">
        <v>83102211</v>
      </c>
      <c r="P599" s="158"/>
      <c r="Q599" s="158"/>
      <c r="R599" s="158"/>
      <c r="S599" s="158"/>
      <c r="T599" s="365"/>
      <c r="U599" s="365"/>
      <c r="V599" s="365"/>
    </row>
    <row r="600" spans="1:22" ht="25.5">
      <c r="A600" s="153">
        <v>46308</v>
      </c>
      <c r="B600" s="200" t="s">
        <v>547</v>
      </c>
      <c r="C600" s="200" t="s">
        <v>53</v>
      </c>
      <c r="D600" s="200" t="s">
        <v>390</v>
      </c>
      <c r="E600" s="200" t="s">
        <v>707</v>
      </c>
      <c r="F600" s="200" t="s">
        <v>322</v>
      </c>
      <c r="G600" s="200" t="s">
        <v>708</v>
      </c>
      <c r="H600" s="200" t="s">
        <v>709</v>
      </c>
      <c r="I600" s="200" t="s">
        <v>710</v>
      </c>
      <c r="J600" s="158" t="s">
        <v>34</v>
      </c>
      <c r="K600" s="158" t="s">
        <v>2781</v>
      </c>
      <c r="L600" s="363" t="s">
        <v>2782</v>
      </c>
      <c r="M600" s="364">
        <v>1.0416666666666666E-2</v>
      </c>
      <c r="N600" s="364">
        <v>3.125E-2</v>
      </c>
      <c r="O600" s="158">
        <v>145341</v>
      </c>
      <c r="P600" s="158"/>
      <c r="Q600" s="158"/>
      <c r="R600" s="158"/>
      <c r="S600" s="158"/>
      <c r="T600" s="365"/>
      <c r="U600" s="365"/>
      <c r="V600" s="365"/>
    </row>
    <row r="601" spans="1:22" ht="25.5">
      <c r="A601" s="153">
        <v>46308</v>
      </c>
      <c r="B601" s="200" t="s">
        <v>547</v>
      </c>
      <c r="C601" s="200" t="s">
        <v>53</v>
      </c>
      <c r="D601" s="200" t="s">
        <v>390</v>
      </c>
      <c r="E601" s="200" t="s">
        <v>707</v>
      </c>
      <c r="F601" s="200" t="s">
        <v>322</v>
      </c>
      <c r="G601" s="200" t="s">
        <v>708</v>
      </c>
      <c r="H601" s="200" t="s">
        <v>709</v>
      </c>
      <c r="I601" s="200" t="s">
        <v>710</v>
      </c>
      <c r="J601" s="158" t="s">
        <v>34</v>
      </c>
      <c r="K601" s="158" t="s">
        <v>2783</v>
      </c>
      <c r="L601" s="363" t="s">
        <v>2784</v>
      </c>
      <c r="M601" s="364">
        <v>1.0416666666666666E-2</v>
      </c>
      <c r="N601" s="364">
        <v>3.125E-2</v>
      </c>
      <c r="O601" s="158">
        <v>145341</v>
      </c>
      <c r="P601" s="158"/>
      <c r="Q601" s="158"/>
      <c r="R601" s="158"/>
      <c r="S601" s="158"/>
      <c r="T601" s="365"/>
      <c r="U601" s="365"/>
      <c r="V601" s="365"/>
    </row>
    <row r="602" spans="1:22" ht="38.25">
      <c r="A602" s="153">
        <v>46308</v>
      </c>
      <c r="B602" s="200" t="s">
        <v>547</v>
      </c>
      <c r="C602" s="200" t="s">
        <v>53</v>
      </c>
      <c r="D602" s="200" t="s">
        <v>390</v>
      </c>
      <c r="E602" s="200" t="s">
        <v>707</v>
      </c>
      <c r="F602" s="200" t="s">
        <v>322</v>
      </c>
      <c r="G602" s="200" t="s">
        <v>708</v>
      </c>
      <c r="H602" s="200" t="s">
        <v>709</v>
      </c>
      <c r="I602" s="200" t="s">
        <v>710</v>
      </c>
      <c r="J602" s="158" t="s">
        <v>34</v>
      </c>
      <c r="K602" s="158" t="s">
        <v>2785</v>
      </c>
      <c r="L602" s="363" t="s">
        <v>2786</v>
      </c>
      <c r="M602" s="364">
        <v>0.84375</v>
      </c>
      <c r="N602" s="364">
        <v>0.86458333333333337</v>
      </c>
      <c r="O602" s="158">
        <v>145341</v>
      </c>
      <c r="P602" s="158"/>
      <c r="Q602" s="158"/>
      <c r="R602" s="158"/>
      <c r="S602" s="158"/>
      <c r="T602" s="365"/>
      <c r="U602" s="365"/>
      <c r="V602" s="365"/>
    </row>
    <row r="603" spans="1:22" ht="25.5">
      <c r="A603" s="153">
        <v>46308</v>
      </c>
      <c r="B603" s="200" t="s">
        <v>547</v>
      </c>
      <c r="C603" s="200" t="s">
        <v>53</v>
      </c>
      <c r="D603" s="200" t="s">
        <v>390</v>
      </c>
      <c r="E603" s="200" t="s">
        <v>707</v>
      </c>
      <c r="F603" s="200" t="s">
        <v>322</v>
      </c>
      <c r="G603" s="200" t="s">
        <v>708</v>
      </c>
      <c r="H603" s="200" t="s">
        <v>709</v>
      </c>
      <c r="I603" s="200" t="s">
        <v>710</v>
      </c>
      <c r="J603" s="158" t="s">
        <v>34</v>
      </c>
      <c r="K603" s="158" t="s">
        <v>2787</v>
      </c>
      <c r="L603" s="363" t="s">
        <v>2788</v>
      </c>
      <c r="M603" s="364">
        <v>3.125E-2</v>
      </c>
      <c r="N603" s="364">
        <v>5.2083333333333336E-2</v>
      </c>
      <c r="O603" s="158">
        <v>145341</v>
      </c>
      <c r="P603" s="158"/>
      <c r="Q603" s="158"/>
      <c r="R603" s="158"/>
      <c r="S603" s="158"/>
      <c r="T603" s="365"/>
      <c r="U603" s="365"/>
      <c r="V603" s="365"/>
    </row>
    <row r="604" spans="1:22" ht="25.5">
      <c r="A604" s="153">
        <v>46308</v>
      </c>
      <c r="B604" s="200" t="s">
        <v>547</v>
      </c>
      <c r="C604" s="200" t="s">
        <v>53</v>
      </c>
      <c r="D604" s="200" t="s">
        <v>390</v>
      </c>
      <c r="E604" s="200" t="s">
        <v>707</v>
      </c>
      <c r="F604" s="200" t="s">
        <v>322</v>
      </c>
      <c r="G604" s="200" t="s">
        <v>708</v>
      </c>
      <c r="H604" s="200" t="s">
        <v>709</v>
      </c>
      <c r="I604" s="200" t="s">
        <v>710</v>
      </c>
      <c r="J604" s="158" t="s">
        <v>34</v>
      </c>
      <c r="K604" s="158" t="s">
        <v>2789</v>
      </c>
      <c r="L604" s="363" t="s">
        <v>2790</v>
      </c>
      <c r="M604" s="364">
        <v>0.16666666666666666</v>
      </c>
      <c r="N604" s="364">
        <v>0.1875</v>
      </c>
      <c r="O604" s="158">
        <v>83102211</v>
      </c>
      <c r="P604" s="158"/>
      <c r="Q604" s="158"/>
      <c r="R604" s="158"/>
      <c r="S604" s="158"/>
      <c r="T604" s="365"/>
      <c r="U604" s="365"/>
      <c r="V604" s="365"/>
    </row>
    <row r="605" spans="1:22" ht="25.5">
      <c r="A605" s="153">
        <v>46308</v>
      </c>
      <c r="B605" s="200" t="s">
        <v>547</v>
      </c>
      <c r="C605" s="200" t="s">
        <v>53</v>
      </c>
      <c r="D605" s="200" t="s">
        <v>390</v>
      </c>
      <c r="E605" s="200" t="s">
        <v>707</v>
      </c>
      <c r="F605" s="200" t="s">
        <v>322</v>
      </c>
      <c r="G605" s="200" t="s">
        <v>708</v>
      </c>
      <c r="H605" s="200" t="s">
        <v>709</v>
      </c>
      <c r="I605" s="200" t="s">
        <v>710</v>
      </c>
      <c r="J605" s="158" t="s">
        <v>34</v>
      </c>
      <c r="K605" s="158" t="s">
        <v>2791</v>
      </c>
      <c r="L605" s="363" t="s">
        <v>1157</v>
      </c>
      <c r="M605" s="364">
        <v>4.1666666666666664E-2</v>
      </c>
      <c r="N605" s="364">
        <v>0.125</v>
      </c>
      <c r="O605" s="158">
        <v>145341</v>
      </c>
      <c r="P605" s="158">
        <v>83102211</v>
      </c>
      <c r="Q605" s="158"/>
      <c r="R605" s="158"/>
      <c r="S605" s="158"/>
      <c r="T605" s="365"/>
      <c r="U605" s="365"/>
      <c r="V605" s="365"/>
    </row>
    <row r="606" spans="1:22" ht="25.5">
      <c r="A606" s="153">
        <v>46308</v>
      </c>
      <c r="B606" s="200" t="s">
        <v>547</v>
      </c>
      <c r="C606" s="200" t="s">
        <v>53</v>
      </c>
      <c r="D606" s="200" t="s">
        <v>1192</v>
      </c>
      <c r="E606" s="200" t="s">
        <v>815</v>
      </c>
      <c r="F606" s="200" t="s">
        <v>55</v>
      </c>
      <c r="G606" s="200" t="s">
        <v>764</v>
      </c>
      <c r="H606" s="200" t="s">
        <v>740</v>
      </c>
      <c r="I606" s="200" t="s">
        <v>710</v>
      </c>
      <c r="J606" s="158" t="s">
        <v>34</v>
      </c>
      <c r="K606" s="158" t="s">
        <v>1745</v>
      </c>
      <c r="L606" s="363" t="s">
        <v>1705</v>
      </c>
      <c r="M606" s="158"/>
      <c r="N606" s="158"/>
      <c r="O606" s="158">
        <v>135020</v>
      </c>
      <c r="P606" s="158"/>
      <c r="Q606" s="158"/>
      <c r="R606" s="158"/>
      <c r="S606" s="158"/>
      <c r="T606" s="365"/>
      <c r="U606" s="365"/>
      <c r="V606" s="365"/>
    </row>
    <row r="607" spans="1:22" ht="25.5">
      <c r="A607" s="153">
        <v>46308</v>
      </c>
      <c r="B607" s="200" t="s">
        <v>547</v>
      </c>
      <c r="C607" s="200" t="s">
        <v>90</v>
      </c>
      <c r="D607" s="200" t="s">
        <v>859</v>
      </c>
      <c r="E607" s="200" t="s">
        <v>815</v>
      </c>
      <c r="F607" s="200" t="s">
        <v>55</v>
      </c>
      <c r="G607" s="200" t="s">
        <v>764</v>
      </c>
      <c r="H607" s="200" t="s">
        <v>740</v>
      </c>
      <c r="I607" s="200" t="s">
        <v>710</v>
      </c>
      <c r="J607" s="158" t="s">
        <v>34</v>
      </c>
      <c r="K607" s="158" t="s">
        <v>1751</v>
      </c>
      <c r="L607" s="363" t="s">
        <v>1705</v>
      </c>
      <c r="M607" s="158"/>
      <c r="N607" s="158"/>
      <c r="O607" s="158">
        <v>135020</v>
      </c>
      <c r="P607" s="158"/>
      <c r="Q607" s="158"/>
      <c r="R607" s="158"/>
      <c r="S607" s="158"/>
      <c r="T607" s="365"/>
      <c r="U607" s="365"/>
      <c r="V607" s="365"/>
    </row>
    <row r="608" spans="1:22" ht="25.5">
      <c r="A608" s="153">
        <v>46308</v>
      </c>
      <c r="B608" s="200" t="s">
        <v>547</v>
      </c>
      <c r="C608" s="200" t="s">
        <v>53</v>
      </c>
      <c r="D608" s="200" t="s">
        <v>201</v>
      </c>
      <c r="E608" s="200" t="s">
        <v>815</v>
      </c>
      <c r="F608" s="200" t="s">
        <v>55</v>
      </c>
      <c r="G608" s="200" t="s">
        <v>764</v>
      </c>
      <c r="H608" s="200" t="s">
        <v>740</v>
      </c>
      <c r="I608" s="200" t="s">
        <v>710</v>
      </c>
      <c r="J608" s="158" t="s">
        <v>34</v>
      </c>
      <c r="K608" s="158" t="s">
        <v>1756</v>
      </c>
      <c r="L608" s="363" t="s">
        <v>1705</v>
      </c>
      <c r="M608" s="158"/>
      <c r="N608" s="158"/>
      <c r="O608" s="158">
        <v>135020</v>
      </c>
      <c r="P608" s="158"/>
      <c r="Q608" s="158"/>
      <c r="R608" s="158"/>
      <c r="S608" s="158"/>
      <c r="T608" s="365"/>
      <c r="U608" s="365"/>
      <c r="V608" s="365"/>
    </row>
    <row r="609" spans="1:22" ht="25.5">
      <c r="A609" s="153">
        <v>46308</v>
      </c>
      <c r="B609" s="200" t="s">
        <v>547</v>
      </c>
      <c r="C609" s="200" t="s">
        <v>53</v>
      </c>
      <c r="D609" s="200" t="s">
        <v>1932</v>
      </c>
      <c r="E609" s="200" t="s">
        <v>895</v>
      </c>
      <c r="F609" s="200" t="s">
        <v>55</v>
      </c>
      <c r="G609" s="200" t="s">
        <v>764</v>
      </c>
      <c r="H609" s="200" t="s">
        <v>740</v>
      </c>
      <c r="I609" s="200" t="s">
        <v>710</v>
      </c>
      <c r="J609" s="158" t="s">
        <v>34</v>
      </c>
      <c r="K609" s="158" t="s">
        <v>2792</v>
      </c>
      <c r="L609" s="363" t="s">
        <v>2793</v>
      </c>
      <c r="M609" s="364">
        <v>0.3298611111111111</v>
      </c>
      <c r="N609" s="364">
        <v>0.34027777777777779</v>
      </c>
      <c r="O609" s="158">
        <v>145572</v>
      </c>
      <c r="P609" s="158">
        <v>150927</v>
      </c>
      <c r="Q609" s="158"/>
      <c r="R609" s="158"/>
      <c r="S609" s="158"/>
      <c r="T609" s="365"/>
      <c r="U609" s="365"/>
      <c r="V609" s="365"/>
    </row>
    <row r="610" spans="1:22" ht="25.5">
      <c r="A610" s="153">
        <v>46308</v>
      </c>
      <c r="B610" s="200" t="s">
        <v>547</v>
      </c>
      <c r="C610" s="200" t="s">
        <v>53</v>
      </c>
      <c r="D610" s="200" t="s">
        <v>1932</v>
      </c>
      <c r="E610" s="200" t="s">
        <v>895</v>
      </c>
      <c r="F610" s="200" t="s">
        <v>55</v>
      </c>
      <c r="G610" s="200" t="s">
        <v>764</v>
      </c>
      <c r="H610" s="200" t="s">
        <v>740</v>
      </c>
      <c r="I610" s="200" t="s">
        <v>710</v>
      </c>
      <c r="J610" s="158" t="s">
        <v>34</v>
      </c>
      <c r="K610" s="158" t="s">
        <v>2794</v>
      </c>
      <c r="L610" s="363" t="s">
        <v>2795</v>
      </c>
      <c r="M610" s="364">
        <v>0.2951388888888889</v>
      </c>
      <c r="N610" s="364">
        <v>0.31597222222222221</v>
      </c>
      <c r="O610" s="158">
        <v>145572</v>
      </c>
      <c r="P610" s="158">
        <v>150927</v>
      </c>
      <c r="Q610" s="158"/>
      <c r="R610" s="158"/>
      <c r="S610" s="158"/>
      <c r="T610" s="365"/>
      <c r="U610" s="365"/>
      <c r="V610" s="365"/>
    </row>
    <row r="611" spans="1:22" ht="25.5">
      <c r="A611" s="153">
        <v>46308</v>
      </c>
      <c r="B611" s="200" t="s">
        <v>547</v>
      </c>
      <c r="C611" s="200" t="s">
        <v>53</v>
      </c>
      <c r="D611" s="200" t="s">
        <v>285</v>
      </c>
      <c r="E611" s="200" t="s">
        <v>895</v>
      </c>
      <c r="F611" s="200" t="s">
        <v>55</v>
      </c>
      <c r="G611" s="200" t="s">
        <v>764</v>
      </c>
      <c r="H611" s="200" t="s">
        <v>740</v>
      </c>
      <c r="I611" s="200" t="s">
        <v>710</v>
      </c>
      <c r="J611" s="158" t="s">
        <v>34</v>
      </c>
      <c r="K611" s="158" t="s">
        <v>2796</v>
      </c>
      <c r="L611" s="363" t="s">
        <v>2797</v>
      </c>
      <c r="M611" s="364">
        <v>0.35069444444444442</v>
      </c>
      <c r="N611" s="364">
        <v>0.3611111111111111</v>
      </c>
      <c r="O611" s="158">
        <v>145572</v>
      </c>
      <c r="P611" s="158">
        <v>200378</v>
      </c>
      <c r="Q611" s="158"/>
      <c r="R611" s="158"/>
      <c r="S611" s="158"/>
      <c r="T611" s="365"/>
      <c r="U611" s="365"/>
      <c r="V611" s="365"/>
    </row>
    <row r="612" spans="1:22" ht="25.5">
      <c r="A612" s="153">
        <v>46308</v>
      </c>
      <c r="B612" s="200" t="s">
        <v>547</v>
      </c>
      <c r="C612" s="200" t="s">
        <v>53</v>
      </c>
      <c r="D612" s="200" t="s">
        <v>285</v>
      </c>
      <c r="E612" s="200" t="s">
        <v>895</v>
      </c>
      <c r="F612" s="200" t="s">
        <v>55</v>
      </c>
      <c r="G612" s="200" t="s">
        <v>764</v>
      </c>
      <c r="H612" s="200" t="s">
        <v>740</v>
      </c>
      <c r="I612" s="200" t="s">
        <v>710</v>
      </c>
      <c r="J612" s="158" t="s">
        <v>34</v>
      </c>
      <c r="K612" s="158" t="s">
        <v>2798</v>
      </c>
      <c r="L612" s="363" t="s">
        <v>2799</v>
      </c>
      <c r="M612" s="364">
        <v>0.3611111111111111</v>
      </c>
      <c r="N612" s="364">
        <v>0.37152777777777779</v>
      </c>
      <c r="O612" s="158">
        <v>145572</v>
      </c>
      <c r="P612" s="158">
        <v>200378</v>
      </c>
      <c r="Q612" s="158"/>
      <c r="R612" s="158"/>
      <c r="S612" s="158"/>
      <c r="T612" s="365"/>
      <c r="U612" s="365"/>
      <c r="V612" s="365"/>
    </row>
    <row r="613" spans="1:22" ht="25.5">
      <c r="A613" s="153">
        <v>46308</v>
      </c>
      <c r="B613" s="200" t="s">
        <v>563</v>
      </c>
      <c r="C613" s="200" t="s">
        <v>53</v>
      </c>
      <c r="D613" s="200" t="s">
        <v>1904</v>
      </c>
      <c r="E613" s="200" t="s">
        <v>815</v>
      </c>
      <c r="F613" s="200" t="s">
        <v>55</v>
      </c>
      <c r="G613" s="200" t="s">
        <v>764</v>
      </c>
      <c r="H613" s="200" t="s">
        <v>740</v>
      </c>
      <c r="I613" s="200" t="s">
        <v>710</v>
      </c>
      <c r="J613" s="158" t="s">
        <v>34</v>
      </c>
      <c r="K613" s="158" t="s">
        <v>2800</v>
      </c>
      <c r="L613" s="363" t="s">
        <v>2801</v>
      </c>
      <c r="M613" s="364">
        <v>0.41666666666666669</v>
      </c>
      <c r="N613" s="364">
        <v>0.4375</v>
      </c>
      <c r="O613" s="158">
        <v>145555</v>
      </c>
      <c r="P613" s="158">
        <v>150930</v>
      </c>
      <c r="Q613" s="158"/>
      <c r="R613" s="158"/>
      <c r="S613" s="158"/>
      <c r="T613" s="365"/>
      <c r="U613" s="365"/>
      <c r="V613" s="365"/>
    </row>
    <row r="614" spans="1:22" ht="25.5">
      <c r="A614" s="153">
        <v>46308</v>
      </c>
      <c r="B614" s="200" t="s">
        <v>563</v>
      </c>
      <c r="C614" s="200" t="s">
        <v>53</v>
      </c>
      <c r="D614" s="200" t="s">
        <v>1904</v>
      </c>
      <c r="E614" s="200" t="s">
        <v>815</v>
      </c>
      <c r="F614" s="200" t="s">
        <v>55</v>
      </c>
      <c r="G614" s="200" t="s">
        <v>764</v>
      </c>
      <c r="H614" s="200" t="s">
        <v>740</v>
      </c>
      <c r="I614" s="200" t="s">
        <v>710</v>
      </c>
      <c r="J614" s="158" t="s">
        <v>34</v>
      </c>
      <c r="K614" s="158" t="s">
        <v>2802</v>
      </c>
      <c r="L614" s="363" t="s">
        <v>2803</v>
      </c>
      <c r="M614" s="364">
        <v>0.4375</v>
      </c>
      <c r="N614" s="364">
        <v>0.44791666666666669</v>
      </c>
      <c r="O614" s="158">
        <v>145555</v>
      </c>
      <c r="P614" s="158">
        <v>150930</v>
      </c>
      <c r="Q614" s="158"/>
      <c r="R614" s="158"/>
      <c r="S614" s="158"/>
      <c r="T614" s="365"/>
      <c r="U614" s="365"/>
      <c r="V614" s="365"/>
    </row>
    <row r="615" spans="1:22" ht="25.5">
      <c r="A615" s="153">
        <v>46308</v>
      </c>
      <c r="B615" s="200" t="s">
        <v>563</v>
      </c>
      <c r="C615" s="200" t="s">
        <v>53</v>
      </c>
      <c r="D615" s="200" t="s">
        <v>926</v>
      </c>
      <c r="E615" s="200" t="s">
        <v>815</v>
      </c>
      <c r="F615" s="200" t="s">
        <v>55</v>
      </c>
      <c r="G615" s="200" t="s">
        <v>764</v>
      </c>
      <c r="H615" s="200" t="s">
        <v>740</v>
      </c>
      <c r="I615" s="200" t="s">
        <v>710</v>
      </c>
      <c r="J615" s="158" t="s">
        <v>34</v>
      </c>
      <c r="K615" s="158" t="s">
        <v>2804</v>
      </c>
      <c r="L615" s="363" t="s">
        <v>2805</v>
      </c>
      <c r="M615" s="364">
        <v>0.45833333333333331</v>
      </c>
      <c r="N615" s="364">
        <v>0.47916666666666669</v>
      </c>
      <c r="O615" s="158">
        <v>131851</v>
      </c>
      <c r="P615" s="158">
        <v>145354</v>
      </c>
      <c r="Q615" s="158"/>
      <c r="R615" s="158"/>
      <c r="S615" s="158"/>
      <c r="T615" s="365"/>
      <c r="U615" s="365"/>
      <c r="V615" s="365"/>
    </row>
    <row r="616" spans="1:22" ht="25.5">
      <c r="A616" s="153">
        <v>46308</v>
      </c>
      <c r="B616" s="200" t="s">
        <v>563</v>
      </c>
      <c r="C616" s="200" t="s">
        <v>53</v>
      </c>
      <c r="D616" s="200" t="s">
        <v>1323</v>
      </c>
      <c r="E616" s="200" t="s">
        <v>815</v>
      </c>
      <c r="F616" s="200" t="s">
        <v>55</v>
      </c>
      <c r="G616" s="200" t="s">
        <v>764</v>
      </c>
      <c r="H616" s="200" t="s">
        <v>740</v>
      </c>
      <c r="I616" s="200" t="s">
        <v>710</v>
      </c>
      <c r="J616" s="158" t="s">
        <v>34</v>
      </c>
      <c r="K616" s="158" t="s">
        <v>2806</v>
      </c>
      <c r="L616" s="363" t="s">
        <v>2807</v>
      </c>
      <c r="M616" s="364">
        <v>0.4375</v>
      </c>
      <c r="N616" s="364">
        <v>0.45833333333333331</v>
      </c>
      <c r="O616" s="158">
        <v>131851</v>
      </c>
      <c r="P616" s="158">
        <v>145354</v>
      </c>
      <c r="Q616" s="158"/>
      <c r="R616" s="158"/>
      <c r="S616" s="158"/>
      <c r="T616" s="365"/>
      <c r="U616" s="365"/>
      <c r="V616" s="365"/>
    </row>
    <row r="617" spans="1:22" ht="25.5">
      <c r="A617" s="153">
        <v>46308</v>
      </c>
      <c r="B617" s="200" t="s">
        <v>563</v>
      </c>
      <c r="C617" s="200" t="s">
        <v>53</v>
      </c>
      <c r="D617" s="200" t="s">
        <v>1330</v>
      </c>
      <c r="E617" s="200" t="s">
        <v>815</v>
      </c>
      <c r="F617" s="200" t="s">
        <v>55</v>
      </c>
      <c r="G617" s="200" t="s">
        <v>764</v>
      </c>
      <c r="H617" s="200" t="s">
        <v>740</v>
      </c>
      <c r="I617" s="200" t="s">
        <v>710</v>
      </c>
      <c r="J617" s="158" t="s">
        <v>34</v>
      </c>
      <c r="K617" s="158" t="s">
        <v>2808</v>
      </c>
      <c r="L617" s="363" t="s">
        <v>2809</v>
      </c>
      <c r="M617" s="364">
        <v>0.5</v>
      </c>
      <c r="N617" s="364">
        <v>0.52083333333333337</v>
      </c>
      <c r="O617" s="158">
        <v>150930</v>
      </c>
      <c r="P617" s="158">
        <v>145555</v>
      </c>
      <c r="Q617" s="158"/>
      <c r="R617" s="158"/>
      <c r="S617" s="158"/>
      <c r="T617" s="365"/>
      <c r="U617" s="365"/>
      <c r="V617" s="365"/>
    </row>
    <row r="618" spans="1:22" ht="25.5">
      <c r="A618" s="153">
        <v>46308</v>
      </c>
      <c r="B618" s="200" t="s">
        <v>547</v>
      </c>
      <c r="C618" s="200" t="s">
        <v>53</v>
      </c>
      <c r="D618" s="200" t="s">
        <v>285</v>
      </c>
      <c r="E618" s="200" t="s">
        <v>895</v>
      </c>
      <c r="F618" s="200" t="s">
        <v>55</v>
      </c>
      <c r="G618" s="200" t="s">
        <v>764</v>
      </c>
      <c r="H618" s="200" t="s">
        <v>740</v>
      </c>
      <c r="I618" s="200" t="s">
        <v>710</v>
      </c>
      <c r="J618" s="158" t="s">
        <v>34</v>
      </c>
      <c r="K618" s="158" t="s">
        <v>2810</v>
      </c>
      <c r="L618" s="363" t="s">
        <v>2811</v>
      </c>
      <c r="M618" s="364">
        <v>0.59722222222222221</v>
      </c>
      <c r="N618" s="364">
        <v>0.61805555555555558</v>
      </c>
      <c r="O618" s="158">
        <v>131847</v>
      </c>
      <c r="P618" s="158"/>
      <c r="Q618" s="158"/>
      <c r="R618" s="158"/>
      <c r="S618" s="158"/>
      <c r="T618" s="365"/>
      <c r="U618" s="365"/>
      <c r="V618" s="365"/>
    </row>
    <row r="619" spans="1:22" ht="25.5">
      <c r="A619" s="153">
        <v>46308</v>
      </c>
      <c r="B619" s="200" t="s">
        <v>547</v>
      </c>
      <c r="C619" s="200" t="s">
        <v>53</v>
      </c>
      <c r="D619" s="200" t="s">
        <v>285</v>
      </c>
      <c r="E619" s="200" t="s">
        <v>895</v>
      </c>
      <c r="F619" s="200" t="s">
        <v>55</v>
      </c>
      <c r="G619" s="200" t="s">
        <v>764</v>
      </c>
      <c r="H619" s="200" t="s">
        <v>740</v>
      </c>
      <c r="I619" s="200" t="s">
        <v>710</v>
      </c>
      <c r="J619" s="158" t="s">
        <v>34</v>
      </c>
      <c r="K619" s="158" t="s">
        <v>2812</v>
      </c>
      <c r="L619" s="363" t="s">
        <v>2813</v>
      </c>
      <c r="M619" s="364">
        <v>0.61805555555555558</v>
      </c>
      <c r="N619" s="364">
        <v>0.62847222222222221</v>
      </c>
      <c r="O619" s="158">
        <v>131847</v>
      </c>
      <c r="P619" s="158"/>
      <c r="Q619" s="158"/>
      <c r="R619" s="158"/>
      <c r="S619" s="158"/>
      <c r="T619" s="365"/>
      <c r="U619" s="365"/>
      <c r="V619" s="365"/>
    </row>
    <row r="620" spans="1:22" ht="25.5">
      <c r="A620" s="153">
        <v>46308</v>
      </c>
      <c r="B620" s="200" t="s">
        <v>547</v>
      </c>
      <c r="C620" s="200" t="s">
        <v>90</v>
      </c>
      <c r="D620" s="200" t="s">
        <v>1397</v>
      </c>
      <c r="E620" s="200" t="s">
        <v>895</v>
      </c>
      <c r="F620" s="200" t="s">
        <v>55</v>
      </c>
      <c r="G620" s="200" t="s">
        <v>764</v>
      </c>
      <c r="H620" s="200" t="s">
        <v>740</v>
      </c>
      <c r="I620" s="200" t="s">
        <v>710</v>
      </c>
      <c r="J620" s="158" t="s">
        <v>34</v>
      </c>
      <c r="K620" s="158" t="s">
        <v>2814</v>
      </c>
      <c r="L620" s="363" t="s">
        <v>2815</v>
      </c>
      <c r="M620" s="364">
        <v>0.63888888888888884</v>
      </c>
      <c r="N620" s="364">
        <v>0.65972222222222221</v>
      </c>
      <c r="O620" s="158">
        <v>145354</v>
      </c>
      <c r="P620" s="158"/>
      <c r="Q620" s="158"/>
      <c r="R620" s="158"/>
      <c r="S620" s="158"/>
      <c r="T620" s="365"/>
      <c r="U620" s="365"/>
      <c r="V620" s="365"/>
    </row>
    <row r="621" spans="1:22" ht="25.5">
      <c r="A621" s="153">
        <v>46308</v>
      </c>
      <c r="B621" s="200" t="s">
        <v>547</v>
      </c>
      <c r="C621" s="200" t="s">
        <v>90</v>
      </c>
      <c r="D621" s="200" t="s">
        <v>1397</v>
      </c>
      <c r="E621" s="200" t="s">
        <v>895</v>
      </c>
      <c r="F621" s="200" t="s">
        <v>55</v>
      </c>
      <c r="G621" s="200" t="s">
        <v>764</v>
      </c>
      <c r="H621" s="200" t="s">
        <v>740</v>
      </c>
      <c r="I621" s="200" t="s">
        <v>710</v>
      </c>
      <c r="J621" s="158" t="s">
        <v>34</v>
      </c>
      <c r="K621" s="158" t="s">
        <v>2816</v>
      </c>
      <c r="L621" s="363" t="s">
        <v>2817</v>
      </c>
      <c r="M621" s="364">
        <v>0.65972222222222221</v>
      </c>
      <c r="N621" s="364">
        <v>0.67013888888888884</v>
      </c>
      <c r="O621" s="158">
        <v>145354</v>
      </c>
      <c r="P621" s="158"/>
      <c r="Q621" s="158"/>
      <c r="R621" s="158"/>
      <c r="S621" s="158"/>
      <c r="T621" s="365"/>
      <c r="U621" s="365"/>
      <c r="V621" s="365"/>
    </row>
    <row r="622" spans="1:22" ht="25.5">
      <c r="A622" s="153">
        <v>46308</v>
      </c>
      <c r="B622" s="200" t="s">
        <v>547</v>
      </c>
      <c r="C622" s="200" t="s">
        <v>53</v>
      </c>
      <c r="D622" s="200" t="s">
        <v>230</v>
      </c>
      <c r="E622" s="200" t="s">
        <v>895</v>
      </c>
      <c r="F622" s="200" t="s">
        <v>55</v>
      </c>
      <c r="G622" s="200" t="s">
        <v>764</v>
      </c>
      <c r="H622" s="200" t="s">
        <v>740</v>
      </c>
      <c r="I622" s="200" t="s">
        <v>710</v>
      </c>
      <c r="J622" s="158" t="s">
        <v>34</v>
      </c>
      <c r="K622" s="158" t="s">
        <v>2818</v>
      </c>
      <c r="L622" s="363" t="s">
        <v>2819</v>
      </c>
      <c r="M622" s="364">
        <v>0.65277777777777779</v>
      </c>
      <c r="N622" s="364">
        <v>0.67361111111111116</v>
      </c>
      <c r="O622" s="158">
        <v>145572</v>
      </c>
      <c r="P622" s="158"/>
      <c r="Q622" s="158"/>
      <c r="R622" s="158"/>
      <c r="S622" s="158"/>
      <c r="T622" s="365"/>
      <c r="U622" s="365"/>
      <c r="V622" s="365"/>
    </row>
    <row r="623" spans="1:22" ht="25.5">
      <c r="A623" s="153">
        <v>46308</v>
      </c>
      <c r="B623" s="200" t="s">
        <v>547</v>
      </c>
      <c r="C623" s="200" t="s">
        <v>53</v>
      </c>
      <c r="D623" s="200" t="s">
        <v>230</v>
      </c>
      <c r="E623" s="200" t="s">
        <v>895</v>
      </c>
      <c r="F623" s="200" t="s">
        <v>55</v>
      </c>
      <c r="G623" s="200" t="s">
        <v>764</v>
      </c>
      <c r="H623" s="200" t="s">
        <v>740</v>
      </c>
      <c r="I623" s="200" t="s">
        <v>710</v>
      </c>
      <c r="J623" s="158" t="s">
        <v>34</v>
      </c>
      <c r="K623" s="158" t="s">
        <v>2820</v>
      </c>
      <c r="L623" s="363" t="s">
        <v>2821</v>
      </c>
      <c r="M623" s="364">
        <v>0.67361111111111116</v>
      </c>
      <c r="N623" s="364">
        <v>0.69444444444444442</v>
      </c>
      <c r="O623" s="158">
        <v>145572</v>
      </c>
      <c r="P623" s="158"/>
      <c r="Q623" s="158"/>
      <c r="R623" s="158"/>
      <c r="S623" s="158"/>
      <c r="T623" s="365"/>
      <c r="U623" s="365"/>
      <c r="V623" s="365"/>
    </row>
    <row r="624" spans="1:22" ht="25.5">
      <c r="A624" s="153">
        <v>46308</v>
      </c>
      <c r="B624" s="200" t="s">
        <v>547</v>
      </c>
      <c r="C624" s="200" t="s">
        <v>53</v>
      </c>
      <c r="D624" s="200" t="s">
        <v>1444</v>
      </c>
      <c r="E624" s="200" t="s">
        <v>895</v>
      </c>
      <c r="F624" s="200" t="s">
        <v>55</v>
      </c>
      <c r="G624" s="200" t="s">
        <v>764</v>
      </c>
      <c r="H624" s="200" t="s">
        <v>740</v>
      </c>
      <c r="I624" s="200" t="s">
        <v>710</v>
      </c>
      <c r="J624" s="158" t="s">
        <v>34</v>
      </c>
      <c r="K624" s="158" t="s">
        <v>2822</v>
      </c>
      <c r="L624" s="363" t="s">
        <v>2823</v>
      </c>
      <c r="M624" s="364">
        <v>0.66666666666666663</v>
      </c>
      <c r="N624" s="364">
        <v>0.6875</v>
      </c>
      <c r="O624" s="158">
        <v>145572</v>
      </c>
      <c r="P624" s="158"/>
      <c r="Q624" s="158"/>
      <c r="R624" s="158"/>
      <c r="S624" s="158"/>
      <c r="T624" s="365"/>
      <c r="U624" s="365"/>
      <c r="V624" s="365"/>
    </row>
    <row r="625" spans="1:22" ht="25.5">
      <c r="A625" s="153">
        <v>46308</v>
      </c>
      <c r="B625" s="200" t="s">
        <v>547</v>
      </c>
      <c r="C625" s="200" t="s">
        <v>53</v>
      </c>
      <c r="D625" s="200" t="s">
        <v>1444</v>
      </c>
      <c r="E625" s="200" t="s">
        <v>895</v>
      </c>
      <c r="F625" s="200" t="s">
        <v>55</v>
      </c>
      <c r="G625" s="200" t="s">
        <v>764</v>
      </c>
      <c r="H625" s="200" t="s">
        <v>740</v>
      </c>
      <c r="I625" s="200" t="s">
        <v>710</v>
      </c>
      <c r="J625" s="158" t="s">
        <v>34</v>
      </c>
      <c r="K625" s="158" t="s">
        <v>2824</v>
      </c>
      <c r="L625" s="363" t="s">
        <v>2825</v>
      </c>
      <c r="M625" s="364">
        <v>0.66666666666666663</v>
      </c>
      <c r="N625" s="364">
        <v>0.70833333333333337</v>
      </c>
      <c r="O625" s="158">
        <v>145572</v>
      </c>
      <c r="P625" s="158"/>
      <c r="Q625" s="158"/>
      <c r="R625" s="158"/>
      <c r="S625" s="158"/>
      <c r="T625" s="365"/>
      <c r="U625" s="365"/>
      <c r="V625" s="365"/>
    </row>
    <row r="626" spans="1:22" ht="25.5">
      <c r="A626" s="153">
        <v>46308</v>
      </c>
      <c r="B626" s="200" t="s">
        <v>547</v>
      </c>
      <c r="C626" s="200" t="s">
        <v>53</v>
      </c>
      <c r="D626" s="200" t="s">
        <v>349</v>
      </c>
      <c r="E626" s="200" t="s">
        <v>895</v>
      </c>
      <c r="F626" s="200" t="s">
        <v>55</v>
      </c>
      <c r="G626" s="200" t="s">
        <v>764</v>
      </c>
      <c r="H626" s="200" t="s">
        <v>740</v>
      </c>
      <c r="I626" s="200" t="s">
        <v>710</v>
      </c>
      <c r="J626" s="158" t="s">
        <v>34</v>
      </c>
      <c r="K626" s="158" t="s">
        <v>2826</v>
      </c>
      <c r="L626" s="363" t="s">
        <v>2827</v>
      </c>
      <c r="M626" s="364">
        <v>0.73611111111111116</v>
      </c>
      <c r="N626" s="364">
        <v>0.75694444444444442</v>
      </c>
      <c r="O626" s="158">
        <v>150930</v>
      </c>
      <c r="P626" s="158"/>
      <c r="Q626" s="158"/>
      <c r="R626" s="158"/>
      <c r="S626" s="158"/>
      <c r="T626" s="365"/>
      <c r="U626" s="365"/>
      <c r="V626" s="365"/>
    </row>
    <row r="627" spans="1:22" ht="25.5">
      <c r="A627" s="153">
        <v>46308</v>
      </c>
      <c r="B627" s="200" t="s">
        <v>547</v>
      </c>
      <c r="C627" s="200" t="s">
        <v>53</v>
      </c>
      <c r="D627" s="200" t="s">
        <v>349</v>
      </c>
      <c r="E627" s="200" t="s">
        <v>895</v>
      </c>
      <c r="F627" s="200" t="s">
        <v>55</v>
      </c>
      <c r="G627" s="200" t="s">
        <v>764</v>
      </c>
      <c r="H627" s="200" t="s">
        <v>740</v>
      </c>
      <c r="I627" s="200" t="s">
        <v>710</v>
      </c>
      <c r="J627" s="158" t="s">
        <v>34</v>
      </c>
      <c r="K627" s="158" t="s">
        <v>2828</v>
      </c>
      <c r="L627" s="363" t="s">
        <v>2829</v>
      </c>
      <c r="M627" s="364">
        <v>0.75694444444444442</v>
      </c>
      <c r="N627" s="364">
        <v>0.77777777777777779</v>
      </c>
      <c r="O627" s="158">
        <v>150930</v>
      </c>
      <c r="P627" s="158"/>
      <c r="Q627" s="158"/>
      <c r="R627" s="158"/>
      <c r="S627" s="158"/>
      <c r="T627" s="365"/>
      <c r="U627" s="365"/>
      <c r="V627" s="365"/>
    </row>
    <row r="628" spans="1:22" ht="25.5">
      <c r="A628" s="153">
        <v>46308</v>
      </c>
      <c r="B628" s="200" t="s">
        <v>547</v>
      </c>
      <c r="C628" s="200" t="s">
        <v>53</v>
      </c>
      <c r="D628" s="200" t="s">
        <v>198</v>
      </c>
      <c r="E628" s="200" t="s">
        <v>707</v>
      </c>
      <c r="F628" s="200" t="s">
        <v>55</v>
      </c>
      <c r="G628" s="200" t="s">
        <v>708</v>
      </c>
      <c r="H628" s="200" t="s">
        <v>740</v>
      </c>
      <c r="I628" s="200" t="s">
        <v>710</v>
      </c>
      <c r="J628" s="158" t="s">
        <v>34</v>
      </c>
      <c r="K628" s="158" t="s">
        <v>2830</v>
      </c>
      <c r="L628" s="363" t="s">
        <v>2831</v>
      </c>
      <c r="M628" s="364">
        <v>0.875</v>
      </c>
      <c r="N628" s="364">
        <v>0.89583333333333337</v>
      </c>
      <c r="O628" s="158">
        <v>162709</v>
      </c>
      <c r="P628" s="158">
        <v>145542</v>
      </c>
      <c r="Q628" s="158"/>
      <c r="R628" s="158"/>
      <c r="S628" s="158"/>
      <c r="T628" s="365"/>
      <c r="U628" s="365"/>
      <c r="V628" s="365"/>
    </row>
    <row r="629" spans="1:22" ht="25.5">
      <c r="A629" s="153">
        <v>46308</v>
      </c>
      <c r="B629" s="200" t="s">
        <v>547</v>
      </c>
      <c r="C629" s="200" t="s">
        <v>53</v>
      </c>
      <c r="D629" s="200" t="s">
        <v>2526</v>
      </c>
      <c r="E629" s="200" t="s">
        <v>707</v>
      </c>
      <c r="F629" s="200" t="s">
        <v>55</v>
      </c>
      <c r="G629" s="200" t="s">
        <v>708</v>
      </c>
      <c r="H629" s="200" t="s">
        <v>740</v>
      </c>
      <c r="I629" s="200" t="s">
        <v>710</v>
      </c>
      <c r="J629" s="158" t="s">
        <v>34</v>
      </c>
      <c r="K629" s="158" t="s">
        <v>2832</v>
      </c>
      <c r="L629" s="363" t="s">
        <v>2833</v>
      </c>
      <c r="M629" s="364">
        <v>0.83333333333333337</v>
      </c>
      <c r="N629" s="364">
        <v>0.91666666666666663</v>
      </c>
      <c r="O629" s="158">
        <v>145328</v>
      </c>
      <c r="P629" s="158">
        <v>145542</v>
      </c>
      <c r="Q629" s="158"/>
      <c r="R629" s="158"/>
      <c r="S629" s="158"/>
      <c r="T629" s="365"/>
      <c r="U629" s="365"/>
      <c r="V629" s="365"/>
    </row>
    <row r="630" spans="1:22" ht="25.5">
      <c r="A630" s="153">
        <v>46308</v>
      </c>
      <c r="B630" s="200" t="s">
        <v>547</v>
      </c>
      <c r="C630" s="200" t="s">
        <v>53</v>
      </c>
      <c r="D630" s="200" t="s">
        <v>168</v>
      </c>
      <c r="E630" s="200" t="s">
        <v>707</v>
      </c>
      <c r="F630" s="200" t="s">
        <v>55</v>
      </c>
      <c r="G630" s="200" t="s">
        <v>708</v>
      </c>
      <c r="H630" s="200" t="s">
        <v>740</v>
      </c>
      <c r="I630" s="200" t="s">
        <v>710</v>
      </c>
      <c r="J630" s="158" t="s">
        <v>34</v>
      </c>
      <c r="K630" s="158" t="s">
        <v>2834</v>
      </c>
      <c r="L630" s="363" t="s">
        <v>2833</v>
      </c>
      <c r="M630" s="364">
        <v>0.83333333333333337</v>
      </c>
      <c r="N630" s="364">
        <v>0.91666666666666663</v>
      </c>
      <c r="O630" s="158">
        <v>131849</v>
      </c>
      <c r="P630" s="158">
        <v>145542</v>
      </c>
      <c r="Q630" s="158"/>
      <c r="R630" s="158"/>
      <c r="S630" s="158"/>
      <c r="T630" s="365"/>
      <c r="U630" s="365"/>
      <c r="V630" s="365"/>
    </row>
    <row r="631" spans="1:22" ht="25.5">
      <c r="A631" s="153">
        <v>46308</v>
      </c>
      <c r="B631" s="200" t="s">
        <v>547</v>
      </c>
      <c r="C631" s="200" t="s">
        <v>53</v>
      </c>
      <c r="D631" s="200" t="s">
        <v>198</v>
      </c>
      <c r="E631" s="200" t="s">
        <v>707</v>
      </c>
      <c r="F631" s="200" t="s">
        <v>55</v>
      </c>
      <c r="G631" s="200" t="s">
        <v>708</v>
      </c>
      <c r="H631" s="200" t="s">
        <v>740</v>
      </c>
      <c r="I631" s="200" t="s">
        <v>710</v>
      </c>
      <c r="J631" s="158" t="s">
        <v>34</v>
      </c>
      <c r="K631" s="158" t="s">
        <v>2835</v>
      </c>
      <c r="L631" s="363" t="s">
        <v>2833</v>
      </c>
      <c r="M631" s="364">
        <v>0.89583333333333337</v>
      </c>
      <c r="N631" s="364">
        <v>0.97916666666666663</v>
      </c>
      <c r="O631" s="158">
        <v>162709</v>
      </c>
      <c r="P631" s="158">
        <v>145542</v>
      </c>
      <c r="Q631" s="158"/>
      <c r="R631" s="158"/>
      <c r="S631" s="158"/>
      <c r="T631" s="365"/>
      <c r="U631" s="365"/>
      <c r="V631" s="365"/>
    </row>
    <row r="632" spans="1:22" ht="25.5">
      <c r="A632" s="153">
        <v>46308</v>
      </c>
      <c r="B632" s="200" t="s">
        <v>563</v>
      </c>
      <c r="C632" s="200" t="s">
        <v>53</v>
      </c>
      <c r="D632" s="200" t="s">
        <v>1887</v>
      </c>
      <c r="E632" s="200" t="s">
        <v>707</v>
      </c>
      <c r="F632" s="200" t="s">
        <v>55</v>
      </c>
      <c r="G632" s="200" t="s">
        <v>708</v>
      </c>
      <c r="H632" s="200" t="s">
        <v>740</v>
      </c>
      <c r="I632" s="200" t="s">
        <v>710</v>
      </c>
      <c r="J632" s="158" t="s">
        <v>34</v>
      </c>
      <c r="K632" s="158" t="s">
        <v>2836</v>
      </c>
      <c r="L632" s="363" t="s">
        <v>2837</v>
      </c>
      <c r="M632" s="364">
        <v>0</v>
      </c>
      <c r="N632" s="364">
        <v>2.0833333333333332E-2</v>
      </c>
      <c r="O632" s="158">
        <v>162709</v>
      </c>
      <c r="P632" s="158">
        <v>145542</v>
      </c>
      <c r="Q632" s="158"/>
      <c r="R632" s="158"/>
      <c r="S632" s="158"/>
      <c r="T632" s="365"/>
      <c r="U632" s="365"/>
      <c r="V632" s="365"/>
    </row>
    <row r="633" spans="1:22" ht="25.5">
      <c r="A633" s="153">
        <v>46308</v>
      </c>
      <c r="B633" s="200" t="s">
        <v>563</v>
      </c>
      <c r="C633" s="200" t="s">
        <v>53</v>
      </c>
      <c r="D633" s="200" t="s">
        <v>1887</v>
      </c>
      <c r="E633" s="200" t="s">
        <v>707</v>
      </c>
      <c r="F633" s="200" t="s">
        <v>55</v>
      </c>
      <c r="G633" s="200" t="s">
        <v>708</v>
      </c>
      <c r="H633" s="200" t="s">
        <v>740</v>
      </c>
      <c r="I633" s="200" t="s">
        <v>710</v>
      </c>
      <c r="J633" s="158" t="s">
        <v>34</v>
      </c>
      <c r="K633" s="158" t="s">
        <v>2838</v>
      </c>
      <c r="L633" s="363" t="s">
        <v>2839</v>
      </c>
      <c r="M633" s="364">
        <v>2.0833333333333332E-2</v>
      </c>
      <c r="N633" s="364">
        <v>4.1666666666666664E-2</v>
      </c>
      <c r="O633" s="158">
        <v>162709</v>
      </c>
      <c r="P633" s="158">
        <v>145542</v>
      </c>
      <c r="Q633" s="158"/>
      <c r="R633" s="158"/>
      <c r="S633" s="158"/>
      <c r="T633" s="365"/>
      <c r="U633" s="365"/>
      <c r="V633" s="365"/>
    </row>
    <row r="634" spans="1:22" ht="25.5">
      <c r="A634" s="153">
        <v>46308</v>
      </c>
      <c r="B634" s="200" t="s">
        <v>563</v>
      </c>
      <c r="C634" s="200" t="s">
        <v>53</v>
      </c>
      <c r="D634" s="200" t="s">
        <v>1887</v>
      </c>
      <c r="E634" s="200" t="s">
        <v>707</v>
      </c>
      <c r="F634" s="200" t="s">
        <v>55</v>
      </c>
      <c r="G634" s="200" t="s">
        <v>708</v>
      </c>
      <c r="H634" s="200" t="s">
        <v>740</v>
      </c>
      <c r="I634" s="200" t="s">
        <v>710</v>
      </c>
      <c r="J634" s="158" t="s">
        <v>34</v>
      </c>
      <c r="K634" s="158" t="s">
        <v>2840</v>
      </c>
      <c r="L634" s="363" t="s">
        <v>2841</v>
      </c>
      <c r="M634" s="364">
        <v>4.1666666666666664E-2</v>
      </c>
      <c r="N634" s="364">
        <v>6.25E-2</v>
      </c>
      <c r="O634" s="158">
        <v>162709</v>
      </c>
      <c r="P634" s="158">
        <v>145542</v>
      </c>
      <c r="Q634" s="158"/>
      <c r="R634" s="158"/>
      <c r="S634" s="158"/>
      <c r="T634" s="365"/>
      <c r="U634" s="365"/>
      <c r="V634" s="365"/>
    </row>
    <row r="635" spans="1:22" ht="25.5">
      <c r="A635" s="153">
        <v>46308</v>
      </c>
      <c r="B635" s="200" t="s">
        <v>563</v>
      </c>
      <c r="C635" s="200" t="s">
        <v>53</v>
      </c>
      <c r="D635" s="200" t="s">
        <v>1887</v>
      </c>
      <c r="E635" s="200" t="s">
        <v>707</v>
      </c>
      <c r="F635" s="200" t="s">
        <v>55</v>
      </c>
      <c r="G635" s="200" t="s">
        <v>708</v>
      </c>
      <c r="H635" s="200" t="s">
        <v>740</v>
      </c>
      <c r="I635" s="200" t="s">
        <v>710</v>
      </c>
      <c r="J635" s="158" t="s">
        <v>34</v>
      </c>
      <c r="K635" s="158" t="s">
        <v>2842</v>
      </c>
      <c r="L635" s="363" t="s">
        <v>2843</v>
      </c>
      <c r="M635" s="364">
        <v>6.25E-2</v>
      </c>
      <c r="N635" s="364">
        <v>8.3333333333333329E-2</v>
      </c>
      <c r="O635" s="158">
        <v>162709</v>
      </c>
      <c r="P635" s="158">
        <v>145542</v>
      </c>
      <c r="Q635" s="158"/>
      <c r="R635" s="158"/>
      <c r="S635" s="158"/>
      <c r="T635" s="365"/>
      <c r="U635" s="365"/>
      <c r="V635" s="365"/>
    </row>
    <row r="636" spans="1:22" ht="25.5">
      <c r="A636" s="153">
        <v>46308</v>
      </c>
      <c r="B636" s="200" t="s">
        <v>563</v>
      </c>
      <c r="C636" s="200" t="s">
        <v>53</v>
      </c>
      <c r="D636" s="200" t="s">
        <v>1887</v>
      </c>
      <c r="E636" s="200" t="s">
        <v>707</v>
      </c>
      <c r="F636" s="200" t="s">
        <v>55</v>
      </c>
      <c r="G636" s="200" t="s">
        <v>708</v>
      </c>
      <c r="H636" s="200" t="s">
        <v>740</v>
      </c>
      <c r="I636" s="200" t="s">
        <v>710</v>
      </c>
      <c r="J636" s="158" t="s">
        <v>34</v>
      </c>
      <c r="K636" s="158" t="s">
        <v>2844</v>
      </c>
      <c r="L636" s="363" t="s">
        <v>2833</v>
      </c>
      <c r="M636" s="364">
        <v>8.3333333333333329E-2</v>
      </c>
      <c r="N636" s="364">
        <v>0.16666666666666666</v>
      </c>
      <c r="O636" s="158">
        <v>162709</v>
      </c>
      <c r="P636" s="158"/>
      <c r="Q636" s="158"/>
      <c r="R636" s="158"/>
      <c r="S636" s="158"/>
      <c r="T636" s="365"/>
      <c r="U636" s="365"/>
      <c r="V636" s="365"/>
    </row>
    <row r="637" spans="1:22" ht="25.5">
      <c r="A637" s="153">
        <v>46308</v>
      </c>
      <c r="B637" s="200" t="s">
        <v>563</v>
      </c>
      <c r="C637" s="200" t="s">
        <v>53</v>
      </c>
      <c r="D637" s="200" t="s">
        <v>1904</v>
      </c>
      <c r="E637" s="200" t="s">
        <v>707</v>
      </c>
      <c r="F637" s="200" t="s">
        <v>55</v>
      </c>
      <c r="G637" s="200" t="s">
        <v>708</v>
      </c>
      <c r="H637" s="200" t="s">
        <v>740</v>
      </c>
      <c r="I637" s="200" t="s">
        <v>710</v>
      </c>
      <c r="J637" s="158" t="s">
        <v>34</v>
      </c>
      <c r="K637" s="158" t="s">
        <v>2845</v>
      </c>
      <c r="L637" s="363" t="s">
        <v>2846</v>
      </c>
      <c r="M637" s="364">
        <v>0.16666666666666666</v>
      </c>
      <c r="N637" s="364">
        <v>0.1875</v>
      </c>
      <c r="O637" s="158">
        <v>162709</v>
      </c>
      <c r="P637" s="158"/>
      <c r="Q637" s="158"/>
      <c r="R637" s="158"/>
      <c r="S637" s="158"/>
      <c r="T637" s="365"/>
      <c r="U637" s="365"/>
      <c r="V637" s="365"/>
    </row>
    <row r="638" spans="1:22" ht="25.5">
      <c r="A638" s="153">
        <v>46308</v>
      </c>
      <c r="B638" s="200" t="s">
        <v>563</v>
      </c>
      <c r="C638" s="200" t="s">
        <v>53</v>
      </c>
      <c r="D638" s="200" t="s">
        <v>1904</v>
      </c>
      <c r="E638" s="200" t="s">
        <v>707</v>
      </c>
      <c r="F638" s="200" t="s">
        <v>55</v>
      </c>
      <c r="G638" s="200" t="s">
        <v>708</v>
      </c>
      <c r="H638" s="200" t="s">
        <v>740</v>
      </c>
      <c r="I638" s="200" t="s">
        <v>710</v>
      </c>
      <c r="J638" s="158" t="s">
        <v>34</v>
      </c>
      <c r="K638" s="158" t="s">
        <v>2847</v>
      </c>
      <c r="L638" s="363" t="s">
        <v>2833</v>
      </c>
      <c r="M638" s="364">
        <v>0.1875</v>
      </c>
      <c r="N638" s="364">
        <v>0.27083333333333331</v>
      </c>
      <c r="O638" s="158">
        <v>162709</v>
      </c>
      <c r="P638" s="158"/>
      <c r="Q638" s="158"/>
      <c r="R638" s="158"/>
      <c r="S638" s="158"/>
      <c r="T638" s="365"/>
      <c r="U638" s="365"/>
      <c r="V638" s="365"/>
    </row>
    <row r="639" spans="1:22" ht="25.5">
      <c r="A639" s="153">
        <v>46308</v>
      </c>
      <c r="B639" s="200" t="s">
        <v>547</v>
      </c>
      <c r="C639" s="200" t="s">
        <v>53</v>
      </c>
      <c r="D639" s="200" t="s">
        <v>1406</v>
      </c>
      <c r="E639" s="200" t="s">
        <v>707</v>
      </c>
      <c r="F639" s="200" t="s">
        <v>55</v>
      </c>
      <c r="G639" s="200" t="s">
        <v>708</v>
      </c>
      <c r="H639" s="200" t="s">
        <v>740</v>
      </c>
      <c r="I639" s="200" t="s">
        <v>710</v>
      </c>
      <c r="J639" s="158" t="s">
        <v>34</v>
      </c>
      <c r="K639" s="158" t="s">
        <v>2848</v>
      </c>
      <c r="L639" s="363" t="s">
        <v>2833</v>
      </c>
      <c r="M639" s="364">
        <v>4.1666666666666664E-2</v>
      </c>
      <c r="N639" s="364">
        <v>0.125</v>
      </c>
      <c r="O639" s="158">
        <v>145328</v>
      </c>
      <c r="P639" s="158">
        <v>131849</v>
      </c>
      <c r="Q639" s="158">
        <v>83123908</v>
      </c>
      <c r="R639" s="158"/>
      <c r="S639" s="158"/>
      <c r="T639" s="365"/>
      <c r="U639" s="365"/>
      <c r="V639" s="365"/>
    </row>
    <row r="640" spans="1:22" ht="25.5">
      <c r="A640" s="153">
        <v>46308</v>
      </c>
      <c r="B640" s="200" t="s">
        <v>549</v>
      </c>
      <c r="C640" s="200" t="s">
        <v>90</v>
      </c>
      <c r="D640" s="200" t="s">
        <v>577</v>
      </c>
      <c r="E640" s="200" t="s">
        <v>707</v>
      </c>
      <c r="F640" s="200" t="s">
        <v>55</v>
      </c>
      <c r="G640" s="200" t="s">
        <v>708</v>
      </c>
      <c r="H640" s="200" t="s">
        <v>740</v>
      </c>
      <c r="I640" s="200" t="s">
        <v>710</v>
      </c>
      <c r="J640" s="158" t="s">
        <v>34</v>
      </c>
      <c r="K640" s="158" t="s">
        <v>2849</v>
      </c>
      <c r="L640" s="363" t="s">
        <v>2833</v>
      </c>
      <c r="M640" s="364">
        <v>0.83333333333333337</v>
      </c>
      <c r="N640" s="364">
        <v>0.91666666666666663</v>
      </c>
      <c r="O640" s="158">
        <v>145568</v>
      </c>
      <c r="P640" s="158">
        <v>135015</v>
      </c>
      <c r="Q640" s="158">
        <v>145359</v>
      </c>
      <c r="R640" s="158"/>
      <c r="S640" s="158"/>
      <c r="T640" s="365"/>
      <c r="U640" s="365"/>
      <c r="V640" s="365"/>
    </row>
    <row r="641" spans="1:22" ht="25.5">
      <c r="A641" s="153">
        <v>46308</v>
      </c>
      <c r="B641" s="200" t="s">
        <v>547</v>
      </c>
      <c r="C641" s="200" t="s">
        <v>90</v>
      </c>
      <c r="D641" s="200" t="s">
        <v>577</v>
      </c>
      <c r="E641" s="200" t="s">
        <v>707</v>
      </c>
      <c r="F641" s="200" t="s">
        <v>55</v>
      </c>
      <c r="G641" s="200" t="s">
        <v>708</v>
      </c>
      <c r="H641" s="200" t="s">
        <v>740</v>
      </c>
      <c r="I641" s="200" t="s">
        <v>710</v>
      </c>
      <c r="J641" s="158" t="s">
        <v>34</v>
      </c>
      <c r="K641" s="158" t="s">
        <v>2850</v>
      </c>
      <c r="L641" s="363" t="s">
        <v>2851</v>
      </c>
      <c r="M641" s="364">
        <v>0.91666666666666663</v>
      </c>
      <c r="N641" s="364">
        <v>0.9375</v>
      </c>
      <c r="O641" s="158">
        <v>145568</v>
      </c>
      <c r="P641" s="158">
        <v>135015</v>
      </c>
      <c r="Q641" s="158">
        <v>145359</v>
      </c>
      <c r="R641" s="158"/>
      <c r="S641" s="158"/>
      <c r="T641" s="365"/>
      <c r="U641" s="365"/>
      <c r="V641" s="365"/>
    </row>
    <row r="642" spans="1:22" ht="25.5">
      <c r="A642" s="153">
        <v>46308</v>
      </c>
      <c r="B642" s="200" t="s">
        <v>563</v>
      </c>
      <c r="C642" s="200" t="s">
        <v>53</v>
      </c>
      <c r="D642" s="200" t="s">
        <v>182</v>
      </c>
      <c r="E642" s="200" t="s">
        <v>707</v>
      </c>
      <c r="F642" s="200" t="s">
        <v>55</v>
      </c>
      <c r="G642" s="200" t="s">
        <v>708</v>
      </c>
      <c r="H642" s="200" t="s">
        <v>740</v>
      </c>
      <c r="I642" s="200" t="s">
        <v>710</v>
      </c>
      <c r="J642" s="158" t="s">
        <v>34</v>
      </c>
      <c r="K642" s="158" t="s">
        <v>2852</v>
      </c>
      <c r="L642" s="363" t="s">
        <v>2853</v>
      </c>
      <c r="M642" s="364">
        <v>0.83333333333333337</v>
      </c>
      <c r="N642" s="364">
        <v>0.85416666666666663</v>
      </c>
      <c r="O642" s="158">
        <v>135030</v>
      </c>
      <c r="P642" s="158"/>
      <c r="Q642" s="158"/>
      <c r="R642" s="158"/>
      <c r="S642" s="158"/>
      <c r="T642" s="365"/>
      <c r="U642" s="365"/>
      <c r="V642" s="365"/>
    </row>
    <row r="643" spans="1:22" ht="25.5">
      <c r="A643" s="153">
        <v>46308</v>
      </c>
      <c r="B643" s="200" t="s">
        <v>563</v>
      </c>
      <c r="C643" s="200" t="s">
        <v>53</v>
      </c>
      <c r="D643" s="200" t="s">
        <v>182</v>
      </c>
      <c r="E643" s="200" t="s">
        <v>707</v>
      </c>
      <c r="F643" s="200" t="s">
        <v>55</v>
      </c>
      <c r="G643" s="200" t="s">
        <v>708</v>
      </c>
      <c r="H643" s="200" t="s">
        <v>740</v>
      </c>
      <c r="I643" s="200" t="s">
        <v>710</v>
      </c>
      <c r="J643" s="158" t="s">
        <v>34</v>
      </c>
      <c r="K643" s="158" t="s">
        <v>2854</v>
      </c>
      <c r="L643" s="363" t="s">
        <v>2855</v>
      </c>
      <c r="M643" s="364">
        <v>0.85416666666666663</v>
      </c>
      <c r="N643" s="364">
        <v>0.875</v>
      </c>
      <c r="O643" s="158">
        <v>135030</v>
      </c>
      <c r="P643" s="158"/>
      <c r="Q643" s="158"/>
      <c r="R643" s="158"/>
      <c r="S643" s="158"/>
      <c r="T643" s="365"/>
      <c r="U643" s="365"/>
      <c r="V643" s="365"/>
    </row>
    <row r="644" spans="1:22" ht="25.5">
      <c r="A644" s="153">
        <v>46308</v>
      </c>
      <c r="B644" s="200" t="s">
        <v>563</v>
      </c>
      <c r="C644" s="200" t="s">
        <v>53</v>
      </c>
      <c r="D644" s="200" t="s">
        <v>182</v>
      </c>
      <c r="E644" s="200" t="s">
        <v>707</v>
      </c>
      <c r="F644" s="200" t="s">
        <v>55</v>
      </c>
      <c r="G644" s="200" t="s">
        <v>708</v>
      </c>
      <c r="H644" s="200" t="s">
        <v>740</v>
      </c>
      <c r="I644" s="200" t="s">
        <v>710</v>
      </c>
      <c r="J644" s="158" t="s">
        <v>34</v>
      </c>
      <c r="K644" s="158" t="s">
        <v>2856</v>
      </c>
      <c r="L644" s="363" t="s">
        <v>2857</v>
      </c>
      <c r="M644" s="364">
        <v>0.89583333333333337</v>
      </c>
      <c r="N644" s="364">
        <v>0.91666666666666663</v>
      </c>
      <c r="O644" s="158">
        <v>135030</v>
      </c>
      <c r="P644" s="158"/>
      <c r="Q644" s="158"/>
      <c r="R644" s="158"/>
      <c r="S644" s="158"/>
      <c r="T644" s="365"/>
      <c r="U644" s="365"/>
      <c r="V644" s="365"/>
    </row>
    <row r="645" spans="1:22" ht="25.5">
      <c r="A645" s="153">
        <v>46308</v>
      </c>
      <c r="B645" s="200" t="s">
        <v>563</v>
      </c>
      <c r="C645" s="200" t="s">
        <v>53</v>
      </c>
      <c r="D645" s="200" t="s">
        <v>182</v>
      </c>
      <c r="E645" s="200" t="s">
        <v>707</v>
      </c>
      <c r="F645" s="200" t="s">
        <v>55</v>
      </c>
      <c r="G645" s="200" t="s">
        <v>708</v>
      </c>
      <c r="H645" s="200" t="s">
        <v>740</v>
      </c>
      <c r="I645" s="200" t="s">
        <v>710</v>
      </c>
      <c r="J645" s="158" t="s">
        <v>34</v>
      </c>
      <c r="K645" s="158" t="s">
        <v>2858</v>
      </c>
      <c r="L645" s="363" t="s">
        <v>2833</v>
      </c>
      <c r="M645" s="364">
        <v>0.91666666666666663</v>
      </c>
      <c r="N645" s="364">
        <v>0</v>
      </c>
      <c r="O645" s="158">
        <v>135030</v>
      </c>
      <c r="P645" s="158"/>
      <c r="Q645" s="158"/>
      <c r="R645" s="158"/>
      <c r="S645" s="158"/>
      <c r="T645" s="365"/>
      <c r="U645" s="365"/>
      <c r="V645" s="365"/>
    </row>
    <row r="646" spans="1:22" ht="25.5">
      <c r="A646" s="153">
        <v>46308</v>
      </c>
      <c r="B646" s="200" t="s">
        <v>547</v>
      </c>
      <c r="C646" s="200" t="s">
        <v>53</v>
      </c>
      <c r="D646" s="200" t="s">
        <v>1607</v>
      </c>
      <c r="E646" s="200" t="s">
        <v>707</v>
      </c>
      <c r="F646" s="200" t="s">
        <v>55</v>
      </c>
      <c r="G646" s="200" t="s">
        <v>708</v>
      </c>
      <c r="H646" s="200" t="s">
        <v>740</v>
      </c>
      <c r="I646" s="200" t="s">
        <v>710</v>
      </c>
      <c r="J646" s="158" t="s">
        <v>34</v>
      </c>
      <c r="K646" s="158" t="s">
        <v>2859</v>
      </c>
      <c r="L646" s="363" t="s">
        <v>2833</v>
      </c>
      <c r="M646" s="364">
        <v>0.83333333333333337</v>
      </c>
      <c r="N646" s="364">
        <v>0.91666666666666663</v>
      </c>
      <c r="O646" s="158">
        <v>135062</v>
      </c>
      <c r="P646" s="158"/>
      <c r="Q646" s="158"/>
      <c r="R646" s="158"/>
      <c r="S646" s="158"/>
      <c r="T646" s="365"/>
      <c r="U646" s="365"/>
      <c r="V646" s="365"/>
    </row>
    <row r="647" spans="1:22" ht="25.5">
      <c r="A647" s="153">
        <v>46308</v>
      </c>
      <c r="B647" s="200" t="s">
        <v>547</v>
      </c>
      <c r="C647" s="200" t="s">
        <v>53</v>
      </c>
      <c r="D647" s="200" t="s">
        <v>1221</v>
      </c>
      <c r="E647" s="200" t="s">
        <v>707</v>
      </c>
      <c r="F647" s="200" t="s">
        <v>55</v>
      </c>
      <c r="G647" s="200" t="s">
        <v>708</v>
      </c>
      <c r="H647" s="200" t="s">
        <v>740</v>
      </c>
      <c r="I647" s="200" t="s">
        <v>710</v>
      </c>
      <c r="J647" s="158" t="s">
        <v>34</v>
      </c>
      <c r="K647" s="158" t="s">
        <v>2860</v>
      </c>
      <c r="L647" s="363" t="s">
        <v>2833</v>
      </c>
      <c r="M647" s="364">
        <v>0.83333333333333337</v>
      </c>
      <c r="N647" s="364">
        <v>0.91666666666666663</v>
      </c>
      <c r="O647" s="158">
        <v>135048</v>
      </c>
      <c r="P647" s="158"/>
      <c r="Q647" s="158"/>
      <c r="R647" s="158"/>
      <c r="S647" s="158"/>
      <c r="T647" s="365"/>
      <c r="U647" s="365"/>
      <c r="V647" s="365"/>
    </row>
    <row r="648" spans="1:22" ht="25.5">
      <c r="A648" s="153">
        <v>46308</v>
      </c>
      <c r="B648" s="200" t="s">
        <v>547</v>
      </c>
      <c r="C648" s="200" t="s">
        <v>53</v>
      </c>
      <c r="D648" s="200" t="s">
        <v>1221</v>
      </c>
      <c r="E648" s="200" t="s">
        <v>707</v>
      </c>
      <c r="F648" s="200" t="s">
        <v>55</v>
      </c>
      <c r="G648" s="200" t="s">
        <v>708</v>
      </c>
      <c r="H648" s="200" t="s">
        <v>740</v>
      </c>
      <c r="I648" s="200" t="s">
        <v>710</v>
      </c>
      <c r="J648" s="158" t="s">
        <v>34</v>
      </c>
      <c r="K648" s="158" t="s">
        <v>2861</v>
      </c>
      <c r="L648" s="363" t="s">
        <v>2862</v>
      </c>
      <c r="M648" s="364">
        <v>0.9375</v>
      </c>
      <c r="N648" s="364">
        <v>2.0833333333333332E-2</v>
      </c>
      <c r="O648" s="158">
        <v>135048</v>
      </c>
      <c r="P648" s="158">
        <v>135062</v>
      </c>
      <c r="Q648" s="158">
        <v>83103414</v>
      </c>
      <c r="R648" s="158">
        <v>83040085</v>
      </c>
      <c r="S648" s="158"/>
      <c r="T648" s="365"/>
      <c r="U648" s="365"/>
      <c r="V648" s="365"/>
    </row>
    <row r="649" spans="1:22" ht="25.5">
      <c r="A649" s="153">
        <v>46308</v>
      </c>
      <c r="B649" s="200" t="s">
        <v>547</v>
      </c>
      <c r="C649" s="200" t="s">
        <v>53</v>
      </c>
      <c r="D649" s="200" t="s">
        <v>187</v>
      </c>
      <c r="E649" s="200" t="s">
        <v>707</v>
      </c>
      <c r="F649" s="200" t="s">
        <v>55</v>
      </c>
      <c r="G649" s="200" t="s">
        <v>708</v>
      </c>
      <c r="H649" s="200" t="s">
        <v>740</v>
      </c>
      <c r="I649" s="200" t="s">
        <v>710</v>
      </c>
      <c r="J649" s="158" t="s">
        <v>34</v>
      </c>
      <c r="K649" s="158" t="s">
        <v>2863</v>
      </c>
      <c r="L649" s="363" t="s">
        <v>2833</v>
      </c>
      <c r="M649" s="364">
        <v>0.83333333333333337</v>
      </c>
      <c r="N649" s="364">
        <v>0.91666666666666663</v>
      </c>
      <c r="O649" s="158">
        <v>83103414</v>
      </c>
      <c r="P649" s="158">
        <v>83040085</v>
      </c>
      <c r="Q649" s="158"/>
      <c r="R649" s="158"/>
      <c r="S649" s="158"/>
      <c r="T649" s="365"/>
      <c r="U649" s="365"/>
      <c r="V649" s="365"/>
    </row>
    <row r="650" spans="1:22" ht="25.5">
      <c r="A650" s="153">
        <v>46308</v>
      </c>
      <c r="B650" s="200" t="s">
        <v>547</v>
      </c>
      <c r="C650" s="200" t="s">
        <v>53</v>
      </c>
      <c r="D650" s="200" t="s">
        <v>246</v>
      </c>
      <c r="E650" s="200" t="s">
        <v>707</v>
      </c>
      <c r="F650" s="200" t="s">
        <v>55</v>
      </c>
      <c r="G650" s="200" t="s">
        <v>708</v>
      </c>
      <c r="H650" s="200" t="s">
        <v>740</v>
      </c>
      <c r="I650" s="200" t="s">
        <v>710</v>
      </c>
      <c r="J650" s="158" t="s">
        <v>34</v>
      </c>
      <c r="K650" s="158" t="s">
        <v>2864</v>
      </c>
      <c r="L650" s="363" t="s">
        <v>2833</v>
      </c>
      <c r="M650" s="364">
        <v>0.125</v>
      </c>
      <c r="N650" s="364">
        <v>0.20833333333333334</v>
      </c>
      <c r="O650" s="158">
        <v>131849</v>
      </c>
      <c r="P650" s="158">
        <v>83123908</v>
      </c>
      <c r="Q650" s="158"/>
      <c r="R650" s="158"/>
      <c r="S650" s="158"/>
      <c r="T650" s="365"/>
      <c r="U650" s="365"/>
      <c r="V650" s="365"/>
    </row>
    <row r="651" spans="1:22" ht="25.5">
      <c r="A651" s="153">
        <v>46308</v>
      </c>
      <c r="B651" s="200" t="s">
        <v>563</v>
      </c>
      <c r="C651" s="200" t="s">
        <v>53</v>
      </c>
      <c r="D651" s="200" t="s">
        <v>113</v>
      </c>
      <c r="E651" s="200" t="s">
        <v>707</v>
      </c>
      <c r="F651" s="200" t="s">
        <v>55</v>
      </c>
      <c r="G651" s="200" t="s">
        <v>708</v>
      </c>
      <c r="H651" s="200" t="s">
        <v>740</v>
      </c>
      <c r="I651" s="200" t="s">
        <v>710</v>
      </c>
      <c r="J651" s="158" t="s">
        <v>34</v>
      </c>
      <c r="K651" s="158" t="s">
        <v>2865</v>
      </c>
      <c r="L651" s="363" t="s">
        <v>2866</v>
      </c>
      <c r="M651" s="364">
        <v>6.25E-2</v>
      </c>
      <c r="N651" s="364">
        <v>8.3333333333333329E-2</v>
      </c>
      <c r="O651" s="158">
        <v>135030</v>
      </c>
      <c r="P651" s="158"/>
      <c r="Q651" s="158"/>
      <c r="R651" s="158"/>
      <c r="S651" s="158"/>
      <c r="T651" s="365"/>
      <c r="U651" s="365"/>
      <c r="V651" s="365"/>
    </row>
    <row r="652" spans="1:22" ht="25.5">
      <c r="A652" s="153">
        <v>46308</v>
      </c>
      <c r="B652" s="200" t="s">
        <v>563</v>
      </c>
      <c r="C652" s="200" t="s">
        <v>53</v>
      </c>
      <c r="D652" s="200" t="s">
        <v>113</v>
      </c>
      <c r="E652" s="200" t="s">
        <v>707</v>
      </c>
      <c r="F652" s="200" t="s">
        <v>55</v>
      </c>
      <c r="G652" s="200" t="s">
        <v>708</v>
      </c>
      <c r="H652" s="200" t="s">
        <v>740</v>
      </c>
      <c r="I652" s="200" t="s">
        <v>710</v>
      </c>
      <c r="J652" s="158" t="s">
        <v>34</v>
      </c>
      <c r="K652" s="158" t="s">
        <v>2867</v>
      </c>
      <c r="L652" s="363" t="s">
        <v>2833</v>
      </c>
      <c r="M652" s="364">
        <v>8.3333333333333329E-2</v>
      </c>
      <c r="N652" s="364">
        <v>0.16666666666666666</v>
      </c>
      <c r="O652" s="158">
        <v>135030</v>
      </c>
      <c r="P652" s="158"/>
      <c r="Q652" s="158"/>
      <c r="R652" s="158"/>
      <c r="S652" s="158"/>
      <c r="T652" s="365"/>
      <c r="U652" s="365"/>
      <c r="V652" s="365"/>
    </row>
    <row r="653" spans="1:22" ht="25.5">
      <c r="A653" s="153">
        <v>46308</v>
      </c>
      <c r="B653" s="200" t="s">
        <v>547</v>
      </c>
      <c r="C653" s="200" t="s">
        <v>53</v>
      </c>
      <c r="D653" s="200" t="s">
        <v>250</v>
      </c>
      <c r="E653" s="200" t="s">
        <v>707</v>
      </c>
      <c r="F653" s="200" t="s">
        <v>55</v>
      </c>
      <c r="G653" s="200" t="s">
        <v>708</v>
      </c>
      <c r="H653" s="200" t="s">
        <v>740</v>
      </c>
      <c r="I653" s="200" t="s">
        <v>710</v>
      </c>
      <c r="J653" s="158" t="s">
        <v>34</v>
      </c>
      <c r="K653" s="158" t="s">
        <v>2868</v>
      </c>
      <c r="L653" s="363" t="s">
        <v>2833</v>
      </c>
      <c r="M653" s="364">
        <v>0.83333333333333337</v>
      </c>
      <c r="N653" s="364">
        <v>0.91666666666666663</v>
      </c>
      <c r="O653" s="158">
        <v>142253</v>
      </c>
      <c r="P653" s="158">
        <v>162712</v>
      </c>
      <c r="Q653" s="158"/>
      <c r="R653" s="158"/>
      <c r="S653" s="158"/>
      <c r="T653" s="365"/>
      <c r="U653" s="365"/>
      <c r="V653" s="365"/>
    </row>
    <row r="654" spans="1:22" ht="25.5">
      <c r="A654" s="153">
        <v>46308</v>
      </c>
      <c r="B654" s="200" t="s">
        <v>563</v>
      </c>
      <c r="C654" s="200" t="s">
        <v>53</v>
      </c>
      <c r="D654" s="200" t="s">
        <v>296</v>
      </c>
      <c r="E654" s="200" t="s">
        <v>707</v>
      </c>
      <c r="F654" s="200" t="s">
        <v>55</v>
      </c>
      <c r="G654" s="200" t="s">
        <v>708</v>
      </c>
      <c r="H654" s="200" t="s">
        <v>740</v>
      </c>
      <c r="I654" s="200" t="s">
        <v>710</v>
      </c>
      <c r="J654" s="158" t="s">
        <v>34</v>
      </c>
      <c r="K654" s="158" t="s">
        <v>2869</v>
      </c>
      <c r="L654" s="363" t="s">
        <v>2833</v>
      </c>
      <c r="M654" s="364">
        <v>0.83333333333333337</v>
      </c>
      <c r="N654" s="364">
        <v>0.91666666666666663</v>
      </c>
      <c r="O654" s="158">
        <v>145569</v>
      </c>
      <c r="P654" s="158">
        <v>152450</v>
      </c>
      <c r="Q654" s="158"/>
      <c r="R654" s="158"/>
      <c r="S654" s="158"/>
      <c r="T654" s="365"/>
      <c r="U654" s="365"/>
      <c r="V654" s="365"/>
    </row>
    <row r="655" spans="1:22" ht="25.5">
      <c r="A655" s="153">
        <v>46308</v>
      </c>
      <c r="B655" s="200" t="s">
        <v>547</v>
      </c>
      <c r="C655" s="200" t="s">
        <v>53</v>
      </c>
      <c r="D655" s="200" t="s">
        <v>760</v>
      </c>
      <c r="E655" s="200" t="s">
        <v>707</v>
      </c>
      <c r="F655" s="200" t="s">
        <v>55</v>
      </c>
      <c r="G655" s="200" t="s">
        <v>708</v>
      </c>
      <c r="H655" s="200" t="s">
        <v>740</v>
      </c>
      <c r="I655" s="200" t="s">
        <v>710</v>
      </c>
      <c r="J655" s="158" t="s">
        <v>34</v>
      </c>
      <c r="K655" s="158" t="s">
        <v>2870</v>
      </c>
      <c r="L655" s="363" t="s">
        <v>2833</v>
      </c>
      <c r="M655" s="364">
        <v>0.95833333333333337</v>
      </c>
      <c r="N655" s="364">
        <v>4.1666666666666664E-2</v>
      </c>
      <c r="O655" s="158">
        <v>83103414</v>
      </c>
      <c r="P655" s="158">
        <v>83040085</v>
      </c>
      <c r="Q655" s="158"/>
      <c r="R655" s="158"/>
      <c r="S655" s="158"/>
      <c r="T655" s="365"/>
      <c r="U655" s="365"/>
      <c r="V655" s="365"/>
    </row>
    <row r="656" spans="1:22" ht="25.5">
      <c r="A656" s="153">
        <v>46308</v>
      </c>
      <c r="B656" s="200" t="s">
        <v>563</v>
      </c>
      <c r="C656" s="200" t="s">
        <v>53</v>
      </c>
      <c r="D656" s="200" t="s">
        <v>156</v>
      </c>
      <c r="E656" s="200" t="s">
        <v>707</v>
      </c>
      <c r="F656" s="200" t="s">
        <v>55</v>
      </c>
      <c r="G656" s="200" t="s">
        <v>708</v>
      </c>
      <c r="H656" s="200" t="s">
        <v>740</v>
      </c>
      <c r="I656" s="200" t="s">
        <v>710</v>
      </c>
      <c r="J656" s="158" t="s">
        <v>34</v>
      </c>
      <c r="K656" s="158" t="s">
        <v>539</v>
      </c>
      <c r="L656" s="363" t="s">
        <v>2833</v>
      </c>
      <c r="M656" s="364">
        <v>2.0833333333333332E-2</v>
      </c>
      <c r="N656" s="364">
        <v>0.10416666666666667</v>
      </c>
      <c r="O656" s="158">
        <v>135048</v>
      </c>
      <c r="P656" s="158">
        <v>135062</v>
      </c>
      <c r="Q656" s="158"/>
      <c r="R656" s="158"/>
      <c r="S656" s="158"/>
      <c r="T656" s="365"/>
      <c r="U656" s="365"/>
      <c r="V656" s="365"/>
    </row>
    <row r="657" spans="1:22" ht="25.5">
      <c r="A657" s="153">
        <v>46308</v>
      </c>
      <c r="B657" s="200" t="s">
        <v>563</v>
      </c>
      <c r="C657" s="200" t="s">
        <v>53</v>
      </c>
      <c r="D657" s="200" t="s">
        <v>156</v>
      </c>
      <c r="E657" s="200" t="s">
        <v>707</v>
      </c>
      <c r="F657" s="200" t="s">
        <v>55</v>
      </c>
      <c r="G657" s="200" t="s">
        <v>708</v>
      </c>
      <c r="H657" s="200" t="s">
        <v>740</v>
      </c>
      <c r="I657" s="200" t="s">
        <v>710</v>
      </c>
      <c r="J657" s="158" t="s">
        <v>34</v>
      </c>
      <c r="K657" s="158" t="s">
        <v>2871</v>
      </c>
      <c r="L657" s="363" t="s">
        <v>2872</v>
      </c>
      <c r="M657" s="364">
        <v>0.10416666666666667</v>
      </c>
      <c r="N657" s="364">
        <v>0.125</v>
      </c>
      <c r="O657" s="158">
        <v>135048</v>
      </c>
      <c r="P657" s="158">
        <v>135062</v>
      </c>
      <c r="Q657" s="158">
        <v>83103414</v>
      </c>
      <c r="R657" s="158">
        <v>83040085</v>
      </c>
      <c r="S657" s="158"/>
      <c r="T657" s="365"/>
      <c r="U657" s="365"/>
      <c r="V657" s="365"/>
    </row>
    <row r="658" spans="1:22" ht="25.5">
      <c r="A658" s="153">
        <v>46308</v>
      </c>
      <c r="B658" s="200" t="s">
        <v>563</v>
      </c>
      <c r="C658" s="200" t="s">
        <v>53</v>
      </c>
      <c r="D658" s="200" t="s">
        <v>156</v>
      </c>
      <c r="E658" s="200" t="s">
        <v>707</v>
      </c>
      <c r="F658" s="200" t="s">
        <v>55</v>
      </c>
      <c r="G658" s="200" t="s">
        <v>708</v>
      </c>
      <c r="H658" s="200" t="s">
        <v>740</v>
      </c>
      <c r="I658" s="200" t="s">
        <v>710</v>
      </c>
      <c r="J658" s="158" t="s">
        <v>34</v>
      </c>
      <c r="K658" s="158" t="s">
        <v>2873</v>
      </c>
      <c r="L658" s="363" t="s">
        <v>2874</v>
      </c>
      <c r="M658" s="364">
        <v>0.125</v>
      </c>
      <c r="N658" s="364">
        <v>0.14583333333333334</v>
      </c>
      <c r="O658" s="158">
        <v>135048</v>
      </c>
      <c r="P658" s="158">
        <v>135062</v>
      </c>
      <c r="Q658" s="158">
        <v>83103414</v>
      </c>
      <c r="R658" s="158">
        <v>83040085</v>
      </c>
      <c r="S658" s="158"/>
      <c r="T658" s="365"/>
      <c r="U658" s="365"/>
      <c r="V658" s="365"/>
    </row>
    <row r="659" spans="1:22" ht="25.5">
      <c r="A659" s="153">
        <v>46308</v>
      </c>
      <c r="B659" s="200" t="s">
        <v>563</v>
      </c>
      <c r="C659" s="200" t="s">
        <v>53</v>
      </c>
      <c r="D659" s="200" t="s">
        <v>156</v>
      </c>
      <c r="E659" s="200" t="s">
        <v>707</v>
      </c>
      <c r="F659" s="200" t="s">
        <v>55</v>
      </c>
      <c r="G659" s="200" t="s">
        <v>708</v>
      </c>
      <c r="H659" s="200" t="s">
        <v>740</v>
      </c>
      <c r="I659" s="200" t="s">
        <v>710</v>
      </c>
      <c r="J659" s="158" t="s">
        <v>34</v>
      </c>
      <c r="K659" s="158" t="s">
        <v>2875</v>
      </c>
      <c r="L659" s="363" t="s">
        <v>2876</v>
      </c>
      <c r="M659" s="364">
        <v>0.14583333333333334</v>
      </c>
      <c r="N659" s="364">
        <v>0.16666666666666666</v>
      </c>
      <c r="O659" s="158">
        <v>135048</v>
      </c>
      <c r="P659" s="158">
        <v>135062</v>
      </c>
      <c r="Q659" s="158"/>
      <c r="R659" s="158"/>
      <c r="S659" s="158"/>
      <c r="T659" s="365"/>
      <c r="U659" s="365"/>
      <c r="V659" s="365"/>
    </row>
    <row r="660" spans="1:22" ht="25.5">
      <c r="A660" s="153">
        <v>46308</v>
      </c>
      <c r="B660" s="200" t="s">
        <v>547</v>
      </c>
      <c r="C660" s="200" t="s">
        <v>53</v>
      </c>
      <c r="D660" s="200" t="s">
        <v>250</v>
      </c>
      <c r="E660" s="200" t="s">
        <v>707</v>
      </c>
      <c r="F660" s="200" t="s">
        <v>55</v>
      </c>
      <c r="G660" s="200" t="s">
        <v>708</v>
      </c>
      <c r="H660" s="200" t="s">
        <v>740</v>
      </c>
      <c r="I660" s="200" t="s">
        <v>710</v>
      </c>
      <c r="J660" s="158" t="s">
        <v>34</v>
      </c>
      <c r="K660" s="158" t="s">
        <v>2877</v>
      </c>
      <c r="L660" s="363" t="s">
        <v>2878</v>
      </c>
      <c r="M660" s="364">
        <v>0.91666666666666663</v>
      </c>
      <c r="N660" s="364">
        <v>0.97916666666666663</v>
      </c>
      <c r="O660" s="158">
        <v>142253</v>
      </c>
      <c r="P660" s="158">
        <v>162712</v>
      </c>
      <c r="Q660" s="158"/>
      <c r="R660" s="158"/>
      <c r="S660" s="158"/>
      <c r="T660" s="365"/>
      <c r="U660" s="365"/>
      <c r="V660" s="365"/>
    </row>
    <row r="661" spans="1:22" ht="25.5">
      <c r="A661" s="153">
        <v>46308</v>
      </c>
      <c r="B661" s="200" t="s">
        <v>547</v>
      </c>
      <c r="C661" s="200" t="s">
        <v>53</v>
      </c>
      <c r="D661" s="200" t="s">
        <v>29</v>
      </c>
      <c r="E661" s="200" t="s">
        <v>707</v>
      </c>
      <c r="F661" s="200" t="s">
        <v>55</v>
      </c>
      <c r="G661" s="200" t="s">
        <v>708</v>
      </c>
      <c r="H661" s="200" t="s">
        <v>740</v>
      </c>
      <c r="I661" s="200" t="s">
        <v>710</v>
      </c>
      <c r="J661" s="158" t="s">
        <v>34</v>
      </c>
      <c r="K661" s="158" t="s">
        <v>2879</v>
      </c>
      <c r="L661" s="363" t="s">
        <v>2880</v>
      </c>
      <c r="M661" s="364">
        <v>0.95833333333333337</v>
      </c>
      <c r="N661" s="364">
        <v>0.97916666666666663</v>
      </c>
      <c r="O661" s="158">
        <v>145569</v>
      </c>
      <c r="P661" s="158">
        <v>152450</v>
      </c>
      <c r="Q661" s="158"/>
      <c r="R661" s="158"/>
      <c r="S661" s="158"/>
      <c r="T661" s="365"/>
      <c r="U661" s="365"/>
      <c r="V661" s="365"/>
    </row>
    <row r="662" spans="1:22" ht="25.5">
      <c r="A662" s="153">
        <v>46308</v>
      </c>
      <c r="B662" s="200" t="s">
        <v>547</v>
      </c>
      <c r="C662" s="200" t="s">
        <v>53</v>
      </c>
      <c r="D662" s="200" t="s">
        <v>29</v>
      </c>
      <c r="E662" s="200" t="s">
        <v>707</v>
      </c>
      <c r="F662" s="200" t="s">
        <v>55</v>
      </c>
      <c r="G662" s="200" t="s">
        <v>708</v>
      </c>
      <c r="H662" s="200" t="s">
        <v>740</v>
      </c>
      <c r="I662" s="200" t="s">
        <v>710</v>
      </c>
      <c r="J662" s="158" t="s">
        <v>34</v>
      </c>
      <c r="K662" s="158" t="s">
        <v>2881</v>
      </c>
      <c r="L662" s="363" t="s">
        <v>2882</v>
      </c>
      <c r="M662" s="364">
        <v>0.97916666666666663</v>
      </c>
      <c r="N662" s="364">
        <v>0</v>
      </c>
      <c r="O662" s="158">
        <v>145569</v>
      </c>
      <c r="P662" s="158">
        <v>152450</v>
      </c>
      <c r="Q662" s="158"/>
      <c r="R662" s="158"/>
      <c r="S662" s="158"/>
      <c r="T662" s="365"/>
      <c r="U662" s="365"/>
      <c r="V662" s="365"/>
    </row>
    <row r="663" spans="1:22" ht="25.5">
      <c r="A663" s="153">
        <v>46308</v>
      </c>
      <c r="B663" s="200" t="s">
        <v>547</v>
      </c>
      <c r="C663" s="200" t="s">
        <v>53</v>
      </c>
      <c r="D663" s="200" t="s">
        <v>29</v>
      </c>
      <c r="E663" s="200" t="s">
        <v>707</v>
      </c>
      <c r="F663" s="200" t="s">
        <v>55</v>
      </c>
      <c r="G663" s="200" t="s">
        <v>708</v>
      </c>
      <c r="H663" s="200" t="s">
        <v>740</v>
      </c>
      <c r="I663" s="200" t="s">
        <v>710</v>
      </c>
      <c r="J663" s="158" t="s">
        <v>34</v>
      </c>
      <c r="K663" s="158" t="s">
        <v>502</v>
      </c>
      <c r="L663" s="363" t="s">
        <v>2883</v>
      </c>
      <c r="M663" s="364">
        <v>0</v>
      </c>
      <c r="N663" s="364">
        <v>2.0833333333333332E-2</v>
      </c>
      <c r="O663" s="158">
        <v>145569</v>
      </c>
      <c r="P663" s="158">
        <v>152450</v>
      </c>
      <c r="Q663" s="158"/>
      <c r="R663" s="158"/>
      <c r="S663" s="158"/>
      <c r="T663" s="365"/>
      <c r="U663" s="365"/>
      <c r="V663" s="365"/>
    </row>
    <row r="664" spans="1:22" ht="25.5">
      <c r="A664" s="153">
        <v>46308</v>
      </c>
      <c r="B664" s="200" t="s">
        <v>547</v>
      </c>
      <c r="C664" s="200" t="s">
        <v>53</v>
      </c>
      <c r="D664" s="200" t="s">
        <v>230</v>
      </c>
      <c r="E664" s="200" t="s">
        <v>707</v>
      </c>
      <c r="F664" s="200" t="s">
        <v>55</v>
      </c>
      <c r="G664" s="200" t="s">
        <v>708</v>
      </c>
      <c r="H664" s="200" t="s">
        <v>740</v>
      </c>
      <c r="I664" s="200" t="s">
        <v>710</v>
      </c>
      <c r="J664" s="158" t="s">
        <v>34</v>
      </c>
      <c r="K664" s="158" t="s">
        <v>2884</v>
      </c>
      <c r="L664" s="363" t="s">
        <v>2833</v>
      </c>
      <c r="M664" s="364">
        <v>2.0833333333333332E-2</v>
      </c>
      <c r="N664" s="364">
        <v>0.10416666666666667</v>
      </c>
      <c r="O664" s="158">
        <v>145569</v>
      </c>
      <c r="P664" s="158">
        <v>152450</v>
      </c>
      <c r="Q664" s="158"/>
      <c r="R664" s="158"/>
      <c r="S664" s="158"/>
      <c r="T664" s="365"/>
      <c r="U664" s="365"/>
      <c r="V664" s="365"/>
    </row>
    <row r="665" spans="1:22" ht="25.5">
      <c r="A665" s="153">
        <v>46308</v>
      </c>
      <c r="B665" s="200" t="s">
        <v>563</v>
      </c>
      <c r="C665" s="200" t="s">
        <v>53</v>
      </c>
      <c r="D665" s="200" t="s">
        <v>584</v>
      </c>
      <c r="E665" s="200" t="s">
        <v>707</v>
      </c>
      <c r="F665" s="200" t="s">
        <v>55</v>
      </c>
      <c r="G665" s="200" t="s">
        <v>708</v>
      </c>
      <c r="H665" s="200" t="s">
        <v>740</v>
      </c>
      <c r="I665" s="200" t="s">
        <v>710</v>
      </c>
      <c r="J665" s="158" t="s">
        <v>34</v>
      </c>
      <c r="K665" s="158" t="s">
        <v>2885</v>
      </c>
      <c r="L665" s="363" t="s">
        <v>2833</v>
      </c>
      <c r="M665" s="364">
        <v>0.10416666666666667</v>
      </c>
      <c r="N665" s="364">
        <v>0.1875</v>
      </c>
      <c r="O665" s="158">
        <v>145569</v>
      </c>
      <c r="P665" s="158">
        <v>152450</v>
      </c>
      <c r="Q665" s="158"/>
      <c r="R665" s="158"/>
      <c r="S665" s="158"/>
      <c r="T665" s="365"/>
      <c r="U665" s="365"/>
      <c r="V665" s="365"/>
    </row>
    <row r="666" spans="1:22" ht="25.5">
      <c r="A666" s="153">
        <v>46308</v>
      </c>
      <c r="B666" s="200" t="s">
        <v>563</v>
      </c>
      <c r="C666" s="200" t="s">
        <v>53</v>
      </c>
      <c r="D666" s="200" t="s">
        <v>584</v>
      </c>
      <c r="E666" s="200" t="s">
        <v>707</v>
      </c>
      <c r="F666" s="200" t="s">
        <v>55</v>
      </c>
      <c r="G666" s="200" t="s">
        <v>708</v>
      </c>
      <c r="H666" s="200" t="s">
        <v>740</v>
      </c>
      <c r="I666" s="200" t="s">
        <v>710</v>
      </c>
      <c r="J666" s="158" t="s">
        <v>34</v>
      </c>
      <c r="K666" s="158" t="s">
        <v>2886</v>
      </c>
      <c r="L666" s="363" t="s">
        <v>2887</v>
      </c>
      <c r="M666" s="364">
        <v>0.1875</v>
      </c>
      <c r="N666" s="364">
        <v>0.20833333333333334</v>
      </c>
      <c r="O666" s="158">
        <v>145569</v>
      </c>
      <c r="P666" s="158">
        <v>152450</v>
      </c>
      <c r="Q666" s="158"/>
      <c r="R666" s="158"/>
      <c r="S666" s="158"/>
      <c r="T666" s="365"/>
      <c r="U666" s="365"/>
      <c r="V666" s="365"/>
    </row>
    <row r="667" spans="1:22" ht="25.5">
      <c r="A667" s="153">
        <v>46308</v>
      </c>
      <c r="B667" s="200" t="s">
        <v>563</v>
      </c>
      <c r="C667" s="200" t="s">
        <v>53</v>
      </c>
      <c r="D667" s="200" t="s">
        <v>584</v>
      </c>
      <c r="E667" s="200" t="s">
        <v>707</v>
      </c>
      <c r="F667" s="200" t="s">
        <v>55</v>
      </c>
      <c r="G667" s="200" t="s">
        <v>708</v>
      </c>
      <c r="H667" s="200" t="s">
        <v>740</v>
      </c>
      <c r="I667" s="200" t="s">
        <v>710</v>
      </c>
      <c r="J667" s="158" t="s">
        <v>34</v>
      </c>
      <c r="K667" s="158" t="s">
        <v>2888</v>
      </c>
      <c r="L667" s="363" t="s">
        <v>2889</v>
      </c>
      <c r="M667" s="364">
        <v>0.20833333333333334</v>
      </c>
      <c r="N667" s="364">
        <v>0.25</v>
      </c>
      <c r="O667" s="158">
        <v>145569</v>
      </c>
      <c r="P667" s="158">
        <v>152450</v>
      </c>
      <c r="Q667" s="158"/>
      <c r="R667" s="158"/>
      <c r="S667" s="158"/>
      <c r="T667" s="365"/>
      <c r="U667" s="365"/>
      <c r="V667" s="365"/>
    </row>
    <row r="668" spans="1:22" ht="25.5">
      <c r="A668" s="153">
        <v>46308</v>
      </c>
      <c r="B668" s="200" t="s">
        <v>547</v>
      </c>
      <c r="C668" s="200" t="s">
        <v>53</v>
      </c>
      <c r="D668" s="200" t="s">
        <v>155</v>
      </c>
      <c r="E668" s="200" t="s">
        <v>707</v>
      </c>
      <c r="F668" s="200" t="s">
        <v>55</v>
      </c>
      <c r="G668" s="200" t="s">
        <v>708</v>
      </c>
      <c r="H668" s="200" t="s">
        <v>740</v>
      </c>
      <c r="I668" s="200" t="s">
        <v>710</v>
      </c>
      <c r="J668" s="158" t="s">
        <v>34</v>
      </c>
      <c r="K668" s="158" t="s">
        <v>2890</v>
      </c>
      <c r="L668" s="363" t="s">
        <v>2833</v>
      </c>
      <c r="M668" s="364">
        <v>0.91666666666666663</v>
      </c>
      <c r="N668" s="364">
        <v>0</v>
      </c>
      <c r="O668" s="158">
        <v>142271</v>
      </c>
      <c r="P668" s="158">
        <v>145328</v>
      </c>
      <c r="Q668" s="158">
        <v>131849</v>
      </c>
      <c r="R668" s="158"/>
      <c r="S668" s="158"/>
      <c r="T668" s="365"/>
      <c r="U668" s="365"/>
      <c r="V668" s="365"/>
    </row>
    <row r="669" spans="1:22" ht="25.5">
      <c r="A669" s="153">
        <v>46308</v>
      </c>
      <c r="B669" s="200" t="s">
        <v>547</v>
      </c>
      <c r="C669" s="200" t="s">
        <v>53</v>
      </c>
      <c r="D669" s="200" t="s">
        <v>155</v>
      </c>
      <c r="E669" s="200" t="s">
        <v>707</v>
      </c>
      <c r="F669" s="200" t="s">
        <v>55</v>
      </c>
      <c r="G669" s="200" t="s">
        <v>708</v>
      </c>
      <c r="H669" s="200" t="s">
        <v>740</v>
      </c>
      <c r="I669" s="200" t="s">
        <v>710</v>
      </c>
      <c r="J669" s="158" t="s">
        <v>34</v>
      </c>
      <c r="K669" s="158" t="s">
        <v>2891</v>
      </c>
      <c r="L669" s="363" t="s">
        <v>2892</v>
      </c>
      <c r="M669" s="364">
        <v>0</v>
      </c>
      <c r="N669" s="364">
        <v>4.1666666666666664E-2</v>
      </c>
      <c r="O669" s="158">
        <v>142271</v>
      </c>
      <c r="P669" s="158"/>
      <c r="Q669" s="158"/>
      <c r="R669" s="158"/>
      <c r="S669" s="158"/>
      <c r="T669" s="365"/>
      <c r="U669" s="365"/>
      <c r="V669" s="365"/>
    </row>
    <row r="670" spans="1:22" ht="25.5">
      <c r="A670" s="153">
        <v>46308</v>
      </c>
      <c r="B670" s="200" t="s">
        <v>547</v>
      </c>
      <c r="C670" s="200" t="s">
        <v>53</v>
      </c>
      <c r="D670" s="200" t="s">
        <v>2030</v>
      </c>
      <c r="E670" s="200" t="s">
        <v>707</v>
      </c>
      <c r="F670" s="200" t="s">
        <v>55</v>
      </c>
      <c r="G670" s="200" t="s">
        <v>708</v>
      </c>
      <c r="H670" s="200" t="s">
        <v>740</v>
      </c>
      <c r="I670" s="200" t="s">
        <v>710</v>
      </c>
      <c r="J670" s="158" t="s">
        <v>34</v>
      </c>
      <c r="K670" s="158" t="s">
        <v>2893</v>
      </c>
      <c r="L670" s="363" t="s">
        <v>2833</v>
      </c>
      <c r="M670" s="364">
        <v>4.1666666666666664E-2</v>
      </c>
      <c r="N670" s="364">
        <v>0.125</v>
      </c>
      <c r="O670" s="158">
        <v>83103414</v>
      </c>
      <c r="P670" s="158">
        <v>83040085</v>
      </c>
      <c r="Q670" s="158"/>
      <c r="R670" s="158"/>
      <c r="S670" s="158"/>
      <c r="T670" s="365"/>
      <c r="U670" s="365"/>
      <c r="V670" s="365"/>
    </row>
    <row r="671" spans="1:22" ht="25.5">
      <c r="A671" s="153">
        <v>46308</v>
      </c>
      <c r="B671" s="200" t="s">
        <v>549</v>
      </c>
      <c r="C671" s="200" t="s">
        <v>90</v>
      </c>
      <c r="D671" s="200" t="s">
        <v>1270</v>
      </c>
      <c r="E671" s="200" t="s">
        <v>707</v>
      </c>
      <c r="F671" s="200" t="s">
        <v>55</v>
      </c>
      <c r="G671" s="200" t="s">
        <v>708</v>
      </c>
      <c r="H671" s="200" t="s">
        <v>740</v>
      </c>
      <c r="I671" s="200" t="s">
        <v>710</v>
      </c>
      <c r="J671" s="158" t="s">
        <v>34</v>
      </c>
      <c r="K671" s="158" t="s">
        <v>2894</v>
      </c>
      <c r="L671" s="363" t="s">
        <v>2895</v>
      </c>
      <c r="M671" s="364">
        <v>0.97916666666666663</v>
      </c>
      <c r="N671" s="364">
        <v>0</v>
      </c>
      <c r="O671" s="158">
        <v>145568</v>
      </c>
      <c r="P671" s="158">
        <v>135015</v>
      </c>
      <c r="Q671" s="158"/>
      <c r="R671" s="158"/>
      <c r="S671" s="158"/>
      <c r="T671" s="365"/>
      <c r="U671" s="365"/>
      <c r="V671" s="365"/>
    </row>
    <row r="672" spans="1:22" ht="25.5">
      <c r="A672" s="153">
        <v>46308</v>
      </c>
      <c r="B672" s="200" t="s">
        <v>549</v>
      </c>
      <c r="C672" s="200" t="s">
        <v>90</v>
      </c>
      <c r="D672" s="200" t="s">
        <v>1270</v>
      </c>
      <c r="E672" s="200" t="s">
        <v>707</v>
      </c>
      <c r="F672" s="200" t="s">
        <v>55</v>
      </c>
      <c r="G672" s="200" t="s">
        <v>708</v>
      </c>
      <c r="H672" s="200" t="s">
        <v>740</v>
      </c>
      <c r="I672" s="200" t="s">
        <v>710</v>
      </c>
      <c r="J672" s="158" t="s">
        <v>34</v>
      </c>
      <c r="K672" s="158" t="s">
        <v>2896</v>
      </c>
      <c r="L672" s="363" t="s">
        <v>2833</v>
      </c>
      <c r="M672" s="364">
        <v>0</v>
      </c>
      <c r="N672" s="364">
        <v>8.3333333333333329E-2</v>
      </c>
      <c r="O672" s="158">
        <v>145568</v>
      </c>
      <c r="P672" s="158">
        <v>135015</v>
      </c>
      <c r="Q672" s="158"/>
      <c r="R672" s="158"/>
      <c r="S672" s="158"/>
      <c r="T672" s="365"/>
      <c r="U672" s="365"/>
      <c r="V672" s="365"/>
    </row>
    <row r="673" spans="1:22" ht="25.5">
      <c r="A673" s="153">
        <v>46308</v>
      </c>
      <c r="B673" s="200" t="s">
        <v>549</v>
      </c>
      <c r="C673" s="200" t="s">
        <v>90</v>
      </c>
      <c r="D673" s="200" t="s">
        <v>1270</v>
      </c>
      <c r="E673" s="200" t="s">
        <v>707</v>
      </c>
      <c r="F673" s="200" t="s">
        <v>55</v>
      </c>
      <c r="G673" s="200" t="s">
        <v>708</v>
      </c>
      <c r="H673" s="200" t="s">
        <v>740</v>
      </c>
      <c r="I673" s="200" t="s">
        <v>710</v>
      </c>
      <c r="J673" s="158" t="s">
        <v>34</v>
      </c>
      <c r="K673" s="158" t="s">
        <v>2897</v>
      </c>
      <c r="L673" s="363" t="s">
        <v>2898</v>
      </c>
      <c r="M673" s="364">
        <v>8.3333333333333329E-2</v>
      </c>
      <c r="N673" s="364">
        <v>0.125</v>
      </c>
      <c r="O673" s="158">
        <v>145568</v>
      </c>
      <c r="P673" s="158">
        <v>135015</v>
      </c>
      <c r="Q673" s="158"/>
      <c r="R673" s="158"/>
      <c r="S673" s="158"/>
      <c r="T673" s="365"/>
      <c r="U673" s="365"/>
      <c r="V673" s="365"/>
    </row>
    <row r="674" spans="1:22" ht="25.5">
      <c r="A674" s="153">
        <v>46308</v>
      </c>
      <c r="B674" s="200" t="s">
        <v>549</v>
      </c>
      <c r="C674" s="200" t="s">
        <v>90</v>
      </c>
      <c r="D674" s="200" t="s">
        <v>330</v>
      </c>
      <c r="E674" s="200" t="s">
        <v>707</v>
      </c>
      <c r="F674" s="200" t="s">
        <v>55</v>
      </c>
      <c r="G674" s="200" t="s">
        <v>708</v>
      </c>
      <c r="H674" s="200" t="s">
        <v>740</v>
      </c>
      <c r="I674" s="200" t="s">
        <v>710</v>
      </c>
      <c r="J674" s="158" t="s">
        <v>34</v>
      </c>
      <c r="K674" s="158" t="s">
        <v>2899</v>
      </c>
      <c r="L674" s="363" t="s">
        <v>2900</v>
      </c>
      <c r="M674" s="364">
        <v>0.125</v>
      </c>
      <c r="N674" s="364">
        <v>0.14583333333333334</v>
      </c>
      <c r="O674" s="158">
        <v>145568</v>
      </c>
      <c r="P674" s="158">
        <v>135015</v>
      </c>
      <c r="Q674" s="158"/>
      <c r="R674" s="158"/>
      <c r="S674" s="158"/>
      <c r="T674" s="365"/>
      <c r="U674" s="365"/>
      <c r="V674" s="365"/>
    </row>
    <row r="675" spans="1:22" ht="25.5">
      <c r="A675" s="153">
        <v>46308</v>
      </c>
      <c r="B675" s="200" t="s">
        <v>549</v>
      </c>
      <c r="C675" s="200" t="s">
        <v>90</v>
      </c>
      <c r="D675" s="200" t="s">
        <v>330</v>
      </c>
      <c r="E675" s="200" t="s">
        <v>707</v>
      </c>
      <c r="F675" s="200" t="s">
        <v>55</v>
      </c>
      <c r="G675" s="200" t="s">
        <v>708</v>
      </c>
      <c r="H675" s="200" t="s">
        <v>740</v>
      </c>
      <c r="I675" s="200" t="s">
        <v>710</v>
      </c>
      <c r="J675" s="158" t="s">
        <v>34</v>
      </c>
      <c r="K675" s="158" t="s">
        <v>2901</v>
      </c>
      <c r="L675" s="363" t="s">
        <v>2902</v>
      </c>
      <c r="M675" s="364">
        <v>0.14583333333333334</v>
      </c>
      <c r="N675" s="364">
        <v>0.16666666666666666</v>
      </c>
      <c r="O675" s="158">
        <v>145568</v>
      </c>
      <c r="P675" s="158">
        <v>135015</v>
      </c>
      <c r="Q675" s="158"/>
      <c r="R675" s="158"/>
      <c r="S675" s="158"/>
      <c r="T675" s="365"/>
      <c r="U675" s="365"/>
      <c r="V675" s="365"/>
    </row>
    <row r="676" spans="1:22" ht="25.5">
      <c r="A676" s="153">
        <v>46308</v>
      </c>
      <c r="B676" s="200" t="s">
        <v>549</v>
      </c>
      <c r="C676" s="200" t="s">
        <v>90</v>
      </c>
      <c r="D676" s="200" t="s">
        <v>330</v>
      </c>
      <c r="E676" s="200" t="s">
        <v>707</v>
      </c>
      <c r="F676" s="200" t="s">
        <v>55</v>
      </c>
      <c r="G676" s="200" t="s">
        <v>708</v>
      </c>
      <c r="H676" s="200" t="s">
        <v>740</v>
      </c>
      <c r="I676" s="200" t="s">
        <v>710</v>
      </c>
      <c r="J676" s="158" t="s">
        <v>34</v>
      </c>
      <c r="K676" s="158" t="s">
        <v>2903</v>
      </c>
      <c r="L676" s="363" t="s">
        <v>2904</v>
      </c>
      <c r="M676" s="364">
        <v>0.16666666666666666</v>
      </c>
      <c r="N676" s="364">
        <v>0.1875</v>
      </c>
      <c r="O676" s="158">
        <v>145568</v>
      </c>
      <c r="P676" s="158">
        <v>135015</v>
      </c>
      <c r="Q676" s="158"/>
      <c r="R676" s="158"/>
      <c r="S676" s="158"/>
      <c r="T676" s="365"/>
      <c r="U676" s="365"/>
      <c r="V676" s="365"/>
    </row>
    <row r="677" spans="1:22" ht="25.5">
      <c r="A677" s="153">
        <v>46308</v>
      </c>
      <c r="B677" s="200" t="s">
        <v>549</v>
      </c>
      <c r="C677" s="200" t="s">
        <v>90</v>
      </c>
      <c r="D677" s="200" t="s">
        <v>330</v>
      </c>
      <c r="E677" s="200" t="s">
        <v>707</v>
      </c>
      <c r="F677" s="200" t="s">
        <v>55</v>
      </c>
      <c r="G677" s="200" t="s">
        <v>708</v>
      </c>
      <c r="H677" s="200" t="s">
        <v>740</v>
      </c>
      <c r="I677" s="200" t="s">
        <v>710</v>
      </c>
      <c r="J677" s="158" t="s">
        <v>34</v>
      </c>
      <c r="K677" s="158" t="s">
        <v>2905</v>
      </c>
      <c r="L677" s="363" t="s">
        <v>2833</v>
      </c>
      <c r="M677" s="364">
        <v>0.1875</v>
      </c>
      <c r="N677" s="364">
        <v>0.27083333333333331</v>
      </c>
      <c r="O677" s="158">
        <v>145568</v>
      </c>
      <c r="P677" s="158">
        <v>135015</v>
      </c>
      <c r="Q677" s="158"/>
      <c r="R677" s="158"/>
      <c r="S677" s="158"/>
      <c r="T677" s="365"/>
      <c r="U677" s="365"/>
      <c r="V677" s="365"/>
    </row>
    <row r="678" spans="1:22" ht="25.5">
      <c r="A678" s="153">
        <v>46308</v>
      </c>
      <c r="B678" s="200" t="s">
        <v>547</v>
      </c>
      <c r="C678" s="200" t="s">
        <v>53</v>
      </c>
      <c r="D678" s="200" t="s">
        <v>292</v>
      </c>
      <c r="E678" s="200" t="s">
        <v>707</v>
      </c>
      <c r="F678" s="200" t="s">
        <v>55</v>
      </c>
      <c r="G678" s="200" t="s">
        <v>708</v>
      </c>
      <c r="H678" s="200" t="s">
        <v>740</v>
      </c>
      <c r="I678" s="200" t="s">
        <v>710</v>
      </c>
      <c r="J678" s="158" t="s">
        <v>34</v>
      </c>
      <c r="K678" s="158" t="s">
        <v>2906</v>
      </c>
      <c r="L678" s="363" t="s">
        <v>2833</v>
      </c>
      <c r="M678" s="364">
        <v>0.83333333333333337</v>
      </c>
      <c r="N678" s="364">
        <v>0.91666666666666663</v>
      </c>
      <c r="O678" s="158">
        <v>135045</v>
      </c>
      <c r="P678" s="158"/>
      <c r="Q678" s="158"/>
      <c r="R678" s="158"/>
      <c r="S678" s="158"/>
      <c r="T678" s="365"/>
      <c r="U678" s="365"/>
      <c r="V678" s="365"/>
    </row>
    <row r="679" spans="1:22" ht="25.5">
      <c r="A679" s="153">
        <v>46308</v>
      </c>
      <c r="B679" s="200" t="s">
        <v>547</v>
      </c>
      <c r="C679" s="200" t="s">
        <v>53</v>
      </c>
      <c r="D679" s="200" t="s">
        <v>2150</v>
      </c>
      <c r="E679" s="200" t="s">
        <v>707</v>
      </c>
      <c r="F679" s="200" t="s">
        <v>55</v>
      </c>
      <c r="G679" s="200" t="s">
        <v>708</v>
      </c>
      <c r="H679" s="200" t="s">
        <v>740</v>
      </c>
      <c r="I679" s="200" t="s">
        <v>710</v>
      </c>
      <c r="J679" s="158" t="s">
        <v>34</v>
      </c>
      <c r="K679" s="158" t="s">
        <v>2907</v>
      </c>
      <c r="L679" s="363" t="s">
        <v>2833</v>
      </c>
      <c r="M679" s="364">
        <v>0.91666666666666663</v>
      </c>
      <c r="N679" s="364">
        <v>0</v>
      </c>
      <c r="O679" s="158">
        <v>135045</v>
      </c>
      <c r="P679" s="158"/>
      <c r="Q679" s="158"/>
      <c r="R679" s="158"/>
      <c r="S679" s="158"/>
      <c r="T679" s="365"/>
      <c r="U679" s="365"/>
      <c r="V679" s="365"/>
    </row>
    <row r="680" spans="1:22" ht="25.5">
      <c r="A680" s="153">
        <v>46308</v>
      </c>
      <c r="B680" s="200" t="s">
        <v>547</v>
      </c>
      <c r="C680" s="200" t="s">
        <v>90</v>
      </c>
      <c r="D680" s="200" t="s">
        <v>859</v>
      </c>
      <c r="E680" s="200" t="s">
        <v>707</v>
      </c>
      <c r="F680" s="200" t="s">
        <v>55</v>
      </c>
      <c r="G680" s="200" t="s">
        <v>708</v>
      </c>
      <c r="H680" s="200" t="s">
        <v>740</v>
      </c>
      <c r="I680" s="200" t="s">
        <v>710</v>
      </c>
      <c r="J680" s="158" t="s">
        <v>34</v>
      </c>
      <c r="K680" s="158" t="s">
        <v>2908</v>
      </c>
      <c r="L680" s="363" t="s">
        <v>2833</v>
      </c>
      <c r="M680" s="364">
        <v>0</v>
      </c>
      <c r="N680" s="364">
        <v>8.3333333333333329E-2</v>
      </c>
      <c r="O680" s="158">
        <v>135045</v>
      </c>
      <c r="P680" s="158"/>
      <c r="Q680" s="158"/>
      <c r="R680" s="158"/>
      <c r="S680" s="158"/>
      <c r="T680" s="365"/>
      <c r="U680" s="365"/>
      <c r="V680" s="365"/>
    </row>
    <row r="681" spans="1:22" ht="25.5">
      <c r="A681" s="153">
        <v>46308</v>
      </c>
      <c r="B681" s="200" t="s">
        <v>547</v>
      </c>
      <c r="C681" s="200" t="s">
        <v>53</v>
      </c>
      <c r="D681" s="200" t="s">
        <v>1932</v>
      </c>
      <c r="E681" s="200" t="s">
        <v>707</v>
      </c>
      <c r="F681" s="200" t="s">
        <v>55</v>
      </c>
      <c r="G681" s="200" t="s">
        <v>708</v>
      </c>
      <c r="H681" s="200" t="s">
        <v>740</v>
      </c>
      <c r="I681" s="200" t="s">
        <v>710</v>
      </c>
      <c r="J681" s="158" t="s">
        <v>34</v>
      </c>
      <c r="K681" s="158" t="s">
        <v>2909</v>
      </c>
      <c r="L681" s="363" t="s">
        <v>2833</v>
      </c>
      <c r="M681" s="364">
        <v>0.83333333333333337</v>
      </c>
      <c r="N681" s="364">
        <v>0.91666666666666663</v>
      </c>
      <c r="O681" s="158">
        <v>83122892</v>
      </c>
      <c r="P681" s="158"/>
      <c r="Q681" s="158"/>
      <c r="R681" s="158"/>
      <c r="S681" s="158"/>
      <c r="T681" s="365"/>
      <c r="U681" s="365"/>
      <c r="V681" s="365"/>
    </row>
    <row r="682" spans="1:22" ht="25.5">
      <c r="A682" s="153">
        <v>46308</v>
      </c>
      <c r="B682" s="200" t="s">
        <v>547</v>
      </c>
      <c r="C682" s="200" t="s">
        <v>90</v>
      </c>
      <c r="D682" s="200" t="s">
        <v>279</v>
      </c>
      <c r="E682" s="200" t="s">
        <v>707</v>
      </c>
      <c r="F682" s="200" t="s">
        <v>55</v>
      </c>
      <c r="G682" s="200" t="s">
        <v>708</v>
      </c>
      <c r="H682" s="200" t="s">
        <v>740</v>
      </c>
      <c r="I682" s="200" t="s">
        <v>710</v>
      </c>
      <c r="J682" s="158" t="s">
        <v>34</v>
      </c>
      <c r="K682" s="158" t="s">
        <v>2910</v>
      </c>
      <c r="L682" s="363" t="s">
        <v>2833</v>
      </c>
      <c r="M682" s="364">
        <v>0.91666666666666663</v>
      </c>
      <c r="N682" s="364">
        <v>0</v>
      </c>
      <c r="O682" s="158">
        <v>83122892</v>
      </c>
      <c r="P682" s="158"/>
      <c r="Q682" s="158"/>
      <c r="R682" s="158"/>
      <c r="S682" s="158"/>
      <c r="T682" s="365"/>
      <c r="U682" s="365"/>
      <c r="V682" s="365"/>
    </row>
    <row r="683" spans="1:22" ht="25.5">
      <c r="A683" s="153">
        <v>46308</v>
      </c>
      <c r="B683" s="200" t="s">
        <v>547</v>
      </c>
      <c r="C683" s="200" t="s">
        <v>53</v>
      </c>
      <c r="D683" s="200" t="s">
        <v>144</v>
      </c>
      <c r="E683" s="200" t="s">
        <v>707</v>
      </c>
      <c r="F683" s="200" t="s">
        <v>55</v>
      </c>
      <c r="G683" s="200" t="s">
        <v>708</v>
      </c>
      <c r="H683" s="200" t="s">
        <v>740</v>
      </c>
      <c r="I683" s="200" t="s">
        <v>710</v>
      </c>
      <c r="J683" s="158" t="s">
        <v>34</v>
      </c>
      <c r="K683" s="158" t="s">
        <v>2911</v>
      </c>
      <c r="L683" s="363" t="s">
        <v>2833</v>
      </c>
      <c r="M683" s="364">
        <v>0</v>
      </c>
      <c r="N683" s="364">
        <v>8.3333333333333329E-2</v>
      </c>
      <c r="O683" s="158">
        <v>83122892</v>
      </c>
      <c r="P683" s="158"/>
      <c r="Q683" s="158"/>
      <c r="R683" s="158"/>
      <c r="S683" s="158"/>
      <c r="T683" s="365"/>
      <c r="U683" s="365"/>
      <c r="V683" s="365"/>
    </row>
    <row r="684" spans="1:22" ht="25.5">
      <c r="A684" s="153">
        <v>46308</v>
      </c>
      <c r="B684" s="200" t="s">
        <v>547</v>
      </c>
      <c r="C684" s="200" t="s">
        <v>53</v>
      </c>
      <c r="D684" s="200" t="s">
        <v>2150</v>
      </c>
      <c r="E684" s="200" t="s">
        <v>707</v>
      </c>
      <c r="F684" s="200" t="s">
        <v>55</v>
      </c>
      <c r="G684" s="200" t="s">
        <v>708</v>
      </c>
      <c r="H684" s="200" t="s">
        <v>740</v>
      </c>
      <c r="I684" s="200" t="s">
        <v>710</v>
      </c>
      <c r="J684" s="158" t="s">
        <v>34</v>
      </c>
      <c r="K684" s="158" t="s">
        <v>2912</v>
      </c>
      <c r="L684" s="363" t="s">
        <v>2913</v>
      </c>
      <c r="M684" s="364">
        <v>8.3333333333333329E-2</v>
      </c>
      <c r="N684" s="364">
        <v>0.10416666666666667</v>
      </c>
      <c r="O684" s="158">
        <v>83122892</v>
      </c>
      <c r="P684" s="158">
        <v>135045</v>
      </c>
      <c r="Q684" s="158"/>
      <c r="R684" s="158"/>
      <c r="S684" s="158"/>
      <c r="T684" s="365"/>
      <c r="U684" s="365"/>
      <c r="V684" s="365"/>
    </row>
    <row r="685" spans="1:22" ht="25.5">
      <c r="A685" s="153">
        <v>46308</v>
      </c>
      <c r="B685" s="200" t="s">
        <v>547</v>
      </c>
      <c r="C685" s="200" t="s">
        <v>53</v>
      </c>
      <c r="D685" s="200" t="s">
        <v>1932</v>
      </c>
      <c r="E685" s="200" t="s">
        <v>707</v>
      </c>
      <c r="F685" s="200" t="s">
        <v>55</v>
      </c>
      <c r="G685" s="200" t="s">
        <v>708</v>
      </c>
      <c r="H685" s="200" t="s">
        <v>740</v>
      </c>
      <c r="I685" s="200" t="s">
        <v>710</v>
      </c>
      <c r="J685" s="158" t="s">
        <v>34</v>
      </c>
      <c r="K685" s="158" t="s">
        <v>2914</v>
      </c>
      <c r="L685" s="363" t="s">
        <v>2915</v>
      </c>
      <c r="M685" s="364">
        <v>0.10416666666666667</v>
      </c>
      <c r="N685" s="364">
        <v>0.125</v>
      </c>
      <c r="O685" s="158">
        <v>83122892</v>
      </c>
      <c r="P685" s="158">
        <v>135045</v>
      </c>
      <c r="Q685" s="158"/>
      <c r="R685" s="158"/>
      <c r="S685" s="158"/>
      <c r="T685" s="365"/>
      <c r="U685" s="365"/>
      <c r="V685" s="365"/>
    </row>
    <row r="686" spans="1:22" ht="25.5">
      <c r="A686" s="153">
        <v>46308</v>
      </c>
      <c r="B686" s="200" t="s">
        <v>547</v>
      </c>
      <c r="C686" s="200" t="s">
        <v>53</v>
      </c>
      <c r="D686" s="200" t="s">
        <v>144</v>
      </c>
      <c r="E686" s="200" t="s">
        <v>707</v>
      </c>
      <c r="F686" s="200" t="s">
        <v>55</v>
      </c>
      <c r="G686" s="200" t="s">
        <v>708</v>
      </c>
      <c r="H686" s="200" t="s">
        <v>740</v>
      </c>
      <c r="I686" s="200" t="s">
        <v>710</v>
      </c>
      <c r="J686" s="158" t="s">
        <v>34</v>
      </c>
      <c r="K686" s="158" t="s">
        <v>2916</v>
      </c>
      <c r="L686" s="363" t="s">
        <v>2917</v>
      </c>
      <c r="M686" s="364">
        <v>0.125</v>
      </c>
      <c r="N686" s="364">
        <v>0.16666666666666666</v>
      </c>
      <c r="O686" s="158">
        <v>83122892</v>
      </c>
      <c r="P686" s="158">
        <v>135045</v>
      </c>
      <c r="Q686" s="158"/>
      <c r="R686" s="158"/>
      <c r="S686" s="158"/>
      <c r="T686" s="365"/>
      <c r="U686" s="365"/>
      <c r="V686" s="365"/>
    </row>
    <row r="687" spans="1:22" ht="25.5">
      <c r="A687" s="153">
        <v>46308</v>
      </c>
      <c r="B687" s="200" t="s">
        <v>547</v>
      </c>
      <c r="C687" s="200" t="s">
        <v>53</v>
      </c>
      <c r="D687" s="200" t="s">
        <v>144</v>
      </c>
      <c r="E687" s="200" t="s">
        <v>707</v>
      </c>
      <c r="F687" s="200" t="s">
        <v>55</v>
      </c>
      <c r="G687" s="200" t="s">
        <v>708</v>
      </c>
      <c r="H687" s="200" t="s">
        <v>740</v>
      </c>
      <c r="I687" s="200" t="s">
        <v>710</v>
      </c>
      <c r="J687" s="158" t="s">
        <v>34</v>
      </c>
      <c r="K687" s="158" t="s">
        <v>2918</v>
      </c>
      <c r="L687" s="363" t="s">
        <v>2919</v>
      </c>
      <c r="M687" s="364">
        <v>0.16666666666666666</v>
      </c>
      <c r="N687" s="364">
        <v>0.20833333333333334</v>
      </c>
      <c r="O687" s="158">
        <v>83122892</v>
      </c>
      <c r="P687" s="158"/>
      <c r="Q687" s="158"/>
      <c r="R687" s="158"/>
      <c r="S687" s="158"/>
      <c r="T687" s="365"/>
      <c r="U687" s="365"/>
      <c r="V687" s="365"/>
    </row>
    <row r="688" spans="1:22" ht="25.5">
      <c r="A688" s="153">
        <v>46308</v>
      </c>
      <c r="B688" s="200" t="s">
        <v>547</v>
      </c>
      <c r="C688" s="200" t="s">
        <v>53</v>
      </c>
      <c r="D688" s="200" t="s">
        <v>144</v>
      </c>
      <c r="E688" s="200" t="s">
        <v>707</v>
      </c>
      <c r="F688" s="200" t="s">
        <v>55</v>
      </c>
      <c r="G688" s="200" t="s">
        <v>708</v>
      </c>
      <c r="H688" s="200" t="s">
        <v>740</v>
      </c>
      <c r="I688" s="200" t="s">
        <v>710</v>
      </c>
      <c r="J688" s="158" t="s">
        <v>34</v>
      </c>
      <c r="K688" s="158" t="s">
        <v>2920</v>
      </c>
      <c r="L688" s="363" t="s">
        <v>2921</v>
      </c>
      <c r="M688" s="364">
        <v>0.20833333333333334</v>
      </c>
      <c r="N688" s="364">
        <v>0.25</v>
      </c>
      <c r="O688" s="158">
        <v>83122892</v>
      </c>
      <c r="P688" s="158"/>
      <c r="Q688" s="158"/>
      <c r="R688" s="158"/>
      <c r="S688" s="158"/>
      <c r="T688" s="365"/>
      <c r="U688" s="365"/>
      <c r="V688" s="365"/>
    </row>
    <row r="689" spans="1:22" ht="25.5">
      <c r="A689" s="153">
        <v>46308</v>
      </c>
      <c r="B689" s="200" t="s">
        <v>563</v>
      </c>
      <c r="C689" s="200" t="s">
        <v>53</v>
      </c>
      <c r="D689" s="200" t="s">
        <v>901</v>
      </c>
      <c r="E689" s="200" t="s">
        <v>707</v>
      </c>
      <c r="F689" s="200" t="s">
        <v>55</v>
      </c>
      <c r="G689" s="200" t="s">
        <v>708</v>
      </c>
      <c r="H689" s="200" t="s">
        <v>740</v>
      </c>
      <c r="I689" s="200" t="s">
        <v>710</v>
      </c>
      <c r="J689" s="158" t="s">
        <v>34</v>
      </c>
      <c r="K689" s="158" t="s">
        <v>2922</v>
      </c>
      <c r="L689" s="363" t="s">
        <v>2833</v>
      </c>
      <c r="M689" s="364">
        <v>0.83333333333333337</v>
      </c>
      <c r="N689" s="364">
        <v>0.91666666666666663</v>
      </c>
      <c r="O689" s="158">
        <v>135044</v>
      </c>
      <c r="P689" s="158">
        <v>83122888</v>
      </c>
      <c r="Q689" s="158">
        <v>142271</v>
      </c>
      <c r="R689" s="158"/>
      <c r="S689" s="158"/>
      <c r="T689" s="365"/>
      <c r="U689" s="365"/>
      <c r="V689" s="365"/>
    </row>
    <row r="690" spans="1:22" ht="25.5">
      <c r="A690" s="153">
        <v>46308</v>
      </c>
      <c r="B690" s="200" t="s">
        <v>563</v>
      </c>
      <c r="C690" s="200" t="s">
        <v>53</v>
      </c>
      <c r="D690" s="200" t="s">
        <v>926</v>
      </c>
      <c r="E690" s="200" t="s">
        <v>707</v>
      </c>
      <c r="F690" s="200" t="s">
        <v>55</v>
      </c>
      <c r="G690" s="200" t="s">
        <v>708</v>
      </c>
      <c r="H690" s="200" t="s">
        <v>740</v>
      </c>
      <c r="I690" s="200" t="s">
        <v>710</v>
      </c>
      <c r="J690" s="158" t="s">
        <v>34</v>
      </c>
      <c r="K690" s="158" t="s">
        <v>2923</v>
      </c>
      <c r="L690" s="363" t="s">
        <v>2833</v>
      </c>
      <c r="M690" s="364">
        <v>0.91666666666666663</v>
      </c>
      <c r="N690" s="364">
        <v>0</v>
      </c>
      <c r="O690" s="158">
        <v>135044</v>
      </c>
      <c r="P690" s="158">
        <v>83122888</v>
      </c>
      <c r="Q690" s="158">
        <v>142271</v>
      </c>
      <c r="R690" s="158"/>
      <c r="S690" s="158"/>
      <c r="T690" s="365"/>
      <c r="U690" s="365"/>
      <c r="V690" s="365"/>
    </row>
    <row r="691" spans="1:22" ht="25.5">
      <c r="A691" s="153">
        <v>46308</v>
      </c>
      <c r="B691" s="200" t="s">
        <v>549</v>
      </c>
      <c r="C691" s="200" t="s">
        <v>90</v>
      </c>
      <c r="D691" s="200" t="s">
        <v>550</v>
      </c>
      <c r="E691" s="200" t="s">
        <v>707</v>
      </c>
      <c r="F691" s="200" t="s">
        <v>55</v>
      </c>
      <c r="G691" s="200" t="s">
        <v>708</v>
      </c>
      <c r="H691" s="200" t="s">
        <v>740</v>
      </c>
      <c r="I691" s="200" t="s">
        <v>710</v>
      </c>
      <c r="J691" s="158" t="s">
        <v>34</v>
      </c>
      <c r="K691" s="158" t="s">
        <v>2924</v>
      </c>
      <c r="L691" s="363" t="s">
        <v>2925</v>
      </c>
      <c r="M691" s="364">
        <v>0</v>
      </c>
      <c r="N691" s="364">
        <v>2.0833333333333332E-2</v>
      </c>
      <c r="O691" s="158">
        <v>135044</v>
      </c>
      <c r="P691" s="158">
        <v>83122888</v>
      </c>
      <c r="Q691" s="158">
        <v>142271</v>
      </c>
      <c r="R691" s="158"/>
      <c r="S691" s="158"/>
      <c r="T691" s="365"/>
      <c r="U691" s="365"/>
      <c r="V691" s="365"/>
    </row>
    <row r="692" spans="1:22" ht="25.5">
      <c r="A692" s="153">
        <v>46308</v>
      </c>
      <c r="B692" s="200" t="s">
        <v>549</v>
      </c>
      <c r="C692" s="200" t="s">
        <v>90</v>
      </c>
      <c r="D692" s="200" t="s">
        <v>550</v>
      </c>
      <c r="E692" s="200" t="s">
        <v>707</v>
      </c>
      <c r="F692" s="200" t="s">
        <v>55</v>
      </c>
      <c r="G692" s="200" t="s">
        <v>708</v>
      </c>
      <c r="H692" s="200" t="s">
        <v>740</v>
      </c>
      <c r="I692" s="200" t="s">
        <v>710</v>
      </c>
      <c r="J692" s="158" t="s">
        <v>34</v>
      </c>
      <c r="K692" s="158" t="s">
        <v>2926</v>
      </c>
      <c r="L692" s="363" t="s">
        <v>2927</v>
      </c>
      <c r="M692" s="364">
        <v>2.0833333333333332E-2</v>
      </c>
      <c r="N692" s="364">
        <v>4.1666666666666664E-2</v>
      </c>
      <c r="O692" s="158">
        <v>135044</v>
      </c>
      <c r="P692" s="158">
        <v>83122888</v>
      </c>
      <c r="Q692" s="158">
        <v>142271</v>
      </c>
      <c r="R692" s="158"/>
      <c r="S692" s="158"/>
      <c r="T692" s="365"/>
      <c r="U692" s="365"/>
      <c r="V692" s="365"/>
    </row>
    <row r="693" spans="1:22" ht="25.5">
      <c r="A693" s="153">
        <v>46308</v>
      </c>
      <c r="B693" s="200" t="s">
        <v>549</v>
      </c>
      <c r="C693" s="200" t="s">
        <v>90</v>
      </c>
      <c r="D693" s="200" t="s">
        <v>550</v>
      </c>
      <c r="E693" s="200" t="s">
        <v>707</v>
      </c>
      <c r="F693" s="200" t="s">
        <v>55</v>
      </c>
      <c r="G693" s="200" t="s">
        <v>708</v>
      </c>
      <c r="H693" s="200" t="s">
        <v>740</v>
      </c>
      <c r="I693" s="200" t="s">
        <v>710</v>
      </c>
      <c r="J693" s="158" t="s">
        <v>34</v>
      </c>
      <c r="K693" s="158" t="s">
        <v>2928</v>
      </c>
      <c r="L693" s="363" t="s">
        <v>2925</v>
      </c>
      <c r="M693" s="364">
        <v>4.1666666666666664E-2</v>
      </c>
      <c r="N693" s="364">
        <v>6.25E-2</v>
      </c>
      <c r="O693" s="158">
        <v>135044</v>
      </c>
      <c r="P693" s="158">
        <v>83122888</v>
      </c>
      <c r="Q693" s="158">
        <v>142271</v>
      </c>
      <c r="R693" s="158"/>
      <c r="S693" s="158"/>
      <c r="T693" s="365"/>
      <c r="U693" s="365"/>
      <c r="V693" s="365"/>
    </row>
    <row r="694" spans="1:22" ht="25.5">
      <c r="A694" s="153">
        <v>46308</v>
      </c>
      <c r="B694" s="200" t="s">
        <v>549</v>
      </c>
      <c r="C694" s="200" t="s">
        <v>90</v>
      </c>
      <c r="D694" s="200" t="s">
        <v>550</v>
      </c>
      <c r="E694" s="200" t="s">
        <v>707</v>
      </c>
      <c r="F694" s="200" t="s">
        <v>55</v>
      </c>
      <c r="G694" s="200" t="s">
        <v>708</v>
      </c>
      <c r="H694" s="200" t="s">
        <v>740</v>
      </c>
      <c r="I694" s="200" t="s">
        <v>710</v>
      </c>
      <c r="J694" s="158" t="s">
        <v>34</v>
      </c>
      <c r="K694" s="158" t="s">
        <v>2929</v>
      </c>
      <c r="L694" s="363" t="s">
        <v>2930</v>
      </c>
      <c r="M694" s="364">
        <v>6.25E-2</v>
      </c>
      <c r="N694" s="364">
        <v>8.3333333333333329E-2</v>
      </c>
      <c r="O694" s="158">
        <v>135044</v>
      </c>
      <c r="P694" s="158">
        <v>83122888</v>
      </c>
      <c r="Q694" s="158">
        <v>145359</v>
      </c>
      <c r="R694" s="158"/>
      <c r="S694" s="158"/>
      <c r="T694" s="365"/>
      <c r="U694" s="365"/>
      <c r="V694" s="365"/>
    </row>
    <row r="695" spans="1:22" ht="25.5">
      <c r="A695" s="153">
        <v>46308</v>
      </c>
      <c r="B695" s="200" t="s">
        <v>549</v>
      </c>
      <c r="C695" s="200" t="s">
        <v>90</v>
      </c>
      <c r="D695" s="200" t="s">
        <v>550</v>
      </c>
      <c r="E695" s="200" t="s">
        <v>707</v>
      </c>
      <c r="F695" s="200" t="s">
        <v>55</v>
      </c>
      <c r="G695" s="200" t="s">
        <v>708</v>
      </c>
      <c r="H695" s="200" t="s">
        <v>740</v>
      </c>
      <c r="I695" s="200" t="s">
        <v>710</v>
      </c>
      <c r="J695" s="158" t="s">
        <v>34</v>
      </c>
      <c r="K695" s="158" t="s">
        <v>2931</v>
      </c>
      <c r="L695" s="363" t="s">
        <v>2932</v>
      </c>
      <c r="M695" s="364">
        <v>8.3333333333333329E-2</v>
      </c>
      <c r="N695" s="364">
        <v>0.10416666666666667</v>
      </c>
      <c r="O695" s="158">
        <v>135044</v>
      </c>
      <c r="P695" s="158">
        <v>83122888</v>
      </c>
      <c r="Q695" s="158">
        <v>145359</v>
      </c>
      <c r="R695" s="158"/>
      <c r="S695" s="158"/>
      <c r="T695" s="365"/>
      <c r="U695" s="365"/>
      <c r="V695" s="365"/>
    </row>
    <row r="696" spans="1:22" ht="25.5">
      <c r="A696" s="153">
        <v>46308</v>
      </c>
      <c r="B696" s="200" t="s">
        <v>549</v>
      </c>
      <c r="C696" s="200" t="s">
        <v>90</v>
      </c>
      <c r="D696" s="200" t="s">
        <v>550</v>
      </c>
      <c r="E696" s="200" t="s">
        <v>707</v>
      </c>
      <c r="F696" s="200" t="s">
        <v>55</v>
      </c>
      <c r="G696" s="200" t="s">
        <v>708</v>
      </c>
      <c r="H696" s="200" t="s">
        <v>740</v>
      </c>
      <c r="I696" s="200" t="s">
        <v>710</v>
      </c>
      <c r="J696" s="158" t="s">
        <v>34</v>
      </c>
      <c r="K696" s="158" t="s">
        <v>2933</v>
      </c>
      <c r="L696" s="363" t="s">
        <v>2934</v>
      </c>
      <c r="M696" s="364">
        <v>0.10416666666666667</v>
      </c>
      <c r="N696" s="364">
        <v>0.125</v>
      </c>
      <c r="O696" s="158">
        <v>135044</v>
      </c>
      <c r="P696" s="158">
        <v>83122888</v>
      </c>
      <c r="Q696" s="158">
        <v>145359</v>
      </c>
      <c r="R696" s="158"/>
      <c r="S696" s="158"/>
      <c r="T696" s="365"/>
      <c r="U696" s="365"/>
      <c r="V696" s="365"/>
    </row>
    <row r="697" spans="1:22" ht="25.5">
      <c r="A697" s="153">
        <v>46308</v>
      </c>
      <c r="B697" s="200" t="s">
        <v>563</v>
      </c>
      <c r="C697" s="200" t="s">
        <v>53</v>
      </c>
      <c r="D697" s="200" t="s">
        <v>164</v>
      </c>
      <c r="E697" s="200" t="s">
        <v>707</v>
      </c>
      <c r="F697" s="200" t="s">
        <v>55</v>
      </c>
      <c r="G697" s="200" t="s">
        <v>708</v>
      </c>
      <c r="H697" s="200" t="s">
        <v>740</v>
      </c>
      <c r="I697" s="200" t="s">
        <v>710</v>
      </c>
      <c r="J697" s="158" t="s">
        <v>34</v>
      </c>
      <c r="K697" s="158" t="s">
        <v>2935</v>
      </c>
      <c r="L697" s="363" t="s">
        <v>2936</v>
      </c>
      <c r="M697" s="364">
        <v>0.91666666666666663</v>
      </c>
      <c r="N697" s="364">
        <v>0.95833333333333337</v>
      </c>
      <c r="O697" s="158">
        <v>145359</v>
      </c>
      <c r="P697" s="158">
        <v>83123908</v>
      </c>
      <c r="Q697" s="158"/>
      <c r="R697" s="158"/>
      <c r="S697" s="158"/>
      <c r="T697" s="365"/>
      <c r="U697" s="365"/>
      <c r="V697" s="365"/>
    </row>
    <row r="698" spans="1:22" ht="25.5">
      <c r="A698" s="153">
        <v>46308</v>
      </c>
      <c r="B698" s="200" t="s">
        <v>563</v>
      </c>
      <c r="C698" s="200" t="s">
        <v>53</v>
      </c>
      <c r="D698" s="200" t="s">
        <v>164</v>
      </c>
      <c r="E698" s="200" t="s">
        <v>707</v>
      </c>
      <c r="F698" s="200" t="s">
        <v>55</v>
      </c>
      <c r="G698" s="200" t="s">
        <v>708</v>
      </c>
      <c r="H698" s="200" t="s">
        <v>740</v>
      </c>
      <c r="I698" s="200" t="s">
        <v>710</v>
      </c>
      <c r="J698" s="158" t="s">
        <v>34</v>
      </c>
      <c r="K698" s="158" t="s">
        <v>2937</v>
      </c>
      <c r="L698" s="363" t="s">
        <v>2938</v>
      </c>
      <c r="M698" s="364">
        <v>0.95833333333333337</v>
      </c>
      <c r="N698" s="364">
        <v>4.1666666666666664E-2</v>
      </c>
      <c r="O698" s="158">
        <v>145359</v>
      </c>
      <c r="P698" s="158">
        <v>83123908</v>
      </c>
      <c r="Q698" s="158"/>
      <c r="R698" s="158"/>
      <c r="S698" s="158"/>
      <c r="T698" s="365"/>
      <c r="U698" s="365"/>
      <c r="V698" s="365"/>
    </row>
    <row r="699" spans="1:22" ht="25.5">
      <c r="A699" s="153">
        <v>46308</v>
      </c>
      <c r="B699" s="200" t="s">
        <v>563</v>
      </c>
      <c r="C699" s="200" t="s">
        <v>53</v>
      </c>
      <c r="D699" s="200" t="s">
        <v>164</v>
      </c>
      <c r="E699" s="200" t="s">
        <v>707</v>
      </c>
      <c r="F699" s="200" t="s">
        <v>55</v>
      </c>
      <c r="G699" s="200" t="s">
        <v>708</v>
      </c>
      <c r="H699" s="200" t="s">
        <v>740</v>
      </c>
      <c r="I699" s="200" t="s">
        <v>710</v>
      </c>
      <c r="J699" s="158" t="s">
        <v>34</v>
      </c>
      <c r="K699" s="158" t="s">
        <v>2939</v>
      </c>
      <c r="L699" s="363" t="s">
        <v>2833</v>
      </c>
      <c r="M699" s="364">
        <v>4.1666666666666664E-2</v>
      </c>
      <c r="N699" s="364">
        <v>0.125</v>
      </c>
      <c r="O699" s="158">
        <v>145359</v>
      </c>
      <c r="P699" s="158">
        <v>83123908</v>
      </c>
      <c r="Q699" s="158"/>
      <c r="R699" s="158"/>
      <c r="S699" s="158"/>
      <c r="T699" s="365"/>
      <c r="U699" s="365"/>
      <c r="V699" s="365"/>
    </row>
    <row r="700" spans="1:22" ht="25.5">
      <c r="A700" s="153">
        <v>46308</v>
      </c>
      <c r="B700" s="200" t="s">
        <v>547</v>
      </c>
      <c r="C700" s="200" t="s">
        <v>53</v>
      </c>
      <c r="D700" s="200" t="s">
        <v>29</v>
      </c>
      <c r="E700" s="200" t="s">
        <v>707</v>
      </c>
      <c r="F700" s="200" t="s">
        <v>55</v>
      </c>
      <c r="G700" s="200" t="s">
        <v>708</v>
      </c>
      <c r="H700" s="200" t="s">
        <v>740</v>
      </c>
      <c r="I700" s="200" t="s">
        <v>710</v>
      </c>
      <c r="J700" s="158" t="s">
        <v>34</v>
      </c>
      <c r="K700" s="158" t="s">
        <v>2940</v>
      </c>
      <c r="L700" s="363" t="s">
        <v>2941</v>
      </c>
      <c r="M700" s="364">
        <v>0.16666666666666666</v>
      </c>
      <c r="N700" s="364">
        <v>0.20833333333333334</v>
      </c>
      <c r="O700" s="158">
        <v>142253</v>
      </c>
      <c r="P700" s="158"/>
      <c r="Q700" s="158"/>
      <c r="R700" s="158"/>
      <c r="S700" s="158"/>
      <c r="T700" s="365"/>
      <c r="U700" s="365"/>
      <c r="V700" s="365"/>
    </row>
    <row r="701" spans="1:22" ht="25.5">
      <c r="A701" s="153">
        <v>46308</v>
      </c>
      <c r="B701" s="200" t="s">
        <v>547</v>
      </c>
      <c r="C701" s="200" t="s">
        <v>53</v>
      </c>
      <c r="D701" s="200" t="s">
        <v>29</v>
      </c>
      <c r="E701" s="200" t="s">
        <v>707</v>
      </c>
      <c r="F701" s="200" t="s">
        <v>55</v>
      </c>
      <c r="G701" s="200" t="s">
        <v>708</v>
      </c>
      <c r="H701" s="200" t="s">
        <v>740</v>
      </c>
      <c r="I701" s="200" t="s">
        <v>710</v>
      </c>
      <c r="J701" s="158" t="s">
        <v>34</v>
      </c>
      <c r="K701" s="158" t="s">
        <v>2942</v>
      </c>
      <c r="L701" s="363" t="s">
        <v>2833</v>
      </c>
      <c r="M701" s="364">
        <v>0.125</v>
      </c>
      <c r="N701" s="364">
        <v>0.20833333333333334</v>
      </c>
      <c r="O701" s="158">
        <v>162712</v>
      </c>
      <c r="P701" s="158"/>
      <c r="Q701" s="158"/>
      <c r="R701" s="158"/>
      <c r="S701" s="158"/>
      <c r="T701" s="365"/>
      <c r="U701" s="365"/>
      <c r="V701" s="365"/>
    </row>
    <row r="702" spans="1:22" ht="25.5">
      <c r="A702" s="153">
        <v>46308</v>
      </c>
      <c r="B702" s="200" t="s">
        <v>547</v>
      </c>
      <c r="C702" s="200" t="s">
        <v>90</v>
      </c>
      <c r="D702" s="200" t="s">
        <v>1397</v>
      </c>
      <c r="E702" s="200" t="s">
        <v>895</v>
      </c>
      <c r="F702" s="200" t="s">
        <v>55</v>
      </c>
      <c r="G702" s="200" t="s">
        <v>708</v>
      </c>
      <c r="H702" s="200" t="s">
        <v>740</v>
      </c>
      <c r="I702" s="200" t="s">
        <v>710</v>
      </c>
      <c r="J702" s="158" t="s">
        <v>34</v>
      </c>
      <c r="K702" s="158" t="s">
        <v>2943</v>
      </c>
      <c r="L702" s="363" t="s">
        <v>2944</v>
      </c>
      <c r="M702" s="364">
        <v>0.20833333333333334</v>
      </c>
      <c r="N702" s="364">
        <v>0.22916666666666666</v>
      </c>
      <c r="O702" s="158">
        <v>162712</v>
      </c>
      <c r="P702" s="158"/>
      <c r="Q702" s="158"/>
      <c r="R702" s="158"/>
      <c r="S702" s="158"/>
      <c r="T702" s="365"/>
      <c r="U702" s="365"/>
      <c r="V702" s="365"/>
    </row>
    <row r="703" spans="1:22" ht="25.5">
      <c r="A703" s="153">
        <v>46308</v>
      </c>
      <c r="B703" s="200" t="s">
        <v>547</v>
      </c>
      <c r="C703" s="200" t="s">
        <v>90</v>
      </c>
      <c r="D703" s="200" t="s">
        <v>1397</v>
      </c>
      <c r="E703" s="200" t="s">
        <v>895</v>
      </c>
      <c r="F703" s="200" t="s">
        <v>55</v>
      </c>
      <c r="G703" s="200" t="s">
        <v>708</v>
      </c>
      <c r="H703" s="200" t="s">
        <v>740</v>
      </c>
      <c r="I703" s="200" t="s">
        <v>710</v>
      </c>
      <c r="J703" s="158" t="s">
        <v>34</v>
      </c>
      <c r="K703" s="158" t="s">
        <v>2945</v>
      </c>
      <c r="L703" s="363" t="s">
        <v>2946</v>
      </c>
      <c r="M703" s="364">
        <v>0.22916666666666666</v>
      </c>
      <c r="N703" s="364">
        <v>0.25</v>
      </c>
      <c r="O703" s="158">
        <v>162712</v>
      </c>
      <c r="P703" s="158"/>
      <c r="Q703" s="158"/>
      <c r="R703" s="158"/>
      <c r="S703" s="158"/>
      <c r="T703" s="365"/>
      <c r="U703" s="365"/>
      <c r="V703" s="365"/>
    </row>
    <row r="704" spans="1:22" ht="25.5">
      <c r="A704" s="153">
        <v>46308</v>
      </c>
      <c r="B704" s="200" t="s">
        <v>547</v>
      </c>
      <c r="C704" s="200" t="s">
        <v>90</v>
      </c>
      <c r="D704" s="200" t="s">
        <v>1397</v>
      </c>
      <c r="E704" s="200" t="s">
        <v>895</v>
      </c>
      <c r="F704" s="200" t="s">
        <v>55</v>
      </c>
      <c r="G704" s="200" t="s">
        <v>708</v>
      </c>
      <c r="H704" s="200" t="s">
        <v>740</v>
      </c>
      <c r="I704" s="200" t="s">
        <v>710</v>
      </c>
      <c r="J704" s="158" t="s">
        <v>34</v>
      </c>
      <c r="K704" s="158" t="s">
        <v>2947</v>
      </c>
      <c r="L704" s="363" t="s">
        <v>2948</v>
      </c>
      <c r="M704" s="364">
        <v>0.25</v>
      </c>
      <c r="N704" s="364">
        <v>0.27083333333333331</v>
      </c>
      <c r="O704" s="158">
        <v>162712</v>
      </c>
      <c r="P704" s="158"/>
      <c r="Q704" s="158"/>
      <c r="R704" s="158"/>
      <c r="S704" s="158"/>
      <c r="T704" s="365"/>
      <c r="U704" s="365"/>
      <c r="V704" s="365"/>
    </row>
    <row r="705" spans="1:22" ht="25.5">
      <c r="A705" s="153">
        <v>46308</v>
      </c>
      <c r="B705" s="200" t="s">
        <v>547</v>
      </c>
      <c r="C705" s="200" t="s">
        <v>53</v>
      </c>
      <c r="D705" s="200" t="s">
        <v>806</v>
      </c>
      <c r="E705" s="200" t="s">
        <v>895</v>
      </c>
      <c r="F705" s="200" t="s">
        <v>55</v>
      </c>
      <c r="G705" s="200" t="s">
        <v>708</v>
      </c>
      <c r="H705" s="200" t="s">
        <v>740</v>
      </c>
      <c r="I705" s="200" t="s">
        <v>710</v>
      </c>
      <c r="J705" s="158" t="s">
        <v>34</v>
      </c>
      <c r="K705" s="158" t="s">
        <v>2949</v>
      </c>
      <c r="L705" s="363" t="s">
        <v>2950</v>
      </c>
      <c r="M705" s="364">
        <v>0.25</v>
      </c>
      <c r="N705" s="364">
        <v>0.27083333333333331</v>
      </c>
      <c r="O705" s="158">
        <v>142253</v>
      </c>
      <c r="P705" s="158"/>
      <c r="Q705" s="158"/>
      <c r="R705" s="158"/>
      <c r="S705" s="158"/>
      <c r="T705" s="365"/>
      <c r="U705" s="365"/>
      <c r="V705" s="365"/>
    </row>
    <row r="706" spans="1:22" ht="25.5">
      <c r="A706" s="153">
        <v>46308</v>
      </c>
      <c r="B706" s="200" t="s">
        <v>547</v>
      </c>
      <c r="C706" s="200" t="s">
        <v>53</v>
      </c>
      <c r="D706" s="200" t="s">
        <v>806</v>
      </c>
      <c r="E706" s="200" t="s">
        <v>895</v>
      </c>
      <c r="F706" s="200" t="s">
        <v>55</v>
      </c>
      <c r="G706" s="200" t="s">
        <v>708</v>
      </c>
      <c r="H706" s="200" t="s">
        <v>740</v>
      </c>
      <c r="I706" s="200" t="s">
        <v>710</v>
      </c>
      <c r="J706" s="158" t="s">
        <v>34</v>
      </c>
      <c r="K706" s="158" t="s">
        <v>2951</v>
      </c>
      <c r="L706" s="363" t="s">
        <v>2952</v>
      </c>
      <c r="M706" s="364">
        <v>0.27083333333333331</v>
      </c>
      <c r="N706" s="364">
        <v>0.29166666666666669</v>
      </c>
      <c r="O706" s="158">
        <v>142253</v>
      </c>
      <c r="P706" s="158"/>
      <c r="Q706" s="158"/>
      <c r="R706" s="158"/>
      <c r="S706" s="158"/>
      <c r="T706" s="365"/>
      <c r="U706" s="365"/>
      <c r="V706" s="365"/>
    </row>
    <row r="707" spans="1:22" ht="25.5">
      <c r="A707" s="153">
        <v>46308</v>
      </c>
      <c r="B707" s="200" t="s">
        <v>547</v>
      </c>
      <c r="C707" s="200" t="s">
        <v>90</v>
      </c>
      <c r="D707" s="200" t="s">
        <v>261</v>
      </c>
      <c r="E707" s="200" t="s">
        <v>707</v>
      </c>
      <c r="F707" s="200" t="s">
        <v>55</v>
      </c>
      <c r="G707" s="200" t="s">
        <v>708</v>
      </c>
      <c r="H707" s="200" t="s">
        <v>740</v>
      </c>
      <c r="I707" s="200" t="s">
        <v>710</v>
      </c>
      <c r="J707" s="158" t="s">
        <v>34</v>
      </c>
      <c r="K707" s="158" t="s">
        <v>2953</v>
      </c>
      <c r="L707" s="363" t="s">
        <v>2833</v>
      </c>
      <c r="M707" s="364">
        <v>0.20833333333333334</v>
      </c>
      <c r="N707" s="364">
        <v>0.29166666666666669</v>
      </c>
      <c r="O707" s="158">
        <v>145328</v>
      </c>
      <c r="P707" s="158"/>
      <c r="Q707" s="158"/>
      <c r="R707" s="158"/>
      <c r="S707" s="158"/>
      <c r="T707" s="365"/>
      <c r="U707" s="365"/>
      <c r="V707" s="365"/>
    </row>
    <row r="708" spans="1:22" ht="25.5">
      <c r="A708" s="153">
        <v>46308</v>
      </c>
      <c r="B708" s="200" t="s">
        <v>547</v>
      </c>
      <c r="C708" s="200" t="s">
        <v>90</v>
      </c>
      <c r="D708" s="200" t="s">
        <v>1611</v>
      </c>
      <c r="E708" s="200" t="s">
        <v>707</v>
      </c>
      <c r="F708" s="200" t="s">
        <v>55</v>
      </c>
      <c r="G708" s="200" t="s">
        <v>708</v>
      </c>
      <c r="H708" s="200" t="s">
        <v>740</v>
      </c>
      <c r="I708" s="200" t="s">
        <v>710</v>
      </c>
      <c r="J708" s="158" t="s">
        <v>34</v>
      </c>
      <c r="K708" s="158" t="s">
        <v>2954</v>
      </c>
      <c r="L708" s="363" t="s">
        <v>2833</v>
      </c>
      <c r="M708" s="364">
        <v>0.16666666666666666</v>
      </c>
      <c r="N708" s="364">
        <v>0.25</v>
      </c>
      <c r="O708" s="158">
        <v>135045</v>
      </c>
      <c r="P708" s="158"/>
      <c r="Q708" s="158"/>
      <c r="R708" s="158"/>
      <c r="S708" s="158"/>
      <c r="T708" s="365"/>
      <c r="U708" s="365"/>
      <c r="V708" s="365"/>
    </row>
    <row r="709" spans="1:22" ht="25.5">
      <c r="A709" s="153">
        <v>46308</v>
      </c>
      <c r="B709" s="200" t="s">
        <v>556</v>
      </c>
      <c r="C709" s="200" t="s">
        <v>706</v>
      </c>
      <c r="D709" s="200" t="s">
        <v>979</v>
      </c>
      <c r="E709" s="200" t="s">
        <v>707</v>
      </c>
      <c r="F709" s="200" t="s">
        <v>677</v>
      </c>
      <c r="G709" s="200" t="s">
        <v>764</v>
      </c>
      <c r="H709" s="200" t="s">
        <v>709</v>
      </c>
      <c r="I709" s="200" t="s">
        <v>710</v>
      </c>
      <c r="J709" s="158" t="s">
        <v>34</v>
      </c>
      <c r="K709" s="158" t="s">
        <v>2955</v>
      </c>
      <c r="L709" s="363" t="s">
        <v>2956</v>
      </c>
      <c r="M709" s="364">
        <v>0.58333333333333337</v>
      </c>
      <c r="N709" s="364">
        <v>0.60416666666666663</v>
      </c>
      <c r="O709" s="158" t="s">
        <v>975</v>
      </c>
      <c r="P709" s="158" t="s">
        <v>976</v>
      </c>
      <c r="Q709" s="158"/>
      <c r="R709" s="158"/>
      <c r="S709" s="158"/>
      <c r="T709" s="365"/>
      <c r="U709" s="365"/>
      <c r="V709" s="365"/>
    </row>
    <row r="710" spans="1:22" ht="25.5">
      <c r="A710" s="153">
        <v>46308</v>
      </c>
      <c r="B710" s="200" t="s">
        <v>556</v>
      </c>
      <c r="C710" s="200" t="s">
        <v>706</v>
      </c>
      <c r="D710" s="200" t="s">
        <v>979</v>
      </c>
      <c r="E710" s="200" t="s">
        <v>707</v>
      </c>
      <c r="F710" s="200" t="s">
        <v>677</v>
      </c>
      <c r="G710" s="200" t="s">
        <v>764</v>
      </c>
      <c r="H710" s="200" t="s">
        <v>709</v>
      </c>
      <c r="I710" s="200" t="s">
        <v>710</v>
      </c>
      <c r="J710" s="158" t="s">
        <v>34</v>
      </c>
      <c r="K710" s="158" t="s">
        <v>2957</v>
      </c>
      <c r="L710" s="363" t="s">
        <v>2958</v>
      </c>
      <c r="M710" s="364">
        <v>0.60763888888888884</v>
      </c>
      <c r="N710" s="364">
        <v>0.625</v>
      </c>
      <c r="O710" s="158" t="s">
        <v>975</v>
      </c>
      <c r="P710" s="158" t="s">
        <v>976</v>
      </c>
      <c r="Q710" s="158"/>
      <c r="R710" s="158"/>
      <c r="S710" s="158"/>
      <c r="T710" s="365"/>
      <c r="U710" s="365"/>
      <c r="V710" s="365"/>
    </row>
    <row r="711" spans="1:22" ht="25.5">
      <c r="A711" s="153">
        <v>46308</v>
      </c>
      <c r="B711" s="200" t="s">
        <v>556</v>
      </c>
      <c r="C711" s="200" t="s">
        <v>706</v>
      </c>
      <c r="D711" s="200" t="s">
        <v>979</v>
      </c>
      <c r="E711" s="200" t="s">
        <v>707</v>
      </c>
      <c r="F711" s="200" t="s">
        <v>677</v>
      </c>
      <c r="G711" s="200" t="s">
        <v>764</v>
      </c>
      <c r="H711" s="200" t="s">
        <v>709</v>
      </c>
      <c r="I711" s="200" t="s">
        <v>710</v>
      </c>
      <c r="J711" s="158" t="s">
        <v>34</v>
      </c>
      <c r="K711" s="158" t="s">
        <v>2959</v>
      </c>
      <c r="L711" s="363" t="s">
        <v>2960</v>
      </c>
      <c r="M711" s="364">
        <v>0.63194444444444442</v>
      </c>
      <c r="N711" s="364">
        <v>0.64583333333333337</v>
      </c>
      <c r="O711" s="158" t="s">
        <v>975</v>
      </c>
      <c r="P711" s="158" t="s">
        <v>976</v>
      </c>
      <c r="Q711" s="158"/>
      <c r="R711" s="158"/>
      <c r="S711" s="158"/>
      <c r="T711" s="365"/>
      <c r="U711" s="365"/>
      <c r="V711" s="365"/>
    </row>
    <row r="712" spans="1:22" ht="25.5">
      <c r="A712" s="153">
        <v>46308</v>
      </c>
      <c r="B712" s="200" t="s">
        <v>556</v>
      </c>
      <c r="C712" s="200" t="s">
        <v>706</v>
      </c>
      <c r="D712" s="200" t="s">
        <v>979</v>
      </c>
      <c r="E712" s="200" t="s">
        <v>707</v>
      </c>
      <c r="F712" s="200" t="s">
        <v>677</v>
      </c>
      <c r="G712" s="200" t="s">
        <v>764</v>
      </c>
      <c r="H712" s="200" t="s">
        <v>709</v>
      </c>
      <c r="I712" s="200" t="s">
        <v>710</v>
      </c>
      <c r="J712" s="158" t="s">
        <v>34</v>
      </c>
      <c r="K712" s="158" t="s">
        <v>2961</v>
      </c>
      <c r="L712" s="363" t="s">
        <v>991</v>
      </c>
      <c r="M712" s="364">
        <v>0.58333333333333337</v>
      </c>
      <c r="N712" s="364">
        <v>0.66666666666666663</v>
      </c>
      <c r="O712" s="158" t="s">
        <v>975</v>
      </c>
      <c r="P712" s="158" t="s">
        <v>976</v>
      </c>
      <c r="Q712" s="158"/>
      <c r="R712" s="158"/>
      <c r="S712" s="158"/>
      <c r="T712" s="365"/>
      <c r="U712" s="365"/>
      <c r="V712" s="365"/>
    </row>
    <row r="713" spans="1:22" ht="25.5">
      <c r="A713" s="153">
        <v>46308</v>
      </c>
      <c r="B713" s="200" t="s">
        <v>556</v>
      </c>
      <c r="C713" s="200" t="s">
        <v>706</v>
      </c>
      <c r="D713" s="200" t="s">
        <v>992</v>
      </c>
      <c r="E713" s="200" t="s">
        <v>707</v>
      </c>
      <c r="F713" s="200" t="s">
        <v>677</v>
      </c>
      <c r="G713" s="200" t="s">
        <v>764</v>
      </c>
      <c r="H713" s="200" t="s">
        <v>709</v>
      </c>
      <c r="I713" s="200" t="s">
        <v>710</v>
      </c>
      <c r="J713" s="158" t="s">
        <v>34</v>
      </c>
      <c r="K713" s="158" t="s">
        <v>2962</v>
      </c>
      <c r="L713" s="363" t="s">
        <v>2963</v>
      </c>
      <c r="M713" s="364">
        <v>0.66666666666666663</v>
      </c>
      <c r="N713" s="364">
        <v>0.68402777777777779</v>
      </c>
      <c r="O713" s="158" t="s">
        <v>975</v>
      </c>
      <c r="P713" s="158" t="s">
        <v>976</v>
      </c>
      <c r="Q713" s="158"/>
      <c r="R713" s="158"/>
      <c r="S713" s="158"/>
      <c r="T713" s="365"/>
      <c r="U713" s="365"/>
      <c r="V713" s="365"/>
    </row>
    <row r="714" spans="1:22" ht="25.5">
      <c r="A714" s="153">
        <v>46308</v>
      </c>
      <c r="B714" s="200" t="s">
        <v>556</v>
      </c>
      <c r="C714" s="200" t="s">
        <v>706</v>
      </c>
      <c r="D714" s="200" t="s">
        <v>992</v>
      </c>
      <c r="E714" s="200" t="s">
        <v>707</v>
      </c>
      <c r="F714" s="200" t="s">
        <v>677</v>
      </c>
      <c r="G714" s="200" t="s">
        <v>764</v>
      </c>
      <c r="H714" s="200" t="s">
        <v>709</v>
      </c>
      <c r="I714" s="200" t="s">
        <v>710</v>
      </c>
      <c r="J714" s="158" t="s">
        <v>34</v>
      </c>
      <c r="K714" s="158" t="s">
        <v>2964</v>
      </c>
      <c r="L714" s="363" t="s">
        <v>2965</v>
      </c>
      <c r="M714" s="364">
        <v>0.6875</v>
      </c>
      <c r="N714" s="364">
        <v>0.70833333333333337</v>
      </c>
      <c r="O714" s="158" t="s">
        <v>975</v>
      </c>
      <c r="P714" s="158" t="s">
        <v>976</v>
      </c>
      <c r="Q714" s="158"/>
      <c r="R714" s="158"/>
      <c r="S714" s="158"/>
      <c r="T714" s="365"/>
      <c r="U714" s="365"/>
      <c r="V714" s="365"/>
    </row>
    <row r="715" spans="1:22" ht="25.5">
      <c r="A715" s="153">
        <v>46308</v>
      </c>
      <c r="B715" s="200" t="s">
        <v>556</v>
      </c>
      <c r="C715" s="200" t="s">
        <v>706</v>
      </c>
      <c r="D715" s="200" t="s">
        <v>992</v>
      </c>
      <c r="E715" s="200" t="s">
        <v>707</v>
      </c>
      <c r="F715" s="200" t="s">
        <v>677</v>
      </c>
      <c r="G715" s="200" t="s">
        <v>764</v>
      </c>
      <c r="H715" s="200" t="s">
        <v>709</v>
      </c>
      <c r="I715" s="200" t="s">
        <v>710</v>
      </c>
      <c r="J715" s="158" t="s">
        <v>34</v>
      </c>
      <c r="K715" s="158" t="s">
        <v>2966</v>
      </c>
      <c r="L715" s="363" t="s">
        <v>2967</v>
      </c>
      <c r="M715" s="364">
        <v>0.71527777777777779</v>
      </c>
      <c r="N715" s="364">
        <v>0.72916666666666663</v>
      </c>
      <c r="O715" s="158" t="s">
        <v>975</v>
      </c>
      <c r="P715" s="158" t="s">
        <v>976</v>
      </c>
      <c r="Q715" s="158"/>
      <c r="R715" s="158"/>
      <c r="S715" s="158"/>
      <c r="T715" s="365"/>
      <c r="U715" s="365"/>
      <c r="V715" s="365"/>
    </row>
    <row r="716" spans="1:22" ht="25.5">
      <c r="A716" s="153">
        <v>46308</v>
      </c>
      <c r="B716" s="200" t="s">
        <v>556</v>
      </c>
      <c r="C716" s="200" t="s">
        <v>706</v>
      </c>
      <c r="D716" s="200" t="s">
        <v>992</v>
      </c>
      <c r="E716" s="200" t="s">
        <v>707</v>
      </c>
      <c r="F716" s="200" t="s">
        <v>677</v>
      </c>
      <c r="G716" s="200" t="s">
        <v>764</v>
      </c>
      <c r="H716" s="200" t="s">
        <v>709</v>
      </c>
      <c r="I716" s="200" t="s">
        <v>710</v>
      </c>
      <c r="J716" s="158" t="s">
        <v>34</v>
      </c>
      <c r="K716" s="158" t="s">
        <v>2968</v>
      </c>
      <c r="L716" s="363" t="s">
        <v>991</v>
      </c>
      <c r="M716" s="364">
        <v>0.66666666666666663</v>
      </c>
      <c r="N716" s="364">
        <v>0.75</v>
      </c>
      <c r="O716" s="158" t="s">
        <v>975</v>
      </c>
      <c r="P716" s="158" t="s">
        <v>976</v>
      </c>
      <c r="Q716" s="158"/>
      <c r="R716" s="158"/>
      <c r="S716" s="158"/>
      <c r="T716" s="365"/>
      <c r="U716" s="365"/>
      <c r="V716" s="365"/>
    </row>
    <row r="717" spans="1:22" ht="25.5">
      <c r="A717" s="153">
        <v>46308</v>
      </c>
      <c r="B717" s="200" t="s">
        <v>549</v>
      </c>
      <c r="C717" s="200" t="s">
        <v>1846</v>
      </c>
      <c r="D717" s="200" t="s">
        <v>1460</v>
      </c>
      <c r="E717" s="200" t="s">
        <v>707</v>
      </c>
      <c r="F717" s="200" t="s">
        <v>409</v>
      </c>
      <c r="G717" s="200" t="s">
        <v>708</v>
      </c>
      <c r="H717" s="200" t="s">
        <v>709</v>
      </c>
      <c r="I717" s="200" t="s">
        <v>710</v>
      </c>
      <c r="J717" s="158" t="s">
        <v>34</v>
      </c>
      <c r="K717" s="158" t="s">
        <v>2969</v>
      </c>
      <c r="L717" s="363" t="s">
        <v>2970</v>
      </c>
      <c r="M717" s="364">
        <v>0.66666666666666663</v>
      </c>
      <c r="N717" s="364">
        <v>0.67708333333333337</v>
      </c>
      <c r="O717" s="158" t="s">
        <v>1821</v>
      </c>
      <c r="P717" s="158" t="s">
        <v>1823</v>
      </c>
      <c r="Q717" s="158" t="s">
        <v>2971</v>
      </c>
      <c r="R717" s="158"/>
      <c r="S717" s="158"/>
      <c r="T717" s="365"/>
      <c r="U717" s="365"/>
      <c r="V717" s="365"/>
    </row>
    <row r="718" spans="1:22" ht="25.5">
      <c r="A718" s="153">
        <v>46308</v>
      </c>
      <c r="B718" s="200" t="s">
        <v>549</v>
      </c>
      <c r="C718" s="200" t="s">
        <v>1846</v>
      </c>
      <c r="D718" s="200" t="s">
        <v>1460</v>
      </c>
      <c r="E718" s="200" t="s">
        <v>707</v>
      </c>
      <c r="F718" s="200" t="s">
        <v>409</v>
      </c>
      <c r="G718" s="200" t="s">
        <v>708</v>
      </c>
      <c r="H718" s="200" t="s">
        <v>709</v>
      </c>
      <c r="I718" s="200" t="s">
        <v>710</v>
      </c>
      <c r="J718" s="158" t="s">
        <v>34</v>
      </c>
      <c r="K718" s="158" t="s">
        <v>2972</v>
      </c>
      <c r="L718" s="363" t="s">
        <v>1828</v>
      </c>
      <c r="M718" s="364">
        <v>0.67777777777777781</v>
      </c>
      <c r="N718" s="364">
        <v>0.71944444444444444</v>
      </c>
      <c r="O718" s="158" t="s">
        <v>1821</v>
      </c>
      <c r="P718" s="158" t="s">
        <v>1823</v>
      </c>
      <c r="Q718" s="158" t="s">
        <v>2971</v>
      </c>
      <c r="R718" s="158"/>
      <c r="S718" s="158"/>
      <c r="T718" s="365"/>
      <c r="U718" s="365"/>
      <c r="V718" s="365"/>
    </row>
    <row r="719" spans="1:22" ht="25.5">
      <c r="A719" s="153">
        <v>46308</v>
      </c>
      <c r="B719" s="200" t="s">
        <v>549</v>
      </c>
      <c r="C719" s="200" t="s">
        <v>1846</v>
      </c>
      <c r="D719" s="200" t="s">
        <v>1460</v>
      </c>
      <c r="E719" s="200" t="s">
        <v>707</v>
      </c>
      <c r="F719" s="200" t="s">
        <v>409</v>
      </c>
      <c r="G719" s="200" t="s">
        <v>708</v>
      </c>
      <c r="H719" s="200" t="s">
        <v>709</v>
      </c>
      <c r="I719" s="200" t="s">
        <v>710</v>
      </c>
      <c r="J719" s="158" t="s">
        <v>34</v>
      </c>
      <c r="K719" s="158" t="s">
        <v>2973</v>
      </c>
      <c r="L719" s="363" t="s">
        <v>2974</v>
      </c>
      <c r="M719" s="364">
        <v>0.72013888888888888</v>
      </c>
      <c r="N719" s="364">
        <v>0.73402777777777772</v>
      </c>
      <c r="O719" s="158" t="s">
        <v>1821</v>
      </c>
      <c r="P719" s="158" t="s">
        <v>1823</v>
      </c>
      <c r="Q719" s="158" t="s">
        <v>2971</v>
      </c>
      <c r="R719" s="158"/>
      <c r="S719" s="158"/>
      <c r="T719" s="365"/>
      <c r="U719" s="365"/>
      <c r="V719" s="365"/>
    </row>
    <row r="720" spans="1:22" ht="25.5">
      <c r="A720" s="153">
        <v>46308</v>
      </c>
      <c r="B720" s="200" t="s">
        <v>563</v>
      </c>
      <c r="C720" s="200" t="s">
        <v>53</v>
      </c>
      <c r="D720" s="200" t="s">
        <v>596</v>
      </c>
      <c r="E720" s="200" t="s">
        <v>707</v>
      </c>
      <c r="F720" s="200" t="s">
        <v>409</v>
      </c>
      <c r="G720" s="200" t="s">
        <v>708</v>
      </c>
      <c r="H720" s="200" t="s">
        <v>709</v>
      </c>
      <c r="I720" s="200" t="s">
        <v>710</v>
      </c>
      <c r="J720" s="158" t="s">
        <v>34</v>
      </c>
      <c r="K720" s="158" t="s">
        <v>2975</v>
      </c>
      <c r="L720" s="363" t="s">
        <v>1828</v>
      </c>
      <c r="M720" s="364">
        <v>0.75</v>
      </c>
      <c r="N720" s="364">
        <v>0.79166666666666663</v>
      </c>
      <c r="O720" s="158" t="s">
        <v>1821</v>
      </c>
      <c r="P720" s="158" t="s">
        <v>1823</v>
      </c>
      <c r="Q720" s="158" t="s">
        <v>2971</v>
      </c>
      <c r="R720" s="158"/>
      <c r="S720" s="158"/>
      <c r="T720" s="365"/>
      <c r="U720" s="365"/>
      <c r="V720" s="365"/>
    </row>
    <row r="721" spans="1:22" ht="25.5">
      <c r="A721" s="153">
        <v>46308</v>
      </c>
      <c r="B721" s="200" t="s">
        <v>563</v>
      </c>
      <c r="C721" s="200" t="s">
        <v>53</v>
      </c>
      <c r="D721" s="200" t="s">
        <v>596</v>
      </c>
      <c r="E721" s="200" t="s">
        <v>707</v>
      </c>
      <c r="F721" s="200" t="s">
        <v>409</v>
      </c>
      <c r="G721" s="200" t="s">
        <v>708</v>
      </c>
      <c r="H721" s="200" t="s">
        <v>709</v>
      </c>
      <c r="I721" s="200" t="s">
        <v>710</v>
      </c>
      <c r="J721" s="158" t="s">
        <v>34</v>
      </c>
      <c r="K721" s="158" t="s">
        <v>2976</v>
      </c>
      <c r="L721" s="363" t="s">
        <v>2977</v>
      </c>
      <c r="M721" s="364">
        <v>0.79236111111111107</v>
      </c>
      <c r="N721" s="364">
        <v>0.80277777777777781</v>
      </c>
      <c r="O721" s="158" t="s">
        <v>1821</v>
      </c>
      <c r="P721" s="158" t="s">
        <v>1823</v>
      </c>
      <c r="Q721" s="158" t="s">
        <v>2971</v>
      </c>
      <c r="R721" s="158"/>
      <c r="S721" s="158"/>
      <c r="T721" s="365"/>
      <c r="U721" s="365"/>
      <c r="V721" s="365"/>
    </row>
    <row r="722" spans="1:22" ht="25.5">
      <c r="A722" s="153">
        <v>46308</v>
      </c>
      <c r="B722" s="200" t="s">
        <v>547</v>
      </c>
      <c r="C722" s="200" t="s">
        <v>53</v>
      </c>
      <c r="D722" s="200" t="s">
        <v>406</v>
      </c>
      <c r="E722" s="200" t="s">
        <v>707</v>
      </c>
      <c r="F722" s="200" t="s">
        <v>409</v>
      </c>
      <c r="G722" s="200" t="s">
        <v>708</v>
      </c>
      <c r="H722" s="200" t="s">
        <v>709</v>
      </c>
      <c r="I722" s="200" t="s">
        <v>710</v>
      </c>
      <c r="J722" s="158" t="s">
        <v>34</v>
      </c>
      <c r="K722" s="158" t="s">
        <v>1842</v>
      </c>
      <c r="L722" s="363" t="s">
        <v>2978</v>
      </c>
      <c r="M722" s="364">
        <v>0.80555555555555558</v>
      </c>
      <c r="N722" s="364">
        <v>0.81597222222222221</v>
      </c>
      <c r="O722" s="158" t="s">
        <v>1821</v>
      </c>
      <c r="P722" s="158" t="s">
        <v>1823</v>
      </c>
      <c r="Q722" s="158" t="s">
        <v>2971</v>
      </c>
      <c r="R722" s="158"/>
      <c r="S722" s="158"/>
      <c r="T722" s="365"/>
      <c r="U722" s="365"/>
      <c r="V722" s="365"/>
    </row>
    <row r="723" spans="1:22" ht="25.5">
      <c r="A723" s="153">
        <v>46308</v>
      </c>
      <c r="B723" s="200" t="s">
        <v>547</v>
      </c>
      <c r="C723" s="200" t="s">
        <v>53</v>
      </c>
      <c r="D723" s="200" t="s">
        <v>406</v>
      </c>
      <c r="E723" s="200" t="s">
        <v>707</v>
      </c>
      <c r="F723" s="200" t="s">
        <v>409</v>
      </c>
      <c r="G723" s="200" t="s">
        <v>708</v>
      </c>
      <c r="H723" s="200" t="s">
        <v>709</v>
      </c>
      <c r="I723" s="200" t="s">
        <v>710</v>
      </c>
      <c r="J723" s="158" t="s">
        <v>34</v>
      </c>
      <c r="K723" s="158" t="s">
        <v>2979</v>
      </c>
      <c r="L723" s="363" t="s">
        <v>2980</v>
      </c>
      <c r="M723" s="364">
        <v>0.81666666666666665</v>
      </c>
      <c r="N723" s="364">
        <v>0.82708333333333328</v>
      </c>
      <c r="O723" s="158" t="s">
        <v>1821</v>
      </c>
      <c r="P723" s="158" t="s">
        <v>1823</v>
      </c>
      <c r="Q723" s="158" t="s">
        <v>2971</v>
      </c>
      <c r="R723" s="158"/>
      <c r="S723" s="158"/>
      <c r="T723" s="365"/>
      <c r="U723" s="365"/>
      <c r="V723" s="365"/>
    </row>
    <row r="724" spans="1:22" ht="25.5">
      <c r="A724" s="153">
        <v>46308</v>
      </c>
      <c r="B724" s="200" t="s">
        <v>547</v>
      </c>
      <c r="C724" s="200" t="s">
        <v>53</v>
      </c>
      <c r="D724" s="200" t="s">
        <v>406</v>
      </c>
      <c r="E724" s="200" t="s">
        <v>707</v>
      </c>
      <c r="F724" s="200" t="s">
        <v>409</v>
      </c>
      <c r="G724" s="200" t="s">
        <v>708</v>
      </c>
      <c r="H724" s="200" t="s">
        <v>709</v>
      </c>
      <c r="I724" s="200" t="s">
        <v>710</v>
      </c>
      <c r="J724" s="158" t="s">
        <v>34</v>
      </c>
      <c r="K724" s="158" t="s">
        <v>2981</v>
      </c>
      <c r="L724" s="363" t="s">
        <v>2982</v>
      </c>
      <c r="M724" s="364">
        <v>0.82777777777777772</v>
      </c>
      <c r="N724" s="364">
        <v>0.83819444444444446</v>
      </c>
      <c r="O724" s="158" t="s">
        <v>1821</v>
      </c>
      <c r="P724" s="158" t="s">
        <v>1823</v>
      </c>
      <c r="Q724" s="158" t="s">
        <v>2971</v>
      </c>
      <c r="R724" s="158"/>
      <c r="S724" s="158"/>
      <c r="T724" s="365"/>
      <c r="U724" s="365"/>
      <c r="V724" s="365"/>
    </row>
    <row r="725" spans="1:22" ht="25.5">
      <c r="A725" s="153">
        <v>46308</v>
      </c>
      <c r="B725" s="200" t="s">
        <v>547</v>
      </c>
      <c r="C725" s="200" t="s">
        <v>53</v>
      </c>
      <c r="D725" s="200" t="s">
        <v>406</v>
      </c>
      <c r="E725" s="200" t="s">
        <v>707</v>
      </c>
      <c r="F725" s="200" t="s">
        <v>409</v>
      </c>
      <c r="G725" s="200" t="s">
        <v>708</v>
      </c>
      <c r="H725" s="200" t="s">
        <v>709</v>
      </c>
      <c r="I725" s="200" t="s">
        <v>710</v>
      </c>
      <c r="J725" s="158" t="s">
        <v>34</v>
      </c>
      <c r="K725" s="158" t="s">
        <v>2983</v>
      </c>
      <c r="L725" s="363" t="s">
        <v>1828</v>
      </c>
      <c r="M725" s="364">
        <v>0.83888888888888891</v>
      </c>
      <c r="N725" s="364">
        <v>0.88055555555555554</v>
      </c>
      <c r="O725" s="158" t="s">
        <v>1821</v>
      </c>
      <c r="P725" s="158" t="s">
        <v>1823</v>
      </c>
      <c r="Q725" s="158" t="s">
        <v>2971</v>
      </c>
      <c r="R725" s="158"/>
      <c r="S725" s="158"/>
      <c r="T725" s="365"/>
      <c r="U725" s="365"/>
      <c r="V725" s="365"/>
    </row>
    <row r="726" spans="1:22" ht="25.5">
      <c r="A726" s="153">
        <v>46308</v>
      </c>
      <c r="B726" s="200" t="s">
        <v>563</v>
      </c>
      <c r="C726" s="200" t="s">
        <v>53</v>
      </c>
      <c r="D726" s="200" t="s">
        <v>1178</v>
      </c>
      <c r="E726" s="200" t="s">
        <v>707</v>
      </c>
      <c r="F726" s="200" t="s">
        <v>409</v>
      </c>
      <c r="G726" s="200" t="s">
        <v>708</v>
      </c>
      <c r="H726" s="200" t="s">
        <v>709</v>
      </c>
      <c r="I726" s="200" t="s">
        <v>710</v>
      </c>
      <c r="J726" s="158" t="s">
        <v>34</v>
      </c>
      <c r="K726" s="158" t="s">
        <v>2984</v>
      </c>
      <c r="L726" s="363" t="s">
        <v>2985</v>
      </c>
      <c r="M726" s="364">
        <v>0.88194444444444442</v>
      </c>
      <c r="N726" s="364">
        <v>0.89236111111111116</v>
      </c>
      <c r="O726" s="158" t="s">
        <v>1821</v>
      </c>
      <c r="P726" s="158" t="s">
        <v>1823</v>
      </c>
      <c r="Q726" s="158" t="s">
        <v>2971</v>
      </c>
      <c r="R726" s="158"/>
      <c r="S726" s="158"/>
      <c r="T726" s="365"/>
      <c r="U726" s="365"/>
      <c r="V726" s="365"/>
    </row>
    <row r="727" spans="1:22" ht="25.5">
      <c r="A727" s="153">
        <v>46308</v>
      </c>
      <c r="B727" s="200" t="s">
        <v>563</v>
      </c>
      <c r="C727" s="200" t="s">
        <v>53</v>
      </c>
      <c r="D727" s="200" t="s">
        <v>1178</v>
      </c>
      <c r="E727" s="200" t="s">
        <v>707</v>
      </c>
      <c r="F727" s="200" t="s">
        <v>409</v>
      </c>
      <c r="G727" s="200" t="s">
        <v>708</v>
      </c>
      <c r="H727" s="200" t="s">
        <v>709</v>
      </c>
      <c r="I727" s="200" t="s">
        <v>710</v>
      </c>
      <c r="J727" s="158" t="s">
        <v>34</v>
      </c>
      <c r="K727" s="158" t="s">
        <v>2986</v>
      </c>
      <c r="L727" s="363" t="s">
        <v>2987</v>
      </c>
      <c r="M727" s="364">
        <v>0.8930555555555556</v>
      </c>
      <c r="N727" s="364">
        <v>0.90347222222222223</v>
      </c>
      <c r="O727" s="158" t="s">
        <v>1821</v>
      </c>
      <c r="P727" s="158" t="s">
        <v>1823</v>
      </c>
      <c r="Q727" s="158" t="s">
        <v>2971</v>
      </c>
      <c r="R727" s="158"/>
      <c r="S727" s="158"/>
      <c r="T727" s="365"/>
      <c r="U727" s="365"/>
      <c r="V727" s="365"/>
    </row>
    <row r="728" spans="1:22" ht="25.5">
      <c r="A728" s="153">
        <v>46308</v>
      </c>
      <c r="B728" s="200" t="s">
        <v>563</v>
      </c>
      <c r="C728" s="200" t="s">
        <v>53</v>
      </c>
      <c r="D728" s="200" t="s">
        <v>1178</v>
      </c>
      <c r="E728" s="200" t="s">
        <v>707</v>
      </c>
      <c r="F728" s="200" t="s">
        <v>409</v>
      </c>
      <c r="G728" s="200" t="s">
        <v>708</v>
      </c>
      <c r="H728" s="200" t="s">
        <v>709</v>
      </c>
      <c r="I728" s="200" t="s">
        <v>710</v>
      </c>
      <c r="J728" s="158" t="s">
        <v>34</v>
      </c>
      <c r="K728" s="158" t="s">
        <v>2988</v>
      </c>
      <c r="L728" s="363" t="s">
        <v>2989</v>
      </c>
      <c r="M728" s="364">
        <v>0.90416666666666667</v>
      </c>
      <c r="N728" s="364">
        <v>0.92500000000000004</v>
      </c>
      <c r="O728" s="158" t="s">
        <v>1821</v>
      </c>
      <c r="P728" s="158" t="s">
        <v>1823</v>
      </c>
      <c r="Q728" s="158" t="s">
        <v>2971</v>
      </c>
      <c r="R728" s="158"/>
      <c r="S728" s="158"/>
      <c r="T728" s="365"/>
      <c r="U728" s="365"/>
      <c r="V728" s="365"/>
    </row>
    <row r="729" spans="1:22" ht="25.5">
      <c r="A729" s="153">
        <v>46308</v>
      </c>
      <c r="B729" s="200" t="s">
        <v>563</v>
      </c>
      <c r="C729" s="200" t="s">
        <v>53</v>
      </c>
      <c r="D729" s="200" t="s">
        <v>1178</v>
      </c>
      <c r="E729" s="200" t="s">
        <v>707</v>
      </c>
      <c r="F729" s="200" t="s">
        <v>409</v>
      </c>
      <c r="G729" s="200" t="s">
        <v>708</v>
      </c>
      <c r="H729" s="200" t="s">
        <v>709</v>
      </c>
      <c r="I729" s="200" t="s">
        <v>710</v>
      </c>
      <c r="J729" s="158" t="s">
        <v>34</v>
      </c>
      <c r="K729" s="158" t="s">
        <v>2990</v>
      </c>
      <c r="L729" s="363" t="s">
        <v>2991</v>
      </c>
      <c r="M729" s="364">
        <v>0.92569444444444449</v>
      </c>
      <c r="N729" s="364">
        <v>0.94652777777777775</v>
      </c>
      <c r="O729" s="158" t="s">
        <v>1821</v>
      </c>
      <c r="P729" s="158" t="s">
        <v>1823</v>
      </c>
      <c r="Q729" s="158" t="s">
        <v>2971</v>
      </c>
      <c r="R729" s="158"/>
      <c r="S729" s="158"/>
      <c r="T729" s="365"/>
      <c r="U729" s="365"/>
      <c r="V729" s="365"/>
    </row>
    <row r="730" spans="1:22" ht="25.5">
      <c r="A730" s="153">
        <v>46308</v>
      </c>
      <c r="B730" s="200" t="s">
        <v>563</v>
      </c>
      <c r="C730" s="200" t="s">
        <v>53</v>
      </c>
      <c r="D730" s="200" t="s">
        <v>1178</v>
      </c>
      <c r="E730" s="200" t="s">
        <v>707</v>
      </c>
      <c r="F730" s="200" t="s">
        <v>409</v>
      </c>
      <c r="G730" s="200" t="s">
        <v>708</v>
      </c>
      <c r="H730" s="200" t="s">
        <v>709</v>
      </c>
      <c r="I730" s="200" t="s">
        <v>710</v>
      </c>
      <c r="J730" s="158" t="s">
        <v>34</v>
      </c>
      <c r="K730" s="158" t="s">
        <v>2992</v>
      </c>
      <c r="L730" s="363" t="s">
        <v>1828</v>
      </c>
      <c r="M730" s="364">
        <v>0.94722222222222219</v>
      </c>
      <c r="N730" s="364">
        <v>3.0555555555555555E-2</v>
      </c>
      <c r="O730" s="158" t="s">
        <v>1821</v>
      </c>
      <c r="P730" s="158" t="s">
        <v>1823</v>
      </c>
      <c r="Q730" s="158" t="s">
        <v>2971</v>
      </c>
      <c r="R730" s="158"/>
      <c r="S730" s="158"/>
      <c r="T730" s="365"/>
      <c r="U730" s="365"/>
      <c r="V730" s="365"/>
    </row>
    <row r="731" spans="1:22" ht="25.5">
      <c r="A731" s="153">
        <v>46308</v>
      </c>
      <c r="B731" s="200" t="s">
        <v>563</v>
      </c>
      <c r="C731" s="200" t="s">
        <v>53</v>
      </c>
      <c r="D731" s="200" t="s">
        <v>588</v>
      </c>
      <c r="E731" s="200" t="s">
        <v>707</v>
      </c>
      <c r="F731" s="200" t="s">
        <v>409</v>
      </c>
      <c r="G731" s="200" t="s">
        <v>708</v>
      </c>
      <c r="H731" s="200" t="s">
        <v>709</v>
      </c>
      <c r="I731" s="200" t="s">
        <v>710</v>
      </c>
      <c r="J731" s="158" t="s">
        <v>34</v>
      </c>
      <c r="K731" s="158" t="s">
        <v>2993</v>
      </c>
      <c r="L731" s="363" t="s">
        <v>2994</v>
      </c>
      <c r="M731" s="364">
        <v>3.4722222222222224E-2</v>
      </c>
      <c r="N731" s="364">
        <v>5.5555555555555552E-2</v>
      </c>
      <c r="O731" s="158" t="s">
        <v>1821</v>
      </c>
      <c r="P731" s="158" t="s">
        <v>1823</v>
      </c>
      <c r="Q731" s="158" t="s">
        <v>2971</v>
      </c>
      <c r="R731" s="158"/>
      <c r="S731" s="158"/>
      <c r="T731" s="365"/>
      <c r="U731" s="365"/>
      <c r="V731" s="365"/>
    </row>
    <row r="732" spans="1:22" ht="25.5">
      <c r="A732" s="153">
        <v>46308</v>
      </c>
      <c r="B732" s="200" t="s">
        <v>563</v>
      </c>
      <c r="C732" s="200" t="s">
        <v>53</v>
      </c>
      <c r="D732" s="200" t="s">
        <v>588</v>
      </c>
      <c r="E732" s="200" t="s">
        <v>707</v>
      </c>
      <c r="F732" s="200" t="s">
        <v>409</v>
      </c>
      <c r="G732" s="200" t="s">
        <v>708</v>
      </c>
      <c r="H732" s="200" t="s">
        <v>709</v>
      </c>
      <c r="I732" s="200" t="s">
        <v>710</v>
      </c>
      <c r="J732" s="158" t="s">
        <v>34</v>
      </c>
      <c r="K732" s="158" t="s">
        <v>2995</v>
      </c>
      <c r="L732" s="363" t="s">
        <v>1828</v>
      </c>
      <c r="M732" s="364">
        <v>5.6250000000000001E-2</v>
      </c>
      <c r="N732" s="364">
        <v>9.7916666666666666E-2</v>
      </c>
      <c r="O732" s="158" t="s">
        <v>1821</v>
      </c>
      <c r="P732" s="158" t="s">
        <v>1823</v>
      </c>
      <c r="Q732" s="158" t="s">
        <v>2971</v>
      </c>
      <c r="R732" s="158"/>
      <c r="S732" s="158"/>
      <c r="T732" s="365"/>
      <c r="U732" s="365"/>
      <c r="V732" s="365"/>
    </row>
    <row r="733" spans="1:22" ht="25.5">
      <c r="A733" s="153">
        <v>46308</v>
      </c>
      <c r="B733" s="200" t="s">
        <v>549</v>
      </c>
      <c r="C733" s="200" t="s">
        <v>2455</v>
      </c>
      <c r="D733" s="200" t="s">
        <v>474</v>
      </c>
      <c r="E733" s="200" t="s">
        <v>815</v>
      </c>
      <c r="F733" s="200" t="s">
        <v>111</v>
      </c>
      <c r="G733" s="200" t="s">
        <v>764</v>
      </c>
      <c r="H733" s="200" t="s">
        <v>740</v>
      </c>
      <c r="I733" s="200" t="s">
        <v>710</v>
      </c>
      <c r="J733" s="158" t="s">
        <v>34</v>
      </c>
      <c r="K733" s="158" t="s">
        <v>2996</v>
      </c>
      <c r="L733" s="363" t="s">
        <v>2997</v>
      </c>
      <c r="M733" s="364">
        <v>0.3923611111111111</v>
      </c>
      <c r="N733" s="364">
        <v>0.41666666666666669</v>
      </c>
      <c r="O733" s="158" t="s">
        <v>2444</v>
      </c>
      <c r="P733" s="158" t="s">
        <v>2443</v>
      </c>
      <c r="Q733" s="158"/>
      <c r="R733" s="158"/>
      <c r="S733" s="158"/>
      <c r="T733" s="365"/>
      <c r="U733" s="365"/>
      <c r="V733" s="365"/>
    </row>
    <row r="734" spans="1:22" ht="25.5">
      <c r="A734" s="153">
        <v>46308</v>
      </c>
      <c r="B734" s="200" t="s">
        <v>549</v>
      </c>
      <c r="C734" s="200" t="s">
        <v>2455</v>
      </c>
      <c r="D734" s="200" t="s">
        <v>418</v>
      </c>
      <c r="E734" s="200" t="s">
        <v>815</v>
      </c>
      <c r="F734" s="200" t="s">
        <v>111</v>
      </c>
      <c r="G734" s="200" t="s">
        <v>764</v>
      </c>
      <c r="H734" s="200" t="s">
        <v>740</v>
      </c>
      <c r="I734" s="200" t="s">
        <v>710</v>
      </c>
      <c r="J734" s="158" t="s">
        <v>34</v>
      </c>
      <c r="K734" s="158" t="s">
        <v>2998</v>
      </c>
      <c r="L734" s="363" t="s">
        <v>2999</v>
      </c>
      <c r="M734" s="364">
        <v>0.46666666666666667</v>
      </c>
      <c r="N734" s="364">
        <v>0.47569444444444442</v>
      </c>
      <c r="O734" s="158" t="s">
        <v>2444</v>
      </c>
      <c r="P734" s="158"/>
      <c r="Q734" s="158"/>
      <c r="R734" s="158"/>
      <c r="S734" s="158"/>
      <c r="T734" s="365"/>
      <c r="U734" s="365"/>
      <c r="V734" s="365"/>
    </row>
    <row r="735" spans="1:22" ht="25.5">
      <c r="A735" s="153">
        <v>46308</v>
      </c>
      <c r="B735" s="200" t="s">
        <v>549</v>
      </c>
      <c r="C735" s="200" t="s">
        <v>2455</v>
      </c>
      <c r="D735" s="200" t="s">
        <v>250</v>
      </c>
      <c r="E735" s="200" t="s">
        <v>1008</v>
      </c>
      <c r="F735" s="200" t="s">
        <v>111</v>
      </c>
      <c r="G735" s="200" t="s">
        <v>764</v>
      </c>
      <c r="H735" s="200" t="s">
        <v>740</v>
      </c>
      <c r="I735" s="200" t="s">
        <v>710</v>
      </c>
      <c r="J735" s="158" t="s">
        <v>34</v>
      </c>
      <c r="K735" s="158" t="s">
        <v>3000</v>
      </c>
      <c r="L735" s="363" t="s">
        <v>3001</v>
      </c>
      <c r="M735" s="364">
        <v>0.46736111111111112</v>
      </c>
      <c r="N735" s="364">
        <v>0.48819444444444443</v>
      </c>
      <c r="O735" s="158" t="s">
        <v>2443</v>
      </c>
      <c r="P735" s="158"/>
      <c r="Q735" s="158"/>
      <c r="R735" s="158"/>
      <c r="S735" s="158"/>
      <c r="T735" s="365"/>
      <c r="U735" s="365"/>
      <c r="V735" s="365"/>
    </row>
    <row r="736" spans="1:22" ht="25.5">
      <c r="A736" s="153">
        <v>46308</v>
      </c>
      <c r="B736" s="200" t="s">
        <v>549</v>
      </c>
      <c r="C736" s="200" t="s">
        <v>2455</v>
      </c>
      <c r="D736" s="200" t="s">
        <v>1651</v>
      </c>
      <c r="E736" s="200" t="s">
        <v>3002</v>
      </c>
      <c r="F736" s="200" t="s">
        <v>111</v>
      </c>
      <c r="G736" s="200" t="s">
        <v>764</v>
      </c>
      <c r="H736" s="200" t="s">
        <v>740</v>
      </c>
      <c r="I736" s="200" t="s">
        <v>710</v>
      </c>
      <c r="J736" s="158" t="s">
        <v>34</v>
      </c>
      <c r="K736" s="158" t="s">
        <v>3003</v>
      </c>
      <c r="L736" s="363" t="s">
        <v>3004</v>
      </c>
      <c r="M736" s="364">
        <v>0.48958333333333331</v>
      </c>
      <c r="N736" s="364">
        <v>0.52430555555555558</v>
      </c>
      <c r="O736" s="158" t="s">
        <v>2443</v>
      </c>
      <c r="P736" s="158"/>
      <c r="Q736" s="158"/>
      <c r="R736" s="158"/>
      <c r="S736" s="158"/>
      <c r="T736" s="365"/>
      <c r="U736" s="365"/>
      <c r="V736" s="365"/>
    </row>
    <row r="737" spans="1:22" ht="25.5">
      <c r="A737" s="153">
        <v>46308</v>
      </c>
      <c r="B737" s="200" t="s">
        <v>549</v>
      </c>
      <c r="C737" s="200" t="s">
        <v>2455</v>
      </c>
      <c r="D737" s="200" t="s">
        <v>1651</v>
      </c>
      <c r="E737" s="200" t="s">
        <v>3002</v>
      </c>
      <c r="F737" s="200" t="s">
        <v>111</v>
      </c>
      <c r="G737" s="200" t="s">
        <v>764</v>
      </c>
      <c r="H737" s="200" t="s">
        <v>740</v>
      </c>
      <c r="I737" s="200" t="s">
        <v>710</v>
      </c>
      <c r="J737" s="158" t="s">
        <v>34</v>
      </c>
      <c r="K737" s="158" t="s">
        <v>3005</v>
      </c>
      <c r="L737" s="363" t="s">
        <v>3006</v>
      </c>
      <c r="M737" s="364">
        <v>0.56805555555555554</v>
      </c>
      <c r="N737" s="364">
        <v>0.59722222222222221</v>
      </c>
      <c r="O737" s="158" t="s">
        <v>2443</v>
      </c>
      <c r="P737" s="158" t="s">
        <v>2444</v>
      </c>
      <c r="Q737" s="158"/>
      <c r="R737" s="158"/>
      <c r="S737" s="158"/>
      <c r="T737" s="365"/>
      <c r="U737" s="365"/>
      <c r="V737" s="365"/>
    </row>
    <row r="738" spans="1:22" ht="25.5">
      <c r="A738" s="153">
        <v>46308</v>
      </c>
      <c r="B738" s="200" t="s">
        <v>549</v>
      </c>
      <c r="C738" s="200" t="s">
        <v>814</v>
      </c>
      <c r="D738" s="200" t="s">
        <v>550</v>
      </c>
      <c r="E738" s="200" t="s">
        <v>3002</v>
      </c>
      <c r="F738" s="200" t="s">
        <v>111</v>
      </c>
      <c r="G738" s="200" t="s">
        <v>764</v>
      </c>
      <c r="H738" s="200" t="s">
        <v>740</v>
      </c>
      <c r="I738" s="200" t="s">
        <v>710</v>
      </c>
      <c r="J738" s="158" t="s">
        <v>34</v>
      </c>
      <c r="K738" s="158" t="s">
        <v>3007</v>
      </c>
      <c r="L738" s="363" t="s">
        <v>3008</v>
      </c>
      <c r="M738" s="364">
        <v>0.59861111111111109</v>
      </c>
      <c r="N738" s="364">
        <v>0.60763888888888884</v>
      </c>
      <c r="O738" s="158" t="s">
        <v>2443</v>
      </c>
      <c r="P738" s="158"/>
      <c r="Q738" s="158"/>
      <c r="R738" s="158"/>
      <c r="S738" s="158"/>
      <c r="T738" s="365"/>
      <c r="U738" s="365"/>
      <c r="V738" s="365"/>
    </row>
    <row r="739" spans="1:22" ht="25.5">
      <c r="A739" s="153">
        <v>46308</v>
      </c>
      <c r="B739" s="200" t="s">
        <v>549</v>
      </c>
      <c r="C739" s="200" t="s">
        <v>404</v>
      </c>
      <c r="D739" s="200" t="s">
        <v>488</v>
      </c>
      <c r="E739" s="200" t="s">
        <v>3002</v>
      </c>
      <c r="F739" s="200" t="s">
        <v>111</v>
      </c>
      <c r="G739" s="200" t="s">
        <v>764</v>
      </c>
      <c r="H739" s="200" t="s">
        <v>740</v>
      </c>
      <c r="I739" s="200" t="s">
        <v>710</v>
      </c>
      <c r="J739" s="158" t="s">
        <v>34</v>
      </c>
      <c r="K739" s="158" t="s">
        <v>3009</v>
      </c>
      <c r="L739" s="363" t="s">
        <v>3010</v>
      </c>
      <c r="M739" s="364">
        <v>0.64097222222222228</v>
      </c>
      <c r="N739" s="364">
        <v>0.67708333333333337</v>
      </c>
      <c r="O739" s="158" t="s">
        <v>2443</v>
      </c>
      <c r="P739" s="158" t="s">
        <v>2444</v>
      </c>
      <c r="Q739" s="158"/>
      <c r="R739" s="158"/>
      <c r="S739" s="158"/>
      <c r="T739" s="365"/>
      <c r="U739" s="365"/>
      <c r="V739" s="365"/>
    </row>
    <row r="740" spans="1:22" ht="25.5">
      <c r="A740" s="153">
        <v>46308</v>
      </c>
      <c r="B740" s="200" t="s">
        <v>549</v>
      </c>
      <c r="C740" s="200" t="s">
        <v>404</v>
      </c>
      <c r="D740" s="200" t="s">
        <v>488</v>
      </c>
      <c r="E740" s="200" t="s">
        <v>3002</v>
      </c>
      <c r="F740" s="200" t="s">
        <v>111</v>
      </c>
      <c r="G740" s="200" t="s">
        <v>764</v>
      </c>
      <c r="H740" s="200" t="s">
        <v>740</v>
      </c>
      <c r="I740" s="200" t="s">
        <v>710</v>
      </c>
      <c r="J740" s="158" t="s">
        <v>34</v>
      </c>
      <c r="K740" s="158" t="s">
        <v>3011</v>
      </c>
      <c r="L740" s="363" t="s">
        <v>3012</v>
      </c>
      <c r="M740" s="364">
        <v>0.67777777777777781</v>
      </c>
      <c r="N740" s="364">
        <v>0.69097222222222221</v>
      </c>
      <c r="O740" s="158" t="s">
        <v>2443</v>
      </c>
      <c r="P740" s="158" t="s">
        <v>2444</v>
      </c>
      <c r="Q740" s="158"/>
      <c r="R740" s="158"/>
      <c r="S740" s="158"/>
      <c r="T740" s="365"/>
      <c r="U740" s="365"/>
      <c r="V740" s="365"/>
    </row>
    <row r="741" spans="1:22" ht="25.5">
      <c r="A741" s="153">
        <v>46308</v>
      </c>
      <c r="B741" s="200" t="s">
        <v>549</v>
      </c>
      <c r="C741" s="200" t="s">
        <v>404</v>
      </c>
      <c r="D741" s="200" t="s">
        <v>488</v>
      </c>
      <c r="E741" s="200" t="s">
        <v>3002</v>
      </c>
      <c r="F741" s="200" t="s">
        <v>111</v>
      </c>
      <c r="G741" s="200" t="s">
        <v>764</v>
      </c>
      <c r="H741" s="200" t="s">
        <v>740</v>
      </c>
      <c r="I741" s="200" t="s">
        <v>710</v>
      </c>
      <c r="J741" s="158" t="s">
        <v>34</v>
      </c>
      <c r="K741" s="158" t="s">
        <v>3013</v>
      </c>
      <c r="L741" s="363" t="s">
        <v>3014</v>
      </c>
      <c r="M741" s="364">
        <v>0.69166666666666665</v>
      </c>
      <c r="N741" s="364">
        <v>0.72222222222222221</v>
      </c>
      <c r="O741" s="158" t="s">
        <v>2443</v>
      </c>
      <c r="P741" s="158" t="s">
        <v>2444</v>
      </c>
      <c r="Q741" s="158"/>
      <c r="R741" s="158"/>
      <c r="S741" s="158"/>
      <c r="T741" s="365"/>
      <c r="U741" s="365"/>
      <c r="V741" s="365"/>
    </row>
    <row r="742" spans="1:22" ht="25.5">
      <c r="A742" s="153">
        <v>46308</v>
      </c>
      <c r="B742" s="200" t="s">
        <v>549</v>
      </c>
      <c r="C742" s="200" t="s">
        <v>404</v>
      </c>
      <c r="D742" s="200" t="s">
        <v>488</v>
      </c>
      <c r="E742" s="200" t="s">
        <v>3002</v>
      </c>
      <c r="F742" s="200" t="s">
        <v>111</v>
      </c>
      <c r="G742" s="200" t="s">
        <v>764</v>
      </c>
      <c r="H742" s="200" t="s">
        <v>740</v>
      </c>
      <c r="I742" s="200" t="s">
        <v>710</v>
      </c>
      <c r="J742" s="158" t="s">
        <v>34</v>
      </c>
      <c r="K742" s="158" t="s">
        <v>3015</v>
      </c>
      <c r="L742" s="363" t="s">
        <v>3016</v>
      </c>
      <c r="M742" s="364">
        <v>0.72291666666666665</v>
      </c>
      <c r="N742" s="364">
        <v>0.75416666666666665</v>
      </c>
      <c r="O742" s="158" t="s">
        <v>2444</v>
      </c>
      <c r="P742" s="158"/>
      <c r="Q742" s="158"/>
      <c r="R742" s="158"/>
      <c r="S742" s="158"/>
      <c r="T742" s="365"/>
      <c r="U742" s="365"/>
      <c r="V742" s="365"/>
    </row>
    <row r="743" spans="1:22" ht="25.5">
      <c r="A743" s="153">
        <v>46308</v>
      </c>
      <c r="B743" s="200" t="s">
        <v>549</v>
      </c>
      <c r="C743" s="200" t="s">
        <v>2455</v>
      </c>
      <c r="D743" s="200" t="s">
        <v>1320</v>
      </c>
      <c r="E743" s="200" t="s">
        <v>707</v>
      </c>
      <c r="F743" s="200" t="s">
        <v>111</v>
      </c>
      <c r="G743" s="200" t="s">
        <v>708</v>
      </c>
      <c r="H743" s="200" t="s">
        <v>740</v>
      </c>
      <c r="I743" s="200" t="s">
        <v>710</v>
      </c>
      <c r="J743" s="158" t="s">
        <v>34</v>
      </c>
      <c r="K743" s="158" t="s">
        <v>3017</v>
      </c>
      <c r="L743" s="363" t="s">
        <v>3018</v>
      </c>
      <c r="M743" s="364">
        <v>0.84305555555555556</v>
      </c>
      <c r="N743" s="364">
        <v>0.8569444444444444</v>
      </c>
      <c r="O743" s="158" t="s">
        <v>2498</v>
      </c>
      <c r="P743" s="158" t="s">
        <v>3019</v>
      </c>
      <c r="Q743" s="158"/>
      <c r="R743" s="158"/>
      <c r="S743" s="158"/>
      <c r="T743" s="365"/>
      <c r="U743" s="365"/>
      <c r="V743" s="365"/>
    </row>
    <row r="744" spans="1:22" ht="25.5">
      <c r="A744" s="153">
        <v>46308</v>
      </c>
      <c r="B744" s="200" t="s">
        <v>549</v>
      </c>
      <c r="C744" s="200" t="s">
        <v>2455</v>
      </c>
      <c r="D744" s="200" t="s">
        <v>1320</v>
      </c>
      <c r="E744" s="200" t="s">
        <v>707</v>
      </c>
      <c r="F744" s="200" t="s">
        <v>111</v>
      </c>
      <c r="G744" s="200" t="s">
        <v>708</v>
      </c>
      <c r="H744" s="200" t="s">
        <v>740</v>
      </c>
      <c r="I744" s="200" t="s">
        <v>710</v>
      </c>
      <c r="J744" s="158" t="s">
        <v>34</v>
      </c>
      <c r="K744" s="158" t="s">
        <v>3020</v>
      </c>
      <c r="L744" s="363" t="s">
        <v>3021</v>
      </c>
      <c r="M744" s="364">
        <v>0.8569444444444444</v>
      </c>
      <c r="N744" s="364">
        <v>0.86527777777777781</v>
      </c>
      <c r="O744" s="158" t="s">
        <v>2498</v>
      </c>
      <c r="P744" s="158" t="s">
        <v>3019</v>
      </c>
      <c r="Q744" s="158"/>
      <c r="R744" s="158"/>
      <c r="S744" s="158"/>
      <c r="T744" s="365"/>
      <c r="U744" s="365"/>
      <c r="V744" s="365"/>
    </row>
    <row r="745" spans="1:22" ht="25.5">
      <c r="A745" s="153">
        <v>46308</v>
      </c>
      <c r="B745" s="200" t="s">
        <v>549</v>
      </c>
      <c r="C745" s="200" t="s">
        <v>2455</v>
      </c>
      <c r="D745" s="200" t="s">
        <v>1320</v>
      </c>
      <c r="E745" s="200" t="s">
        <v>707</v>
      </c>
      <c r="F745" s="200" t="s">
        <v>111</v>
      </c>
      <c r="G745" s="200" t="s">
        <v>708</v>
      </c>
      <c r="H745" s="200" t="s">
        <v>740</v>
      </c>
      <c r="I745" s="200" t="s">
        <v>710</v>
      </c>
      <c r="J745" s="158" t="s">
        <v>34</v>
      </c>
      <c r="K745" s="158" t="s">
        <v>3022</v>
      </c>
      <c r="L745" s="363" t="s">
        <v>3023</v>
      </c>
      <c r="M745" s="364">
        <v>0.86527777777777781</v>
      </c>
      <c r="N745" s="364">
        <v>0.88055555555555554</v>
      </c>
      <c r="O745" s="158" t="s">
        <v>2498</v>
      </c>
      <c r="P745" s="158" t="s">
        <v>3019</v>
      </c>
      <c r="Q745" s="158"/>
      <c r="R745" s="158"/>
      <c r="S745" s="158"/>
      <c r="T745" s="365"/>
      <c r="U745" s="365"/>
      <c r="V745" s="365"/>
    </row>
    <row r="746" spans="1:22" ht="25.5">
      <c r="A746" s="153">
        <v>46308</v>
      </c>
      <c r="B746" s="200" t="s">
        <v>549</v>
      </c>
      <c r="C746" s="200" t="s">
        <v>2455</v>
      </c>
      <c r="D746" s="200" t="s">
        <v>1320</v>
      </c>
      <c r="E746" s="200" t="s">
        <v>707</v>
      </c>
      <c r="F746" s="200" t="s">
        <v>111</v>
      </c>
      <c r="G746" s="200" t="s">
        <v>708</v>
      </c>
      <c r="H746" s="200" t="s">
        <v>740</v>
      </c>
      <c r="I746" s="200" t="s">
        <v>710</v>
      </c>
      <c r="J746" s="158" t="s">
        <v>34</v>
      </c>
      <c r="K746" s="158" t="s">
        <v>3024</v>
      </c>
      <c r="L746" s="363" t="s">
        <v>3025</v>
      </c>
      <c r="M746" s="364">
        <v>0.88055555555555554</v>
      </c>
      <c r="N746" s="364">
        <v>0.90347222222222223</v>
      </c>
      <c r="O746" s="158" t="s">
        <v>2498</v>
      </c>
      <c r="P746" s="158" t="s">
        <v>3019</v>
      </c>
      <c r="Q746" s="158"/>
      <c r="R746" s="158"/>
      <c r="S746" s="158"/>
      <c r="T746" s="365"/>
      <c r="U746" s="365"/>
      <c r="V746" s="365"/>
    </row>
    <row r="747" spans="1:22" ht="25.5">
      <c r="A747" s="153">
        <v>46308</v>
      </c>
      <c r="B747" s="200" t="s">
        <v>549</v>
      </c>
      <c r="C747" s="200" t="s">
        <v>2455</v>
      </c>
      <c r="D747" s="200" t="s">
        <v>1320</v>
      </c>
      <c r="E747" s="200" t="s">
        <v>707</v>
      </c>
      <c r="F747" s="200" t="s">
        <v>111</v>
      </c>
      <c r="G747" s="200" t="s">
        <v>708</v>
      </c>
      <c r="H747" s="200" t="s">
        <v>709</v>
      </c>
      <c r="I747" s="200" t="s">
        <v>710</v>
      </c>
      <c r="J747" s="158" t="s">
        <v>34</v>
      </c>
      <c r="K747" s="158" t="s">
        <v>3026</v>
      </c>
      <c r="L747" s="363" t="s">
        <v>2506</v>
      </c>
      <c r="M747" s="364">
        <v>0.90347222222222223</v>
      </c>
      <c r="N747" s="364">
        <v>0.95138888888888884</v>
      </c>
      <c r="O747" s="158" t="s">
        <v>2498</v>
      </c>
      <c r="P747" s="158" t="s">
        <v>3019</v>
      </c>
      <c r="Q747" s="158"/>
      <c r="R747" s="158"/>
      <c r="S747" s="158"/>
      <c r="T747" s="365"/>
      <c r="U747" s="365"/>
      <c r="V747" s="365"/>
    </row>
    <row r="748" spans="1:22" ht="25.5">
      <c r="A748" s="153">
        <v>46308</v>
      </c>
      <c r="B748" s="200" t="s">
        <v>547</v>
      </c>
      <c r="C748" s="200" t="s">
        <v>53</v>
      </c>
      <c r="D748" s="200" t="s">
        <v>1562</v>
      </c>
      <c r="E748" s="200" t="s">
        <v>707</v>
      </c>
      <c r="F748" s="200" t="s">
        <v>111</v>
      </c>
      <c r="G748" s="200" t="s">
        <v>708</v>
      </c>
      <c r="H748" s="200" t="s">
        <v>740</v>
      </c>
      <c r="I748" s="200" t="s">
        <v>710</v>
      </c>
      <c r="J748" s="158" t="s">
        <v>34</v>
      </c>
      <c r="K748" s="158" t="s">
        <v>3027</v>
      </c>
      <c r="L748" s="363" t="s">
        <v>3028</v>
      </c>
      <c r="M748" s="364">
        <v>0.95208333333333328</v>
      </c>
      <c r="N748" s="364">
        <v>0.96458333333333335</v>
      </c>
      <c r="O748" s="158" t="s">
        <v>2498</v>
      </c>
      <c r="P748" s="158" t="s">
        <v>3019</v>
      </c>
      <c r="Q748" s="158"/>
      <c r="R748" s="158"/>
      <c r="S748" s="158"/>
      <c r="T748" s="365"/>
      <c r="U748" s="365"/>
      <c r="V748" s="365"/>
    </row>
    <row r="749" spans="1:22" ht="12.75">
      <c r="A749" s="153">
        <v>46308</v>
      </c>
      <c r="B749" s="200" t="s">
        <v>547</v>
      </c>
      <c r="C749" s="200" t="s">
        <v>53</v>
      </c>
      <c r="D749" s="200" t="s">
        <v>1562</v>
      </c>
      <c r="E749" s="200" t="s">
        <v>707</v>
      </c>
      <c r="F749" s="200" t="s">
        <v>111</v>
      </c>
      <c r="G749" s="200" t="s">
        <v>708</v>
      </c>
      <c r="H749" s="200" t="s">
        <v>709</v>
      </c>
      <c r="I749" s="200" t="s">
        <v>710</v>
      </c>
      <c r="J749" s="158" t="s">
        <v>34</v>
      </c>
      <c r="K749" s="158" t="s">
        <v>3029</v>
      </c>
      <c r="L749" s="363" t="s">
        <v>2506</v>
      </c>
      <c r="M749" s="364">
        <v>0.96458333333333335</v>
      </c>
      <c r="N749" s="364">
        <v>1.0416666666666666E-2</v>
      </c>
      <c r="O749" s="158" t="s">
        <v>2498</v>
      </c>
      <c r="P749" s="158" t="s">
        <v>3019</v>
      </c>
      <c r="Q749" s="158"/>
      <c r="R749" s="158"/>
      <c r="S749" s="158"/>
      <c r="T749" s="365"/>
      <c r="U749" s="365"/>
      <c r="V749" s="365"/>
    </row>
    <row r="750" spans="1:22" ht="25.5">
      <c r="A750" s="153">
        <v>46308</v>
      </c>
      <c r="B750" s="200" t="s">
        <v>549</v>
      </c>
      <c r="C750" s="200" t="s">
        <v>2455</v>
      </c>
      <c r="D750" s="200" t="s">
        <v>2456</v>
      </c>
      <c r="E750" s="200" t="s">
        <v>707</v>
      </c>
      <c r="F750" s="200" t="s">
        <v>111</v>
      </c>
      <c r="G750" s="200" t="s">
        <v>708</v>
      </c>
      <c r="H750" s="200" t="s">
        <v>740</v>
      </c>
      <c r="I750" s="200" t="s">
        <v>710</v>
      </c>
      <c r="J750" s="158" t="s">
        <v>34</v>
      </c>
      <c r="K750" s="158" t="s">
        <v>3030</v>
      </c>
      <c r="L750" s="363" t="s">
        <v>3031</v>
      </c>
      <c r="M750" s="364">
        <v>1.1111111111111112E-2</v>
      </c>
      <c r="N750" s="364">
        <v>2.013888888888889E-2</v>
      </c>
      <c r="O750" s="158" t="s">
        <v>2498</v>
      </c>
      <c r="P750" s="158" t="s">
        <v>3019</v>
      </c>
      <c r="Q750" s="158"/>
      <c r="R750" s="158"/>
      <c r="S750" s="158"/>
      <c r="T750" s="365"/>
      <c r="U750" s="365"/>
      <c r="V750" s="365"/>
    </row>
    <row r="751" spans="1:22" ht="25.5">
      <c r="A751" s="153">
        <v>46308</v>
      </c>
      <c r="B751" s="200" t="s">
        <v>549</v>
      </c>
      <c r="C751" s="200" t="s">
        <v>2455</v>
      </c>
      <c r="D751" s="200" t="s">
        <v>2456</v>
      </c>
      <c r="E751" s="200" t="s">
        <v>707</v>
      </c>
      <c r="F751" s="200" t="s">
        <v>111</v>
      </c>
      <c r="G751" s="200" t="s">
        <v>708</v>
      </c>
      <c r="H751" s="200" t="s">
        <v>709</v>
      </c>
      <c r="I751" s="200" t="s">
        <v>710</v>
      </c>
      <c r="J751" s="158" t="s">
        <v>34</v>
      </c>
      <c r="K751" s="158" t="s">
        <v>3032</v>
      </c>
      <c r="L751" s="363" t="s">
        <v>2506</v>
      </c>
      <c r="M751" s="364">
        <v>2.013888888888889E-2</v>
      </c>
      <c r="N751" s="364">
        <v>6.5972222222222224E-2</v>
      </c>
      <c r="O751" s="158" t="s">
        <v>2498</v>
      </c>
      <c r="P751" s="158" t="s">
        <v>3019</v>
      </c>
      <c r="Q751" s="158"/>
      <c r="R751" s="158"/>
      <c r="S751" s="158"/>
      <c r="T751" s="365"/>
      <c r="U751" s="365"/>
      <c r="V751" s="365"/>
    </row>
    <row r="752" spans="1:22" ht="25.5">
      <c r="A752" s="153">
        <v>46308</v>
      </c>
      <c r="B752" s="200" t="s">
        <v>549</v>
      </c>
      <c r="C752" s="200" t="s">
        <v>814</v>
      </c>
      <c r="D752" s="200" t="s">
        <v>253</v>
      </c>
      <c r="E752" s="200" t="s">
        <v>707</v>
      </c>
      <c r="F752" s="200" t="s">
        <v>111</v>
      </c>
      <c r="G752" s="200" t="s">
        <v>708</v>
      </c>
      <c r="H752" s="200" t="s">
        <v>709</v>
      </c>
      <c r="I752" s="200" t="s">
        <v>710</v>
      </c>
      <c r="J752" s="158" t="s">
        <v>34</v>
      </c>
      <c r="K752" s="158" t="s">
        <v>3033</v>
      </c>
      <c r="L752" s="363" t="s">
        <v>2506</v>
      </c>
      <c r="M752" s="364">
        <v>8.5416666666666669E-2</v>
      </c>
      <c r="N752" s="364">
        <v>0.1423611111111111</v>
      </c>
      <c r="O752" s="158" t="s">
        <v>2498</v>
      </c>
      <c r="P752" s="158" t="s">
        <v>3019</v>
      </c>
      <c r="Q752" s="158"/>
      <c r="R752" s="158"/>
      <c r="S752" s="158"/>
      <c r="T752" s="365"/>
      <c r="U752" s="365"/>
      <c r="V752" s="365"/>
    </row>
    <row r="753" spans="1:22" ht="25.5">
      <c r="A753" s="153">
        <v>46308</v>
      </c>
      <c r="B753" s="200" t="s">
        <v>547</v>
      </c>
      <c r="C753" s="200" t="s">
        <v>53</v>
      </c>
      <c r="D753" s="200" t="s">
        <v>1447</v>
      </c>
      <c r="E753" s="200" t="s">
        <v>707</v>
      </c>
      <c r="F753" s="200" t="s">
        <v>111</v>
      </c>
      <c r="G753" s="200" t="s">
        <v>708</v>
      </c>
      <c r="H753" s="200" t="s">
        <v>740</v>
      </c>
      <c r="I753" s="200" t="s">
        <v>710</v>
      </c>
      <c r="J753" s="158" t="s">
        <v>34</v>
      </c>
      <c r="K753" s="158" t="s">
        <v>3034</v>
      </c>
      <c r="L753" s="363" t="s">
        <v>3035</v>
      </c>
      <c r="M753" s="364">
        <v>0.14305555555555555</v>
      </c>
      <c r="N753" s="364">
        <v>0.15138888888888888</v>
      </c>
      <c r="O753" s="158" t="s">
        <v>2498</v>
      </c>
      <c r="P753" s="158" t="s">
        <v>3019</v>
      </c>
      <c r="Q753" s="158"/>
      <c r="R753" s="158"/>
      <c r="S753" s="158"/>
      <c r="T753" s="365"/>
      <c r="U753" s="365"/>
      <c r="V753" s="365"/>
    </row>
    <row r="754" spans="1:22" ht="12.75">
      <c r="A754" s="153">
        <v>46308</v>
      </c>
      <c r="B754" s="200" t="s">
        <v>547</v>
      </c>
      <c r="C754" s="200" t="s">
        <v>53</v>
      </c>
      <c r="D754" s="200" t="s">
        <v>1447</v>
      </c>
      <c r="E754" s="200" t="s">
        <v>707</v>
      </c>
      <c r="F754" s="200" t="s">
        <v>111</v>
      </c>
      <c r="G754" s="200" t="s">
        <v>708</v>
      </c>
      <c r="H754" s="200" t="s">
        <v>709</v>
      </c>
      <c r="I754" s="200" t="s">
        <v>710</v>
      </c>
      <c r="J754" s="158" t="s">
        <v>34</v>
      </c>
      <c r="K754" s="158" t="s">
        <v>3036</v>
      </c>
      <c r="L754" s="363" t="s">
        <v>2506</v>
      </c>
      <c r="M754" s="364">
        <v>0.15138888888888888</v>
      </c>
      <c r="N754" s="364">
        <v>0.21041666666666667</v>
      </c>
      <c r="O754" s="158" t="s">
        <v>2498</v>
      </c>
      <c r="P754" s="158" t="s">
        <v>3019</v>
      </c>
      <c r="Q754" s="158"/>
      <c r="R754" s="158"/>
      <c r="S754" s="158"/>
      <c r="T754" s="365"/>
      <c r="U754" s="365"/>
      <c r="V754" s="365"/>
    </row>
    <row r="755" spans="1:22" ht="25.5">
      <c r="A755" s="153">
        <v>46308</v>
      </c>
      <c r="B755" s="200" t="s">
        <v>549</v>
      </c>
      <c r="C755" s="200" t="s">
        <v>2455</v>
      </c>
      <c r="D755" s="200" t="s">
        <v>2456</v>
      </c>
      <c r="E755" s="200" t="s">
        <v>707</v>
      </c>
      <c r="F755" s="200" t="s">
        <v>111</v>
      </c>
      <c r="G755" s="200" t="s">
        <v>708</v>
      </c>
      <c r="H755" s="200" t="s">
        <v>709</v>
      </c>
      <c r="I755" s="200" t="s">
        <v>710</v>
      </c>
      <c r="J755" s="158" t="s">
        <v>34</v>
      </c>
      <c r="K755" s="158" t="s">
        <v>3037</v>
      </c>
      <c r="L755" s="363" t="s">
        <v>2506</v>
      </c>
      <c r="M755" s="364">
        <v>0.21111111111111111</v>
      </c>
      <c r="N755" s="364">
        <v>0.27083333333333331</v>
      </c>
      <c r="O755" s="158" t="s">
        <v>2498</v>
      </c>
      <c r="P755" s="158" t="s">
        <v>3019</v>
      </c>
      <c r="Q755" s="158"/>
      <c r="R755" s="158"/>
      <c r="S755" s="158"/>
      <c r="T755" s="365"/>
      <c r="U755" s="365"/>
      <c r="V755" s="365"/>
    </row>
    <row r="756" spans="1:22" ht="25.5">
      <c r="A756" s="153">
        <v>46308</v>
      </c>
      <c r="B756" s="200" t="s">
        <v>563</v>
      </c>
      <c r="C756" s="200" t="s">
        <v>53</v>
      </c>
      <c r="D756" s="200" t="s">
        <v>124</v>
      </c>
      <c r="E756" s="200" t="s">
        <v>707</v>
      </c>
      <c r="F756" s="200" t="s">
        <v>111</v>
      </c>
      <c r="G756" s="200" t="s">
        <v>708</v>
      </c>
      <c r="H756" s="200" t="s">
        <v>709</v>
      </c>
      <c r="I756" s="200" t="s">
        <v>710</v>
      </c>
      <c r="J756" s="158" t="s">
        <v>34</v>
      </c>
      <c r="K756" s="158" t="s">
        <v>3038</v>
      </c>
      <c r="L756" s="363" t="s">
        <v>2519</v>
      </c>
      <c r="M756" s="364">
        <v>0.85416666666666663</v>
      </c>
      <c r="N756" s="364">
        <v>0.89930555555555558</v>
      </c>
      <c r="O756" s="158" t="s">
        <v>2510</v>
      </c>
      <c r="P756" s="158" t="s">
        <v>2532</v>
      </c>
      <c r="Q756" s="158"/>
      <c r="R756" s="158"/>
      <c r="S756" s="158"/>
      <c r="T756" s="365"/>
      <c r="U756" s="365"/>
      <c r="V756" s="365"/>
    </row>
    <row r="757" spans="1:22" ht="38.25">
      <c r="A757" s="153">
        <v>46308</v>
      </c>
      <c r="B757" s="200" t="s">
        <v>563</v>
      </c>
      <c r="C757" s="200" t="s">
        <v>53</v>
      </c>
      <c r="D757" s="200" t="s">
        <v>124</v>
      </c>
      <c r="E757" s="200" t="s">
        <v>707</v>
      </c>
      <c r="F757" s="200" t="s">
        <v>111</v>
      </c>
      <c r="G757" s="200" t="s">
        <v>708</v>
      </c>
      <c r="H757" s="200" t="s">
        <v>740</v>
      </c>
      <c r="I757" s="200" t="s">
        <v>710</v>
      </c>
      <c r="J757" s="158" t="s">
        <v>34</v>
      </c>
      <c r="K757" s="158" t="s">
        <v>3039</v>
      </c>
      <c r="L757" s="363" t="s">
        <v>3040</v>
      </c>
      <c r="M757" s="364">
        <v>0.88888888888888884</v>
      </c>
      <c r="N757" s="364">
        <v>0.90972222222222221</v>
      </c>
      <c r="O757" s="158" t="s">
        <v>2510</v>
      </c>
      <c r="P757" s="158" t="s">
        <v>2532</v>
      </c>
      <c r="Q757" s="158"/>
      <c r="R757" s="158"/>
      <c r="S757" s="158"/>
      <c r="T757" s="365"/>
      <c r="U757" s="365"/>
      <c r="V757" s="365"/>
    </row>
    <row r="758" spans="1:22" ht="25.5">
      <c r="A758" s="153">
        <v>46308</v>
      </c>
      <c r="B758" s="200" t="s">
        <v>563</v>
      </c>
      <c r="C758" s="200" t="s">
        <v>53</v>
      </c>
      <c r="D758" s="200" t="s">
        <v>124</v>
      </c>
      <c r="E758" s="200" t="s">
        <v>707</v>
      </c>
      <c r="F758" s="200" t="s">
        <v>111</v>
      </c>
      <c r="G758" s="200" t="s">
        <v>708</v>
      </c>
      <c r="H758" s="200" t="s">
        <v>740</v>
      </c>
      <c r="I758" s="200" t="s">
        <v>710</v>
      </c>
      <c r="J758" s="158" t="s">
        <v>34</v>
      </c>
      <c r="K758" s="158" t="s">
        <v>3041</v>
      </c>
      <c r="L758" s="363" t="s">
        <v>3042</v>
      </c>
      <c r="M758" s="364">
        <v>0.90972222222222221</v>
      </c>
      <c r="N758" s="364">
        <v>0.91666666666666663</v>
      </c>
      <c r="O758" s="158" t="s">
        <v>2510</v>
      </c>
      <c r="P758" s="158" t="s">
        <v>2532</v>
      </c>
      <c r="Q758" s="158"/>
      <c r="R758" s="158"/>
      <c r="S758" s="158"/>
      <c r="T758" s="365"/>
      <c r="U758" s="365"/>
      <c r="V758" s="365"/>
    </row>
    <row r="759" spans="1:22" ht="25.5">
      <c r="A759" s="153">
        <v>46308</v>
      </c>
      <c r="B759" s="200" t="s">
        <v>563</v>
      </c>
      <c r="C759" s="200" t="s">
        <v>53</v>
      </c>
      <c r="D759" s="200" t="s">
        <v>124</v>
      </c>
      <c r="E759" s="200" t="s">
        <v>707</v>
      </c>
      <c r="F759" s="200" t="s">
        <v>111</v>
      </c>
      <c r="G759" s="200" t="s">
        <v>708</v>
      </c>
      <c r="H759" s="200" t="s">
        <v>740</v>
      </c>
      <c r="I759" s="200" t="s">
        <v>710</v>
      </c>
      <c r="J759" s="158" t="s">
        <v>34</v>
      </c>
      <c r="K759" s="158" t="s">
        <v>3043</v>
      </c>
      <c r="L759" s="363" t="s">
        <v>3044</v>
      </c>
      <c r="M759" s="364">
        <v>0.91666666666666663</v>
      </c>
      <c r="N759" s="364">
        <v>0.92013888888888884</v>
      </c>
      <c r="O759" s="158" t="s">
        <v>2510</v>
      </c>
      <c r="P759" s="158" t="s">
        <v>2532</v>
      </c>
      <c r="Q759" s="158"/>
      <c r="R759" s="158"/>
      <c r="S759" s="158"/>
      <c r="T759" s="365"/>
      <c r="U759" s="365"/>
      <c r="V759" s="365"/>
    </row>
    <row r="760" spans="1:22" ht="25.5">
      <c r="A760" s="153">
        <v>46308</v>
      </c>
      <c r="B760" s="200" t="s">
        <v>549</v>
      </c>
      <c r="C760" s="200" t="s">
        <v>3045</v>
      </c>
      <c r="D760" s="200" t="s">
        <v>75</v>
      </c>
      <c r="E760" s="200" t="s">
        <v>707</v>
      </c>
      <c r="F760" s="200" t="s">
        <v>111</v>
      </c>
      <c r="G760" s="200" t="s">
        <v>708</v>
      </c>
      <c r="H760" s="200" t="s">
        <v>709</v>
      </c>
      <c r="I760" s="200" t="s">
        <v>710</v>
      </c>
      <c r="J760" s="158" t="s">
        <v>34</v>
      </c>
      <c r="K760" s="158" t="s">
        <v>3046</v>
      </c>
      <c r="L760" s="363" t="s">
        <v>2519</v>
      </c>
      <c r="M760" s="364">
        <v>6.9444444444444441E-3</v>
      </c>
      <c r="N760" s="364">
        <v>5.2083333333333336E-2</v>
      </c>
      <c r="O760" s="158" t="s">
        <v>2510</v>
      </c>
      <c r="P760" s="158" t="s">
        <v>2532</v>
      </c>
      <c r="Q760" s="158"/>
      <c r="R760" s="158"/>
      <c r="S760" s="158"/>
      <c r="T760" s="365"/>
      <c r="U760" s="365"/>
      <c r="V760" s="365"/>
    </row>
    <row r="761" spans="1:22" ht="38.25">
      <c r="A761" s="153">
        <v>46308</v>
      </c>
      <c r="B761" s="200" t="s">
        <v>549</v>
      </c>
      <c r="C761" s="200" t="s">
        <v>3045</v>
      </c>
      <c r="D761" s="200" t="s">
        <v>75</v>
      </c>
      <c r="E761" s="200" t="s">
        <v>707</v>
      </c>
      <c r="F761" s="200" t="s">
        <v>111</v>
      </c>
      <c r="G761" s="200" t="s">
        <v>708</v>
      </c>
      <c r="H761" s="200" t="s">
        <v>740</v>
      </c>
      <c r="I761" s="200" t="s">
        <v>710</v>
      </c>
      <c r="J761" s="158" t="s">
        <v>34</v>
      </c>
      <c r="K761" s="158" t="s">
        <v>3047</v>
      </c>
      <c r="L761" s="363" t="s">
        <v>3048</v>
      </c>
      <c r="M761" s="364">
        <v>5.2083333333333336E-2</v>
      </c>
      <c r="N761" s="364">
        <v>0.1076388888888889</v>
      </c>
      <c r="O761" s="158" t="s">
        <v>2510</v>
      </c>
      <c r="P761" s="158" t="s">
        <v>2532</v>
      </c>
      <c r="Q761" s="158"/>
      <c r="R761" s="158"/>
      <c r="S761" s="158"/>
      <c r="T761" s="365"/>
      <c r="U761" s="365"/>
      <c r="V761" s="365"/>
    </row>
    <row r="762" spans="1:22" ht="25.5">
      <c r="A762" s="153">
        <v>46308</v>
      </c>
      <c r="B762" s="200" t="s">
        <v>549</v>
      </c>
      <c r="C762" s="200" t="s">
        <v>2455</v>
      </c>
      <c r="D762" s="200" t="s">
        <v>1651</v>
      </c>
      <c r="E762" s="200" t="s">
        <v>707</v>
      </c>
      <c r="F762" s="200" t="s">
        <v>111</v>
      </c>
      <c r="G762" s="200" t="s">
        <v>708</v>
      </c>
      <c r="H762" s="200" t="s">
        <v>709</v>
      </c>
      <c r="I762" s="200" t="s">
        <v>710</v>
      </c>
      <c r="J762" s="158" t="s">
        <v>34</v>
      </c>
      <c r="K762" s="158" t="s">
        <v>3049</v>
      </c>
      <c r="L762" s="363" t="s">
        <v>2519</v>
      </c>
      <c r="M762" s="364">
        <v>0.10416666666666667</v>
      </c>
      <c r="N762" s="364">
        <v>0.15277777777777779</v>
      </c>
      <c r="O762" s="158" t="s">
        <v>2510</v>
      </c>
      <c r="P762" s="158" t="s">
        <v>2532</v>
      </c>
      <c r="Q762" s="158"/>
      <c r="R762" s="158"/>
      <c r="S762" s="158"/>
      <c r="T762" s="365"/>
      <c r="U762" s="365"/>
      <c r="V762" s="365"/>
    </row>
    <row r="763" spans="1:22" ht="25.5">
      <c r="A763" s="153">
        <v>46308</v>
      </c>
      <c r="B763" s="200" t="s">
        <v>549</v>
      </c>
      <c r="C763" s="200" t="s">
        <v>2455</v>
      </c>
      <c r="D763" s="200" t="s">
        <v>1651</v>
      </c>
      <c r="E763" s="200" t="s">
        <v>707</v>
      </c>
      <c r="F763" s="200" t="s">
        <v>111</v>
      </c>
      <c r="G763" s="200" t="s">
        <v>708</v>
      </c>
      <c r="H763" s="200" t="s">
        <v>740</v>
      </c>
      <c r="I763" s="200" t="s">
        <v>710</v>
      </c>
      <c r="J763" s="158" t="s">
        <v>34</v>
      </c>
      <c r="K763" s="158" t="s">
        <v>3050</v>
      </c>
      <c r="L763" s="363" t="s">
        <v>3051</v>
      </c>
      <c r="M763" s="364">
        <v>0.14583333333333334</v>
      </c>
      <c r="N763" s="364">
        <v>0.1736111111111111</v>
      </c>
      <c r="O763" s="158" t="s">
        <v>2510</v>
      </c>
      <c r="P763" s="158" t="s">
        <v>2532</v>
      </c>
      <c r="Q763" s="158"/>
      <c r="R763" s="158"/>
      <c r="S763" s="158"/>
      <c r="T763" s="365"/>
      <c r="U763" s="365"/>
      <c r="V763" s="365"/>
    </row>
    <row r="764" spans="1:22" ht="38.25">
      <c r="A764" s="153">
        <v>46308</v>
      </c>
      <c r="B764" s="200" t="s">
        <v>549</v>
      </c>
      <c r="C764" s="200" t="s">
        <v>2455</v>
      </c>
      <c r="D764" s="200" t="s">
        <v>1651</v>
      </c>
      <c r="E764" s="200" t="s">
        <v>707</v>
      </c>
      <c r="F764" s="200" t="s">
        <v>111</v>
      </c>
      <c r="G764" s="200" t="s">
        <v>708</v>
      </c>
      <c r="H764" s="200" t="s">
        <v>740</v>
      </c>
      <c r="I764" s="200" t="s">
        <v>710</v>
      </c>
      <c r="J764" s="158" t="s">
        <v>34</v>
      </c>
      <c r="K764" s="158" t="s">
        <v>3052</v>
      </c>
      <c r="L764" s="363" t="s">
        <v>3053</v>
      </c>
      <c r="M764" s="364">
        <v>0.17708333333333334</v>
      </c>
      <c r="N764" s="364">
        <v>0.20833333333333334</v>
      </c>
      <c r="O764" s="158" t="s">
        <v>2510</v>
      </c>
      <c r="P764" s="158" t="s">
        <v>2532</v>
      </c>
      <c r="Q764" s="158"/>
      <c r="R764" s="158"/>
      <c r="S764" s="158"/>
      <c r="T764" s="365"/>
      <c r="U764" s="365"/>
      <c r="V764" s="365"/>
    </row>
    <row r="765" spans="1:22" ht="25.5">
      <c r="A765" s="153">
        <v>46308</v>
      </c>
      <c r="B765" s="200" t="s">
        <v>549</v>
      </c>
      <c r="C765" s="200" t="s">
        <v>2455</v>
      </c>
      <c r="D765" s="200" t="s">
        <v>1651</v>
      </c>
      <c r="E765" s="200" t="s">
        <v>707</v>
      </c>
      <c r="F765" s="200" t="s">
        <v>111</v>
      </c>
      <c r="G765" s="200" t="s">
        <v>708</v>
      </c>
      <c r="H765" s="200" t="s">
        <v>740</v>
      </c>
      <c r="I765" s="200" t="s">
        <v>710</v>
      </c>
      <c r="J765" s="158" t="s">
        <v>34</v>
      </c>
      <c r="K765" s="158" t="s">
        <v>3054</v>
      </c>
      <c r="L765" s="363" t="s">
        <v>3055</v>
      </c>
      <c r="M765" s="364">
        <v>0.2013888888888889</v>
      </c>
      <c r="N765" s="364">
        <v>0.22569444444444445</v>
      </c>
      <c r="O765" s="158" t="s">
        <v>2510</v>
      </c>
      <c r="P765" s="158" t="s">
        <v>2532</v>
      </c>
      <c r="Q765" s="158"/>
      <c r="R765" s="158"/>
      <c r="S765" s="158"/>
      <c r="T765" s="365"/>
      <c r="U765" s="365"/>
      <c r="V765" s="365"/>
    </row>
    <row r="766" spans="1:22" ht="25.5">
      <c r="A766" s="153">
        <v>46308</v>
      </c>
      <c r="B766" s="200" t="s">
        <v>547</v>
      </c>
      <c r="C766" s="200" t="s">
        <v>53</v>
      </c>
      <c r="D766" s="200" t="s">
        <v>422</v>
      </c>
      <c r="E766" s="200" t="s">
        <v>707</v>
      </c>
      <c r="F766" s="200" t="s">
        <v>111</v>
      </c>
      <c r="G766" s="200" t="s">
        <v>708</v>
      </c>
      <c r="H766" s="200" t="s">
        <v>740</v>
      </c>
      <c r="I766" s="200" t="s">
        <v>710</v>
      </c>
      <c r="J766" s="158" t="s">
        <v>34</v>
      </c>
      <c r="K766" s="158" t="s">
        <v>3056</v>
      </c>
      <c r="L766" s="363" t="s">
        <v>3057</v>
      </c>
      <c r="M766" s="364">
        <v>2.0833333333333332E-2</v>
      </c>
      <c r="N766" s="364">
        <v>3.125E-2</v>
      </c>
      <c r="O766" s="158" t="s">
        <v>2475</v>
      </c>
      <c r="P766" s="158"/>
      <c r="Q766" s="158"/>
      <c r="R766" s="158"/>
      <c r="S766" s="158"/>
      <c r="T766" s="365"/>
      <c r="U766" s="365"/>
      <c r="V766" s="365"/>
    </row>
    <row r="767" spans="1:22" ht="25.5">
      <c r="A767" s="153">
        <v>46308</v>
      </c>
      <c r="B767" s="200" t="s">
        <v>547</v>
      </c>
      <c r="C767" s="200" t="s">
        <v>53</v>
      </c>
      <c r="D767" s="200" t="s">
        <v>422</v>
      </c>
      <c r="E767" s="200" t="s">
        <v>707</v>
      </c>
      <c r="F767" s="200" t="s">
        <v>111</v>
      </c>
      <c r="G767" s="200" t="s">
        <v>708</v>
      </c>
      <c r="H767" s="200" t="s">
        <v>740</v>
      </c>
      <c r="I767" s="200" t="s">
        <v>710</v>
      </c>
      <c r="J767" s="158" t="s">
        <v>34</v>
      </c>
      <c r="K767" s="158" t="s">
        <v>3056</v>
      </c>
      <c r="L767" s="363" t="s">
        <v>3058</v>
      </c>
      <c r="M767" s="364">
        <v>3.8194444444444448E-2</v>
      </c>
      <c r="N767" s="364">
        <v>0.125</v>
      </c>
      <c r="O767" s="158" t="s">
        <v>2475</v>
      </c>
      <c r="P767" s="158"/>
      <c r="Q767" s="158"/>
      <c r="R767" s="158"/>
      <c r="S767" s="158"/>
      <c r="T767" s="365"/>
      <c r="U767" s="365"/>
      <c r="V767" s="365"/>
    </row>
    <row r="768" spans="1:22" ht="25.5">
      <c r="A768" s="153">
        <v>46308</v>
      </c>
      <c r="B768" s="200" t="s">
        <v>556</v>
      </c>
      <c r="C768" s="200" t="s">
        <v>2467</v>
      </c>
      <c r="D768" s="200" t="s">
        <v>249</v>
      </c>
      <c r="E768" s="200" t="s">
        <v>707</v>
      </c>
      <c r="F768" s="200" t="s">
        <v>111</v>
      </c>
      <c r="G768" s="200" t="s">
        <v>708</v>
      </c>
      <c r="H768" s="200" t="s">
        <v>709</v>
      </c>
      <c r="I768" s="200" t="s">
        <v>710</v>
      </c>
      <c r="J768" s="158" t="s">
        <v>34</v>
      </c>
      <c r="K768" s="158" t="s">
        <v>3059</v>
      </c>
      <c r="L768" s="363" t="s">
        <v>3058</v>
      </c>
      <c r="M768" s="364">
        <v>0.85069444444444442</v>
      </c>
      <c r="N768" s="364">
        <v>0.90625</v>
      </c>
      <c r="O768" s="158" t="s">
        <v>2481</v>
      </c>
      <c r="P768" s="158"/>
      <c r="Q768" s="158"/>
      <c r="R768" s="158"/>
      <c r="S768" s="158"/>
      <c r="T768" s="365"/>
      <c r="U768" s="365"/>
      <c r="V768" s="365"/>
    </row>
    <row r="769" spans="1:22" ht="12.75">
      <c r="A769" s="153">
        <v>46308</v>
      </c>
      <c r="B769" s="200" t="s">
        <v>556</v>
      </c>
      <c r="C769" s="200" t="s">
        <v>2467</v>
      </c>
      <c r="D769" s="200" t="s">
        <v>685</v>
      </c>
      <c r="E769" s="200" t="s">
        <v>707</v>
      </c>
      <c r="F769" s="200" t="s">
        <v>111</v>
      </c>
      <c r="G769" s="200" t="s">
        <v>708</v>
      </c>
      <c r="H769" s="200" t="s">
        <v>709</v>
      </c>
      <c r="I769" s="200" t="s">
        <v>710</v>
      </c>
      <c r="J769" s="158" t="s">
        <v>34</v>
      </c>
      <c r="K769" s="158" t="s">
        <v>3060</v>
      </c>
      <c r="L769" s="363" t="s">
        <v>3058</v>
      </c>
      <c r="M769" s="364">
        <v>0.90625</v>
      </c>
      <c r="N769" s="364">
        <v>0.96180555555555558</v>
      </c>
      <c r="O769" s="158" t="s">
        <v>2481</v>
      </c>
      <c r="P769" s="158"/>
      <c r="Q769" s="158"/>
      <c r="R769" s="158"/>
      <c r="S769" s="158"/>
      <c r="T769" s="365"/>
      <c r="U769" s="365"/>
      <c r="V769" s="365"/>
    </row>
    <row r="770" spans="1:22" ht="25.5">
      <c r="A770" s="153">
        <v>46308</v>
      </c>
      <c r="B770" s="200" t="s">
        <v>556</v>
      </c>
      <c r="C770" s="200" t="s">
        <v>2467</v>
      </c>
      <c r="D770" s="200" t="s">
        <v>1206</v>
      </c>
      <c r="E770" s="200" t="s">
        <v>707</v>
      </c>
      <c r="F770" s="200" t="s">
        <v>111</v>
      </c>
      <c r="G770" s="200" t="s">
        <v>708</v>
      </c>
      <c r="H770" s="200" t="s">
        <v>709</v>
      </c>
      <c r="I770" s="200" t="s">
        <v>710</v>
      </c>
      <c r="J770" s="158" t="s">
        <v>34</v>
      </c>
      <c r="K770" s="158" t="s">
        <v>3061</v>
      </c>
      <c r="L770" s="363" t="s">
        <v>3058</v>
      </c>
      <c r="M770" s="364">
        <v>0.96180555555555558</v>
      </c>
      <c r="N770" s="364">
        <v>1.7361111111111112E-2</v>
      </c>
      <c r="O770" s="158" t="s">
        <v>2481</v>
      </c>
      <c r="P770" s="158"/>
      <c r="Q770" s="158"/>
      <c r="R770" s="158"/>
      <c r="S770" s="158"/>
      <c r="T770" s="365"/>
      <c r="U770" s="365"/>
      <c r="V770" s="365"/>
    </row>
    <row r="771" spans="1:22" ht="12.75">
      <c r="A771" s="153">
        <v>46308</v>
      </c>
      <c r="B771" s="200" t="s">
        <v>556</v>
      </c>
      <c r="C771" s="200" t="s">
        <v>2470</v>
      </c>
      <c r="D771" s="200" t="s">
        <v>3062</v>
      </c>
      <c r="E771" s="200" t="s">
        <v>707</v>
      </c>
      <c r="F771" s="200" t="s">
        <v>111</v>
      </c>
      <c r="G771" s="200" t="s">
        <v>708</v>
      </c>
      <c r="H771" s="200" t="s">
        <v>709</v>
      </c>
      <c r="I771" s="200" t="s">
        <v>710</v>
      </c>
      <c r="J771" s="158" t="s">
        <v>34</v>
      </c>
      <c r="K771" s="158" t="s">
        <v>3063</v>
      </c>
      <c r="L771" s="363" t="s">
        <v>3058</v>
      </c>
      <c r="M771" s="364">
        <v>1.7361111111111112E-2</v>
      </c>
      <c r="N771" s="364">
        <v>7.2916666666666671E-2</v>
      </c>
      <c r="O771" s="158" t="s">
        <v>2481</v>
      </c>
      <c r="P771" s="158"/>
      <c r="Q771" s="158"/>
      <c r="R771" s="158"/>
      <c r="S771" s="158"/>
      <c r="T771" s="365"/>
      <c r="U771" s="365"/>
      <c r="V771" s="365"/>
    </row>
    <row r="772" spans="1:22" ht="25.5">
      <c r="A772" s="153">
        <v>46308</v>
      </c>
      <c r="B772" s="200" t="s">
        <v>556</v>
      </c>
      <c r="C772" s="200" t="s">
        <v>2470</v>
      </c>
      <c r="D772" s="200" t="s">
        <v>2046</v>
      </c>
      <c r="E772" s="200" t="s">
        <v>707</v>
      </c>
      <c r="F772" s="200" t="s">
        <v>111</v>
      </c>
      <c r="G772" s="200" t="s">
        <v>708</v>
      </c>
      <c r="H772" s="200" t="s">
        <v>709</v>
      </c>
      <c r="I772" s="200" t="s">
        <v>710</v>
      </c>
      <c r="J772" s="158" t="s">
        <v>34</v>
      </c>
      <c r="K772" s="158" t="s">
        <v>3064</v>
      </c>
      <c r="L772" s="363" t="s">
        <v>3058</v>
      </c>
      <c r="M772" s="364">
        <v>7.2916666666666671E-2</v>
      </c>
      <c r="N772" s="364">
        <v>0.12847222222222221</v>
      </c>
      <c r="O772" s="158" t="s">
        <v>2481</v>
      </c>
      <c r="P772" s="158"/>
      <c r="Q772" s="158"/>
      <c r="R772" s="158"/>
      <c r="S772" s="158"/>
      <c r="T772" s="365"/>
      <c r="U772" s="365"/>
      <c r="V772" s="365"/>
    </row>
    <row r="773" spans="1:22" ht="25.5">
      <c r="A773" s="153">
        <v>46308</v>
      </c>
      <c r="B773" s="200" t="s">
        <v>556</v>
      </c>
      <c r="C773" s="200" t="s">
        <v>2470</v>
      </c>
      <c r="D773" s="200" t="s">
        <v>1053</v>
      </c>
      <c r="E773" s="200" t="s">
        <v>707</v>
      </c>
      <c r="F773" s="200" t="s">
        <v>111</v>
      </c>
      <c r="G773" s="200" t="s">
        <v>708</v>
      </c>
      <c r="H773" s="200" t="s">
        <v>709</v>
      </c>
      <c r="I773" s="200" t="s">
        <v>710</v>
      </c>
      <c r="J773" s="158" t="s">
        <v>34</v>
      </c>
      <c r="K773" s="158" t="s">
        <v>3065</v>
      </c>
      <c r="L773" s="363" t="s">
        <v>3058</v>
      </c>
      <c r="M773" s="364">
        <v>0.12847222222222221</v>
      </c>
      <c r="N773" s="364">
        <v>0.18402777777777779</v>
      </c>
      <c r="O773" s="158" t="s">
        <v>2481</v>
      </c>
      <c r="P773" s="158"/>
      <c r="Q773" s="158"/>
      <c r="R773" s="158"/>
      <c r="S773" s="158"/>
      <c r="T773" s="365"/>
      <c r="U773" s="365"/>
      <c r="V773" s="365"/>
    </row>
    <row r="774" spans="1:22" ht="25.5">
      <c r="A774" s="153">
        <v>46308</v>
      </c>
      <c r="B774" s="200" t="s">
        <v>556</v>
      </c>
      <c r="C774" s="200" t="s">
        <v>2470</v>
      </c>
      <c r="D774" s="200" t="s">
        <v>559</v>
      </c>
      <c r="E774" s="200" t="s">
        <v>707</v>
      </c>
      <c r="F774" s="200" t="s">
        <v>111</v>
      </c>
      <c r="G774" s="200" t="s">
        <v>708</v>
      </c>
      <c r="H774" s="200" t="s">
        <v>709</v>
      </c>
      <c r="I774" s="200" t="s">
        <v>710</v>
      </c>
      <c r="J774" s="158" t="s">
        <v>34</v>
      </c>
      <c r="K774" s="158" t="s">
        <v>3066</v>
      </c>
      <c r="L774" s="363" t="s">
        <v>3058</v>
      </c>
      <c r="M774" s="364">
        <v>0.25694444444444442</v>
      </c>
      <c r="N774" s="364">
        <v>0.3125</v>
      </c>
      <c r="O774" s="158" t="s">
        <v>2481</v>
      </c>
      <c r="P774" s="158"/>
      <c r="Q774" s="158"/>
      <c r="R774" s="158"/>
      <c r="S774" s="158"/>
      <c r="T774" s="365"/>
      <c r="U774" s="365"/>
      <c r="V774" s="365"/>
    </row>
    <row r="775" spans="1:22" ht="25.5">
      <c r="A775" s="153">
        <v>46308</v>
      </c>
      <c r="B775" s="200" t="s">
        <v>563</v>
      </c>
      <c r="C775" s="200" t="s">
        <v>53</v>
      </c>
      <c r="D775" s="200" t="s">
        <v>1097</v>
      </c>
      <c r="E775" s="200" t="s">
        <v>1008</v>
      </c>
      <c r="F775" s="200" t="s">
        <v>94</v>
      </c>
      <c r="G775" s="200" t="s">
        <v>764</v>
      </c>
      <c r="H775" s="200" t="s">
        <v>740</v>
      </c>
      <c r="I775" s="200" t="s">
        <v>710</v>
      </c>
      <c r="J775" s="158" t="s">
        <v>34</v>
      </c>
      <c r="K775" s="158" t="s">
        <v>3067</v>
      </c>
      <c r="L775" s="363" t="s">
        <v>3068</v>
      </c>
      <c r="M775" s="364">
        <v>0.3125</v>
      </c>
      <c r="N775" s="364">
        <v>0.35416666666666669</v>
      </c>
      <c r="O775" s="158" t="s">
        <v>2234</v>
      </c>
      <c r="P775" s="158"/>
      <c r="Q775" s="158"/>
      <c r="R775" s="158"/>
      <c r="S775" s="158"/>
      <c r="T775" s="365"/>
      <c r="U775" s="365"/>
      <c r="V775" s="365"/>
    </row>
    <row r="776" spans="1:22" ht="25.5">
      <c r="A776" s="153">
        <v>46308</v>
      </c>
      <c r="B776" s="200" t="s">
        <v>563</v>
      </c>
      <c r="C776" s="200" t="s">
        <v>53</v>
      </c>
      <c r="D776" s="200" t="s">
        <v>1097</v>
      </c>
      <c r="E776" s="200" t="s">
        <v>1008</v>
      </c>
      <c r="F776" s="200" t="s">
        <v>94</v>
      </c>
      <c r="G776" s="200" t="s">
        <v>764</v>
      </c>
      <c r="H776" s="200" t="s">
        <v>740</v>
      </c>
      <c r="I776" s="200" t="s">
        <v>710</v>
      </c>
      <c r="J776" s="158" t="s">
        <v>34</v>
      </c>
      <c r="K776" s="158" t="s">
        <v>3069</v>
      </c>
      <c r="L776" s="363" t="s">
        <v>3070</v>
      </c>
      <c r="M776" s="364">
        <v>0.35625000000000001</v>
      </c>
      <c r="N776" s="364">
        <v>0.39791666666666664</v>
      </c>
      <c r="O776" s="158" t="s">
        <v>2234</v>
      </c>
      <c r="P776" s="158"/>
      <c r="Q776" s="158"/>
      <c r="R776" s="158"/>
      <c r="S776" s="158"/>
      <c r="T776" s="365"/>
      <c r="U776" s="365"/>
      <c r="V776" s="365"/>
    </row>
    <row r="777" spans="1:22" ht="25.5">
      <c r="A777" s="153">
        <v>46308</v>
      </c>
      <c r="B777" s="200" t="s">
        <v>547</v>
      </c>
      <c r="C777" s="200" t="s">
        <v>746</v>
      </c>
      <c r="D777" s="200" t="s">
        <v>394</v>
      </c>
      <c r="E777" s="200" t="s">
        <v>1008</v>
      </c>
      <c r="F777" s="200" t="s">
        <v>94</v>
      </c>
      <c r="G777" s="200" t="s">
        <v>764</v>
      </c>
      <c r="H777" s="200" t="s">
        <v>740</v>
      </c>
      <c r="I777" s="200" t="s">
        <v>710</v>
      </c>
      <c r="J777" s="158" t="s">
        <v>34</v>
      </c>
      <c r="K777" s="158" t="s">
        <v>3071</v>
      </c>
      <c r="L777" s="363" t="s">
        <v>3072</v>
      </c>
      <c r="M777" s="364">
        <v>0.40277777777777779</v>
      </c>
      <c r="N777" s="364">
        <v>0.44444444444444442</v>
      </c>
      <c r="O777" s="158" t="s">
        <v>2234</v>
      </c>
      <c r="P777" s="158"/>
      <c r="Q777" s="158"/>
      <c r="R777" s="158"/>
      <c r="S777" s="158"/>
      <c r="T777" s="365"/>
      <c r="U777" s="365"/>
      <c r="V777" s="365"/>
    </row>
    <row r="778" spans="1:22" ht="25.5">
      <c r="A778" s="153">
        <v>46308</v>
      </c>
      <c r="B778" s="200" t="s">
        <v>547</v>
      </c>
      <c r="C778" s="200" t="s">
        <v>746</v>
      </c>
      <c r="D778" s="200" t="s">
        <v>394</v>
      </c>
      <c r="E778" s="200" t="s">
        <v>1008</v>
      </c>
      <c r="F778" s="200" t="s">
        <v>94</v>
      </c>
      <c r="G778" s="200" t="s">
        <v>764</v>
      </c>
      <c r="H778" s="200" t="s">
        <v>740</v>
      </c>
      <c r="I778" s="200" t="s">
        <v>710</v>
      </c>
      <c r="J778" s="158" t="s">
        <v>34</v>
      </c>
      <c r="K778" s="158" t="s">
        <v>3073</v>
      </c>
      <c r="L778" s="363" t="s">
        <v>3074</v>
      </c>
      <c r="M778" s="364">
        <v>0.44583333333333336</v>
      </c>
      <c r="N778" s="364">
        <v>0.48749999999999999</v>
      </c>
      <c r="O778" s="158" t="s">
        <v>2234</v>
      </c>
      <c r="P778" s="158"/>
      <c r="Q778" s="158"/>
      <c r="R778" s="158"/>
      <c r="S778" s="158"/>
      <c r="T778" s="365"/>
      <c r="U778" s="365"/>
      <c r="V778" s="365"/>
    </row>
    <row r="779" spans="1:22" ht="25.5">
      <c r="A779" s="153">
        <v>46308</v>
      </c>
      <c r="B779" s="200" t="s">
        <v>563</v>
      </c>
      <c r="C779" s="200" t="s">
        <v>53</v>
      </c>
      <c r="D779" s="200" t="s">
        <v>650</v>
      </c>
      <c r="E779" s="200" t="s">
        <v>1008</v>
      </c>
      <c r="F779" s="200" t="s">
        <v>94</v>
      </c>
      <c r="G779" s="200" t="s">
        <v>764</v>
      </c>
      <c r="H779" s="200" t="s">
        <v>740</v>
      </c>
      <c r="I779" s="200" t="s">
        <v>710</v>
      </c>
      <c r="J779" s="158" t="s">
        <v>34</v>
      </c>
      <c r="K779" s="158" t="s">
        <v>3075</v>
      </c>
      <c r="L779" s="363" t="s">
        <v>3076</v>
      </c>
      <c r="M779" s="364">
        <v>0.49652777777777779</v>
      </c>
      <c r="N779" s="364">
        <v>0.53819444444444442</v>
      </c>
      <c r="O779" s="158" t="s">
        <v>2234</v>
      </c>
      <c r="P779" s="158"/>
      <c r="Q779" s="158"/>
      <c r="R779" s="158"/>
      <c r="S779" s="158"/>
      <c r="T779" s="365"/>
      <c r="U779" s="365"/>
      <c r="V779" s="365"/>
    </row>
    <row r="780" spans="1:22" ht="25.5">
      <c r="A780" s="153">
        <v>46308</v>
      </c>
      <c r="B780" s="200" t="s">
        <v>563</v>
      </c>
      <c r="C780" s="200" t="s">
        <v>53</v>
      </c>
      <c r="D780" s="200" t="s">
        <v>650</v>
      </c>
      <c r="E780" s="200" t="s">
        <v>1008</v>
      </c>
      <c r="F780" s="200" t="s">
        <v>94</v>
      </c>
      <c r="G780" s="200" t="s">
        <v>764</v>
      </c>
      <c r="H780" s="200" t="s">
        <v>740</v>
      </c>
      <c r="I780" s="200" t="s">
        <v>710</v>
      </c>
      <c r="J780" s="158" t="s">
        <v>34</v>
      </c>
      <c r="K780" s="158" t="s">
        <v>3077</v>
      </c>
      <c r="L780" s="363" t="s">
        <v>3078</v>
      </c>
      <c r="M780" s="364">
        <v>0.5395833333333333</v>
      </c>
      <c r="N780" s="364">
        <v>0.58125000000000004</v>
      </c>
      <c r="O780" s="158" t="s">
        <v>2234</v>
      </c>
      <c r="P780" s="158"/>
      <c r="Q780" s="158"/>
      <c r="R780" s="158"/>
      <c r="S780" s="158"/>
      <c r="T780" s="365"/>
      <c r="U780" s="365"/>
      <c r="V780" s="365"/>
    </row>
    <row r="781" spans="1:22" ht="25.5">
      <c r="A781" s="153">
        <v>46308</v>
      </c>
      <c r="B781" s="200" t="s">
        <v>563</v>
      </c>
      <c r="C781" s="200" t="s">
        <v>53</v>
      </c>
      <c r="D781" s="200" t="s">
        <v>2332</v>
      </c>
      <c r="E781" s="200" t="s">
        <v>815</v>
      </c>
      <c r="F781" s="200" t="s">
        <v>94</v>
      </c>
      <c r="G781" s="200" t="s">
        <v>764</v>
      </c>
      <c r="H781" s="200" t="s">
        <v>740</v>
      </c>
      <c r="I781" s="200" t="s">
        <v>710</v>
      </c>
      <c r="J781" s="158" t="s">
        <v>34</v>
      </c>
      <c r="K781" s="158" t="s">
        <v>3079</v>
      </c>
      <c r="L781" s="363" t="s">
        <v>3080</v>
      </c>
      <c r="M781" s="364">
        <v>0.64236111111111116</v>
      </c>
      <c r="N781" s="364">
        <v>0.68402777777777779</v>
      </c>
      <c r="O781" s="158" t="s">
        <v>2234</v>
      </c>
      <c r="P781" s="158" t="s">
        <v>2258</v>
      </c>
      <c r="Q781" s="158"/>
      <c r="R781" s="158"/>
      <c r="S781" s="158"/>
      <c r="T781" s="365"/>
      <c r="U781" s="365"/>
      <c r="V781" s="365"/>
    </row>
    <row r="782" spans="1:22" ht="25.5">
      <c r="A782" s="153">
        <v>46308</v>
      </c>
      <c r="B782" s="200" t="s">
        <v>549</v>
      </c>
      <c r="C782" s="200" t="s">
        <v>404</v>
      </c>
      <c r="D782" s="200" t="s">
        <v>399</v>
      </c>
      <c r="E782" s="200" t="s">
        <v>815</v>
      </c>
      <c r="F782" s="200" t="s">
        <v>94</v>
      </c>
      <c r="G782" s="200" t="s">
        <v>764</v>
      </c>
      <c r="H782" s="200" t="s">
        <v>740</v>
      </c>
      <c r="I782" s="200" t="s">
        <v>710</v>
      </c>
      <c r="J782" s="158" t="s">
        <v>34</v>
      </c>
      <c r="K782" s="158" t="s">
        <v>3081</v>
      </c>
      <c r="L782" s="363" t="s">
        <v>3082</v>
      </c>
      <c r="M782" s="364">
        <v>0.2986111111111111</v>
      </c>
      <c r="N782" s="364">
        <v>0.3576388888888889</v>
      </c>
      <c r="O782" s="158" t="s">
        <v>2258</v>
      </c>
      <c r="P782" s="158"/>
      <c r="Q782" s="158"/>
      <c r="R782" s="158"/>
      <c r="S782" s="158"/>
      <c r="T782" s="365"/>
      <c r="U782" s="365"/>
      <c r="V782" s="365"/>
    </row>
    <row r="783" spans="1:22" ht="38.25">
      <c r="A783" s="153">
        <v>46308</v>
      </c>
      <c r="B783" s="200" t="s">
        <v>549</v>
      </c>
      <c r="C783" s="200" t="s">
        <v>53</v>
      </c>
      <c r="D783" s="200" t="s">
        <v>390</v>
      </c>
      <c r="E783" s="200" t="s">
        <v>815</v>
      </c>
      <c r="F783" s="200" t="s">
        <v>94</v>
      </c>
      <c r="G783" s="200" t="s">
        <v>764</v>
      </c>
      <c r="H783" s="200" t="s">
        <v>740</v>
      </c>
      <c r="I783" s="200" t="s">
        <v>710</v>
      </c>
      <c r="J783" s="158" t="s">
        <v>34</v>
      </c>
      <c r="K783" s="158" t="s">
        <v>3083</v>
      </c>
      <c r="L783" s="363" t="s">
        <v>3084</v>
      </c>
      <c r="M783" s="364">
        <v>0.375</v>
      </c>
      <c r="N783" s="364">
        <v>0.42708333333333331</v>
      </c>
      <c r="O783" s="158" t="s">
        <v>2258</v>
      </c>
      <c r="P783" s="158" t="s">
        <v>2221</v>
      </c>
      <c r="Q783" s="158"/>
      <c r="R783" s="158"/>
      <c r="S783" s="158"/>
      <c r="T783" s="365"/>
      <c r="U783" s="365"/>
      <c r="V783" s="365"/>
    </row>
    <row r="784" spans="1:22" ht="25.5">
      <c r="A784" s="153">
        <v>46308</v>
      </c>
      <c r="B784" s="200" t="s">
        <v>549</v>
      </c>
      <c r="C784" s="200" t="s">
        <v>53</v>
      </c>
      <c r="D784" s="200" t="s">
        <v>155</v>
      </c>
      <c r="E784" s="200" t="s">
        <v>1008</v>
      </c>
      <c r="F784" s="200" t="s">
        <v>94</v>
      </c>
      <c r="G784" s="200" t="s">
        <v>764</v>
      </c>
      <c r="H784" s="200" t="s">
        <v>740</v>
      </c>
      <c r="I784" s="200" t="s">
        <v>710</v>
      </c>
      <c r="J784" s="158" t="s">
        <v>34</v>
      </c>
      <c r="K784" s="158" t="s">
        <v>3085</v>
      </c>
      <c r="L784" s="363" t="s">
        <v>3086</v>
      </c>
      <c r="M784" s="364">
        <v>0.42708333333333331</v>
      </c>
      <c r="N784" s="364">
        <v>0.47916666666666669</v>
      </c>
      <c r="O784" s="158" t="s">
        <v>2258</v>
      </c>
      <c r="P784" s="158"/>
      <c r="Q784" s="158"/>
      <c r="R784" s="158"/>
      <c r="S784" s="158"/>
      <c r="T784" s="365"/>
      <c r="U784" s="365"/>
      <c r="V784" s="365"/>
    </row>
    <row r="785" spans="1:22" ht="25.5">
      <c r="A785" s="153">
        <v>46308</v>
      </c>
      <c r="B785" s="200" t="s">
        <v>549</v>
      </c>
      <c r="C785" s="200" t="s">
        <v>746</v>
      </c>
      <c r="D785" s="200" t="s">
        <v>759</v>
      </c>
      <c r="E785" s="200" t="s">
        <v>815</v>
      </c>
      <c r="F785" s="200" t="s">
        <v>94</v>
      </c>
      <c r="G785" s="200" t="s">
        <v>764</v>
      </c>
      <c r="H785" s="200" t="s">
        <v>740</v>
      </c>
      <c r="I785" s="200" t="s">
        <v>710</v>
      </c>
      <c r="J785" s="158" t="s">
        <v>34</v>
      </c>
      <c r="K785" s="158" t="s">
        <v>3087</v>
      </c>
      <c r="L785" s="363" t="s">
        <v>3088</v>
      </c>
      <c r="M785" s="364">
        <v>0.57638888888888884</v>
      </c>
      <c r="N785" s="364">
        <v>0.61805555555555558</v>
      </c>
      <c r="O785" s="158" t="s">
        <v>2221</v>
      </c>
      <c r="P785" s="158"/>
      <c r="Q785" s="158"/>
      <c r="R785" s="158"/>
      <c r="S785" s="158"/>
      <c r="T785" s="365"/>
      <c r="U785" s="365"/>
      <c r="V785" s="365"/>
    </row>
    <row r="786" spans="1:22" ht="25.5">
      <c r="A786" s="153">
        <v>46308</v>
      </c>
      <c r="B786" s="200" t="s">
        <v>549</v>
      </c>
      <c r="C786" s="200" t="s">
        <v>746</v>
      </c>
      <c r="D786" s="200" t="s">
        <v>759</v>
      </c>
      <c r="E786" s="200" t="s">
        <v>815</v>
      </c>
      <c r="F786" s="200" t="s">
        <v>94</v>
      </c>
      <c r="G786" s="200" t="s">
        <v>764</v>
      </c>
      <c r="H786" s="200" t="s">
        <v>740</v>
      </c>
      <c r="I786" s="200" t="s">
        <v>710</v>
      </c>
      <c r="J786" s="158" t="s">
        <v>34</v>
      </c>
      <c r="K786" s="158" t="s">
        <v>3089</v>
      </c>
      <c r="L786" s="363" t="s">
        <v>3090</v>
      </c>
      <c r="M786" s="364">
        <v>0.61944444444444446</v>
      </c>
      <c r="N786" s="364">
        <v>0.66111111111111109</v>
      </c>
      <c r="O786" s="158" t="s">
        <v>2221</v>
      </c>
      <c r="P786" s="158"/>
      <c r="Q786" s="158"/>
      <c r="R786" s="158"/>
      <c r="S786" s="158"/>
      <c r="T786" s="365"/>
      <c r="U786" s="365"/>
      <c r="V786" s="365"/>
    </row>
    <row r="787" spans="1:22" ht="25.5">
      <c r="A787" s="153">
        <v>46308</v>
      </c>
      <c r="B787" s="200" t="s">
        <v>549</v>
      </c>
      <c r="C787" s="200" t="s">
        <v>746</v>
      </c>
      <c r="D787" s="200" t="s">
        <v>759</v>
      </c>
      <c r="E787" s="200" t="s">
        <v>815</v>
      </c>
      <c r="F787" s="200" t="s">
        <v>94</v>
      </c>
      <c r="G787" s="200" t="s">
        <v>764</v>
      </c>
      <c r="H787" s="200" t="s">
        <v>740</v>
      </c>
      <c r="I787" s="200" t="s">
        <v>710</v>
      </c>
      <c r="J787" s="158" t="s">
        <v>34</v>
      </c>
      <c r="K787" s="158" t="s">
        <v>3091</v>
      </c>
      <c r="L787" s="363" t="s">
        <v>3092</v>
      </c>
      <c r="M787" s="364">
        <v>0.66319444444444442</v>
      </c>
      <c r="N787" s="364">
        <v>0.70486111111111116</v>
      </c>
      <c r="O787" s="158" t="s">
        <v>2221</v>
      </c>
      <c r="P787" s="158"/>
      <c r="Q787" s="158"/>
      <c r="R787" s="158"/>
      <c r="S787" s="158"/>
      <c r="T787" s="365"/>
      <c r="U787" s="365"/>
      <c r="V787" s="365"/>
    </row>
    <row r="788" spans="1:22" ht="25.5">
      <c r="A788" s="153">
        <v>46308</v>
      </c>
      <c r="B788" s="200" t="s">
        <v>549</v>
      </c>
      <c r="C788" s="200" t="s">
        <v>746</v>
      </c>
      <c r="D788" s="200" t="s">
        <v>759</v>
      </c>
      <c r="E788" s="200" t="s">
        <v>815</v>
      </c>
      <c r="F788" s="200" t="s">
        <v>94</v>
      </c>
      <c r="G788" s="200" t="s">
        <v>764</v>
      </c>
      <c r="H788" s="200" t="s">
        <v>740</v>
      </c>
      <c r="I788" s="200" t="s">
        <v>710</v>
      </c>
      <c r="J788" s="158" t="s">
        <v>34</v>
      </c>
      <c r="K788" s="158" t="s">
        <v>3093</v>
      </c>
      <c r="L788" s="363" t="s">
        <v>3094</v>
      </c>
      <c r="M788" s="364">
        <v>0.70625000000000004</v>
      </c>
      <c r="N788" s="364">
        <v>0.74791666666666667</v>
      </c>
      <c r="O788" s="158" t="s">
        <v>2221</v>
      </c>
      <c r="P788" s="158"/>
      <c r="Q788" s="158"/>
      <c r="R788" s="158"/>
      <c r="S788" s="158"/>
      <c r="T788" s="365"/>
      <c r="U788" s="365"/>
      <c r="V788" s="365"/>
    </row>
    <row r="789" spans="1:22" ht="25.5">
      <c r="A789" s="153">
        <v>46308</v>
      </c>
      <c r="B789" s="200" t="s">
        <v>563</v>
      </c>
      <c r="C789" s="200" t="s">
        <v>53</v>
      </c>
      <c r="D789" s="200" t="s">
        <v>2332</v>
      </c>
      <c r="E789" s="200" t="s">
        <v>815</v>
      </c>
      <c r="F789" s="200" t="s">
        <v>94</v>
      </c>
      <c r="G789" s="200" t="s">
        <v>764</v>
      </c>
      <c r="H789" s="200" t="s">
        <v>740</v>
      </c>
      <c r="I789" s="200" t="s">
        <v>710</v>
      </c>
      <c r="J789" s="158" t="s">
        <v>34</v>
      </c>
      <c r="K789" s="158" t="s">
        <v>3095</v>
      </c>
      <c r="L789" s="363" t="s">
        <v>3096</v>
      </c>
      <c r="M789" s="364">
        <v>0.55208333333333337</v>
      </c>
      <c r="N789" s="364">
        <v>0.60416666666666663</v>
      </c>
      <c r="O789" s="158" t="s">
        <v>2258</v>
      </c>
      <c r="P789" s="158"/>
      <c r="Q789" s="158"/>
      <c r="R789" s="158"/>
      <c r="S789" s="158"/>
      <c r="T789" s="365"/>
      <c r="U789" s="365"/>
      <c r="V789" s="365"/>
    </row>
    <row r="790" spans="1:22" ht="25.5">
      <c r="A790" s="153">
        <v>46308</v>
      </c>
      <c r="B790" s="200" t="s">
        <v>563</v>
      </c>
      <c r="C790" s="200" t="s">
        <v>53</v>
      </c>
      <c r="D790" s="200" t="s">
        <v>564</v>
      </c>
      <c r="E790" s="200" t="s">
        <v>815</v>
      </c>
      <c r="F790" s="200" t="s">
        <v>94</v>
      </c>
      <c r="G790" s="200" t="s">
        <v>764</v>
      </c>
      <c r="H790" s="200" t="s">
        <v>740</v>
      </c>
      <c r="I790" s="200" t="s">
        <v>710</v>
      </c>
      <c r="J790" s="158" t="s">
        <v>34</v>
      </c>
      <c r="K790" s="158" t="s">
        <v>3097</v>
      </c>
      <c r="L790" s="363" t="s">
        <v>3098</v>
      </c>
      <c r="M790" s="364">
        <v>0.62152777777777779</v>
      </c>
      <c r="N790" s="364">
        <v>0.66666666666666663</v>
      </c>
      <c r="O790" s="158" t="s">
        <v>2258</v>
      </c>
      <c r="P790" s="158"/>
      <c r="Q790" s="158"/>
      <c r="R790" s="158"/>
      <c r="S790" s="158"/>
      <c r="T790" s="365"/>
      <c r="U790" s="365"/>
      <c r="V790" s="365"/>
    </row>
    <row r="791" spans="1:22" ht="25.5">
      <c r="A791" s="153">
        <v>46308</v>
      </c>
      <c r="B791" s="200" t="s">
        <v>563</v>
      </c>
      <c r="C791" s="200" t="s">
        <v>53</v>
      </c>
      <c r="D791" s="200" t="s">
        <v>564</v>
      </c>
      <c r="E791" s="200" t="s">
        <v>815</v>
      </c>
      <c r="F791" s="200" t="s">
        <v>94</v>
      </c>
      <c r="G791" s="200" t="s">
        <v>764</v>
      </c>
      <c r="H791" s="200" t="s">
        <v>740</v>
      </c>
      <c r="I791" s="200" t="s">
        <v>710</v>
      </c>
      <c r="J791" s="158" t="s">
        <v>34</v>
      </c>
      <c r="K791" s="158" t="s">
        <v>3099</v>
      </c>
      <c r="L791" s="363" t="s">
        <v>3100</v>
      </c>
      <c r="M791" s="364">
        <v>0.66666666666666663</v>
      </c>
      <c r="N791" s="364">
        <v>0.69444444444444442</v>
      </c>
      <c r="O791" s="158" t="s">
        <v>2258</v>
      </c>
      <c r="P791" s="158"/>
      <c r="Q791" s="158"/>
      <c r="R791" s="158"/>
      <c r="S791" s="158"/>
      <c r="T791" s="365"/>
      <c r="U791" s="365"/>
      <c r="V791" s="365"/>
    </row>
    <row r="792" spans="1:22" ht="25.5">
      <c r="A792" s="153">
        <v>46308</v>
      </c>
      <c r="B792" s="200" t="s">
        <v>549</v>
      </c>
      <c r="C792" s="200" t="s">
        <v>404</v>
      </c>
      <c r="D792" s="200" t="s">
        <v>2159</v>
      </c>
      <c r="E792" s="200" t="s">
        <v>707</v>
      </c>
      <c r="F792" s="200" t="s">
        <v>94</v>
      </c>
      <c r="G792" s="200" t="s">
        <v>764</v>
      </c>
      <c r="H792" s="200" t="s">
        <v>709</v>
      </c>
      <c r="I792" s="200" t="s">
        <v>710</v>
      </c>
      <c r="J792" s="158" t="s">
        <v>34</v>
      </c>
      <c r="K792" s="158" t="s">
        <v>3101</v>
      </c>
      <c r="L792" s="363" t="s">
        <v>3102</v>
      </c>
      <c r="M792" s="364">
        <v>0.70833333333333337</v>
      </c>
      <c r="N792" s="364">
        <v>0.79166666666666663</v>
      </c>
      <c r="O792" s="158" t="s">
        <v>2258</v>
      </c>
      <c r="P792" s="158"/>
      <c r="Q792" s="158"/>
      <c r="R792" s="158"/>
      <c r="S792" s="158"/>
      <c r="T792" s="365"/>
      <c r="U792" s="365"/>
      <c r="V792" s="365"/>
    </row>
    <row r="793" spans="1:22" ht="25.5">
      <c r="A793" s="153">
        <v>46308</v>
      </c>
      <c r="B793" s="200" t="s">
        <v>547</v>
      </c>
      <c r="C793" s="200" t="s">
        <v>53</v>
      </c>
      <c r="D793" s="200" t="s">
        <v>126</v>
      </c>
      <c r="E793" s="200" t="s">
        <v>707</v>
      </c>
      <c r="F793" s="200" t="s">
        <v>94</v>
      </c>
      <c r="G793" s="200" t="s">
        <v>708</v>
      </c>
      <c r="H793" s="200" t="s">
        <v>709</v>
      </c>
      <c r="I793" s="200" t="s">
        <v>710</v>
      </c>
      <c r="J793" s="158" t="s">
        <v>34</v>
      </c>
      <c r="K793" s="158" t="s">
        <v>3103</v>
      </c>
      <c r="L793" s="363" t="s">
        <v>3102</v>
      </c>
      <c r="M793" s="364">
        <v>0.79861111111111116</v>
      </c>
      <c r="N793" s="364">
        <v>0.88194444444444442</v>
      </c>
      <c r="O793" s="158" t="s">
        <v>2304</v>
      </c>
      <c r="P793" s="158"/>
      <c r="Q793" s="158"/>
      <c r="R793" s="158"/>
      <c r="S793" s="158"/>
      <c r="T793" s="365"/>
      <c r="U793" s="365"/>
      <c r="V793" s="365"/>
    </row>
    <row r="794" spans="1:22" ht="25.5">
      <c r="A794" s="153">
        <v>46308</v>
      </c>
      <c r="B794" s="200" t="s">
        <v>549</v>
      </c>
      <c r="C794" s="200" t="s">
        <v>746</v>
      </c>
      <c r="D794" s="200" t="s">
        <v>1550</v>
      </c>
      <c r="E794" s="200" t="s">
        <v>707</v>
      </c>
      <c r="F794" s="200" t="s">
        <v>94</v>
      </c>
      <c r="G794" s="200" t="s">
        <v>708</v>
      </c>
      <c r="H794" s="200" t="s">
        <v>709</v>
      </c>
      <c r="I794" s="200" t="s">
        <v>710</v>
      </c>
      <c r="J794" s="158" t="s">
        <v>34</v>
      </c>
      <c r="K794" s="158" t="s">
        <v>3104</v>
      </c>
      <c r="L794" s="363" t="s">
        <v>3102</v>
      </c>
      <c r="M794" s="364">
        <v>0.96875</v>
      </c>
      <c r="N794" s="364">
        <v>5.2083333333333336E-2</v>
      </c>
      <c r="O794" s="158" t="s">
        <v>2304</v>
      </c>
      <c r="P794" s="158"/>
      <c r="Q794" s="158"/>
      <c r="R794" s="158"/>
      <c r="S794" s="158"/>
      <c r="T794" s="365"/>
      <c r="U794" s="365"/>
      <c r="V794" s="365"/>
    </row>
    <row r="795" spans="1:22" ht="25.5">
      <c r="A795" s="153">
        <v>46308</v>
      </c>
      <c r="B795" s="200" t="s">
        <v>549</v>
      </c>
      <c r="C795" s="200" t="s">
        <v>738</v>
      </c>
      <c r="D795" s="200" t="s">
        <v>1137</v>
      </c>
      <c r="E795" s="200" t="s">
        <v>707</v>
      </c>
      <c r="F795" s="200" t="s">
        <v>94</v>
      </c>
      <c r="G795" s="200" t="s">
        <v>708</v>
      </c>
      <c r="H795" s="200" t="s">
        <v>709</v>
      </c>
      <c r="I795" s="200" t="s">
        <v>710</v>
      </c>
      <c r="J795" s="158" t="s">
        <v>34</v>
      </c>
      <c r="K795" s="158" t="s">
        <v>3105</v>
      </c>
      <c r="L795" s="363" t="s">
        <v>3102</v>
      </c>
      <c r="M795" s="364">
        <v>5.5555555555555552E-2</v>
      </c>
      <c r="N795" s="364">
        <v>0.1388888888888889</v>
      </c>
      <c r="O795" s="158" t="s">
        <v>2304</v>
      </c>
      <c r="P795" s="158"/>
      <c r="Q795" s="158"/>
      <c r="R795" s="158"/>
      <c r="S795" s="158"/>
      <c r="T795" s="365"/>
      <c r="U795" s="365"/>
      <c r="V795" s="365"/>
    </row>
    <row r="796" spans="1:22" ht="25.5">
      <c r="A796" s="153">
        <v>46308</v>
      </c>
      <c r="B796" s="200" t="s">
        <v>549</v>
      </c>
      <c r="C796" s="200" t="s">
        <v>738</v>
      </c>
      <c r="D796" s="200" t="s">
        <v>1137</v>
      </c>
      <c r="E796" s="200" t="s">
        <v>707</v>
      </c>
      <c r="F796" s="200" t="s">
        <v>94</v>
      </c>
      <c r="G796" s="200" t="s">
        <v>708</v>
      </c>
      <c r="H796" s="200" t="s">
        <v>740</v>
      </c>
      <c r="I796" s="200" t="s">
        <v>710</v>
      </c>
      <c r="J796" s="158" t="s">
        <v>34</v>
      </c>
      <c r="K796" s="158" t="s">
        <v>3106</v>
      </c>
      <c r="L796" s="363" t="s">
        <v>3107</v>
      </c>
      <c r="M796" s="364">
        <v>0.1388888888888889</v>
      </c>
      <c r="N796" s="364">
        <v>0.18055555555555555</v>
      </c>
      <c r="O796" s="158" t="s">
        <v>2304</v>
      </c>
      <c r="P796" s="158"/>
      <c r="Q796" s="158"/>
      <c r="R796" s="158"/>
      <c r="S796" s="158"/>
      <c r="T796" s="365"/>
      <c r="U796" s="365"/>
      <c r="V796" s="365"/>
    </row>
    <row r="797" spans="1:22" ht="38.25">
      <c r="A797" s="153">
        <v>46308</v>
      </c>
      <c r="B797" s="200" t="s">
        <v>549</v>
      </c>
      <c r="C797" s="200" t="s">
        <v>738</v>
      </c>
      <c r="D797" s="200" t="s">
        <v>1137</v>
      </c>
      <c r="E797" s="200" t="s">
        <v>707</v>
      </c>
      <c r="F797" s="200" t="s">
        <v>94</v>
      </c>
      <c r="G797" s="200" t="s">
        <v>708</v>
      </c>
      <c r="H797" s="200" t="s">
        <v>740</v>
      </c>
      <c r="I797" s="200" t="s">
        <v>710</v>
      </c>
      <c r="J797" s="158" t="s">
        <v>34</v>
      </c>
      <c r="K797" s="158" t="s">
        <v>3108</v>
      </c>
      <c r="L797" s="363" t="s">
        <v>3109</v>
      </c>
      <c r="M797" s="364">
        <v>0.18055555555555555</v>
      </c>
      <c r="N797" s="364">
        <v>0.22222222222222221</v>
      </c>
      <c r="O797" s="158" t="s">
        <v>2304</v>
      </c>
      <c r="P797" s="158"/>
      <c r="Q797" s="158"/>
      <c r="R797" s="158"/>
      <c r="S797" s="158"/>
      <c r="T797" s="365"/>
      <c r="U797" s="365"/>
      <c r="V797" s="365"/>
    </row>
    <row r="798" spans="1:22" ht="25.5">
      <c r="A798" s="153">
        <v>46308</v>
      </c>
      <c r="B798" s="200" t="s">
        <v>549</v>
      </c>
      <c r="C798" s="200" t="s">
        <v>746</v>
      </c>
      <c r="D798" s="200" t="s">
        <v>72</v>
      </c>
      <c r="E798" s="200" t="s">
        <v>707</v>
      </c>
      <c r="F798" s="200" t="s">
        <v>94</v>
      </c>
      <c r="G798" s="200" t="s">
        <v>708</v>
      </c>
      <c r="H798" s="200" t="s">
        <v>709</v>
      </c>
      <c r="I798" s="200" t="s">
        <v>710</v>
      </c>
      <c r="J798" s="158" t="s">
        <v>34</v>
      </c>
      <c r="K798" s="158" t="s">
        <v>3110</v>
      </c>
      <c r="L798" s="363" t="s">
        <v>3102</v>
      </c>
      <c r="M798" s="364">
        <v>0.8125</v>
      </c>
      <c r="N798" s="364">
        <v>0.89583333333333337</v>
      </c>
      <c r="O798" s="158" t="s">
        <v>2366</v>
      </c>
      <c r="P798" s="158"/>
      <c r="Q798" s="158"/>
      <c r="R798" s="158"/>
      <c r="S798" s="158"/>
      <c r="T798" s="365"/>
      <c r="U798" s="365"/>
      <c r="V798" s="365"/>
    </row>
    <row r="799" spans="1:22" ht="25.5">
      <c r="A799" s="153">
        <v>46308</v>
      </c>
      <c r="B799" s="200" t="s">
        <v>549</v>
      </c>
      <c r="C799" s="200" t="s">
        <v>746</v>
      </c>
      <c r="D799" s="200" t="s">
        <v>72</v>
      </c>
      <c r="E799" s="200" t="s">
        <v>707</v>
      </c>
      <c r="F799" s="200" t="s">
        <v>94</v>
      </c>
      <c r="G799" s="200" t="s">
        <v>708</v>
      </c>
      <c r="H799" s="200" t="s">
        <v>740</v>
      </c>
      <c r="I799" s="200" t="s">
        <v>710</v>
      </c>
      <c r="J799" s="158" t="s">
        <v>34</v>
      </c>
      <c r="K799" s="158" t="s">
        <v>3111</v>
      </c>
      <c r="L799" s="363" t="s">
        <v>3112</v>
      </c>
      <c r="M799" s="364">
        <v>0.89583333333333337</v>
      </c>
      <c r="N799" s="364">
        <v>0.91666666666666663</v>
      </c>
      <c r="O799" s="158" t="s">
        <v>2366</v>
      </c>
      <c r="P799" s="158"/>
      <c r="Q799" s="158"/>
      <c r="R799" s="158"/>
      <c r="S799" s="158"/>
      <c r="T799" s="365"/>
      <c r="U799" s="365"/>
      <c r="V799" s="365"/>
    </row>
    <row r="800" spans="1:22" ht="25.5">
      <c r="A800" s="153">
        <v>46308</v>
      </c>
      <c r="B800" s="200" t="s">
        <v>549</v>
      </c>
      <c r="C800" s="200" t="s">
        <v>746</v>
      </c>
      <c r="D800" s="200" t="s">
        <v>72</v>
      </c>
      <c r="E800" s="200" t="s">
        <v>707</v>
      </c>
      <c r="F800" s="200" t="s">
        <v>94</v>
      </c>
      <c r="G800" s="200" t="s">
        <v>708</v>
      </c>
      <c r="H800" s="200" t="s">
        <v>740</v>
      </c>
      <c r="I800" s="200" t="s">
        <v>710</v>
      </c>
      <c r="J800" s="158" t="s">
        <v>34</v>
      </c>
      <c r="K800" s="158" t="s">
        <v>3113</v>
      </c>
      <c r="L800" s="363" t="s">
        <v>3114</v>
      </c>
      <c r="M800" s="364">
        <v>0.91666666666666663</v>
      </c>
      <c r="N800" s="364">
        <v>0.95833333333333337</v>
      </c>
      <c r="O800" s="158" t="s">
        <v>2366</v>
      </c>
      <c r="P800" s="158"/>
      <c r="Q800" s="158"/>
      <c r="R800" s="158"/>
      <c r="S800" s="158"/>
      <c r="T800" s="365"/>
      <c r="U800" s="365"/>
      <c r="V800" s="365"/>
    </row>
    <row r="801" spans="1:22" ht="25.5">
      <c r="A801" s="153">
        <v>46308</v>
      </c>
      <c r="B801" s="200" t="s">
        <v>549</v>
      </c>
      <c r="C801" s="200" t="s">
        <v>746</v>
      </c>
      <c r="D801" s="200" t="s">
        <v>72</v>
      </c>
      <c r="E801" s="200" t="s">
        <v>707</v>
      </c>
      <c r="F801" s="200" t="s">
        <v>94</v>
      </c>
      <c r="G801" s="200" t="s">
        <v>708</v>
      </c>
      <c r="H801" s="200" t="s">
        <v>740</v>
      </c>
      <c r="I801" s="200" t="s">
        <v>710</v>
      </c>
      <c r="J801" s="158" t="s">
        <v>34</v>
      </c>
      <c r="K801" s="158" t="s">
        <v>3115</v>
      </c>
      <c r="L801" s="363" t="s">
        <v>3116</v>
      </c>
      <c r="M801" s="364">
        <v>0.95833333333333337</v>
      </c>
      <c r="N801" s="364">
        <v>0.97916666666666663</v>
      </c>
      <c r="O801" s="158" t="s">
        <v>2366</v>
      </c>
      <c r="P801" s="158"/>
      <c r="Q801" s="158"/>
      <c r="R801" s="158"/>
      <c r="S801" s="158"/>
      <c r="T801" s="365"/>
      <c r="U801" s="365"/>
      <c r="V801" s="365"/>
    </row>
    <row r="802" spans="1:22" ht="25.5">
      <c r="A802" s="153">
        <v>46308</v>
      </c>
      <c r="B802" s="200" t="s">
        <v>549</v>
      </c>
      <c r="C802" s="200" t="s">
        <v>746</v>
      </c>
      <c r="D802" s="200" t="s">
        <v>72</v>
      </c>
      <c r="E802" s="200" t="s">
        <v>707</v>
      </c>
      <c r="F802" s="200" t="s">
        <v>94</v>
      </c>
      <c r="G802" s="200" t="s">
        <v>708</v>
      </c>
      <c r="H802" s="200" t="s">
        <v>740</v>
      </c>
      <c r="I802" s="200" t="s">
        <v>710</v>
      </c>
      <c r="J802" s="158" t="s">
        <v>34</v>
      </c>
      <c r="K802" s="158" t="s">
        <v>3117</v>
      </c>
      <c r="L802" s="363" t="s">
        <v>3118</v>
      </c>
      <c r="M802" s="364">
        <v>0.97916666666666663</v>
      </c>
      <c r="N802" s="364">
        <v>0.98958333333333337</v>
      </c>
      <c r="O802" s="158" t="s">
        <v>2366</v>
      </c>
      <c r="P802" s="158"/>
      <c r="Q802" s="158"/>
      <c r="R802" s="158"/>
      <c r="S802" s="158"/>
      <c r="T802" s="365"/>
      <c r="U802" s="365"/>
      <c r="V802" s="365"/>
    </row>
    <row r="803" spans="1:22" ht="25.5">
      <c r="A803" s="153">
        <v>46308</v>
      </c>
      <c r="B803" s="200" t="s">
        <v>563</v>
      </c>
      <c r="C803" s="200" t="s">
        <v>53</v>
      </c>
      <c r="D803" s="200" t="s">
        <v>650</v>
      </c>
      <c r="E803" s="200" t="s">
        <v>707</v>
      </c>
      <c r="F803" s="200" t="s">
        <v>94</v>
      </c>
      <c r="G803" s="200" t="s">
        <v>708</v>
      </c>
      <c r="H803" s="200" t="s">
        <v>709</v>
      </c>
      <c r="I803" s="200" t="s">
        <v>710</v>
      </c>
      <c r="J803" s="158" t="s">
        <v>34</v>
      </c>
      <c r="K803" s="158" t="s">
        <v>3119</v>
      </c>
      <c r="L803" s="363" t="s">
        <v>3102</v>
      </c>
      <c r="M803" s="364">
        <v>0.99652777777777779</v>
      </c>
      <c r="N803" s="364">
        <v>7.9861111111111105E-2</v>
      </c>
      <c r="O803" s="158" t="s">
        <v>2366</v>
      </c>
      <c r="P803" s="158"/>
      <c r="Q803" s="158"/>
      <c r="R803" s="158"/>
      <c r="S803" s="158"/>
      <c r="T803" s="365"/>
      <c r="U803" s="365"/>
      <c r="V803" s="365"/>
    </row>
    <row r="804" spans="1:22" ht="25.5">
      <c r="A804" s="153">
        <v>46308</v>
      </c>
      <c r="B804" s="200" t="s">
        <v>563</v>
      </c>
      <c r="C804" s="200" t="s">
        <v>53</v>
      </c>
      <c r="D804" s="200" t="s">
        <v>650</v>
      </c>
      <c r="E804" s="200" t="s">
        <v>707</v>
      </c>
      <c r="F804" s="200" t="s">
        <v>94</v>
      </c>
      <c r="G804" s="200" t="s">
        <v>708</v>
      </c>
      <c r="H804" s="200" t="s">
        <v>740</v>
      </c>
      <c r="I804" s="200" t="s">
        <v>710</v>
      </c>
      <c r="J804" s="158" t="s">
        <v>34</v>
      </c>
      <c r="K804" s="158" t="s">
        <v>3120</v>
      </c>
      <c r="L804" s="363" t="s">
        <v>3121</v>
      </c>
      <c r="M804" s="364">
        <v>7.9861111111111105E-2</v>
      </c>
      <c r="N804" s="364">
        <v>9.375E-2</v>
      </c>
      <c r="O804" s="158" t="s">
        <v>2366</v>
      </c>
      <c r="P804" s="158"/>
      <c r="Q804" s="158"/>
      <c r="R804" s="158"/>
      <c r="S804" s="158"/>
      <c r="T804" s="365"/>
      <c r="U804" s="365"/>
      <c r="V804" s="365"/>
    </row>
    <row r="805" spans="1:22" ht="25.5">
      <c r="A805" s="153">
        <v>46308</v>
      </c>
      <c r="B805" s="200" t="s">
        <v>563</v>
      </c>
      <c r="C805" s="200" t="s">
        <v>53</v>
      </c>
      <c r="D805" s="200" t="s">
        <v>410</v>
      </c>
      <c r="E805" s="200" t="s">
        <v>707</v>
      </c>
      <c r="F805" s="200" t="s">
        <v>94</v>
      </c>
      <c r="G805" s="200" t="s">
        <v>708</v>
      </c>
      <c r="H805" s="200" t="s">
        <v>709</v>
      </c>
      <c r="I805" s="200" t="s">
        <v>710</v>
      </c>
      <c r="J805" s="158" t="s">
        <v>34</v>
      </c>
      <c r="K805" s="158" t="s">
        <v>3122</v>
      </c>
      <c r="L805" s="363" t="s">
        <v>3102</v>
      </c>
      <c r="M805" s="364">
        <v>0.10416666666666667</v>
      </c>
      <c r="N805" s="364">
        <v>0.1875</v>
      </c>
      <c r="O805" s="158" t="s">
        <v>2366</v>
      </c>
      <c r="P805" s="158"/>
      <c r="Q805" s="158"/>
      <c r="R805" s="158"/>
      <c r="S805" s="158"/>
      <c r="T805" s="365"/>
      <c r="U805" s="365"/>
      <c r="V805" s="365"/>
    </row>
    <row r="806" spans="1:22" ht="38.25">
      <c r="A806" s="153">
        <v>46308</v>
      </c>
      <c r="B806" s="200" t="s">
        <v>563</v>
      </c>
      <c r="C806" s="200" t="s">
        <v>53</v>
      </c>
      <c r="D806" s="200" t="s">
        <v>410</v>
      </c>
      <c r="E806" s="200" t="s">
        <v>707</v>
      </c>
      <c r="F806" s="200" t="s">
        <v>94</v>
      </c>
      <c r="G806" s="200" t="s">
        <v>708</v>
      </c>
      <c r="H806" s="200" t="s">
        <v>740</v>
      </c>
      <c r="I806" s="200" t="s">
        <v>710</v>
      </c>
      <c r="J806" s="158" t="s">
        <v>34</v>
      </c>
      <c r="K806" s="158" t="s">
        <v>3123</v>
      </c>
      <c r="L806" s="363" t="s">
        <v>3124</v>
      </c>
      <c r="M806" s="364">
        <v>0.1875</v>
      </c>
      <c r="N806" s="364">
        <v>0.19791666666666666</v>
      </c>
      <c r="O806" s="158" t="s">
        <v>2366</v>
      </c>
      <c r="P806" s="158"/>
      <c r="Q806" s="158"/>
      <c r="R806" s="158"/>
      <c r="S806" s="158"/>
      <c r="T806" s="365"/>
      <c r="U806" s="365"/>
      <c r="V806" s="365"/>
    </row>
    <row r="807" spans="1:22" ht="38.25">
      <c r="A807" s="153">
        <v>46308</v>
      </c>
      <c r="B807" s="200" t="s">
        <v>563</v>
      </c>
      <c r="C807" s="200" t="s">
        <v>53</v>
      </c>
      <c r="D807" s="200" t="s">
        <v>410</v>
      </c>
      <c r="E807" s="200" t="s">
        <v>707</v>
      </c>
      <c r="F807" s="200" t="s">
        <v>94</v>
      </c>
      <c r="G807" s="200" t="s">
        <v>708</v>
      </c>
      <c r="H807" s="200" t="s">
        <v>740</v>
      </c>
      <c r="I807" s="200" t="s">
        <v>710</v>
      </c>
      <c r="J807" s="158" t="s">
        <v>34</v>
      </c>
      <c r="K807" s="158" t="s">
        <v>3125</v>
      </c>
      <c r="L807" s="363" t="s">
        <v>3126</v>
      </c>
      <c r="M807" s="364">
        <v>0.19791666666666666</v>
      </c>
      <c r="N807" s="364">
        <v>0.20833333333333334</v>
      </c>
      <c r="O807" s="158" t="s">
        <v>2366</v>
      </c>
      <c r="P807" s="158"/>
      <c r="Q807" s="158"/>
      <c r="R807" s="158"/>
      <c r="S807" s="158"/>
      <c r="T807" s="365"/>
      <c r="U807" s="365"/>
      <c r="V807" s="365"/>
    </row>
    <row r="808" spans="1:22" ht="25.5">
      <c r="A808" s="153">
        <v>46308</v>
      </c>
      <c r="B808" s="200" t="s">
        <v>563</v>
      </c>
      <c r="C808" s="200" t="s">
        <v>53</v>
      </c>
      <c r="D808" s="200" t="s">
        <v>410</v>
      </c>
      <c r="E808" s="200" t="s">
        <v>707</v>
      </c>
      <c r="F808" s="200" t="s">
        <v>94</v>
      </c>
      <c r="G808" s="200" t="s">
        <v>708</v>
      </c>
      <c r="H808" s="200" t="s">
        <v>740</v>
      </c>
      <c r="I808" s="200" t="s">
        <v>710</v>
      </c>
      <c r="J808" s="158" t="s">
        <v>34</v>
      </c>
      <c r="K808" s="158" t="s">
        <v>3127</v>
      </c>
      <c r="L808" s="363" t="s">
        <v>3128</v>
      </c>
      <c r="M808" s="364">
        <v>0.20833333333333334</v>
      </c>
      <c r="N808" s="364">
        <v>0.21875</v>
      </c>
      <c r="O808" s="158" t="s">
        <v>2366</v>
      </c>
      <c r="P808" s="158"/>
      <c r="Q808" s="158"/>
      <c r="R808" s="158"/>
      <c r="S808" s="158"/>
      <c r="T808" s="365"/>
      <c r="U808" s="365"/>
      <c r="V808" s="365"/>
    </row>
    <row r="809" spans="1:22" ht="25.5">
      <c r="A809" s="153">
        <v>46308</v>
      </c>
      <c r="B809" s="200" t="s">
        <v>563</v>
      </c>
      <c r="C809" s="200" t="s">
        <v>53</v>
      </c>
      <c r="D809" s="200" t="s">
        <v>410</v>
      </c>
      <c r="E809" s="200" t="s">
        <v>707</v>
      </c>
      <c r="F809" s="200" t="s">
        <v>94</v>
      </c>
      <c r="G809" s="200" t="s">
        <v>708</v>
      </c>
      <c r="H809" s="200" t="s">
        <v>740</v>
      </c>
      <c r="I809" s="200" t="s">
        <v>710</v>
      </c>
      <c r="J809" s="158" t="s">
        <v>34</v>
      </c>
      <c r="K809" s="158" t="s">
        <v>3129</v>
      </c>
      <c r="L809" s="363" t="s">
        <v>3130</v>
      </c>
      <c r="M809" s="364">
        <v>0.21875</v>
      </c>
      <c r="N809" s="364">
        <v>0.22916666666666666</v>
      </c>
      <c r="O809" s="158" t="s">
        <v>2366</v>
      </c>
      <c r="P809" s="158"/>
      <c r="Q809" s="158"/>
      <c r="R809" s="158"/>
      <c r="S809" s="158"/>
      <c r="T809" s="365"/>
      <c r="U809" s="365"/>
      <c r="V809" s="365"/>
    </row>
    <row r="810" spans="1:22" ht="25.5">
      <c r="A810" s="153">
        <v>46308</v>
      </c>
      <c r="B810" s="200" t="s">
        <v>563</v>
      </c>
      <c r="C810" s="200" t="s">
        <v>53</v>
      </c>
      <c r="D810" s="200" t="s">
        <v>410</v>
      </c>
      <c r="E810" s="200" t="s">
        <v>707</v>
      </c>
      <c r="F810" s="200" t="s">
        <v>94</v>
      </c>
      <c r="G810" s="200" t="s">
        <v>708</v>
      </c>
      <c r="H810" s="200" t="s">
        <v>740</v>
      </c>
      <c r="I810" s="200" t="s">
        <v>710</v>
      </c>
      <c r="J810" s="158" t="s">
        <v>34</v>
      </c>
      <c r="K810" s="158" t="s">
        <v>3131</v>
      </c>
      <c r="L810" s="363" t="s">
        <v>3132</v>
      </c>
      <c r="M810" s="364">
        <v>0.22916666666666666</v>
      </c>
      <c r="N810" s="364">
        <v>0.23958333333333334</v>
      </c>
      <c r="O810" s="158" t="s">
        <v>2366</v>
      </c>
      <c r="P810" s="158"/>
      <c r="Q810" s="158"/>
      <c r="R810" s="158"/>
      <c r="S810" s="158"/>
      <c r="T810" s="365"/>
      <c r="U810" s="365"/>
      <c r="V810" s="365"/>
    </row>
    <row r="811" spans="1:22" ht="25.5">
      <c r="A811" s="153">
        <v>46308</v>
      </c>
      <c r="B811" s="200" t="s">
        <v>563</v>
      </c>
      <c r="C811" s="200" t="s">
        <v>53</v>
      </c>
      <c r="D811" s="200" t="s">
        <v>410</v>
      </c>
      <c r="E811" s="200" t="s">
        <v>707</v>
      </c>
      <c r="F811" s="200" t="s">
        <v>94</v>
      </c>
      <c r="G811" s="200" t="s">
        <v>708</v>
      </c>
      <c r="H811" s="200" t="s">
        <v>740</v>
      </c>
      <c r="I811" s="200" t="s">
        <v>710</v>
      </c>
      <c r="J811" s="158" t="s">
        <v>34</v>
      </c>
      <c r="K811" s="158" t="s">
        <v>537</v>
      </c>
      <c r="L811" s="363" t="s">
        <v>3133</v>
      </c>
      <c r="M811" s="364">
        <v>0.23958333333333334</v>
      </c>
      <c r="N811" s="364">
        <v>0.26041666666666669</v>
      </c>
      <c r="O811" s="158" t="s">
        <v>2366</v>
      </c>
      <c r="P811" s="158"/>
      <c r="Q811" s="158"/>
      <c r="R811" s="158"/>
      <c r="S811" s="158"/>
      <c r="T811" s="365"/>
      <c r="U811" s="365"/>
      <c r="V811" s="365"/>
    </row>
    <row r="812" spans="1:22" ht="25.5">
      <c r="A812" s="153">
        <v>46308</v>
      </c>
      <c r="B812" s="200" t="s">
        <v>549</v>
      </c>
      <c r="C812" s="200" t="s">
        <v>738</v>
      </c>
      <c r="D812" s="200" t="s">
        <v>232</v>
      </c>
      <c r="E812" s="200" t="s">
        <v>707</v>
      </c>
      <c r="F812" s="200" t="s">
        <v>94</v>
      </c>
      <c r="G812" s="200" t="s">
        <v>708</v>
      </c>
      <c r="H812" s="200" t="s">
        <v>740</v>
      </c>
      <c r="I812" s="200" t="s">
        <v>710</v>
      </c>
      <c r="J812" s="158" t="s">
        <v>34</v>
      </c>
      <c r="K812" s="158" t="s">
        <v>3134</v>
      </c>
      <c r="L812" s="363" t="s">
        <v>3135</v>
      </c>
      <c r="M812" s="364">
        <v>0.79374999999999996</v>
      </c>
      <c r="N812" s="364">
        <v>0.8354166666666667</v>
      </c>
      <c r="O812" s="158" t="s">
        <v>2326</v>
      </c>
      <c r="P812" s="158"/>
      <c r="Q812" s="158"/>
      <c r="R812" s="158"/>
      <c r="S812" s="158"/>
      <c r="T812" s="365"/>
      <c r="U812" s="365"/>
      <c r="V812" s="365"/>
    </row>
    <row r="813" spans="1:22" ht="25.5">
      <c r="A813" s="153">
        <v>46308</v>
      </c>
      <c r="B813" s="200" t="s">
        <v>549</v>
      </c>
      <c r="C813" s="200" t="s">
        <v>738</v>
      </c>
      <c r="D813" s="200" t="s">
        <v>232</v>
      </c>
      <c r="E813" s="200" t="s">
        <v>707</v>
      </c>
      <c r="F813" s="200" t="s">
        <v>94</v>
      </c>
      <c r="G813" s="200" t="s">
        <v>708</v>
      </c>
      <c r="H813" s="200" t="s">
        <v>740</v>
      </c>
      <c r="I813" s="200" t="s">
        <v>710</v>
      </c>
      <c r="J813" s="158" t="s">
        <v>34</v>
      </c>
      <c r="K813" s="158" t="s">
        <v>3136</v>
      </c>
      <c r="L813" s="363" t="s">
        <v>3137</v>
      </c>
      <c r="M813" s="364">
        <v>0.87847222222222221</v>
      </c>
      <c r="N813" s="364">
        <v>0.92013888888888884</v>
      </c>
      <c r="O813" s="158" t="s">
        <v>2326</v>
      </c>
      <c r="P813" s="158"/>
      <c r="Q813" s="158"/>
      <c r="R813" s="158"/>
      <c r="S813" s="158"/>
      <c r="T813" s="365"/>
      <c r="U813" s="365"/>
      <c r="V813" s="365"/>
    </row>
    <row r="814" spans="1:22" ht="25.5">
      <c r="A814" s="153">
        <v>46308</v>
      </c>
      <c r="B814" s="200" t="s">
        <v>549</v>
      </c>
      <c r="C814" s="200" t="s">
        <v>738</v>
      </c>
      <c r="D814" s="200" t="s">
        <v>232</v>
      </c>
      <c r="E814" s="200" t="s">
        <v>707</v>
      </c>
      <c r="F814" s="200" t="s">
        <v>94</v>
      </c>
      <c r="G814" s="200" t="s">
        <v>708</v>
      </c>
      <c r="H814" s="200" t="s">
        <v>740</v>
      </c>
      <c r="I814" s="200" t="s">
        <v>710</v>
      </c>
      <c r="J814" s="158" t="s">
        <v>34</v>
      </c>
      <c r="K814" s="158" t="s">
        <v>3138</v>
      </c>
      <c r="L814" s="363" t="s">
        <v>3139</v>
      </c>
      <c r="M814" s="364">
        <v>0.92083333333333328</v>
      </c>
      <c r="N814" s="364">
        <v>0.96250000000000002</v>
      </c>
      <c r="O814" s="158" t="s">
        <v>2326</v>
      </c>
      <c r="P814" s="158"/>
      <c r="Q814" s="158"/>
      <c r="R814" s="158"/>
      <c r="S814" s="158"/>
      <c r="T814" s="365"/>
      <c r="U814" s="365"/>
      <c r="V814" s="365"/>
    </row>
    <row r="815" spans="1:22" ht="25.5">
      <c r="A815" s="153">
        <v>46308</v>
      </c>
      <c r="B815" s="200" t="s">
        <v>549</v>
      </c>
      <c r="C815" s="200" t="s">
        <v>738</v>
      </c>
      <c r="D815" s="200" t="s">
        <v>232</v>
      </c>
      <c r="E815" s="200" t="s">
        <v>707</v>
      </c>
      <c r="F815" s="200" t="s">
        <v>94</v>
      </c>
      <c r="G815" s="200" t="s">
        <v>708</v>
      </c>
      <c r="H815" s="200" t="s">
        <v>740</v>
      </c>
      <c r="I815" s="200" t="s">
        <v>710</v>
      </c>
      <c r="J815" s="158" t="s">
        <v>34</v>
      </c>
      <c r="K815" s="158" t="s">
        <v>3140</v>
      </c>
      <c r="L815" s="363" t="s">
        <v>3141</v>
      </c>
      <c r="M815" s="364">
        <v>0.96319444444444446</v>
      </c>
      <c r="N815" s="364">
        <v>4.8611111111111112E-3</v>
      </c>
      <c r="O815" s="158" t="s">
        <v>2326</v>
      </c>
      <c r="P815" s="158"/>
      <c r="Q815" s="158"/>
      <c r="R815" s="158"/>
      <c r="S815" s="158"/>
      <c r="T815" s="365"/>
      <c r="U815" s="365"/>
      <c r="V815" s="365"/>
    </row>
    <row r="816" spans="1:22" ht="25.5">
      <c r="A816" s="153">
        <v>46308</v>
      </c>
      <c r="B816" s="200" t="s">
        <v>549</v>
      </c>
      <c r="C816" s="200" t="s">
        <v>738</v>
      </c>
      <c r="D816" s="200" t="s">
        <v>232</v>
      </c>
      <c r="E816" s="200" t="s">
        <v>707</v>
      </c>
      <c r="F816" s="200" t="s">
        <v>94</v>
      </c>
      <c r="G816" s="200" t="s">
        <v>708</v>
      </c>
      <c r="H816" s="200" t="s">
        <v>740</v>
      </c>
      <c r="I816" s="200" t="s">
        <v>710</v>
      </c>
      <c r="J816" s="158" t="s">
        <v>34</v>
      </c>
      <c r="K816" s="158" t="s">
        <v>3142</v>
      </c>
      <c r="L816" s="363" t="s">
        <v>3143</v>
      </c>
      <c r="M816" s="364">
        <v>5.5555555555555558E-3</v>
      </c>
      <c r="N816" s="364">
        <v>4.7222222222222221E-2</v>
      </c>
      <c r="O816" s="158" t="s">
        <v>2326</v>
      </c>
      <c r="P816" s="158"/>
      <c r="Q816" s="158"/>
      <c r="R816" s="158"/>
      <c r="S816" s="158"/>
      <c r="T816" s="365"/>
      <c r="U816" s="365"/>
      <c r="V816" s="365"/>
    </row>
    <row r="817" spans="1:22" ht="25.5">
      <c r="A817" s="153">
        <v>46308</v>
      </c>
      <c r="B817" s="200" t="s">
        <v>549</v>
      </c>
      <c r="C817" s="200" t="s">
        <v>738</v>
      </c>
      <c r="D817" s="200" t="s">
        <v>232</v>
      </c>
      <c r="E817" s="200" t="s">
        <v>707</v>
      </c>
      <c r="F817" s="200" t="s">
        <v>94</v>
      </c>
      <c r="G817" s="200" t="s">
        <v>708</v>
      </c>
      <c r="H817" s="200" t="s">
        <v>740</v>
      </c>
      <c r="I817" s="200" t="s">
        <v>710</v>
      </c>
      <c r="J817" s="158" t="s">
        <v>34</v>
      </c>
      <c r="K817" s="158" t="s">
        <v>3144</v>
      </c>
      <c r="L817" s="363" t="s">
        <v>3145</v>
      </c>
      <c r="M817" s="364">
        <v>4.791666666666667E-2</v>
      </c>
      <c r="N817" s="364">
        <v>8.9583333333333334E-2</v>
      </c>
      <c r="O817" s="158" t="s">
        <v>2326</v>
      </c>
      <c r="P817" s="158"/>
      <c r="Q817" s="158"/>
      <c r="R817" s="158"/>
      <c r="S817" s="158"/>
      <c r="T817" s="365"/>
      <c r="U817" s="365"/>
      <c r="V817" s="365"/>
    </row>
    <row r="818" spans="1:22" ht="25.5">
      <c r="A818" s="153">
        <v>46308</v>
      </c>
      <c r="B818" s="200" t="s">
        <v>549</v>
      </c>
      <c r="C818" s="200" t="s">
        <v>738</v>
      </c>
      <c r="D818" s="200" t="s">
        <v>232</v>
      </c>
      <c r="E818" s="200" t="s">
        <v>707</v>
      </c>
      <c r="F818" s="200" t="s">
        <v>94</v>
      </c>
      <c r="G818" s="200" t="s">
        <v>708</v>
      </c>
      <c r="H818" s="200" t="s">
        <v>740</v>
      </c>
      <c r="I818" s="200" t="s">
        <v>710</v>
      </c>
      <c r="J818" s="158" t="s">
        <v>34</v>
      </c>
      <c r="K818" s="158" t="s">
        <v>3146</v>
      </c>
      <c r="L818" s="363" t="s">
        <v>3147</v>
      </c>
      <c r="M818" s="364">
        <v>9.0277777777777776E-2</v>
      </c>
      <c r="N818" s="364">
        <v>0.13194444444444445</v>
      </c>
      <c r="O818" s="158" t="s">
        <v>2326</v>
      </c>
      <c r="P818" s="158"/>
      <c r="Q818" s="158"/>
      <c r="R818" s="158"/>
      <c r="S818" s="158"/>
      <c r="T818" s="365"/>
      <c r="U818" s="365"/>
      <c r="V818" s="365"/>
    </row>
    <row r="819" spans="1:22" ht="25.5">
      <c r="A819" s="153">
        <v>46308</v>
      </c>
      <c r="B819" s="200" t="s">
        <v>549</v>
      </c>
      <c r="C819" s="200" t="s">
        <v>738</v>
      </c>
      <c r="D819" s="200" t="s">
        <v>232</v>
      </c>
      <c r="E819" s="200" t="s">
        <v>707</v>
      </c>
      <c r="F819" s="200" t="s">
        <v>94</v>
      </c>
      <c r="G819" s="200" t="s">
        <v>708</v>
      </c>
      <c r="H819" s="200" t="s">
        <v>709</v>
      </c>
      <c r="I819" s="200" t="s">
        <v>710</v>
      </c>
      <c r="J819" s="158" t="s">
        <v>34</v>
      </c>
      <c r="K819" s="158" t="s">
        <v>3148</v>
      </c>
      <c r="L819" s="363" t="s">
        <v>3102</v>
      </c>
      <c r="M819" s="364">
        <v>0.13263888888888889</v>
      </c>
      <c r="N819" s="158" t="s">
        <v>3149</v>
      </c>
      <c r="O819" s="158" t="s">
        <v>2326</v>
      </c>
      <c r="P819" s="158"/>
      <c r="Q819" s="158"/>
      <c r="R819" s="158"/>
      <c r="S819" s="158"/>
      <c r="T819" s="365"/>
      <c r="U819" s="365"/>
      <c r="V819" s="365"/>
    </row>
    <row r="820" spans="1:22" ht="25.5">
      <c r="A820" s="153">
        <v>46308</v>
      </c>
      <c r="B820" s="200" t="s">
        <v>549</v>
      </c>
      <c r="C820" s="200" t="s">
        <v>738</v>
      </c>
      <c r="D820" s="200" t="s">
        <v>232</v>
      </c>
      <c r="E820" s="200" t="s">
        <v>707</v>
      </c>
      <c r="F820" s="200" t="s">
        <v>94</v>
      </c>
      <c r="G820" s="200" t="s">
        <v>708</v>
      </c>
      <c r="H820" s="200" t="s">
        <v>709</v>
      </c>
      <c r="I820" s="200" t="s">
        <v>710</v>
      </c>
      <c r="J820" s="158" t="s">
        <v>34</v>
      </c>
      <c r="K820" s="158" t="s">
        <v>3150</v>
      </c>
      <c r="L820" s="363" t="s">
        <v>3102</v>
      </c>
      <c r="M820" s="364">
        <v>0.21666666666666667</v>
      </c>
      <c r="N820" s="364">
        <v>0.3</v>
      </c>
      <c r="O820" s="158" t="s">
        <v>2326</v>
      </c>
      <c r="P820" s="158"/>
      <c r="Q820" s="158"/>
      <c r="R820" s="158"/>
      <c r="S820" s="158"/>
      <c r="T820" s="365"/>
      <c r="U820" s="365"/>
      <c r="V820" s="365"/>
    </row>
    <row r="821" spans="1:22" ht="25.5">
      <c r="A821" s="153">
        <v>46308</v>
      </c>
      <c r="B821" s="200" t="s">
        <v>549</v>
      </c>
      <c r="C821" s="200" t="s">
        <v>738</v>
      </c>
      <c r="D821" s="200" t="s">
        <v>232</v>
      </c>
      <c r="E821" s="200" t="s">
        <v>707</v>
      </c>
      <c r="F821" s="200" t="s">
        <v>94</v>
      </c>
      <c r="G821" s="200" t="s">
        <v>708</v>
      </c>
      <c r="H821" s="200" t="s">
        <v>740</v>
      </c>
      <c r="I821" s="200" t="s">
        <v>710</v>
      </c>
      <c r="J821" s="158" t="s">
        <v>34</v>
      </c>
      <c r="K821" s="158" t="s">
        <v>3151</v>
      </c>
      <c r="L821" s="363" t="s">
        <v>3152</v>
      </c>
      <c r="M821" s="364">
        <v>0.30069444444444443</v>
      </c>
      <c r="N821" s="364">
        <v>0.34236111111111112</v>
      </c>
      <c r="O821" s="158" t="s">
        <v>2326</v>
      </c>
      <c r="P821" s="158"/>
      <c r="Q821" s="158"/>
      <c r="R821" s="158"/>
      <c r="S821" s="158"/>
      <c r="T821" s="365"/>
      <c r="U821" s="365"/>
      <c r="V821" s="365"/>
    </row>
    <row r="822" spans="1:22" ht="25.5">
      <c r="A822" s="153">
        <v>46308</v>
      </c>
      <c r="B822" s="200" t="s">
        <v>563</v>
      </c>
      <c r="C822" s="200" t="s">
        <v>53</v>
      </c>
      <c r="D822" s="200" t="s">
        <v>564</v>
      </c>
      <c r="E822" s="200" t="s">
        <v>707</v>
      </c>
      <c r="F822" s="200" t="s">
        <v>94</v>
      </c>
      <c r="G822" s="200" t="s">
        <v>708</v>
      </c>
      <c r="H822" s="200" t="s">
        <v>740</v>
      </c>
      <c r="I822" s="200" t="s">
        <v>710</v>
      </c>
      <c r="J822" s="158" t="s">
        <v>34</v>
      </c>
      <c r="K822" s="158" t="s">
        <v>3153</v>
      </c>
      <c r="L822" s="363" t="s">
        <v>3154</v>
      </c>
      <c r="M822" s="364">
        <v>0.75</v>
      </c>
      <c r="N822" s="364">
        <v>0.77083333333333337</v>
      </c>
      <c r="O822" s="158" t="s">
        <v>2346</v>
      </c>
      <c r="P822" s="158" t="s">
        <v>2347</v>
      </c>
      <c r="Q822" s="158"/>
      <c r="R822" s="158"/>
      <c r="S822" s="158"/>
      <c r="T822" s="365"/>
      <c r="U822" s="365"/>
      <c r="V822" s="365"/>
    </row>
    <row r="823" spans="1:22" ht="25.5">
      <c r="A823" s="153">
        <v>46308</v>
      </c>
      <c r="B823" s="200" t="s">
        <v>563</v>
      </c>
      <c r="C823" s="200" t="s">
        <v>53</v>
      </c>
      <c r="D823" s="200" t="s">
        <v>564</v>
      </c>
      <c r="E823" s="200" t="s">
        <v>707</v>
      </c>
      <c r="F823" s="200" t="s">
        <v>94</v>
      </c>
      <c r="G823" s="200" t="s">
        <v>708</v>
      </c>
      <c r="H823" s="200" t="s">
        <v>740</v>
      </c>
      <c r="I823" s="200" t="s">
        <v>710</v>
      </c>
      <c r="J823" s="158" t="s">
        <v>34</v>
      </c>
      <c r="K823" s="158" t="s">
        <v>3155</v>
      </c>
      <c r="L823" s="363" t="s">
        <v>3156</v>
      </c>
      <c r="M823" s="364">
        <v>0.79166666666666663</v>
      </c>
      <c r="N823" s="364">
        <v>0.8125</v>
      </c>
      <c r="O823" s="158" t="s">
        <v>2346</v>
      </c>
      <c r="P823" s="158" t="s">
        <v>2347</v>
      </c>
      <c r="Q823" s="158"/>
      <c r="R823" s="158"/>
      <c r="S823" s="158"/>
      <c r="T823" s="365"/>
      <c r="U823" s="365"/>
      <c r="V823" s="365"/>
    </row>
    <row r="824" spans="1:22" ht="51">
      <c r="A824" s="153">
        <v>46308</v>
      </c>
      <c r="B824" s="200" t="s">
        <v>563</v>
      </c>
      <c r="C824" s="200" t="s">
        <v>53</v>
      </c>
      <c r="D824" s="200" t="s">
        <v>564</v>
      </c>
      <c r="E824" s="200" t="s">
        <v>707</v>
      </c>
      <c r="F824" s="200" t="s">
        <v>94</v>
      </c>
      <c r="G824" s="200" t="s">
        <v>708</v>
      </c>
      <c r="H824" s="200" t="s">
        <v>740</v>
      </c>
      <c r="I824" s="200" t="s">
        <v>710</v>
      </c>
      <c r="J824" s="158" t="s">
        <v>34</v>
      </c>
      <c r="K824" s="158" t="s">
        <v>3157</v>
      </c>
      <c r="L824" s="363" t="s">
        <v>3158</v>
      </c>
      <c r="M824" s="364">
        <v>0.83333333333333337</v>
      </c>
      <c r="N824" s="364">
        <v>0.875</v>
      </c>
      <c r="O824" s="158" t="s">
        <v>2346</v>
      </c>
      <c r="P824" s="158" t="s">
        <v>2347</v>
      </c>
      <c r="Q824" s="158"/>
      <c r="R824" s="158"/>
      <c r="S824" s="158"/>
      <c r="T824" s="365"/>
      <c r="U824" s="365"/>
      <c r="V824" s="365"/>
    </row>
    <row r="825" spans="1:22" ht="25.5">
      <c r="A825" s="153">
        <v>46308</v>
      </c>
      <c r="B825" s="200" t="s">
        <v>563</v>
      </c>
      <c r="C825" s="200" t="s">
        <v>53</v>
      </c>
      <c r="D825" s="200" t="s">
        <v>564</v>
      </c>
      <c r="E825" s="200" t="s">
        <v>707</v>
      </c>
      <c r="F825" s="200" t="s">
        <v>94</v>
      </c>
      <c r="G825" s="200" t="s">
        <v>708</v>
      </c>
      <c r="H825" s="200" t="s">
        <v>740</v>
      </c>
      <c r="I825" s="200" t="s">
        <v>710</v>
      </c>
      <c r="J825" s="158" t="s">
        <v>34</v>
      </c>
      <c r="K825" s="158" t="s">
        <v>3159</v>
      </c>
      <c r="L825" s="363" t="s">
        <v>3160</v>
      </c>
      <c r="M825" s="364">
        <v>0.91666666666666663</v>
      </c>
      <c r="N825" s="364">
        <v>0.95833333333333337</v>
      </c>
      <c r="O825" s="158" t="s">
        <v>2346</v>
      </c>
      <c r="P825" s="158" t="s">
        <v>2347</v>
      </c>
      <c r="Q825" s="158"/>
      <c r="R825" s="158"/>
      <c r="S825" s="158"/>
      <c r="T825" s="365"/>
      <c r="U825" s="365"/>
      <c r="V825" s="365"/>
    </row>
    <row r="826" spans="1:22" ht="25.5">
      <c r="A826" s="153">
        <v>46308</v>
      </c>
      <c r="B826" s="200" t="s">
        <v>563</v>
      </c>
      <c r="C826" s="200" t="s">
        <v>53</v>
      </c>
      <c r="D826" s="200" t="s">
        <v>564</v>
      </c>
      <c r="E826" s="200" t="s">
        <v>707</v>
      </c>
      <c r="F826" s="200" t="s">
        <v>94</v>
      </c>
      <c r="G826" s="200" t="s">
        <v>708</v>
      </c>
      <c r="H826" s="200" t="s">
        <v>740</v>
      </c>
      <c r="I826" s="200" t="s">
        <v>710</v>
      </c>
      <c r="J826" s="158" t="s">
        <v>34</v>
      </c>
      <c r="K826" s="158" t="s">
        <v>3161</v>
      </c>
      <c r="L826" s="363" t="s">
        <v>3162</v>
      </c>
      <c r="M826" s="364">
        <v>0.95833333333333337</v>
      </c>
      <c r="N826" s="364">
        <v>0</v>
      </c>
      <c r="O826" s="158" t="s">
        <v>2346</v>
      </c>
      <c r="P826" s="158" t="s">
        <v>2347</v>
      </c>
      <c r="Q826" s="158"/>
      <c r="R826" s="158"/>
      <c r="S826" s="158"/>
      <c r="T826" s="365"/>
      <c r="U826" s="365"/>
      <c r="V826" s="365"/>
    </row>
    <row r="827" spans="1:22" ht="25.5">
      <c r="A827" s="153">
        <v>46308</v>
      </c>
      <c r="B827" s="200" t="s">
        <v>563</v>
      </c>
      <c r="C827" s="200" t="s">
        <v>53</v>
      </c>
      <c r="D827" s="200" t="s">
        <v>564</v>
      </c>
      <c r="E827" s="200" t="s">
        <v>707</v>
      </c>
      <c r="F827" s="200" t="s">
        <v>94</v>
      </c>
      <c r="G827" s="200" t="s">
        <v>708</v>
      </c>
      <c r="H827" s="200" t="s">
        <v>740</v>
      </c>
      <c r="I827" s="200" t="s">
        <v>710</v>
      </c>
      <c r="J827" s="158" t="s">
        <v>34</v>
      </c>
      <c r="K827" s="158" t="s">
        <v>3163</v>
      </c>
      <c r="L827" s="363" t="s">
        <v>3164</v>
      </c>
      <c r="M827" s="364">
        <v>0</v>
      </c>
      <c r="N827" s="364">
        <v>4.1666666666666664E-2</v>
      </c>
      <c r="O827" s="158" t="s">
        <v>2346</v>
      </c>
      <c r="P827" s="158" t="s">
        <v>2347</v>
      </c>
      <c r="Q827" s="158"/>
      <c r="R827" s="158"/>
      <c r="S827" s="158"/>
      <c r="T827" s="365"/>
      <c r="U827" s="365"/>
      <c r="V827" s="365"/>
    </row>
    <row r="828" spans="1:22" ht="38.25">
      <c r="A828" s="153">
        <v>46308</v>
      </c>
      <c r="B828" s="200" t="s">
        <v>563</v>
      </c>
      <c r="C828" s="200" t="s">
        <v>53</v>
      </c>
      <c r="D828" s="200" t="s">
        <v>564</v>
      </c>
      <c r="E828" s="200" t="s">
        <v>707</v>
      </c>
      <c r="F828" s="200" t="s">
        <v>94</v>
      </c>
      <c r="G828" s="200" t="s">
        <v>708</v>
      </c>
      <c r="H828" s="200" t="s">
        <v>740</v>
      </c>
      <c r="I828" s="200" t="s">
        <v>710</v>
      </c>
      <c r="J828" s="158" t="s">
        <v>34</v>
      </c>
      <c r="K828" s="158" t="s">
        <v>3165</v>
      </c>
      <c r="L828" s="363" t="s">
        <v>3166</v>
      </c>
      <c r="M828" s="364">
        <v>4.1666666666666664E-2</v>
      </c>
      <c r="N828" s="364">
        <v>8.3333333333333329E-2</v>
      </c>
      <c r="O828" s="158" t="s">
        <v>2347</v>
      </c>
      <c r="P828" s="158" t="s">
        <v>2346</v>
      </c>
      <c r="Q828" s="158"/>
      <c r="R828" s="158"/>
      <c r="S828" s="158"/>
      <c r="T828" s="365"/>
      <c r="U828" s="365"/>
      <c r="V828" s="365"/>
    </row>
    <row r="829" spans="1:22" ht="25.5">
      <c r="A829" s="153">
        <v>46308</v>
      </c>
      <c r="B829" s="200" t="s">
        <v>563</v>
      </c>
      <c r="C829" s="200" t="s">
        <v>53</v>
      </c>
      <c r="D829" s="200" t="s">
        <v>564</v>
      </c>
      <c r="E829" s="200" t="s">
        <v>707</v>
      </c>
      <c r="F829" s="200" t="s">
        <v>94</v>
      </c>
      <c r="G829" s="200" t="s">
        <v>708</v>
      </c>
      <c r="H829" s="200" t="s">
        <v>740</v>
      </c>
      <c r="I829" s="200" t="s">
        <v>710</v>
      </c>
      <c r="J829" s="158" t="s">
        <v>34</v>
      </c>
      <c r="K829" s="158" t="s">
        <v>3167</v>
      </c>
      <c r="L829" s="363" t="s">
        <v>3168</v>
      </c>
      <c r="M829" s="364">
        <v>8.3333333333333329E-2</v>
      </c>
      <c r="N829" s="364">
        <v>0.125</v>
      </c>
      <c r="O829" s="158" t="s">
        <v>2347</v>
      </c>
      <c r="P829" s="158" t="s">
        <v>2346</v>
      </c>
      <c r="Q829" s="158"/>
      <c r="R829" s="158"/>
      <c r="S829" s="158"/>
      <c r="T829" s="365"/>
      <c r="U829" s="365"/>
      <c r="V829" s="365"/>
    </row>
    <row r="830" spans="1:22" ht="25.5">
      <c r="A830" s="153">
        <v>46308</v>
      </c>
      <c r="B830" s="200" t="s">
        <v>563</v>
      </c>
      <c r="C830" s="200" t="s">
        <v>53</v>
      </c>
      <c r="D830" s="200" t="s">
        <v>564</v>
      </c>
      <c r="E830" s="200" t="s">
        <v>707</v>
      </c>
      <c r="F830" s="200" t="s">
        <v>94</v>
      </c>
      <c r="G830" s="200" t="s">
        <v>708</v>
      </c>
      <c r="H830" s="200" t="s">
        <v>740</v>
      </c>
      <c r="I830" s="200" t="s">
        <v>710</v>
      </c>
      <c r="J830" s="158" t="s">
        <v>34</v>
      </c>
      <c r="K830" s="158" t="s">
        <v>3169</v>
      </c>
      <c r="L830" s="363" t="s">
        <v>3170</v>
      </c>
      <c r="M830" s="364">
        <v>0.125</v>
      </c>
      <c r="N830" s="364">
        <v>0.16666666666666666</v>
      </c>
      <c r="O830" s="158" t="s">
        <v>2347</v>
      </c>
      <c r="P830" s="158" t="s">
        <v>2346</v>
      </c>
      <c r="Q830" s="158"/>
      <c r="R830" s="158"/>
      <c r="S830" s="158"/>
      <c r="T830" s="365"/>
      <c r="U830" s="365"/>
      <c r="V830" s="365"/>
    </row>
    <row r="831" spans="1:22" ht="25.5">
      <c r="A831" s="153">
        <v>46308</v>
      </c>
      <c r="B831" s="200" t="s">
        <v>563</v>
      </c>
      <c r="C831" s="200" t="s">
        <v>53</v>
      </c>
      <c r="D831" s="200" t="s">
        <v>564</v>
      </c>
      <c r="E831" s="200" t="s">
        <v>707</v>
      </c>
      <c r="F831" s="200" t="s">
        <v>94</v>
      </c>
      <c r="G831" s="200" t="s">
        <v>708</v>
      </c>
      <c r="H831" s="200" t="s">
        <v>740</v>
      </c>
      <c r="I831" s="200" t="s">
        <v>710</v>
      </c>
      <c r="J831" s="158" t="s">
        <v>34</v>
      </c>
      <c r="K831" s="158" t="s">
        <v>3171</v>
      </c>
      <c r="L831" s="363" t="s">
        <v>3172</v>
      </c>
      <c r="M831" s="364">
        <v>0.16666666666666666</v>
      </c>
      <c r="N831" s="364">
        <v>0.20833333333333334</v>
      </c>
      <c r="O831" s="158" t="s">
        <v>2347</v>
      </c>
      <c r="P831" s="158" t="s">
        <v>2346</v>
      </c>
      <c r="Q831" s="158"/>
      <c r="R831" s="158"/>
      <c r="S831" s="158"/>
      <c r="T831" s="365"/>
      <c r="U831" s="365"/>
      <c r="V831" s="365"/>
    </row>
    <row r="832" spans="1:22" ht="38.25">
      <c r="A832" s="153">
        <v>46308</v>
      </c>
      <c r="B832" s="200" t="s">
        <v>563</v>
      </c>
      <c r="C832" s="200" t="s">
        <v>53</v>
      </c>
      <c r="D832" s="200" t="s">
        <v>564</v>
      </c>
      <c r="E832" s="200" t="s">
        <v>707</v>
      </c>
      <c r="F832" s="200" t="s">
        <v>94</v>
      </c>
      <c r="G832" s="200" t="s">
        <v>708</v>
      </c>
      <c r="H832" s="200" t="s">
        <v>740</v>
      </c>
      <c r="I832" s="200" t="s">
        <v>710</v>
      </c>
      <c r="J832" s="158" t="s">
        <v>34</v>
      </c>
      <c r="K832" s="158" t="s">
        <v>3173</v>
      </c>
      <c r="L832" s="363" t="s">
        <v>3174</v>
      </c>
      <c r="M832" s="364">
        <v>0.20833333333333334</v>
      </c>
      <c r="N832" s="364">
        <v>0.25</v>
      </c>
      <c r="O832" s="158" t="s">
        <v>2347</v>
      </c>
      <c r="P832" s="158" t="s">
        <v>2346</v>
      </c>
      <c r="Q832" s="158"/>
      <c r="R832" s="158"/>
      <c r="S832" s="158"/>
      <c r="T832" s="365"/>
      <c r="U832" s="365"/>
      <c r="V832" s="365"/>
    </row>
    <row r="833" spans="1:22" ht="25.5">
      <c r="A833" s="153">
        <v>46308</v>
      </c>
      <c r="B833" s="200" t="s">
        <v>549</v>
      </c>
      <c r="C833" s="200" t="s">
        <v>738</v>
      </c>
      <c r="D833" s="200" t="s">
        <v>470</v>
      </c>
      <c r="E833" s="200" t="s">
        <v>815</v>
      </c>
      <c r="F833" s="200" t="s">
        <v>94</v>
      </c>
      <c r="G833" s="200" t="s">
        <v>708</v>
      </c>
      <c r="H833" s="200" t="s">
        <v>740</v>
      </c>
      <c r="I833" s="200" t="s">
        <v>710</v>
      </c>
      <c r="J833" s="158" t="s">
        <v>34</v>
      </c>
      <c r="K833" s="158" t="s">
        <v>3175</v>
      </c>
      <c r="L833" s="363" t="s">
        <v>3176</v>
      </c>
      <c r="M833" s="364">
        <v>0.79166666666666663</v>
      </c>
      <c r="N833" s="364">
        <v>0.8125</v>
      </c>
      <c r="O833" s="158" t="s">
        <v>2271</v>
      </c>
      <c r="P833" s="158"/>
      <c r="Q833" s="158"/>
      <c r="R833" s="158"/>
      <c r="S833" s="158"/>
      <c r="T833" s="365"/>
      <c r="U833" s="365"/>
      <c r="V833" s="365"/>
    </row>
    <row r="834" spans="1:22" ht="38.25">
      <c r="A834" s="153">
        <v>46308</v>
      </c>
      <c r="B834" s="200" t="s">
        <v>547</v>
      </c>
      <c r="C834" s="200" t="s">
        <v>746</v>
      </c>
      <c r="D834" s="200" t="s">
        <v>394</v>
      </c>
      <c r="E834" s="200" t="s">
        <v>707</v>
      </c>
      <c r="F834" s="200" t="s">
        <v>94</v>
      </c>
      <c r="G834" s="200" t="s">
        <v>708</v>
      </c>
      <c r="H834" s="200" t="s">
        <v>740</v>
      </c>
      <c r="I834" s="200" t="s">
        <v>710</v>
      </c>
      <c r="J834" s="158" t="s">
        <v>34</v>
      </c>
      <c r="K834" s="158" t="s">
        <v>3177</v>
      </c>
      <c r="L834" s="363" t="s">
        <v>3178</v>
      </c>
      <c r="M834" s="364">
        <v>0.83333333333333337</v>
      </c>
      <c r="N834" s="364">
        <v>0.85416666666666663</v>
      </c>
      <c r="O834" s="158" t="s">
        <v>2271</v>
      </c>
      <c r="P834" s="158"/>
      <c r="Q834" s="158"/>
      <c r="R834" s="158"/>
      <c r="S834" s="158"/>
      <c r="T834" s="365"/>
      <c r="U834" s="365"/>
      <c r="V834" s="365"/>
    </row>
    <row r="835" spans="1:22" ht="38.25">
      <c r="A835" s="153">
        <v>46308</v>
      </c>
      <c r="B835" s="200" t="s">
        <v>547</v>
      </c>
      <c r="C835" s="200" t="s">
        <v>746</v>
      </c>
      <c r="D835" s="200" t="s">
        <v>394</v>
      </c>
      <c r="E835" s="200" t="s">
        <v>707</v>
      </c>
      <c r="F835" s="200" t="s">
        <v>94</v>
      </c>
      <c r="G835" s="200" t="s">
        <v>708</v>
      </c>
      <c r="H835" s="200" t="s">
        <v>740</v>
      </c>
      <c r="I835" s="200" t="s">
        <v>710</v>
      </c>
      <c r="J835" s="158" t="s">
        <v>34</v>
      </c>
      <c r="K835" s="158" t="s">
        <v>3179</v>
      </c>
      <c r="L835" s="363" t="s">
        <v>3180</v>
      </c>
      <c r="M835" s="364">
        <v>0.84027777777777779</v>
      </c>
      <c r="N835" s="364">
        <v>0.86111111111111116</v>
      </c>
      <c r="O835" s="158" t="s">
        <v>2271</v>
      </c>
      <c r="P835" s="158"/>
      <c r="Q835" s="158"/>
      <c r="R835" s="158"/>
      <c r="S835" s="158"/>
      <c r="T835" s="365"/>
      <c r="U835" s="365"/>
      <c r="V835" s="365"/>
    </row>
    <row r="836" spans="1:22" ht="25.5">
      <c r="A836" s="153">
        <v>46308</v>
      </c>
      <c r="B836" s="200" t="s">
        <v>547</v>
      </c>
      <c r="C836" s="200" t="s">
        <v>746</v>
      </c>
      <c r="D836" s="200" t="s">
        <v>394</v>
      </c>
      <c r="E836" s="200" t="s">
        <v>707</v>
      </c>
      <c r="F836" s="200" t="s">
        <v>94</v>
      </c>
      <c r="G836" s="200" t="s">
        <v>708</v>
      </c>
      <c r="H836" s="200" t="s">
        <v>740</v>
      </c>
      <c r="I836" s="200" t="s">
        <v>710</v>
      </c>
      <c r="J836" s="158" t="s">
        <v>34</v>
      </c>
      <c r="K836" s="158" t="s">
        <v>3181</v>
      </c>
      <c r="L836" s="363" t="s">
        <v>3182</v>
      </c>
      <c r="M836" s="364">
        <v>0.86805555555555558</v>
      </c>
      <c r="N836" s="364">
        <v>0.90972222222222221</v>
      </c>
      <c r="O836" s="158" t="s">
        <v>2271</v>
      </c>
      <c r="P836" s="158"/>
      <c r="Q836" s="158"/>
      <c r="R836" s="158"/>
      <c r="S836" s="158"/>
      <c r="T836" s="365"/>
      <c r="U836" s="365"/>
      <c r="V836" s="365"/>
    </row>
    <row r="837" spans="1:22" ht="25.5">
      <c r="A837" s="153">
        <v>46308</v>
      </c>
      <c r="B837" s="200" t="s">
        <v>547</v>
      </c>
      <c r="C837" s="200" t="s">
        <v>746</v>
      </c>
      <c r="D837" s="200" t="s">
        <v>394</v>
      </c>
      <c r="E837" s="200" t="s">
        <v>707</v>
      </c>
      <c r="F837" s="200" t="s">
        <v>94</v>
      </c>
      <c r="G837" s="200" t="s">
        <v>708</v>
      </c>
      <c r="H837" s="200" t="s">
        <v>709</v>
      </c>
      <c r="I837" s="200" t="s">
        <v>710</v>
      </c>
      <c r="J837" s="158" t="s">
        <v>34</v>
      </c>
      <c r="K837" s="158" t="s">
        <v>3183</v>
      </c>
      <c r="L837" s="363" t="s">
        <v>3102</v>
      </c>
      <c r="M837" s="364">
        <v>0.91319444444444442</v>
      </c>
      <c r="N837" s="364">
        <v>0.99652777777777779</v>
      </c>
      <c r="O837" s="158" t="s">
        <v>2271</v>
      </c>
      <c r="P837" s="158"/>
      <c r="Q837" s="158"/>
      <c r="R837" s="158"/>
      <c r="S837" s="158"/>
      <c r="T837" s="365"/>
      <c r="U837" s="365"/>
      <c r="V837" s="365"/>
    </row>
    <row r="838" spans="1:22" ht="25.5">
      <c r="A838" s="153">
        <v>46308</v>
      </c>
      <c r="B838" s="200" t="s">
        <v>563</v>
      </c>
      <c r="C838" s="200" t="s">
        <v>53</v>
      </c>
      <c r="D838" s="200" t="s">
        <v>306</v>
      </c>
      <c r="E838" s="200" t="s">
        <v>707</v>
      </c>
      <c r="F838" s="200" t="s">
        <v>94</v>
      </c>
      <c r="G838" s="200" t="s">
        <v>708</v>
      </c>
      <c r="H838" s="200" t="s">
        <v>740</v>
      </c>
      <c r="I838" s="200" t="s">
        <v>710</v>
      </c>
      <c r="J838" s="158" t="s">
        <v>34</v>
      </c>
      <c r="K838" s="158" t="s">
        <v>3184</v>
      </c>
      <c r="L838" s="363" t="s">
        <v>3185</v>
      </c>
      <c r="M838" s="364">
        <v>0</v>
      </c>
      <c r="N838" s="364">
        <v>3.125E-2</v>
      </c>
      <c r="O838" s="158" t="s">
        <v>2271</v>
      </c>
      <c r="P838" s="158"/>
      <c r="Q838" s="158"/>
      <c r="R838" s="158"/>
      <c r="S838" s="158"/>
      <c r="T838" s="365"/>
      <c r="U838" s="365"/>
      <c r="V838" s="365"/>
    </row>
    <row r="839" spans="1:22" ht="25.5">
      <c r="A839" s="153">
        <v>46308</v>
      </c>
      <c r="B839" s="200" t="s">
        <v>563</v>
      </c>
      <c r="C839" s="200" t="s">
        <v>53</v>
      </c>
      <c r="D839" s="200" t="s">
        <v>306</v>
      </c>
      <c r="E839" s="200" t="s">
        <v>707</v>
      </c>
      <c r="F839" s="200" t="s">
        <v>94</v>
      </c>
      <c r="G839" s="200" t="s">
        <v>708</v>
      </c>
      <c r="H839" s="200" t="s">
        <v>740</v>
      </c>
      <c r="I839" s="200" t="s">
        <v>710</v>
      </c>
      <c r="J839" s="158" t="s">
        <v>34</v>
      </c>
      <c r="K839" s="158" t="s">
        <v>3186</v>
      </c>
      <c r="L839" s="363" t="s">
        <v>3187</v>
      </c>
      <c r="M839" s="364">
        <v>3.4722222222222224E-2</v>
      </c>
      <c r="N839" s="364">
        <v>1.3888888888888888E-2</v>
      </c>
      <c r="O839" s="158" t="s">
        <v>2271</v>
      </c>
      <c r="P839" s="158"/>
      <c r="Q839" s="158"/>
      <c r="R839" s="158"/>
      <c r="S839" s="158"/>
      <c r="T839" s="365"/>
      <c r="U839" s="365"/>
      <c r="V839" s="365"/>
    </row>
    <row r="840" spans="1:22" ht="38.25">
      <c r="A840" s="153">
        <v>46308</v>
      </c>
      <c r="B840" s="200" t="s">
        <v>563</v>
      </c>
      <c r="C840" s="200" t="s">
        <v>53</v>
      </c>
      <c r="D840" s="200" t="s">
        <v>306</v>
      </c>
      <c r="E840" s="200" t="s">
        <v>707</v>
      </c>
      <c r="F840" s="200" t="s">
        <v>94</v>
      </c>
      <c r="G840" s="200" t="s">
        <v>708</v>
      </c>
      <c r="H840" s="200" t="s">
        <v>740</v>
      </c>
      <c r="I840" s="200" t="s">
        <v>710</v>
      </c>
      <c r="J840" s="158" t="s">
        <v>34</v>
      </c>
      <c r="K840" s="158" t="s">
        <v>3188</v>
      </c>
      <c r="L840" s="363" t="s">
        <v>3189</v>
      </c>
      <c r="M840" s="364">
        <v>1.7361111111111112E-2</v>
      </c>
      <c r="N840" s="364">
        <v>5.9027777777777776E-2</v>
      </c>
      <c r="O840" s="158" t="s">
        <v>2271</v>
      </c>
      <c r="P840" s="158"/>
      <c r="Q840" s="158"/>
      <c r="R840" s="158"/>
      <c r="S840" s="158"/>
      <c r="T840" s="365"/>
      <c r="U840" s="365"/>
      <c r="V840" s="365"/>
    </row>
    <row r="841" spans="1:22" ht="25.5">
      <c r="A841" s="153">
        <v>46308</v>
      </c>
      <c r="B841" s="200" t="s">
        <v>563</v>
      </c>
      <c r="C841" s="200" t="s">
        <v>53</v>
      </c>
      <c r="D841" s="200" t="s">
        <v>306</v>
      </c>
      <c r="E841" s="200" t="s">
        <v>707</v>
      </c>
      <c r="F841" s="200" t="s">
        <v>94</v>
      </c>
      <c r="G841" s="200" t="s">
        <v>708</v>
      </c>
      <c r="H841" s="200" t="s">
        <v>709</v>
      </c>
      <c r="I841" s="200" t="s">
        <v>710</v>
      </c>
      <c r="J841" s="158" t="s">
        <v>34</v>
      </c>
      <c r="K841" s="158" t="s">
        <v>3190</v>
      </c>
      <c r="L841" s="363" t="s">
        <v>3102</v>
      </c>
      <c r="M841" s="364">
        <v>6.25E-2</v>
      </c>
      <c r="N841" s="364">
        <v>0.14583333333333334</v>
      </c>
      <c r="O841" s="158" t="s">
        <v>2271</v>
      </c>
      <c r="P841" s="158"/>
      <c r="Q841" s="158"/>
      <c r="R841" s="158"/>
      <c r="S841" s="158"/>
      <c r="T841" s="365"/>
      <c r="U841" s="365"/>
      <c r="V841" s="365"/>
    </row>
    <row r="842" spans="1:22" ht="25.5">
      <c r="A842" s="153">
        <v>46308</v>
      </c>
      <c r="B842" s="200" t="s">
        <v>563</v>
      </c>
      <c r="C842" s="200" t="s">
        <v>53</v>
      </c>
      <c r="D842" s="200" t="s">
        <v>564</v>
      </c>
      <c r="E842" s="200" t="s">
        <v>707</v>
      </c>
      <c r="F842" s="200" t="s">
        <v>94</v>
      </c>
      <c r="G842" s="200" t="s">
        <v>708</v>
      </c>
      <c r="H842" s="200" t="s">
        <v>740</v>
      </c>
      <c r="I842" s="200" t="s">
        <v>710</v>
      </c>
      <c r="J842" s="158" t="s">
        <v>34</v>
      </c>
      <c r="K842" s="158" t="s">
        <v>3191</v>
      </c>
      <c r="L842" s="363" t="s">
        <v>3192</v>
      </c>
      <c r="M842" s="364">
        <v>0.15625</v>
      </c>
      <c r="N842" s="364">
        <v>0.17708333333333334</v>
      </c>
      <c r="O842" s="158" t="s">
        <v>2271</v>
      </c>
      <c r="P842" s="158"/>
      <c r="Q842" s="158"/>
      <c r="R842" s="158"/>
      <c r="S842" s="158"/>
      <c r="T842" s="365"/>
      <c r="U842" s="365"/>
      <c r="V842" s="365"/>
    </row>
    <row r="843" spans="1:22" ht="51">
      <c r="A843" s="153">
        <v>46308</v>
      </c>
      <c r="B843" s="200" t="s">
        <v>563</v>
      </c>
      <c r="C843" s="200" t="s">
        <v>53</v>
      </c>
      <c r="D843" s="200" t="s">
        <v>564</v>
      </c>
      <c r="E843" s="200" t="s">
        <v>707</v>
      </c>
      <c r="F843" s="200" t="s">
        <v>94</v>
      </c>
      <c r="G843" s="200" t="s">
        <v>708</v>
      </c>
      <c r="H843" s="200" t="s">
        <v>740</v>
      </c>
      <c r="I843" s="200" t="s">
        <v>710</v>
      </c>
      <c r="J843" s="158" t="s">
        <v>34</v>
      </c>
      <c r="K843" s="158" t="s">
        <v>3193</v>
      </c>
      <c r="L843" s="363" t="s">
        <v>3194</v>
      </c>
      <c r="M843" s="364">
        <v>0.18055555555555555</v>
      </c>
      <c r="N843" s="364">
        <v>0.2013888888888889</v>
      </c>
      <c r="O843" s="158" t="s">
        <v>2271</v>
      </c>
      <c r="P843" s="158"/>
      <c r="Q843" s="158"/>
      <c r="R843" s="158"/>
      <c r="S843" s="158"/>
      <c r="T843" s="365"/>
      <c r="U843" s="365"/>
      <c r="V843" s="365"/>
    </row>
    <row r="844" spans="1:22" ht="25.5">
      <c r="A844" s="153">
        <v>46308</v>
      </c>
      <c r="B844" s="200" t="s">
        <v>563</v>
      </c>
      <c r="C844" s="200" t="s">
        <v>53</v>
      </c>
      <c r="D844" s="200" t="s">
        <v>564</v>
      </c>
      <c r="E844" s="200" t="s">
        <v>707</v>
      </c>
      <c r="F844" s="200" t="s">
        <v>94</v>
      </c>
      <c r="G844" s="200" t="s">
        <v>708</v>
      </c>
      <c r="H844" s="200" t="s">
        <v>740</v>
      </c>
      <c r="I844" s="200" t="s">
        <v>710</v>
      </c>
      <c r="J844" s="158" t="s">
        <v>34</v>
      </c>
      <c r="K844" s="158" t="s">
        <v>3195</v>
      </c>
      <c r="L844" s="363" t="s">
        <v>3196</v>
      </c>
      <c r="M844" s="364">
        <v>0.2048611111111111</v>
      </c>
      <c r="N844" s="364">
        <v>0.22569444444444445</v>
      </c>
      <c r="O844" s="158" t="s">
        <v>2271</v>
      </c>
      <c r="P844" s="158"/>
      <c r="Q844" s="158"/>
      <c r="R844" s="158"/>
      <c r="S844" s="158"/>
      <c r="T844" s="365"/>
      <c r="U844" s="365"/>
      <c r="V844" s="365"/>
    </row>
    <row r="845" spans="1:22" ht="25.5">
      <c r="A845" s="153">
        <v>46308</v>
      </c>
      <c r="B845" s="200" t="s">
        <v>563</v>
      </c>
      <c r="C845" s="200" t="s">
        <v>53</v>
      </c>
      <c r="D845" s="200" t="s">
        <v>564</v>
      </c>
      <c r="E845" s="200" t="s">
        <v>707</v>
      </c>
      <c r="F845" s="200" t="s">
        <v>94</v>
      </c>
      <c r="G845" s="200" t="s">
        <v>708</v>
      </c>
      <c r="H845" s="200" t="s">
        <v>709</v>
      </c>
      <c r="I845" s="200" t="s">
        <v>710</v>
      </c>
      <c r="J845" s="158" t="s">
        <v>34</v>
      </c>
      <c r="K845" s="158" t="s">
        <v>3197</v>
      </c>
      <c r="L845" s="363" t="s">
        <v>3102</v>
      </c>
      <c r="M845" s="364">
        <v>0.22916666666666666</v>
      </c>
      <c r="N845" s="364">
        <v>0.29166666666666669</v>
      </c>
      <c r="O845" s="158" t="s">
        <v>2271</v>
      </c>
      <c r="P845" s="158"/>
      <c r="Q845" s="158"/>
      <c r="R845" s="158"/>
      <c r="S845" s="158"/>
      <c r="T845" s="365"/>
      <c r="U845" s="365"/>
      <c r="V845" s="365"/>
    </row>
    <row r="846" spans="1:22" ht="38.25">
      <c r="A846" s="153">
        <v>46308</v>
      </c>
      <c r="B846" s="200" t="s">
        <v>563</v>
      </c>
      <c r="C846" s="200" t="s">
        <v>53</v>
      </c>
      <c r="D846" s="200" t="s">
        <v>564</v>
      </c>
      <c r="E846" s="200" t="s">
        <v>707</v>
      </c>
      <c r="F846" s="200" t="s">
        <v>94</v>
      </c>
      <c r="G846" s="200" t="s">
        <v>708</v>
      </c>
      <c r="H846" s="200" t="s">
        <v>740</v>
      </c>
      <c r="I846" s="200" t="s">
        <v>710</v>
      </c>
      <c r="J846" s="158" t="s">
        <v>34</v>
      </c>
      <c r="K846" s="158" t="s">
        <v>3198</v>
      </c>
      <c r="L846" s="363" t="s">
        <v>3199</v>
      </c>
      <c r="M846" s="364">
        <v>0.2951388888888889</v>
      </c>
      <c r="N846" s="364">
        <v>0.33680555555555558</v>
      </c>
      <c r="O846" s="158" t="s">
        <v>2383</v>
      </c>
      <c r="P846" s="158" t="s">
        <v>2271</v>
      </c>
      <c r="Q846" s="158"/>
      <c r="R846" s="158"/>
      <c r="S846" s="158"/>
      <c r="T846" s="365"/>
      <c r="U846" s="365"/>
      <c r="V846" s="365"/>
    </row>
    <row r="847" spans="1:22" ht="38.25">
      <c r="A847" s="153">
        <v>46308</v>
      </c>
      <c r="B847" s="200" t="s">
        <v>547</v>
      </c>
      <c r="C847" s="200" t="s">
        <v>53</v>
      </c>
      <c r="D847" s="200" t="s">
        <v>223</v>
      </c>
      <c r="E847" s="200" t="s">
        <v>707</v>
      </c>
      <c r="F847" s="200" t="s">
        <v>94</v>
      </c>
      <c r="G847" s="200" t="s">
        <v>708</v>
      </c>
      <c r="H847" s="200" t="s">
        <v>740</v>
      </c>
      <c r="I847" s="200" t="s">
        <v>710</v>
      </c>
      <c r="J847" s="158" t="s">
        <v>34</v>
      </c>
      <c r="K847" s="158" t="s">
        <v>3200</v>
      </c>
      <c r="L847" s="363" t="s">
        <v>3201</v>
      </c>
      <c r="M847" s="364">
        <v>0.89583333333333337</v>
      </c>
      <c r="N847" s="364">
        <v>0.92361111111111116</v>
      </c>
      <c r="O847" s="158" t="s">
        <v>2383</v>
      </c>
      <c r="P847" s="158"/>
      <c r="Q847" s="158"/>
      <c r="R847" s="158"/>
      <c r="S847" s="158"/>
      <c r="T847" s="365"/>
      <c r="U847" s="365"/>
      <c r="V847" s="365"/>
    </row>
    <row r="848" spans="1:22" ht="25.5">
      <c r="A848" s="153">
        <v>46308</v>
      </c>
      <c r="B848" s="200" t="s">
        <v>547</v>
      </c>
      <c r="C848" s="200" t="s">
        <v>53</v>
      </c>
      <c r="D848" s="200" t="s">
        <v>223</v>
      </c>
      <c r="E848" s="200" t="s">
        <v>707</v>
      </c>
      <c r="F848" s="200" t="s">
        <v>94</v>
      </c>
      <c r="G848" s="200" t="s">
        <v>708</v>
      </c>
      <c r="H848" s="200" t="s">
        <v>709</v>
      </c>
      <c r="I848" s="200" t="s">
        <v>710</v>
      </c>
      <c r="J848" s="158" t="s">
        <v>34</v>
      </c>
      <c r="K848" s="158" t="s">
        <v>3202</v>
      </c>
      <c r="L848" s="363" t="s">
        <v>3102</v>
      </c>
      <c r="M848" s="364">
        <v>0.8125</v>
      </c>
      <c r="N848" s="364">
        <v>0.89583333333333337</v>
      </c>
      <c r="O848" s="158" t="s">
        <v>2383</v>
      </c>
      <c r="P848" s="158"/>
      <c r="Q848" s="158"/>
      <c r="R848" s="158"/>
      <c r="S848" s="158"/>
      <c r="T848" s="365"/>
      <c r="U848" s="365"/>
      <c r="V848" s="365"/>
    </row>
    <row r="849" spans="1:22" ht="25.5">
      <c r="A849" s="153">
        <v>46308</v>
      </c>
      <c r="B849" s="200" t="s">
        <v>547</v>
      </c>
      <c r="C849" s="200" t="s">
        <v>53</v>
      </c>
      <c r="D849" s="200" t="s">
        <v>227</v>
      </c>
      <c r="E849" s="200" t="s">
        <v>707</v>
      </c>
      <c r="F849" s="200" t="s">
        <v>94</v>
      </c>
      <c r="G849" s="200" t="s">
        <v>708</v>
      </c>
      <c r="H849" s="200" t="s">
        <v>740</v>
      </c>
      <c r="I849" s="200" t="s">
        <v>710</v>
      </c>
      <c r="J849" s="158" t="s">
        <v>34</v>
      </c>
      <c r="K849" s="158" t="s">
        <v>3203</v>
      </c>
      <c r="L849" s="363" t="s">
        <v>3204</v>
      </c>
      <c r="M849" s="364">
        <v>0.125</v>
      </c>
      <c r="N849" s="364">
        <v>0.16666666666666666</v>
      </c>
      <c r="O849" s="158" t="s">
        <v>2383</v>
      </c>
      <c r="P849" s="158"/>
      <c r="Q849" s="158"/>
      <c r="R849" s="158"/>
      <c r="S849" s="158"/>
      <c r="T849" s="365"/>
      <c r="U849" s="365"/>
      <c r="V849" s="365"/>
    </row>
    <row r="850" spans="1:22" ht="25.5">
      <c r="A850" s="153">
        <v>46308</v>
      </c>
      <c r="B850" s="200" t="s">
        <v>547</v>
      </c>
      <c r="C850" s="200" t="s">
        <v>53</v>
      </c>
      <c r="D850" s="200" t="s">
        <v>227</v>
      </c>
      <c r="E850" s="200" t="s">
        <v>707</v>
      </c>
      <c r="F850" s="200" t="s">
        <v>94</v>
      </c>
      <c r="G850" s="200" t="s">
        <v>708</v>
      </c>
      <c r="H850" s="200" t="s">
        <v>709</v>
      </c>
      <c r="I850" s="200" t="s">
        <v>710</v>
      </c>
      <c r="J850" s="158" t="s">
        <v>34</v>
      </c>
      <c r="K850" s="158" t="s">
        <v>3205</v>
      </c>
      <c r="L850" s="363" t="s">
        <v>3102</v>
      </c>
      <c r="M850" s="364">
        <v>6.25E-2</v>
      </c>
      <c r="N850" s="364">
        <v>0.14583333333333334</v>
      </c>
      <c r="O850" s="158" t="s">
        <v>2383</v>
      </c>
      <c r="P850" s="158"/>
      <c r="Q850" s="158"/>
      <c r="R850" s="158"/>
      <c r="S850" s="158"/>
      <c r="T850" s="365"/>
      <c r="U850" s="365"/>
      <c r="V850" s="365"/>
    </row>
    <row r="851" spans="1:22" ht="25.5">
      <c r="A851" s="153">
        <v>46308</v>
      </c>
      <c r="B851" s="200" t="s">
        <v>549</v>
      </c>
      <c r="C851" s="200" t="s">
        <v>619</v>
      </c>
      <c r="D851" s="200" t="s">
        <v>1789</v>
      </c>
      <c r="E851" s="200" t="s">
        <v>707</v>
      </c>
      <c r="F851" s="200" t="s">
        <v>375</v>
      </c>
      <c r="G851" s="200" t="s">
        <v>708</v>
      </c>
      <c r="H851" s="200" t="s">
        <v>709</v>
      </c>
      <c r="I851" s="200" t="s">
        <v>710</v>
      </c>
      <c r="J851" s="158" t="s">
        <v>34</v>
      </c>
      <c r="K851" s="158" t="s">
        <v>3206</v>
      </c>
      <c r="L851" s="363" t="s">
        <v>2410</v>
      </c>
      <c r="M851" s="364">
        <v>0.54166666666666663</v>
      </c>
      <c r="N851" s="364">
        <v>0.6</v>
      </c>
      <c r="O851" s="158" t="s">
        <v>2411</v>
      </c>
      <c r="P851" s="158"/>
      <c r="Q851" s="158"/>
      <c r="R851" s="158"/>
      <c r="S851" s="158"/>
      <c r="T851" s="365"/>
      <c r="U851" s="365"/>
      <c r="V851" s="365"/>
    </row>
    <row r="852" spans="1:22" ht="25.5">
      <c r="A852" s="153">
        <v>46308</v>
      </c>
      <c r="B852" s="200" t="s">
        <v>563</v>
      </c>
      <c r="C852" s="200" t="s">
        <v>53</v>
      </c>
      <c r="D852" s="200" t="s">
        <v>1323</v>
      </c>
      <c r="E852" s="200" t="s">
        <v>707</v>
      </c>
      <c r="F852" s="200" t="s">
        <v>375</v>
      </c>
      <c r="G852" s="200" t="s">
        <v>708</v>
      </c>
      <c r="H852" s="200" t="s">
        <v>709</v>
      </c>
      <c r="I852" s="200" t="s">
        <v>710</v>
      </c>
      <c r="J852" s="158" t="s">
        <v>34</v>
      </c>
      <c r="K852" s="158" t="s">
        <v>3207</v>
      </c>
      <c r="L852" s="363" t="s">
        <v>2410</v>
      </c>
      <c r="M852" s="364">
        <v>0.69791666666666663</v>
      </c>
      <c r="N852" s="364">
        <v>0.76041666666666663</v>
      </c>
      <c r="O852" s="158" t="s">
        <v>2423</v>
      </c>
      <c r="P852" s="158"/>
      <c r="Q852" s="158"/>
      <c r="R852" s="158"/>
      <c r="S852" s="158"/>
      <c r="T852" s="365"/>
      <c r="U852" s="365"/>
      <c r="V852" s="365"/>
    </row>
    <row r="853" spans="1:22" ht="25.5">
      <c r="A853" s="153">
        <v>46308</v>
      </c>
      <c r="B853" s="200" t="s">
        <v>563</v>
      </c>
      <c r="C853" s="200" t="s">
        <v>53</v>
      </c>
      <c r="D853" s="200" t="s">
        <v>1323</v>
      </c>
      <c r="E853" s="200" t="s">
        <v>707</v>
      </c>
      <c r="F853" s="200" t="s">
        <v>375</v>
      </c>
      <c r="G853" s="200" t="s">
        <v>708</v>
      </c>
      <c r="H853" s="200" t="s">
        <v>740</v>
      </c>
      <c r="I853" s="200" t="s">
        <v>710</v>
      </c>
      <c r="J853" s="158" t="s">
        <v>34</v>
      </c>
      <c r="K853" s="158" t="s">
        <v>3208</v>
      </c>
      <c r="L853" s="363" t="s">
        <v>3209</v>
      </c>
      <c r="M853" s="364">
        <v>0.76180555555555551</v>
      </c>
      <c r="N853" s="364">
        <v>0.78125</v>
      </c>
      <c r="O853" s="158" t="s">
        <v>2423</v>
      </c>
      <c r="P853" s="158"/>
      <c r="Q853" s="158"/>
      <c r="R853" s="158"/>
      <c r="S853" s="158"/>
      <c r="T853" s="365"/>
      <c r="U853" s="365"/>
      <c r="V853" s="365"/>
    </row>
    <row r="854" spans="1:22" ht="25.5">
      <c r="A854" s="153">
        <v>46308</v>
      </c>
      <c r="B854" s="200" t="s">
        <v>563</v>
      </c>
      <c r="C854" s="200" t="s">
        <v>53</v>
      </c>
      <c r="D854" s="200" t="s">
        <v>877</v>
      </c>
      <c r="E854" s="200" t="s">
        <v>707</v>
      </c>
      <c r="F854" s="200" t="s">
        <v>375</v>
      </c>
      <c r="G854" s="200" t="s">
        <v>708</v>
      </c>
      <c r="H854" s="200" t="s">
        <v>709</v>
      </c>
      <c r="I854" s="200" t="s">
        <v>710</v>
      </c>
      <c r="J854" s="158" t="s">
        <v>34</v>
      </c>
      <c r="K854" s="158" t="s">
        <v>2409</v>
      </c>
      <c r="L854" s="363" t="s">
        <v>2410</v>
      </c>
      <c r="M854" s="364">
        <v>0.78472222222222221</v>
      </c>
      <c r="N854" s="364">
        <v>0.84513888888888888</v>
      </c>
      <c r="O854" s="158" t="s">
        <v>2423</v>
      </c>
      <c r="P854" s="158"/>
      <c r="Q854" s="158"/>
      <c r="R854" s="158"/>
      <c r="S854" s="158"/>
      <c r="T854" s="365"/>
      <c r="U854" s="365"/>
      <c r="V854" s="365"/>
    </row>
    <row r="855" spans="1:22" ht="25.5">
      <c r="A855" s="153">
        <v>46308</v>
      </c>
      <c r="B855" s="200" t="s">
        <v>563</v>
      </c>
      <c r="C855" s="200" t="s">
        <v>53</v>
      </c>
      <c r="D855" s="200" t="s">
        <v>877</v>
      </c>
      <c r="E855" s="200" t="s">
        <v>707</v>
      </c>
      <c r="F855" s="200" t="s">
        <v>375</v>
      </c>
      <c r="G855" s="200" t="s">
        <v>708</v>
      </c>
      <c r="H855" s="200" t="s">
        <v>740</v>
      </c>
      <c r="I855" s="200" t="s">
        <v>710</v>
      </c>
      <c r="J855" s="158" t="s">
        <v>34</v>
      </c>
      <c r="K855" s="158" t="s">
        <v>3210</v>
      </c>
      <c r="L855" s="363" t="s">
        <v>3211</v>
      </c>
      <c r="M855" s="364">
        <v>0.84722222222222221</v>
      </c>
      <c r="N855" s="364">
        <v>0.86111111111111116</v>
      </c>
      <c r="O855" s="158" t="s">
        <v>2423</v>
      </c>
      <c r="P855" s="158"/>
      <c r="Q855" s="158"/>
      <c r="R855" s="158"/>
      <c r="S855" s="158"/>
      <c r="T855" s="365"/>
      <c r="U855" s="365"/>
      <c r="V855" s="365"/>
    </row>
    <row r="856" spans="1:22" ht="25.5">
      <c r="A856" s="153">
        <v>46308</v>
      </c>
      <c r="B856" s="200" t="s">
        <v>563</v>
      </c>
      <c r="C856" s="200" t="s">
        <v>53</v>
      </c>
      <c r="D856" s="200" t="s">
        <v>877</v>
      </c>
      <c r="E856" s="200" t="s">
        <v>707</v>
      </c>
      <c r="F856" s="200" t="s">
        <v>375</v>
      </c>
      <c r="G856" s="200" t="s">
        <v>708</v>
      </c>
      <c r="H856" s="200" t="s">
        <v>740</v>
      </c>
      <c r="I856" s="200" t="s">
        <v>710</v>
      </c>
      <c r="J856" s="158" t="s">
        <v>34</v>
      </c>
      <c r="K856" s="158" t="s">
        <v>3212</v>
      </c>
      <c r="L856" s="363" t="s">
        <v>3213</v>
      </c>
      <c r="M856" s="364">
        <v>0.86250000000000004</v>
      </c>
      <c r="N856" s="364">
        <v>0.875</v>
      </c>
      <c r="O856" s="158" t="s">
        <v>2423</v>
      </c>
      <c r="P856" s="158"/>
      <c r="Q856" s="158"/>
      <c r="R856" s="158"/>
      <c r="S856" s="158"/>
      <c r="T856" s="365"/>
      <c r="U856" s="365"/>
      <c r="V856" s="365"/>
    </row>
    <row r="857" spans="1:22" ht="25.5">
      <c r="A857" s="153">
        <v>46308</v>
      </c>
      <c r="B857" s="200" t="s">
        <v>563</v>
      </c>
      <c r="C857" s="200" t="s">
        <v>53</v>
      </c>
      <c r="D857" s="200" t="s">
        <v>877</v>
      </c>
      <c r="E857" s="200" t="s">
        <v>707</v>
      </c>
      <c r="F857" s="200" t="s">
        <v>375</v>
      </c>
      <c r="G857" s="200" t="s">
        <v>708</v>
      </c>
      <c r="H857" s="200" t="s">
        <v>740</v>
      </c>
      <c r="I857" s="200" t="s">
        <v>710</v>
      </c>
      <c r="J857" s="158" t="s">
        <v>34</v>
      </c>
      <c r="K857" s="158" t="s">
        <v>3214</v>
      </c>
      <c r="L857" s="363" t="s">
        <v>3215</v>
      </c>
      <c r="M857" s="364">
        <v>0.87708333333333333</v>
      </c>
      <c r="N857" s="364">
        <v>0.89027777777777772</v>
      </c>
      <c r="O857" s="158" t="s">
        <v>2423</v>
      </c>
      <c r="P857" s="158"/>
      <c r="Q857" s="158"/>
      <c r="R857" s="158"/>
      <c r="S857" s="158"/>
      <c r="T857" s="365"/>
      <c r="U857" s="365"/>
      <c r="V857" s="365"/>
    </row>
    <row r="858" spans="1:22" ht="25.5">
      <c r="A858" s="153">
        <v>46308</v>
      </c>
      <c r="B858" s="200" t="s">
        <v>563</v>
      </c>
      <c r="C858" s="200" t="s">
        <v>53</v>
      </c>
      <c r="D858" s="200" t="s">
        <v>3216</v>
      </c>
      <c r="E858" s="200" t="s">
        <v>707</v>
      </c>
      <c r="F858" s="200" t="s">
        <v>375</v>
      </c>
      <c r="G858" s="200" t="s">
        <v>708</v>
      </c>
      <c r="H858" s="200" t="s">
        <v>709</v>
      </c>
      <c r="I858" s="200" t="s">
        <v>710</v>
      </c>
      <c r="J858" s="158" t="s">
        <v>34</v>
      </c>
      <c r="K858" s="158" t="s">
        <v>3217</v>
      </c>
      <c r="L858" s="363" t="s">
        <v>2410</v>
      </c>
      <c r="M858" s="364">
        <v>0.89236111111111116</v>
      </c>
      <c r="N858" s="364">
        <v>0.94097222222222221</v>
      </c>
      <c r="O858" s="158" t="s">
        <v>2423</v>
      </c>
      <c r="P858" s="158"/>
      <c r="Q858" s="158"/>
      <c r="R858" s="158"/>
      <c r="S858" s="158"/>
      <c r="T858" s="365"/>
      <c r="U858" s="365"/>
      <c r="V858" s="365"/>
    </row>
    <row r="859" spans="1:22" ht="25.5">
      <c r="A859" s="153">
        <v>46308</v>
      </c>
      <c r="B859" s="200" t="s">
        <v>563</v>
      </c>
      <c r="C859" s="200" t="s">
        <v>53</v>
      </c>
      <c r="D859" s="200" t="s">
        <v>3216</v>
      </c>
      <c r="E859" s="200" t="s">
        <v>707</v>
      </c>
      <c r="F859" s="200" t="s">
        <v>375</v>
      </c>
      <c r="G859" s="200" t="s">
        <v>708</v>
      </c>
      <c r="H859" s="200" t="s">
        <v>740</v>
      </c>
      <c r="I859" s="200" t="s">
        <v>710</v>
      </c>
      <c r="J859" s="158" t="s">
        <v>34</v>
      </c>
      <c r="K859" s="158" t="s">
        <v>3218</v>
      </c>
      <c r="L859" s="363" t="s">
        <v>3219</v>
      </c>
      <c r="M859" s="364">
        <v>0.9458333333333333</v>
      </c>
      <c r="N859" s="364">
        <v>0.95625000000000004</v>
      </c>
      <c r="O859" s="158" t="s">
        <v>2423</v>
      </c>
      <c r="P859" s="158"/>
      <c r="Q859" s="158"/>
      <c r="R859" s="158"/>
      <c r="S859" s="158"/>
      <c r="T859" s="365"/>
      <c r="U859" s="365"/>
      <c r="V859" s="365"/>
    </row>
    <row r="860" spans="1:22" ht="25.5">
      <c r="A860" s="153">
        <v>46308</v>
      </c>
      <c r="B860" s="200" t="s">
        <v>563</v>
      </c>
      <c r="C860" s="200" t="s">
        <v>53</v>
      </c>
      <c r="D860" s="200" t="s">
        <v>3216</v>
      </c>
      <c r="E860" s="200" t="s">
        <v>707</v>
      </c>
      <c r="F860" s="200" t="s">
        <v>375</v>
      </c>
      <c r="G860" s="200" t="s">
        <v>708</v>
      </c>
      <c r="H860" s="200" t="s">
        <v>740</v>
      </c>
      <c r="I860" s="200" t="s">
        <v>710</v>
      </c>
      <c r="J860" s="158" t="s">
        <v>34</v>
      </c>
      <c r="K860" s="158" t="s">
        <v>3220</v>
      </c>
      <c r="L860" s="363" t="s">
        <v>3221</v>
      </c>
      <c r="M860" s="364">
        <v>0.95833333333333337</v>
      </c>
      <c r="N860" s="364">
        <v>0.96527777777777779</v>
      </c>
      <c r="O860" s="158" t="s">
        <v>2423</v>
      </c>
      <c r="P860" s="158"/>
      <c r="Q860" s="158"/>
      <c r="R860" s="158"/>
      <c r="S860" s="158"/>
      <c r="T860" s="365"/>
      <c r="U860" s="365"/>
      <c r="V860" s="365"/>
    </row>
    <row r="861" spans="1:22" ht="25.5">
      <c r="A861" s="153">
        <v>46308</v>
      </c>
      <c r="B861" s="200" t="s">
        <v>563</v>
      </c>
      <c r="C861" s="200" t="s">
        <v>53</v>
      </c>
      <c r="D861" s="200" t="s">
        <v>3216</v>
      </c>
      <c r="E861" s="200" t="s">
        <v>707</v>
      </c>
      <c r="F861" s="200" t="s">
        <v>375</v>
      </c>
      <c r="G861" s="200" t="s">
        <v>708</v>
      </c>
      <c r="H861" s="200" t="s">
        <v>740</v>
      </c>
      <c r="I861" s="200" t="s">
        <v>710</v>
      </c>
      <c r="J861" s="158" t="s">
        <v>34</v>
      </c>
      <c r="K861" s="158" t="s">
        <v>3222</v>
      </c>
      <c r="L861" s="363" t="s">
        <v>3223</v>
      </c>
      <c r="M861" s="364">
        <v>0.96666666666666667</v>
      </c>
      <c r="N861" s="364">
        <v>0.97569444444444442</v>
      </c>
      <c r="O861" s="158" t="s">
        <v>2423</v>
      </c>
      <c r="P861" s="158"/>
      <c r="Q861" s="158"/>
      <c r="R861" s="158"/>
      <c r="S861" s="158"/>
      <c r="T861" s="365"/>
      <c r="U861" s="365"/>
      <c r="V861" s="365"/>
    </row>
    <row r="862" spans="1:22" ht="25.5">
      <c r="A862" s="153">
        <v>46308</v>
      </c>
      <c r="B862" s="200" t="s">
        <v>549</v>
      </c>
      <c r="C862" s="200" t="s">
        <v>619</v>
      </c>
      <c r="D862" s="200" t="s">
        <v>789</v>
      </c>
      <c r="E862" s="200" t="s">
        <v>707</v>
      </c>
      <c r="F862" s="200" t="s">
        <v>375</v>
      </c>
      <c r="G862" s="200" t="s">
        <v>708</v>
      </c>
      <c r="H862" s="200" t="s">
        <v>709</v>
      </c>
      <c r="I862" s="200" t="s">
        <v>710</v>
      </c>
      <c r="J862" s="158" t="s">
        <v>34</v>
      </c>
      <c r="K862" s="158" t="s">
        <v>3224</v>
      </c>
      <c r="L862" s="363" t="s">
        <v>2410</v>
      </c>
      <c r="M862" s="364">
        <v>0.97916666666666663</v>
      </c>
      <c r="N862" s="364">
        <v>2.4305555555555556E-2</v>
      </c>
      <c r="O862" s="158" t="s">
        <v>2423</v>
      </c>
      <c r="P862" s="158"/>
      <c r="Q862" s="158"/>
      <c r="R862" s="158"/>
      <c r="S862" s="158"/>
      <c r="T862" s="365"/>
      <c r="U862" s="365"/>
      <c r="V862" s="365"/>
    </row>
    <row r="863" spans="1:22" ht="25.5">
      <c r="A863" s="153">
        <v>46308</v>
      </c>
      <c r="B863" s="200" t="s">
        <v>549</v>
      </c>
      <c r="C863" s="200" t="s">
        <v>619</v>
      </c>
      <c r="D863" s="200" t="s">
        <v>789</v>
      </c>
      <c r="E863" s="200" t="s">
        <v>707</v>
      </c>
      <c r="F863" s="200" t="s">
        <v>375</v>
      </c>
      <c r="G863" s="200" t="s">
        <v>708</v>
      </c>
      <c r="H863" s="200" t="s">
        <v>740</v>
      </c>
      <c r="I863" s="200" t="s">
        <v>710</v>
      </c>
      <c r="J863" s="158" t="s">
        <v>34</v>
      </c>
      <c r="K863" s="158" t="s">
        <v>3225</v>
      </c>
      <c r="L863" s="363" t="s">
        <v>3226</v>
      </c>
      <c r="M863" s="364">
        <v>2.5694444444444443E-2</v>
      </c>
      <c r="N863" s="364">
        <v>4.027777777777778E-2</v>
      </c>
      <c r="O863" s="158" t="s">
        <v>2423</v>
      </c>
      <c r="P863" s="158"/>
      <c r="Q863" s="158"/>
      <c r="R863" s="158"/>
      <c r="S863" s="158"/>
      <c r="T863" s="365"/>
      <c r="U863" s="365"/>
      <c r="V863" s="365"/>
    </row>
    <row r="864" spans="1:22" ht="25.5">
      <c r="A864" s="153">
        <v>46308</v>
      </c>
      <c r="B864" s="200" t="s">
        <v>549</v>
      </c>
      <c r="C864" s="200" t="s">
        <v>619</v>
      </c>
      <c r="D864" s="200" t="s">
        <v>789</v>
      </c>
      <c r="E864" s="200" t="s">
        <v>707</v>
      </c>
      <c r="F864" s="200" t="s">
        <v>375</v>
      </c>
      <c r="G864" s="200" t="s">
        <v>708</v>
      </c>
      <c r="H864" s="200" t="s">
        <v>740</v>
      </c>
      <c r="I864" s="200" t="s">
        <v>710</v>
      </c>
      <c r="J864" s="158" t="s">
        <v>34</v>
      </c>
      <c r="K864" s="158" t="s">
        <v>3227</v>
      </c>
      <c r="L864" s="363" t="s">
        <v>3228</v>
      </c>
      <c r="M864" s="364">
        <v>4.1666666666666664E-2</v>
      </c>
      <c r="N864" s="364">
        <v>5.2083333333333336E-2</v>
      </c>
      <c r="O864" s="158" t="s">
        <v>2423</v>
      </c>
      <c r="P864" s="158"/>
      <c r="Q864" s="158"/>
      <c r="R864" s="158"/>
      <c r="S864" s="158"/>
      <c r="T864" s="365"/>
      <c r="U864" s="365"/>
      <c r="V864" s="365"/>
    </row>
    <row r="865" spans="1:22" ht="25.5">
      <c r="A865" s="153">
        <v>46308</v>
      </c>
      <c r="B865" s="200" t="s">
        <v>549</v>
      </c>
      <c r="C865" s="200" t="s">
        <v>619</v>
      </c>
      <c r="D865" s="200" t="s">
        <v>789</v>
      </c>
      <c r="E865" s="200" t="s">
        <v>707</v>
      </c>
      <c r="F865" s="200" t="s">
        <v>375</v>
      </c>
      <c r="G865" s="200" t="s">
        <v>708</v>
      </c>
      <c r="H865" s="200" t="s">
        <v>740</v>
      </c>
      <c r="I865" s="200" t="s">
        <v>710</v>
      </c>
      <c r="J865" s="158" t="s">
        <v>34</v>
      </c>
      <c r="K865" s="158" t="s">
        <v>3229</v>
      </c>
      <c r="L865" s="363" t="s">
        <v>3230</v>
      </c>
      <c r="M865" s="364">
        <v>5.347222222222222E-2</v>
      </c>
      <c r="N865" s="364">
        <v>6.25E-2</v>
      </c>
      <c r="O865" s="158" t="s">
        <v>2423</v>
      </c>
      <c r="P865" s="158"/>
      <c r="Q865" s="158"/>
      <c r="R865" s="158"/>
      <c r="S865" s="158"/>
      <c r="T865" s="365"/>
      <c r="U865" s="365"/>
      <c r="V865" s="365"/>
    </row>
    <row r="866" spans="1:22" ht="25.5">
      <c r="A866" s="153">
        <v>46308</v>
      </c>
      <c r="B866" s="200" t="s">
        <v>549</v>
      </c>
      <c r="C866" s="200" t="s">
        <v>619</v>
      </c>
      <c r="D866" s="200" t="s">
        <v>789</v>
      </c>
      <c r="E866" s="200" t="s">
        <v>707</v>
      </c>
      <c r="F866" s="200" t="s">
        <v>375</v>
      </c>
      <c r="G866" s="200" t="s">
        <v>708</v>
      </c>
      <c r="H866" s="200" t="s">
        <v>740</v>
      </c>
      <c r="I866" s="200" t="s">
        <v>710</v>
      </c>
      <c r="J866" s="158" t="s">
        <v>34</v>
      </c>
      <c r="K866" s="158" t="s">
        <v>3231</v>
      </c>
      <c r="L866" s="363" t="s">
        <v>3232</v>
      </c>
      <c r="M866" s="364">
        <v>6.3888888888888884E-2</v>
      </c>
      <c r="N866" s="364">
        <v>7.6388888888888895E-2</v>
      </c>
      <c r="O866" s="158" t="s">
        <v>2423</v>
      </c>
      <c r="P866" s="158"/>
      <c r="Q866" s="158"/>
      <c r="R866" s="158"/>
      <c r="S866" s="158"/>
      <c r="T866" s="365"/>
      <c r="U866" s="365"/>
      <c r="V866" s="365"/>
    </row>
    <row r="867" spans="1:22" ht="25.5">
      <c r="A867" s="153">
        <v>46308</v>
      </c>
      <c r="B867" s="200" t="s">
        <v>549</v>
      </c>
      <c r="C867" s="200" t="s">
        <v>619</v>
      </c>
      <c r="D867" s="200" t="s">
        <v>789</v>
      </c>
      <c r="E867" s="200" t="s">
        <v>707</v>
      </c>
      <c r="F867" s="200" t="s">
        <v>375</v>
      </c>
      <c r="G867" s="200" t="s">
        <v>708</v>
      </c>
      <c r="H867" s="200" t="s">
        <v>740</v>
      </c>
      <c r="I867" s="200" t="s">
        <v>710</v>
      </c>
      <c r="J867" s="158" t="s">
        <v>34</v>
      </c>
      <c r="K867" s="158" t="s">
        <v>3233</v>
      </c>
      <c r="L867" s="363" t="s">
        <v>3234</v>
      </c>
      <c r="M867" s="364">
        <v>7.7777777777777779E-2</v>
      </c>
      <c r="N867" s="364">
        <v>9.166666666666666E-2</v>
      </c>
      <c r="O867" s="158" t="s">
        <v>2423</v>
      </c>
      <c r="P867" s="158"/>
      <c r="Q867" s="158"/>
      <c r="R867" s="158"/>
      <c r="S867" s="158"/>
      <c r="T867" s="365"/>
      <c r="U867" s="365"/>
      <c r="V867" s="365"/>
    </row>
    <row r="868" spans="1:22" ht="25.5">
      <c r="A868" s="153">
        <v>46308</v>
      </c>
      <c r="B868" s="200" t="s">
        <v>547</v>
      </c>
      <c r="C868" s="200" t="s">
        <v>53</v>
      </c>
      <c r="D868" s="200" t="s">
        <v>1630</v>
      </c>
      <c r="E868" s="200" t="s">
        <v>815</v>
      </c>
      <c r="F868" s="200" t="s">
        <v>328</v>
      </c>
      <c r="G868" s="200" t="s">
        <v>764</v>
      </c>
      <c r="H868" s="200" t="s">
        <v>740</v>
      </c>
      <c r="I868" s="200" t="s">
        <v>710</v>
      </c>
      <c r="J868" s="158" t="s">
        <v>34</v>
      </c>
      <c r="K868" s="158" t="s">
        <v>3235</v>
      </c>
      <c r="L868" s="363" t="s">
        <v>2064</v>
      </c>
      <c r="M868" s="364">
        <v>0.39583333333333331</v>
      </c>
      <c r="N868" s="364">
        <v>0.41666666666666669</v>
      </c>
      <c r="O868" s="158" t="s">
        <v>2068</v>
      </c>
      <c r="P868" s="158" t="s">
        <v>2067</v>
      </c>
      <c r="Q868" s="158" t="s">
        <v>2069</v>
      </c>
      <c r="R868" s="158"/>
      <c r="S868" s="158"/>
      <c r="T868" s="365"/>
      <c r="U868" s="365"/>
      <c r="V868" s="365"/>
    </row>
    <row r="869" spans="1:22" ht="25.5">
      <c r="A869" s="153">
        <v>46308</v>
      </c>
      <c r="B869" s="200" t="s">
        <v>547</v>
      </c>
      <c r="C869" s="200" t="s">
        <v>53</v>
      </c>
      <c r="D869" s="200" t="s">
        <v>1630</v>
      </c>
      <c r="E869" s="200" t="s">
        <v>815</v>
      </c>
      <c r="F869" s="200" t="s">
        <v>328</v>
      </c>
      <c r="G869" s="200" t="s">
        <v>764</v>
      </c>
      <c r="H869" s="200" t="s">
        <v>740</v>
      </c>
      <c r="I869" s="200" t="s">
        <v>710</v>
      </c>
      <c r="J869" s="158" t="s">
        <v>34</v>
      </c>
      <c r="K869" s="158" t="s">
        <v>3236</v>
      </c>
      <c r="L869" s="363" t="s">
        <v>3237</v>
      </c>
      <c r="M869" s="364">
        <v>0.41666666666666669</v>
      </c>
      <c r="N869" s="364">
        <v>0.4375</v>
      </c>
      <c r="O869" s="158" t="s">
        <v>2068</v>
      </c>
      <c r="P869" s="158" t="s">
        <v>2067</v>
      </c>
      <c r="Q869" s="158" t="s">
        <v>2069</v>
      </c>
      <c r="R869" s="158"/>
      <c r="S869" s="158"/>
      <c r="T869" s="365"/>
      <c r="U869" s="365"/>
      <c r="V869" s="365"/>
    </row>
    <row r="870" spans="1:22" ht="25.5">
      <c r="A870" s="153">
        <v>46308</v>
      </c>
      <c r="B870" s="200" t="s">
        <v>547</v>
      </c>
      <c r="C870" s="200" t="s">
        <v>53</v>
      </c>
      <c r="D870" s="200" t="s">
        <v>1630</v>
      </c>
      <c r="E870" s="200" t="s">
        <v>815</v>
      </c>
      <c r="F870" s="200" t="s">
        <v>328</v>
      </c>
      <c r="G870" s="200" t="s">
        <v>764</v>
      </c>
      <c r="H870" s="200" t="s">
        <v>740</v>
      </c>
      <c r="I870" s="200" t="s">
        <v>710</v>
      </c>
      <c r="J870" s="158" t="s">
        <v>34</v>
      </c>
      <c r="K870" s="158" t="s">
        <v>3238</v>
      </c>
      <c r="L870" s="363" t="s">
        <v>3239</v>
      </c>
      <c r="M870" s="364">
        <v>0.4375</v>
      </c>
      <c r="N870" s="364">
        <v>0.46875</v>
      </c>
      <c r="O870" s="158" t="s">
        <v>2068</v>
      </c>
      <c r="P870" s="158" t="s">
        <v>2067</v>
      </c>
      <c r="Q870" s="158"/>
      <c r="R870" s="158"/>
      <c r="S870" s="158"/>
      <c r="T870" s="365"/>
      <c r="U870" s="365"/>
      <c r="V870" s="365"/>
    </row>
    <row r="871" spans="1:22" ht="38.25">
      <c r="A871" s="153">
        <v>46308</v>
      </c>
      <c r="B871" s="200" t="s">
        <v>563</v>
      </c>
      <c r="C871" s="200" t="s">
        <v>53</v>
      </c>
      <c r="D871" s="200" t="s">
        <v>153</v>
      </c>
      <c r="E871" s="200" t="s">
        <v>815</v>
      </c>
      <c r="F871" s="200" t="s">
        <v>328</v>
      </c>
      <c r="G871" s="200" t="s">
        <v>764</v>
      </c>
      <c r="H871" s="200" t="s">
        <v>740</v>
      </c>
      <c r="I871" s="200" t="s">
        <v>710</v>
      </c>
      <c r="J871" s="158" t="s">
        <v>34</v>
      </c>
      <c r="K871" s="158" t="s">
        <v>3240</v>
      </c>
      <c r="L871" s="363" t="s">
        <v>3241</v>
      </c>
      <c r="M871" s="364">
        <v>0.52083333333333337</v>
      </c>
      <c r="N871" s="364">
        <v>0.54166666666666663</v>
      </c>
      <c r="O871" s="158" t="s">
        <v>2068</v>
      </c>
      <c r="P871" s="158" t="s">
        <v>2067</v>
      </c>
      <c r="Q871" s="158"/>
      <c r="R871" s="158"/>
      <c r="S871" s="158"/>
      <c r="T871" s="365"/>
      <c r="U871" s="365"/>
      <c r="V871" s="365"/>
    </row>
    <row r="872" spans="1:22" ht="25.5">
      <c r="A872" s="153">
        <v>46308</v>
      </c>
      <c r="B872" s="200" t="s">
        <v>547</v>
      </c>
      <c r="C872" s="200" t="s">
        <v>53</v>
      </c>
      <c r="D872" s="200" t="s">
        <v>201</v>
      </c>
      <c r="E872" s="200" t="s">
        <v>707</v>
      </c>
      <c r="F872" s="200" t="s">
        <v>328</v>
      </c>
      <c r="G872" s="200" t="s">
        <v>764</v>
      </c>
      <c r="H872" s="200" t="s">
        <v>709</v>
      </c>
      <c r="I872" s="200" t="s">
        <v>710</v>
      </c>
      <c r="J872" s="158" t="s">
        <v>34</v>
      </c>
      <c r="K872" s="158" t="s">
        <v>3242</v>
      </c>
      <c r="L872" s="363" t="s">
        <v>3243</v>
      </c>
      <c r="M872" s="364">
        <v>0.66666666666666663</v>
      </c>
      <c r="N872" s="364">
        <v>0.72916666666666663</v>
      </c>
      <c r="O872" s="158" t="s">
        <v>2068</v>
      </c>
      <c r="P872" s="158" t="s">
        <v>2067</v>
      </c>
      <c r="Q872" s="158" t="s">
        <v>2069</v>
      </c>
      <c r="R872" s="158"/>
      <c r="S872" s="158"/>
      <c r="T872" s="365"/>
      <c r="U872" s="365"/>
      <c r="V872" s="365"/>
    </row>
    <row r="873" spans="1:22" ht="25.5">
      <c r="A873" s="153">
        <v>46308</v>
      </c>
      <c r="B873" s="200" t="s">
        <v>556</v>
      </c>
      <c r="C873" s="200" t="s">
        <v>87</v>
      </c>
      <c r="D873" s="200" t="s">
        <v>646</v>
      </c>
      <c r="E873" s="200" t="s">
        <v>707</v>
      </c>
      <c r="F873" s="200" t="s">
        <v>328</v>
      </c>
      <c r="G873" s="200" t="s">
        <v>764</v>
      </c>
      <c r="H873" s="200" t="s">
        <v>709</v>
      </c>
      <c r="I873" s="200" t="s">
        <v>710</v>
      </c>
      <c r="J873" s="158" t="s">
        <v>34</v>
      </c>
      <c r="K873" s="158" t="s">
        <v>3244</v>
      </c>
      <c r="L873" s="363" t="s">
        <v>3245</v>
      </c>
      <c r="M873" s="364">
        <v>0.72916666666666663</v>
      </c>
      <c r="N873" s="364">
        <v>0.75</v>
      </c>
      <c r="O873" s="158" t="s">
        <v>2068</v>
      </c>
      <c r="P873" s="158" t="s">
        <v>2067</v>
      </c>
      <c r="Q873" s="158" t="s">
        <v>2069</v>
      </c>
      <c r="R873" s="158"/>
      <c r="S873" s="158"/>
      <c r="T873" s="365"/>
      <c r="U873" s="365"/>
      <c r="V873" s="365"/>
    </row>
    <row r="874" spans="1:22" ht="25.5">
      <c r="A874" s="153">
        <v>46308</v>
      </c>
      <c r="B874" s="200" t="s">
        <v>556</v>
      </c>
      <c r="C874" s="200" t="s">
        <v>87</v>
      </c>
      <c r="D874" s="200" t="s">
        <v>646</v>
      </c>
      <c r="E874" s="200" t="s">
        <v>707</v>
      </c>
      <c r="F874" s="200" t="s">
        <v>328</v>
      </c>
      <c r="G874" s="200" t="s">
        <v>764</v>
      </c>
      <c r="H874" s="200" t="s">
        <v>709</v>
      </c>
      <c r="I874" s="200" t="s">
        <v>710</v>
      </c>
      <c r="J874" s="158" t="s">
        <v>34</v>
      </c>
      <c r="K874" s="158" t="s">
        <v>3246</v>
      </c>
      <c r="L874" s="363" t="s">
        <v>3247</v>
      </c>
      <c r="M874" s="364">
        <v>0.75</v>
      </c>
      <c r="N874" s="364">
        <v>0.77083333333333337</v>
      </c>
      <c r="O874" s="158" t="s">
        <v>2068</v>
      </c>
      <c r="P874" s="158" t="s">
        <v>2067</v>
      </c>
      <c r="Q874" s="158" t="s">
        <v>2069</v>
      </c>
      <c r="R874" s="158"/>
      <c r="S874" s="158"/>
      <c r="T874" s="365"/>
      <c r="U874" s="365"/>
      <c r="V874" s="365"/>
    </row>
    <row r="875" spans="1:22" ht="25.5">
      <c r="A875" s="153">
        <v>46308</v>
      </c>
      <c r="B875" s="200" t="s">
        <v>556</v>
      </c>
      <c r="C875" s="200" t="s">
        <v>87</v>
      </c>
      <c r="D875" s="200" t="s">
        <v>646</v>
      </c>
      <c r="E875" s="200" t="s">
        <v>707</v>
      </c>
      <c r="F875" s="200" t="s">
        <v>328</v>
      </c>
      <c r="G875" s="200" t="s">
        <v>764</v>
      </c>
      <c r="H875" s="200" t="s">
        <v>709</v>
      </c>
      <c r="I875" s="200" t="s">
        <v>710</v>
      </c>
      <c r="J875" s="158" t="s">
        <v>34</v>
      </c>
      <c r="K875" s="158" t="s">
        <v>3248</v>
      </c>
      <c r="L875" s="363" t="s">
        <v>3249</v>
      </c>
      <c r="M875" s="364">
        <v>0.77083333333333337</v>
      </c>
      <c r="N875" s="364">
        <v>0.8125</v>
      </c>
      <c r="O875" s="158" t="s">
        <v>2068</v>
      </c>
      <c r="P875" s="158" t="s">
        <v>2067</v>
      </c>
      <c r="Q875" s="158" t="s">
        <v>2069</v>
      </c>
      <c r="R875" s="158"/>
      <c r="S875" s="158"/>
      <c r="T875" s="365"/>
      <c r="U875" s="365"/>
      <c r="V875" s="365"/>
    </row>
    <row r="876" spans="1:22" ht="25.5">
      <c r="A876" s="153">
        <v>46308</v>
      </c>
      <c r="B876" s="200" t="s">
        <v>547</v>
      </c>
      <c r="C876" s="200" t="s">
        <v>53</v>
      </c>
      <c r="D876" s="200" t="s">
        <v>1630</v>
      </c>
      <c r="E876" s="200" t="s">
        <v>707</v>
      </c>
      <c r="F876" s="200" t="s">
        <v>328</v>
      </c>
      <c r="G876" s="200" t="s">
        <v>708</v>
      </c>
      <c r="H876" s="200" t="s">
        <v>709</v>
      </c>
      <c r="I876" s="200" t="s">
        <v>710</v>
      </c>
      <c r="J876" s="158" t="s">
        <v>34</v>
      </c>
      <c r="K876" s="158" t="s">
        <v>3250</v>
      </c>
      <c r="L876" s="363" t="s">
        <v>3251</v>
      </c>
      <c r="M876" s="364">
        <v>0.83472222222222225</v>
      </c>
      <c r="N876" s="364">
        <v>0.87638888888888888</v>
      </c>
      <c r="O876" s="158" t="s">
        <v>2130</v>
      </c>
      <c r="P876" s="158" t="s">
        <v>2111</v>
      </c>
      <c r="Q876" s="158"/>
      <c r="R876" s="158"/>
      <c r="S876" s="158"/>
      <c r="T876" s="365"/>
      <c r="U876" s="365"/>
      <c r="V876" s="365"/>
    </row>
    <row r="877" spans="1:22" ht="25.5">
      <c r="A877" s="153">
        <v>46308</v>
      </c>
      <c r="B877" s="200" t="s">
        <v>547</v>
      </c>
      <c r="C877" s="200" t="s">
        <v>53</v>
      </c>
      <c r="D877" s="200" t="s">
        <v>1630</v>
      </c>
      <c r="E877" s="200" t="s">
        <v>707</v>
      </c>
      <c r="F877" s="200" t="s">
        <v>328</v>
      </c>
      <c r="G877" s="200" t="s">
        <v>708</v>
      </c>
      <c r="H877" s="200" t="s">
        <v>709</v>
      </c>
      <c r="I877" s="200" t="s">
        <v>710</v>
      </c>
      <c r="J877" s="158" t="s">
        <v>34</v>
      </c>
      <c r="K877" s="158" t="s">
        <v>3252</v>
      </c>
      <c r="L877" s="363" t="s">
        <v>3253</v>
      </c>
      <c r="M877" s="364">
        <v>0.87708333333333333</v>
      </c>
      <c r="N877" s="364">
        <v>0.93958333333333333</v>
      </c>
      <c r="O877" s="158" t="s">
        <v>2130</v>
      </c>
      <c r="P877" s="158" t="s">
        <v>2111</v>
      </c>
      <c r="Q877" s="158"/>
      <c r="R877" s="158"/>
      <c r="S877" s="158"/>
      <c r="T877" s="365"/>
      <c r="U877" s="365"/>
      <c r="V877" s="365"/>
    </row>
    <row r="878" spans="1:22" ht="25.5">
      <c r="A878" s="153">
        <v>46308</v>
      </c>
      <c r="B878" s="200" t="s">
        <v>547</v>
      </c>
      <c r="C878" s="200" t="s">
        <v>53</v>
      </c>
      <c r="D878" s="200" t="s">
        <v>1630</v>
      </c>
      <c r="E878" s="200" t="s">
        <v>707</v>
      </c>
      <c r="F878" s="200" t="s">
        <v>328</v>
      </c>
      <c r="G878" s="200" t="s">
        <v>708</v>
      </c>
      <c r="H878" s="200" t="s">
        <v>709</v>
      </c>
      <c r="I878" s="200" t="s">
        <v>710</v>
      </c>
      <c r="J878" s="158" t="s">
        <v>34</v>
      </c>
      <c r="K878" s="158" t="s">
        <v>3254</v>
      </c>
      <c r="L878" s="363" t="s">
        <v>3243</v>
      </c>
      <c r="M878" s="364">
        <v>0.94027777777777777</v>
      </c>
      <c r="N878" s="364">
        <v>2.7777777777777779E-3</v>
      </c>
      <c r="O878" s="158" t="s">
        <v>2130</v>
      </c>
      <c r="P878" s="158" t="s">
        <v>2118</v>
      </c>
      <c r="Q878" s="158"/>
      <c r="R878" s="158"/>
      <c r="S878" s="158"/>
      <c r="T878" s="365"/>
      <c r="U878" s="365"/>
      <c r="V878" s="365"/>
    </row>
    <row r="879" spans="1:22" ht="38.25">
      <c r="A879" s="153">
        <v>46308</v>
      </c>
      <c r="B879" s="200" t="s">
        <v>556</v>
      </c>
      <c r="C879" s="200" t="s">
        <v>87</v>
      </c>
      <c r="D879" s="200" t="s">
        <v>646</v>
      </c>
      <c r="E879" s="200" t="s">
        <v>707</v>
      </c>
      <c r="F879" s="200" t="s">
        <v>328</v>
      </c>
      <c r="G879" s="200" t="s">
        <v>708</v>
      </c>
      <c r="H879" s="200" t="s">
        <v>709</v>
      </c>
      <c r="I879" s="200" t="s">
        <v>710</v>
      </c>
      <c r="J879" s="158" t="s">
        <v>34</v>
      </c>
      <c r="K879" s="158" t="s">
        <v>3255</v>
      </c>
      <c r="L879" s="363" t="s">
        <v>3256</v>
      </c>
      <c r="M879" s="364">
        <v>3.472222222222222E-3</v>
      </c>
      <c r="N879" s="364">
        <v>4.5138888888888888E-2</v>
      </c>
      <c r="O879" s="158" t="s">
        <v>2130</v>
      </c>
      <c r="P879" s="158" t="s">
        <v>2111</v>
      </c>
      <c r="Q879" s="158"/>
      <c r="R879" s="158"/>
      <c r="S879" s="158"/>
      <c r="T879" s="365"/>
      <c r="U879" s="365"/>
      <c r="V879" s="365"/>
    </row>
    <row r="880" spans="1:22" ht="25.5">
      <c r="A880" s="153">
        <v>46308</v>
      </c>
      <c r="B880" s="200" t="s">
        <v>547</v>
      </c>
      <c r="C880" s="200" t="s">
        <v>53</v>
      </c>
      <c r="D880" s="200" t="s">
        <v>1444</v>
      </c>
      <c r="E880" s="200" t="s">
        <v>707</v>
      </c>
      <c r="F880" s="200" t="s">
        <v>328</v>
      </c>
      <c r="G880" s="200" t="s">
        <v>708</v>
      </c>
      <c r="H880" s="200" t="s">
        <v>709</v>
      </c>
      <c r="I880" s="200" t="s">
        <v>710</v>
      </c>
      <c r="J880" s="158" t="s">
        <v>34</v>
      </c>
      <c r="K880" s="158" t="s">
        <v>3257</v>
      </c>
      <c r="L880" s="363" t="s">
        <v>3243</v>
      </c>
      <c r="M880" s="364">
        <v>0.87916666666666665</v>
      </c>
      <c r="N880" s="364">
        <v>0.94166666666666665</v>
      </c>
      <c r="O880" s="158" t="s">
        <v>2118</v>
      </c>
      <c r="P880" s="158" t="s">
        <v>2148</v>
      </c>
      <c r="Q880" s="158"/>
      <c r="R880" s="158"/>
      <c r="S880" s="158"/>
      <c r="T880" s="365"/>
      <c r="U880" s="365"/>
      <c r="V880" s="365"/>
    </row>
    <row r="881" spans="1:22" ht="25.5">
      <c r="A881" s="153">
        <v>46308</v>
      </c>
      <c r="B881" s="200" t="s">
        <v>556</v>
      </c>
      <c r="C881" s="200" t="s">
        <v>87</v>
      </c>
      <c r="D881" s="200" t="s">
        <v>1253</v>
      </c>
      <c r="E881" s="200" t="s">
        <v>707</v>
      </c>
      <c r="F881" s="200" t="s">
        <v>328</v>
      </c>
      <c r="G881" s="200" t="s">
        <v>708</v>
      </c>
      <c r="H881" s="200" t="s">
        <v>709</v>
      </c>
      <c r="I881" s="200" t="s">
        <v>710</v>
      </c>
      <c r="J881" s="158" t="s">
        <v>34</v>
      </c>
      <c r="K881" s="158" t="s">
        <v>3258</v>
      </c>
      <c r="L881" s="363" t="s">
        <v>3259</v>
      </c>
      <c r="M881" s="364">
        <v>0.83472222222222225</v>
      </c>
      <c r="N881" s="364">
        <v>4.3055555555555555E-2</v>
      </c>
      <c r="O881" s="158" t="s">
        <v>2149</v>
      </c>
      <c r="P881" s="158" t="s">
        <v>2148</v>
      </c>
      <c r="Q881" s="158"/>
      <c r="R881" s="158"/>
      <c r="S881" s="158"/>
      <c r="T881" s="365"/>
      <c r="U881" s="365"/>
      <c r="V881" s="365"/>
    </row>
    <row r="882" spans="1:22" ht="25.5">
      <c r="A882" s="153">
        <v>46308</v>
      </c>
      <c r="B882" s="200" t="s">
        <v>556</v>
      </c>
      <c r="C882" s="200" t="s">
        <v>87</v>
      </c>
      <c r="D882" s="200" t="s">
        <v>1253</v>
      </c>
      <c r="E882" s="200" t="s">
        <v>707</v>
      </c>
      <c r="F882" s="200" t="s">
        <v>328</v>
      </c>
      <c r="G882" s="200" t="s">
        <v>708</v>
      </c>
      <c r="H882" s="200" t="s">
        <v>709</v>
      </c>
      <c r="I882" s="200" t="s">
        <v>710</v>
      </c>
      <c r="J882" s="158" t="s">
        <v>34</v>
      </c>
      <c r="K882" s="158" t="s">
        <v>3260</v>
      </c>
      <c r="L882" s="363" t="s">
        <v>3261</v>
      </c>
      <c r="M882" s="364">
        <v>8.4722222222222227E-2</v>
      </c>
      <c r="N882" s="364">
        <v>0.16805555555555557</v>
      </c>
      <c r="O882" s="158" t="s">
        <v>2149</v>
      </c>
      <c r="P882" s="158" t="s">
        <v>2148</v>
      </c>
      <c r="Q882" s="158"/>
      <c r="R882" s="158"/>
      <c r="S882" s="158"/>
      <c r="T882" s="365"/>
      <c r="U882" s="365"/>
      <c r="V882" s="365"/>
    </row>
    <row r="883" spans="1:22" ht="25.5">
      <c r="A883" s="153">
        <v>46308</v>
      </c>
      <c r="B883" s="200" t="s">
        <v>556</v>
      </c>
      <c r="C883" s="200" t="s">
        <v>87</v>
      </c>
      <c r="D883" s="200" t="s">
        <v>1253</v>
      </c>
      <c r="E883" s="200" t="s">
        <v>707</v>
      </c>
      <c r="F883" s="200" t="s">
        <v>328</v>
      </c>
      <c r="G883" s="200" t="s">
        <v>708</v>
      </c>
      <c r="H883" s="200" t="s">
        <v>709</v>
      </c>
      <c r="I883" s="200" t="s">
        <v>710</v>
      </c>
      <c r="J883" s="158" t="s">
        <v>34</v>
      </c>
      <c r="K883" s="158" t="s">
        <v>3262</v>
      </c>
      <c r="L883" s="363" t="s">
        <v>3263</v>
      </c>
      <c r="M883" s="364">
        <v>0.16875000000000001</v>
      </c>
      <c r="N883" s="364">
        <v>0.27291666666666664</v>
      </c>
      <c r="O883" s="158" t="s">
        <v>2118</v>
      </c>
      <c r="P883" s="158" t="s">
        <v>2111</v>
      </c>
      <c r="Q883" s="158"/>
      <c r="R883" s="158"/>
      <c r="S883" s="158"/>
      <c r="T883" s="365"/>
      <c r="U883" s="365"/>
      <c r="V883" s="365"/>
    </row>
    <row r="884" spans="1:22" ht="25.5">
      <c r="A884" s="153">
        <v>46308</v>
      </c>
      <c r="B884" s="200" t="s">
        <v>549</v>
      </c>
      <c r="C884" s="200" t="s">
        <v>626</v>
      </c>
      <c r="D884" s="200" t="s">
        <v>1789</v>
      </c>
      <c r="E884" s="200" t="s">
        <v>707</v>
      </c>
      <c r="F884" s="200" t="s">
        <v>328</v>
      </c>
      <c r="G884" s="200" t="s">
        <v>708</v>
      </c>
      <c r="H884" s="200" t="s">
        <v>709</v>
      </c>
      <c r="I884" s="200" t="s">
        <v>710</v>
      </c>
      <c r="J884" s="158" t="s">
        <v>34</v>
      </c>
      <c r="K884" s="158" t="s">
        <v>3264</v>
      </c>
      <c r="L884" s="363" t="s">
        <v>3243</v>
      </c>
      <c r="M884" s="364">
        <v>0.1736111111111111</v>
      </c>
      <c r="N884" s="364">
        <v>0.25694444444444442</v>
      </c>
      <c r="O884" s="158" t="s">
        <v>2149</v>
      </c>
      <c r="P884" s="158" t="s">
        <v>2148</v>
      </c>
      <c r="Q884" s="158"/>
      <c r="R884" s="158"/>
      <c r="S884" s="158"/>
      <c r="T884" s="365"/>
      <c r="U884" s="365"/>
      <c r="V884" s="365"/>
    </row>
    <row r="885" spans="1:22" ht="25.5">
      <c r="A885" s="153">
        <v>46308</v>
      </c>
      <c r="B885" s="200" t="s">
        <v>563</v>
      </c>
      <c r="C885" s="200" t="s">
        <v>53</v>
      </c>
      <c r="D885" s="200" t="s">
        <v>353</v>
      </c>
      <c r="E885" s="200" t="s">
        <v>707</v>
      </c>
      <c r="F885" s="200" t="s">
        <v>328</v>
      </c>
      <c r="G885" s="200" t="s">
        <v>708</v>
      </c>
      <c r="H885" s="200" t="s">
        <v>709</v>
      </c>
      <c r="I885" s="200" t="s">
        <v>710</v>
      </c>
      <c r="J885" s="158" t="s">
        <v>34</v>
      </c>
      <c r="K885" s="158" t="s">
        <v>3265</v>
      </c>
      <c r="L885" s="363" t="s">
        <v>3266</v>
      </c>
      <c r="M885" s="364">
        <v>0.94791666666666663</v>
      </c>
      <c r="N885" s="364">
        <v>0.98958333333333337</v>
      </c>
      <c r="O885" s="158" t="s">
        <v>2111</v>
      </c>
      <c r="P885" s="158" t="s">
        <v>2111</v>
      </c>
      <c r="Q885" s="158"/>
      <c r="R885" s="158"/>
      <c r="S885" s="158"/>
      <c r="T885" s="365"/>
      <c r="U885" s="365"/>
      <c r="V885" s="365"/>
    </row>
    <row r="886" spans="1:22" ht="25.5">
      <c r="A886" s="153">
        <v>46308</v>
      </c>
      <c r="B886" s="200" t="s">
        <v>549</v>
      </c>
      <c r="C886" s="200" t="s">
        <v>631</v>
      </c>
      <c r="D886" s="200" t="s">
        <v>2338</v>
      </c>
      <c r="E886" s="200" t="s">
        <v>707</v>
      </c>
      <c r="F886" s="200" t="s">
        <v>328</v>
      </c>
      <c r="G886" s="200" t="s">
        <v>708</v>
      </c>
      <c r="H886" s="200" t="s">
        <v>709</v>
      </c>
      <c r="I886" s="200" t="s">
        <v>710</v>
      </c>
      <c r="J886" s="158" t="s">
        <v>34</v>
      </c>
      <c r="K886" s="158" t="s">
        <v>3267</v>
      </c>
      <c r="L886" s="363" t="s">
        <v>3243</v>
      </c>
      <c r="M886" s="364">
        <v>0.95138888888888884</v>
      </c>
      <c r="N886" s="364">
        <v>3.4722222222222224E-2</v>
      </c>
      <c r="O886" s="158" t="s">
        <v>2118</v>
      </c>
      <c r="P886" s="158" t="s">
        <v>2130</v>
      </c>
      <c r="Q886" s="158"/>
      <c r="R886" s="158"/>
      <c r="S886" s="158"/>
      <c r="T886" s="365"/>
      <c r="U886" s="365"/>
      <c r="V886" s="365"/>
    </row>
    <row r="887" spans="1:22" ht="38.25">
      <c r="A887" s="153">
        <v>46308</v>
      </c>
      <c r="B887" s="200" t="s">
        <v>549</v>
      </c>
      <c r="C887" s="200" t="s">
        <v>626</v>
      </c>
      <c r="D887" s="200" t="s">
        <v>264</v>
      </c>
      <c r="E887" s="200" t="s">
        <v>707</v>
      </c>
      <c r="F887" s="200" t="s">
        <v>328</v>
      </c>
      <c r="G887" s="200" t="s">
        <v>708</v>
      </c>
      <c r="H887" s="200" t="s">
        <v>709</v>
      </c>
      <c r="I887" s="200" t="s">
        <v>710</v>
      </c>
      <c r="J887" s="158" t="s">
        <v>34</v>
      </c>
      <c r="K887" s="158" t="s">
        <v>3268</v>
      </c>
      <c r="L887" s="363" t="s">
        <v>3269</v>
      </c>
      <c r="M887" s="364">
        <v>9.0972222222222218E-2</v>
      </c>
      <c r="N887" s="364">
        <v>0.15347222222222223</v>
      </c>
      <c r="O887" s="158" t="s">
        <v>2118</v>
      </c>
      <c r="P887" s="158" t="s">
        <v>2130</v>
      </c>
      <c r="Q887" s="158" t="s">
        <v>2111</v>
      </c>
      <c r="R887" s="158"/>
      <c r="S887" s="158"/>
      <c r="T887" s="365"/>
      <c r="U887" s="365"/>
      <c r="V887" s="365"/>
    </row>
    <row r="888" spans="1:22" ht="25.5">
      <c r="A888" s="153">
        <v>46308</v>
      </c>
      <c r="B888" s="200" t="s">
        <v>547</v>
      </c>
      <c r="C888" s="200" t="s">
        <v>53</v>
      </c>
      <c r="D888" s="200" t="s">
        <v>1444</v>
      </c>
      <c r="E888" s="200" t="s">
        <v>707</v>
      </c>
      <c r="F888" s="200" t="s">
        <v>328</v>
      </c>
      <c r="G888" s="200" t="s">
        <v>708</v>
      </c>
      <c r="H888" s="200" t="s">
        <v>709</v>
      </c>
      <c r="I888" s="200" t="s">
        <v>710</v>
      </c>
      <c r="J888" s="158" t="s">
        <v>34</v>
      </c>
      <c r="K888" s="158" t="s">
        <v>3270</v>
      </c>
      <c r="L888" s="363" t="s">
        <v>3271</v>
      </c>
      <c r="M888" s="364">
        <v>0.21527777777777779</v>
      </c>
      <c r="N888" s="364">
        <v>0.24305555555555555</v>
      </c>
      <c r="O888" s="158" t="s">
        <v>2149</v>
      </c>
      <c r="P888" s="158"/>
      <c r="Q888" s="158"/>
      <c r="R888" s="158"/>
      <c r="S888" s="158"/>
      <c r="T888" s="365"/>
      <c r="U888" s="365"/>
      <c r="V888" s="365"/>
    </row>
    <row r="889" spans="1:22" ht="25.5">
      <c r="A889" s="153">
        <v>46308</v>
      </c>
      <c r="B889" s="200" t="s">
        <v>549</v>
      </c>
      <c r="C889" s="200" t="s">
        <v>626</v>
      </c>
      <c r="D889" s="200" t="s">
        <v>264</v>
      </c>
      <c r="E889" s="200" t="s">
        <v>707</v>
      </c>
      <c r="F889" s="200" t="s">
        <v>328</v>
      </c>
      <c r="G889" s="200" t="s">
        <v>708</v>
      </c>
      <c r="H889" s="200" t="s">
        <v>709</v>
      </c>
      <c r="I889" s="200" t="s">
        <v>710</v>
      </c>
      <c r="J889" s="158" t="s">
        <v>34</v>
      </c>
      <c r="K889" s="158" t="s">
        <v>3272</v>
      </c>
      <c r="L889" s="363" t="s">
        <v>3273</v>
      </c>
      <c r="M889" s="364">
        <v>0.21527777777777779</v>
      </c>
      <c r="N889" s="364">
        <v>0.25694444444444442</v>
      </c>
      <c r="O889" s="158" t="s">
        <v>2130</v>
      </c>
      <c r="P889" s="158" t="s">
        <v>2149</v>
      </c>
      <c r="Q889" s="158" t="s">
        <v>2118</v>
      </c>
      <c r="R889" s="158"/>
      <c r="S889" s="158"/>
      <c r="T889" s="365"/>
      <c r="U889" s="365"/>
      <c r="V889" s="365"/>
    </row>
    <row r="890" spans="1:22" ht="25.5">
      <c r="A890" s="153">
        <v>46308</v>
      </c>
      <c r="B890" s="200" t="s">
        <v>549</v>
      </c>
      <c r="C890" s="200" t="s">
        <v>626</v>
      </c>
      <c r="D890" s="200" t="s">
        <v>264</v>
      </c>
      <c r="E890" s="200" t="s">
        <v>707</v>
      </c>
      <c r="F890" s="200" t="s">
        <v>328</v>
      </c>
      <c r="G890" s="200" t="s">
        <v>708</v>
      </c>
      <c r="H890" s="200" t="s">
        <v>709</v>
      </c>
      <c r="I890" s="200" t="s">
        <v>710</v>
      </c>
      <c r="J890" s="158" t="s">
        <v>34</v>
      </c>
      <c r="K890" s="158" t="s">
        <v>3274</v>
      </c>
      <c r="L890" s="363" t="s">
        <v>3271</v>
      </c>
      <c r="M890" s="364">
        <v>0.25763888888888886</v>
      </c>
      <c r="N890" s="364">
        <v>0.28541666666666665</v>
      </c>
      <c r="O890" s="158" t="s">
        <v>2118</v>
      </c>
      <c r="P890" s="158"/>
      <c r="Q890" s="158"/>
      <c r="R890" s="158"/>
      <c r="S890" s="158"/>
      <c r="T890" s="365"/>
      <c r="U890" s="365"/>
      <c r="V890" s="365"/>
    </row>
    <row r="891" spans="1:22" ht="25.5">
      <c r="A891" s="153">
        <v>46308</v>
      </c>
      <c r="B891" s="200" t="s">
        <v>563</v>
      </c>
      <c r="C891" s="200" t="s">
        <v>53</v>
      </c>
      <c r="D891" s="200" t="s">
        <v>153</v>
      </c>
      <c r="E891" s="200" t="s">
        <v>707</v>
      </c>
      <c r="F891" s="200" t="s">
        <v>162</v>
      </c>
      <c r="G891" s="200" t="s">
        <v>708</v>
      </c>
      <c r="H891" s="200" t="s">
        <v>816</v>
      </c>
      <c r="I891" s="200" t="s">
        <v>710</v>
      </c>
      <c r="J891" s="158" t="s">
        <v>34</v>
      </c>
      <c r="K891" s="158" t="s">
        <v>3275</v>
      </c>
      <c r="L891" s="363" t="s">
        <v>2211</v>
      </c>
      <c r="M891" s="364">
        <v>0.79513888888888884</v>
      </c>
      <c r="N891" s="364">
        <v>0.82986111111111116</v>
      </c>
      <c r="O891" s="158" t="s">
        <v>3276</v>
      </c>
      <c r="P891" s="158"/>
      <c r="Q891" s="158"/>
      <c r="R891" s="158"/>
      <c r="S891" s="158"/>
      <c r="T891" s="365"/>
      <c r="U891" s="365"/>
      <c r="V891" s="365"/>
    </row>
    <row r="892" spans="1:22" ht="25.5">
      <c r="A892" s="153">
        <v>46308</v>
      </c>
      <c r="B892" s="200" t="s">
        <v>563</v>
      </c>
      <c r="C892" s="200" t="s">
        <v>53</v>
      </c>
      <c r="D892" s="200" t="s">
        <v>153</v>
      </c>
      <c r="E892" s="200" t="s">
        <v>707</v>
      </c>
      <c r="F892" s="200" t="s">
        <v>162</v>
      </c>
      <c r="G892" s="200" t="s">
        <v>708</v>
      </c>
      <c r="H892" s="200" t="s">
        <v>816</v>
      </c>
      <c r="I892" s="200" t="s">
        <v>710</v>
      </c>
      <c r="J892" s="158" t="s">
        <v>34</v>
      </c>
      <c r="K892" s="158" t="s">
        <v>3277</v>
      </c>
      <c r="L892" s="363" t="s">
        <v>3278</v>
      </c>
      <c r="M892" s="364">
        <v>0.85069444444444442</v>
      </c>
      <c r="N892" s="364">
        <v>0.88541666666666663</v>
      </c>
      <c r="O892" s="158" t="s">
        <v>3276</v>
      </c>
      <c r="P892" s="158"/>
      <c r="Q892" s="158"/>
      <c r="R892" s="158"/>
      <c r="S892" s="158"/>
      <c r="T892" s="365"/>
      <c r="U892" s="365"/>
      <c r="V892" s="365"/>
    </row>
    <row r="893" spans="1:22" ht="25.5">
      <c r="A893" s="153">
        <v>46308</v>
      </c>
      <c r="B893" s="200" t="s">
        <v>563</v>
      </c>
      <c r="C893" s="200" t="s">
        <v>53</v>
      </c>
      <c r="D893" s="200" t="s">
        <v>153</v>
      </c>
      <c r="E893" s="200" t="s">
        <v>707</v>
      </c>
      <c r="F893" s="200" t="s">
        <v>162</v>
      </c>
      <c r="G893" s="200" t="s">
        <v>708</v>
      </c>
      <c r="H893" s="200" t="s">
        <v>709</v>
      </c>
      <c r="I893" s="200" t="s">
        <v>710</v>
      </c>
      <c r="J893" s="158" t="s">
        <v>34</v>
      </c>
      <c r="K893" s="158" t="s">
        <v>3279</v>
      </c>
      <c r="L893" s="363" t="s">
        <v>3280</v>
      </c>
      <c r="M893" s="364">
        <v>0.88541666666666663</v>
      </c>
      <c r="N893" s="364">
        <v>0.93402777777777779</v>
      </c>
      <c r="O893" s="158" t="s">
        <v>3276</v>
      </c>
      <c r="P893" s="158"/>
      <c r="Q893" s="158"/>
      <c r="R893" s="158"/>
      <c r="S893" s="158"/>
      <c r="T893" s="365"/>
      <c r="U893" s="365"/>
      <c r="V893" s="365"/>
    </row>
    <row r="894" spans="1:22" ht="25.5">
      <c r="A894" s="153">
        <v>46308</v>
      </c>
      <c r="B894" s="200" t="s">
        <v>549</v>
      </c>
      <c r="C894" s="200" t="s">
        <v>814</v>
      </c>
      <c r="D894" s="200" t="s">
        <v>359</v>
      </c>
      <c r="E894" s="200" t="s">
        <v>707</v>
      </c>
      <c r="F894" s="200" t="s">
        <v>162</v>
      </c>
      <c r="G894" s="200" t="s">
        <v>708</v>
      </c>
      <c r="H894" s="200" t="s">
        <v>816</v>
      </c>
      <c r="I894" s="200" t="s">
        <v>710</v>
      </c>
      <c r="J894" s="158" t="s">
        <v>34</v>
      </c>
      <c r="K894" s="158" t="s">
        <v>3281</v>
      </c>
      <c r="L894" s="363" t="s">
        <v>3282</v>
      </c>
      <c r="M894" s="364">
        <v>0.95902777777777781</v>
      </c>
      <c r="N894" s="364">
        <v>0.99652777777777779</v>
      </c>
      <c r="O894" s="158" t="s">
        <v>3276</v>
      </c>
      <c r="P894" s="158"/>
      <c r="Q894" s="158"/>
      <c r="R894" s="158"/>
      <c r="S894" s="158"/>
      <c r="T894" s="365"/>
      <c r="U894" s="365"/>
      <c r="V894" s="365"/>
    </row>
    <row r="895" spans="1:22" ht="25.5">
      <c r="A895" s="153">
        <v>46308</v>
      </c>
      <c r="B895" s="200" t="s">
        <v>549</v>
      </c>
      <c r="C895" s="200" t="s">
        <v>814</v>
      </c>
      <c r="D895" s="200" t="s">
        <v>359</v>
      </c>
      <c r="E895" s="200" t="s">
        <v>707</v>
      </c>
      <c r="F895" s="200" t="s">
        <v>162</v>
      </c>
      <c r="G895" s="200" t="s">
        <v>708</v>
      </c>
      <c r="H895" s="200" t="s">
        <v>816</v>
      </c>
      <c r="I895" s="200" t="s">
        <v>710</v>
      </c>
      <c r="J895" s="158" t="s">
        <v>34</v>
      </c>
      <c r="K895" s="158" t="s">
        <v>3283</v>
      </c>
      <c r="L895" s="363" t="s">
        <v>3284</v>
      </c>
      <c r="M895" s="364">
        <v>0.99652777777777779</v>
      </c>
      <c r="N895" s="364">
        <v>3.125E-2</v>
      </c>
      <c r="O895" s="158" t="s">
        <v>3276</v>
      </c>
      <c r="P895" s="158"/>
      <c r="Q895" s="158"/>
      <c r="R895" s="158"/>
      <c r="S895" s="158"/>
      <c r="T895" s="365"/>
      <c r="U895" s="365"/>
      <c r="V895" s="365"/>
    </row>
    <row r="896" spans="1:22" ht="25.5">
      <c r="A896" s="153">
        <v>46308</v>
      </c>
      <c r="B896" s="200" t="s">
        <v>549</v>
      </c>
      <c r="C896" s="200" t="s">
        <v>814</v>
      </c>
      <c r="D896" s="200" t="s">
        <v>359</v>
      </c>
      <c r="E896" s="200" t="s">
        <v>707</v>
      </c>
      <c r="F896" s="200" t="s">
        <v>162</v>
      </c>
      <c r="G896" s="200" t="s">
        <v>708</v>
      </c>
      <c r="H896" s="200" t="s">
        <v>816</v>
      </c>
      <c r="I896" s="200" t="s">
        <v>710</v>
      </c>
      <c r="J896" s="158" t="s">
        <v>34</v>
      </c>
      <c r="K896" s="158" t="s">
        <v>3285</v>
      </c>
      <c r="L896" s="363" t="s">
        <v>3286</v>
      </c>
      <c r="M896" s="364">
        <v>3.125E-2</v>
      </c>
      <c r="N896" s="364">
        <v>7.9861111111111105E-2</v>
      </c>
      <c r="O896" s="158" t="s">
        <v>3276</v>
      </c>
      <c r="P896" s="158"/>
      <c r="Q896" s="158"/>
      <c r="R896" s="158"/>
      <c r="S896" s="158"/>
      <c r="T896" s="365"/>
      <c r="U896" s="365"/>
      <c r="V896" s="365"/>
    </row>
    <row r="897" spans="1:22" ht="25.5">
      <c r="A897" s="153">
        <v>46308</v>
      </c>
      <c r="B897" s="200" t="s">
        <v>549</v>
      </c>
      <c r="C897" s="200" t="s">
        <v>814</v>
      </c>
      <c r="D897" s="200" t="s">
        <v>359</v>
      </c>
      <c r="E897" s="200" t="s">
        <v>707</v>
      </c>
      <c r="F897" s="200" t="s">
        <v>162</v>
      </c>
      <c r="G897" s="200" t="s">
        <v>708</v>
      </c>
      <c r="H897" s="200" t="s">
        <v>709</v>
      </c>
      <c r="I897" s="200" t="s">
        <v>710</v>
      </c>
      <c r="J897" s="158" t="s">
        <v>34</v>
      </c>
      <c r="K897" s="158" t="s">
        <v>3287</v>
      </c>
      <c r="L897" s="363" t="s">
        <v>3280</v>
      </c>
      <c r="M897" s="364">
        <v>3.8194444444444448E-2</v>
      </c>
      <c r="N897" s="364">
        <v>9.375E-2</v>
      </c>
      <c r="O897" s="158" t="s">
        <v>3276</v>
      </c>
      <c r="P897" s="158"/>
      <c r="Q897" s="158"/>
      <c r="R897" s="158"/>
      <c r="S897" s="158"/>
      <c r="T897" s="365"/>
      <c r="U897" s="365"/>
      <c r="V897" s="365"/>
    </row>
    <row r="898" spans="1:22" ht="25.5">
      <c r="A898" s="153">
        <v>46308</v>
      </c>
      <c r="B898" s="200" t="s">
        <v>549</v>
      </c>
      <c r="C898" s="200" t="s">
        <v>738</v>
      </c>
      <c r="D898" s="200" t="s">
        <v>1627</v>
      </c>
      <c r="E898" s="200" t="s">
        <v>707</v>
      </c>
      <c r="F898" s="200" t="s">
        <v>214</v>
      </c>
      <c r="G898" s="200" t="s">
        <v>708</v>
      </c>
      <c r="H898" s="200" t="s">
        <v>740</v>
      </c>
      <c r="I898" s="200" t="s">
        <v>710</v>
      </c>
      <c r="J898" s="158" t="s">
        <v>34</v>
      </c>
      <c r="K898" s="158" t="s">
        <v>3288</v>
      </c>
      <c r="L898" s="363" t="s">
        <v>3289</v>
      </c>
      <c r="M898" s="364">
        <v>0.84375</v>
      </c>
      <c r="N898" s="364">
        <v>0.85763888888888884</v>
      </c>
      <c r="O898" s="158" t="s">
        <v>1173</v>
      </c>
      <c r="P898" s="158"/>
      <c r="Q898" s="158"/>
      <c r="R898" s="158"/>
      <c r="S898" s="158"/>
      <c r="T898" s="365"/>
      <c r="U898" s="365"/>
      <c r="V898" s="365"/>
    </row>
    <row r="899" spans="1:22" ht="25.5">
      <c r="A899" s="153">
        <v>46308</v>
      </c>
      <c r="B899" s="200" t="s">
        <v>549</v>
      </c>
      <c r="C899" s="200" t="s">
        <v>738</v>
      </c>
      <c r="D899" s="200" t="s">
        <v>1627</v>
      </c>
      <c r="E899" s="200" t="s">
        <v>707</v>
      </c>
      <c r="F899" s="200" t="s">
        <v>214</v>
      </c>
      <c r="G899" s="200" t="s">
        <v>708</v>
      </c>
      <c r="H899" s="200" t="s">
        <v>1176</v>
      </c>
      <c r="I899" s="200" t="s">
        <v>710</v>
      </c>
      <c r="J899" s="158" t="s">
        <v>34</v>
      </c>
      <c r="K899" s="158" t="s">
        <v>3290</v>
      </c>
      <c r="L899" s="363" t="s">
        <v>3291</v>
      </c>
      <c r="M899" s="364">
        <v>0.85763888888888884</v>
      </c>
      <c r="N899" s="364">
        <v>0.87152777777777779</v>
      </c>
      <c r="O899" s="158" t="s">
        <v>1173</v>
      </c>
      <c r="P899" s="158"/>
      <c r="Q899" s="158"/>
      <c r="R899" s="158"/>
      <c r="S899" s="158"/>
      <c r="T899" s="365"/>
      <c r="U899" s="365"/>
      <c r="V899" s="365"/>
    </row>
    <row r="900" spans="1:22" ht="25.5">
      <c r="A900" s="153">
        <v>46308</v>
      </c>
      <c r="B900" s="200" t="s">
        <v>549</v>
      </c>
      <c r="C900" s="200" t="s">
        <v>738</v>
      </c>
      <c r="D900" s="200" t="s">
        <v>1627</v>
      </c>
      <c r="E900" s="200" t="s">
        <v>707</v>
      </c>
      <c r="F900" s="200" t="s">
        <v>214</v>
      </c>
      <c r="G900" s="200" t="s">
        <v>708</v>
      </c>
      <c r="H900" s="200" t="s">
        <v>740</v>
      </c>
      <c r="I900" s="200" t="s">
        <v>710</v>
      </c>
      <c r="J900" s="158" t="s">
        <v>34</v>
      </c>
      <c r="K900" s="158" t="s">
        <v>3292</v>
      </c>
      <c r="L900" s="363" t="s">
        <v>3293</v>
      </c>
      <c r="M900" s="364">
        <v>0.87152777777777779</v>
      </c>
      <c r="N900" s="364">
        <v>0.88888888888888884</v>
      </c>
      <c r="O900" s="158" t="s">
        <v>1173</v>
      </c>
      <c r="P900" s="158"/>
      <c r="Q900" s="158"/>
      <c r="R900" s="158"/>
      <c r="S900" s="158"/>
      <c r="T900" s="365"/>
      <c r="U900" s="365"/>
      <c r="V900" s="365"/>
    </row>
    <row r="901" spans="1:22" ht="25.5">
      <c r="A901" s="153">
        <v>46308</v>
      </c>
      <c r="B901" s="200" t="s">
        <v>549</v>
      </c>
      <c r="C901" s="200" t="s">
        <v>738</v>
      </c>
      <c r="D901" s="200" t="s">
        <v>1627</v>
      </c>
      <c r="E901" s="200" t="s">
        <v>707</v>
      </c>
      <c r="F901" s="200" t="s">
        <v>214</v>
      </c>
      <c r="G901" s="200" t="s">
        <v>708</v>
      </c>
      <c r="H901" s="200" t="s">
        <v>740</v>
      </c>
      <c r="I901" s="200" t="s">
        <v>710</v>
      </c>
      <c r="J901" s="158" t="s">
        <v>34</v>
      </c>
      <c r="K901" s="158" t="s">
        <v>3294</v>
      </c>
      <c r="L901" s="363" t="s">
        <v>1183</v>
      </c>
      <c r="M901" s="364">
        <v>0.88888888888888884</v>
      </c>
      <c r="N901" s="364">
        <v>0.93055555555555558</v>
      </c>
      <c r="O901" s="158" t="s">
        <v>1173</v>
      </c>
      <c r="P901" s="158"/>
      <c r="Q901" s="158"/>
      <c r="R901" s="158"/>
      <c r="S901" s="158"/>
      <c r="T901" s="365"/>
      <c r="U901" s="365"/>
      <c r="V901" s="365"/>
    </row>
    <row r="902" spans="1:22" ht="25.5">
      <c r="A902" s="153">
        <v>46308</v>
      </c>
      <c r="B902" s="200" t="s">
        <v>563</v>
      </c>
      <c r="C902" s="200" t="s">
        <v>53</v>
      </c>
      <c r="D902" s="200" t="s">
        <v>302</v>
      </c>
      <c r="E902" s="200" t="s">
        <v>707</v>
      </c>
      <c r="F902" s="200" t="s">
        <v>214</v>
      </c>
      <c r="G902" s="200" t="s">
        <v>708</v>
      </c>
      <c r="H902" s="200" t="s">
        <v>1176</v>
      </c>
      <c r="I902" s="200" t="s">
        <v>710</v>
      </c>
      <c r="J902" s="158" t="s">
        <v>34</v>
      </c>
      <c r="K902" s="158" t="s">
        <v>3295</v>
      </c>
      <c r="L902" s="363" t="s">
        <v>3296</v>
      </c>
      <c r="M902" s="364">
        <v>0.93055555555555558</v>
      </c>
      <c r="N902" s="364">
        <v>0.94444444444444442</v>
      </c>
      <c r="O902" s="158" t="s">
        <v>1173</v>
      </c>
      <c r="P902" s="158"/>
      <c r="Q902" s="158"/>
      <c r="R902" s="158"/>
      <c r="S902" s="158"/>
      <c r="T902" s="365"/>
      <c r="U902" s="365"/>
      <c r="V902" s="365"/>
    </row>
    <row r="903" spans="1:22" ht="25.5">
      <c r="A903" s="153">
        <v>46308</v>
      </c>
      <c r="B903" s="200" t="s">
        <v>563</v>
      </c>
      <c r="C903" s="200" t="s">
        <v>53</v>
      </c>
      <c r="D903" s="200" t="s">
        <v>302</v>
      </c>
      <c r="E903" s="200" t="s">
        <v>707</v>
      </c>
      <c r="F903" s="200" t="s">
        <v>214</v>
      </c>
      <c r="G903" s="200" t="s">
        <v>708</v>
      </c>
      <c r="H903" s="200" t="s">
        <v>740</v>
      </c>
      <c r="I903" s="200" t="s">
        <v>710</v>
      </c>
      <c r="J903" s="158" t="s">
        <v>34</v>
      </c>
      <c r="K903" s="158" t="s">
        <v>3297</v>
      </c>
      <c r="L903" s="363" t="s">
        <v>3298</v>
      </c>
      <c r="M903" s="364">
        <v>0.94444444444444442</v>
      </c>
      <c r="N903" s="364">
        <v>0.95833333333333337</v>
      </c>
      <c r="O903" s="158" t="s">
        <v>1173</v>
      </c>
      <c r="P903" s="158"/>
      <c r="Q903" s="158"/>
      <c r="R903" s="158"/>
      <c r="S903" s="158"/>
      <c r="T903" s="365"/>
      <c r="U903" s="365"/>
      <c r="V903" s="365"/>
    </row>
    <row r="904" spans="1:22" ht="25.5">
      <c r="A904" s="153">
        <v>46308</v>
      </c>
      <c r="B904" s="200" t="s">
        <v>563</v>
      </c>
      <c r="C904" s="200" t="s">
        <v>53</v>
      </c>
      <c r="D904" s="200" t="s">
        <v>302</v>
      </c>
      <c r="E904" s="200" t="s">
        <v>707</v>
      </c>
      <c r="F904" s="200" t="s">
        <v>214</v>
      </c>
      <c r="G904" s="200" t="s">
        <v>708</v>
      </c>
      <c r="H904" s="200" t="s">
        <v>1176</v>
      </c>
      <c r="I904" s="200" t="s">
        <v>710</v>
      </c>
      <c r="J904" s="158" t="s">
        <v>34</v>
      </c>
      <c r="K904" s="158" t="s">
        <v>3299</v>
      </c>
      <c r="L904" s="363" t="s">
        <v>3300</v>
      </c>
      <c r="M904" s="364">
        <v>0.95833333333333337</v>
      </c>
      <c r="N904" s="364">
        <v>0.97916666666666663</v>
      </c>
      <c r="O904" s="158" t="s">
        <v>1173</v>
      </c>
      <c r="P904" s="158"/>
      <c r="Q904" s="158"/>
      <c r="R904" s="158"/>
      <c r="S904" s="158"/>
      <c r="T904" s="365"/>
      <c r="U904" s="365"/>
      <c r="V904" s="365"/>
    </row>
    <row r="905" spans="1:22" ht="25.5">
      <c r="A905" s="153">
        <v>46308</v>
      </c>
      <c r="B905" s="200" t="s">
        <v>563</v>
      </c>
      <c r="C905" s="200" t="s">
        <v>53</v>
      </c>
      <c r="D905" s="200" t="s">
        <v>302</v>
      </c>
      <c r="E905" s="200" t="s">
        <v>707</v>
      </c>
      <c r="F905" s="200" t="s">
        <v>214</v>
      </c>
      <c r="G905" s="200" t="s">
        <v>708</v>
      </c>
      <c r="H905" s="200" t="s">
        <v>740</v>
      </c>
      <c r="I905" s="200" t="s">
        <v>710</v>
      </c>
      <c r="J905" s="158" t="s">
        <v>34</v>
      </c>
      <c r="K905" s="158" t="s">
        <v>3301</v>
      </c>
      <c r="L905" s="363" t="s">
        <v>3302</v>
      </c>
      <c r="M905" s="364">
        <v>0.97916666666666663</v>
      </c>
      <c r="N905" s="364">
        <v>0.99305555555555558</v>
      </c>
      <c r="O905" s="158" t="s">
        <v>1173</v>
      </c>
      <c r="P905" s="158"/>
      <c r="Q905" s="158"/>
      <c r="R905" s="158"/>
      <c r="S905" s="158"/>
      <c r="T905" s="365"/>
      <c r="U905" s="365"/>
      <c r="V905" s="365"/>
    </row>
    <row r="906" spans="1:22" ht="25.5">
      <c r="A906" s="153">
        <v>46308</v>
      </c>
      <c r="B906" s="200" t="s">
        <v>563</v>
      </c>
      <c r="C906" s="200" t="s">
        <v>53</v>
      </c>
      <c r="D906" s="200" t="s">
        <v>302</v>
      </c>
      <c r="E906" s="200" t="s">
        <v>707</v>
      </c>
      <c r="F906" s="200" t="s">
        <v>214</v>
      </c>
      <c r="G906" s="200" t="s">
        <v>708</v>
      </c>
      <c r="H906" s="200" t="s">
        <v>1176</v>
      </c>
      <c r="I906" s="200" t="s">
        <v>710</v>
      </c>
      <c r="J906" s="158" t="s">
        <v>34</v>
      </c>
      <c r="K906" s="158" t="s">
        <v>3303</v>
      </c>
      <c r="L906" s="363" t="s">
        <v>1183</v>
      </c>
      <c r="M906" s="364">
        <v>0.99305555555555558</v>
      </c>
      <c r="N906" s="364">
        <v>3.4722222222222224E-2</v>
      </c>
      <c r="O906" s="158" t="s">
        <v>1173</v>
      </c>
      <c r="P906" s="158"/>
      <c r="Q906" s="158"/>
      <c r="R906" s="158"/>
      <c r="S906" s="158"/>
      <c r="T906" s="365"/>
      <c r="U906" s="365"/>
      <c r="V906" s="365"/>
    </row>
    <row r="907" spans="1:22" ht="25.5">
      <c r="A907" s="153">
        <v>46308</v>
      </c>
      <c r="B907" s="200" t="s">
        <v>563</v>
      </c>
      <c r="C907" s="200" t="s">
        <v>53</v>
      </c>
      <c r="D907" s="200" t="s">
        <v>364</v>
      </c>
      <c r="E907" s="200" t="s">
        <v>707</v>
      </c>
      <c r="F907" s="200" t="s">
        <v>214</v>
      </c>
      <c r="G907" s="200" t="s">
        <v>708</v>
      </c>
      <c r="H907" s="200" t="s">
        <v>740</v>
      </c>
      <c r="I907" s="200" t="s">
        <v>710</v>
      </c>
      <c r="J907" s="158" t="s">
        <v>34</v>
      </c>
      <c r="K907" s="158" t="s">
        <v>3304</v>
      </c>
      <c r="L907" s="363" t="s">
        <v>3305</v>
      </c>
      <c r="M907" s="364">
        <v>3.4722222222222224E-2</v>
      </c>
      <c r="N907" s="364">
        <v>4.8611111111111112E-2</v>
      </c>
      <c r="O907" s="158" t="s">
        <v>1173</v>
      </c>
      <c r="P907" s="158"/>
      <c r="Q907" s="158"/>
      <c r="R907" s="158"/>
      <c r="S907" s="158"/>
      <c r="T907" s="365"/>
      <c r="U907" s="365"/>
      <c r="V907" s="365"/>
    </row>
    <row r="908" spans="1:22" ht="25.5">
      <c r="A908" s="153">
        <v>46308</v>
      </c>
      <c r="B908" s="200" t="s">
        <v>563</v>
      </c>
      <c r="C908" s="200" t="s">
        <v>53</v>
      </c>
      <c r="D908" s="200" t="s">
        <v>364</v>
      </c>
      <c r="E908" s="200" t="s">
        <v>707</v>
      </c>
      <c r="F908" s="200" t="s">
        <v>214</v>
      </c>
      <c r="G908" s="200" t="s">
        <v>708</v>
      </c>
      <c r="H908" s="200" t="s">
        <v>740</v>
      </c>
      <c r="I908" s="200" t="s">
        <v>710</v>
      </c>
      <c r="J908" s="158" t="s">
        <v>34</v>
      </c>
      <c r="K908" s="158" t="s">
        <v>3306</v>
      </c>
      <c r="L908" s="363" t="s">
        <v>1183</v>
      </c>
      <c r="M908" s="364">
        <v>4.8611111111111112E-2</v>
      </c>
      <c r="N908" s="364">
        <v>9.0277777777777776E-2</v>
      </c>
      <c r="O908" s="158" t="s">
        <v>1173</v>
      </c>
      <c r="P908" s="158"/>
      <c r="Q908" s="158"/>
      <c r="R908" s="158"/>
      <c r="S908" s="158"/>
      <c r="T908" s="365"/>
      <c r="U908" s="365"/>
      <c r="V908" s="365"/>
    </row>
    <row r="909" spans="1:22" ht="25.5">
      <c r="A909" s="153">
        <v>46308</v>
      </c>
      <c r="B909" s="200" t="s">
        <v>563</v>
      </c>
      <c r="C909" s="200" t="s">
        <v>53</v>
      </c>
      <c r="D909" s="200" t="s">
        <v>364</v>
      </c>
      <c r="E909" s="200" t="s">
        <v>707</v>
      </c>
      <c r="F909" s="200" t="s">
        <v>214</v>
      </c>
      <c r="G909" s="200" t="s">
        <v>708</v>
      </c>
      <c r="H909" s="200" t="s">
        <v>740</v>
      </c>
      <c r="I909" s="200" t="s">
        <v>710</v>
      </c>
      <c r="J909" s="158" t="s">
        <v>34</v>
      </c>
      <c r="K909" s="158" t="s">
        <v>3307</v>
      </c>
      <c r="L909" s="363" t="s">
        <v>3308</v>
      </c>
      <c r="M909" s="364">
        <v>9.0277777777777776E-2</v>
      </c>
      <c r="N909" s="364">
        <v>0.10416666666666667</v>
      </c>
      <c r="O909" s="158" t="s">
        <v>1173</v>
      </c>
      <c r="P909" s="158"/>
      <c r="Q909" s="158"/>
      <c r="R909" s="158"/>
      <c r="S909" s="158"/>
      <c r="T909" s="365"/>
      <c r="U909" s="365"/>
      <c r="V909" s="365"/>
    </row>
    <row r="910" spans="1:22" ht="25.5">
      <c r="A910" s="153">
        <v>46308</v>
      </c>
      <c r="B910" s="200" t="s">
        <v>563</v>
      </c>
      <c r="C910" s="200" t="s">
        <v>53</v>
      </c>
      <c r="D910" s="200" t="s">
        <v>364</v>
      </c>
      <c r="E910" s="200" t="s">
        <v>707</v>
      </c>
      <c r="F910" s="200" t="s">
        <v>214</v>
      </c>
      <c r="G910" s="200" t="s">
        <v>708</v>
      </c>
      <c r="H910" s="200" t="s">
        <v>740</v>
      </c>
      <c r="I910" s="200" t="s">
        <v>710</v>
      </c>
      <c r="J910" s="158" t="s">
        <v>34</v>
      </c>
      <c r="K910" s="158" t="s">
        <v>365</v>
      </c>
      <c r="L910" s="363" t="s">
        <v>3308</v>
      </c>
      <c r="M910" s="364">
        <v>0.10416666666666667</v>
      </c>
      <c r="N910" s="364">
        <v>0.11805555555555555</v>
      </c>
      <c r="O910" s="158" t="s">
        <v>1173</v>
      </c>
      <c r="P910" s="158"/>
      <c r="Q910" s="158"/>
      <c r="R910" s="158"/>
      <c r="S910" s="158"/>
      <c r="T910" s="365"/>
      <c r="U910" s="365"/>
      <c r="V910" s="365"/>
    </row>
    <row r="911" spans="1:22" ht="25.5">
      <c r="A911" s="153">
        <v>46308</v>
      </c>
      <c r="B911" s="200" t="s">
        <v>556</v>
      </c>
      <c r="C911" s="200" t="s">
        <v>1236</v>
      </c>
      <c r="D911" s="200" t="s">
        <v>1250</v>
      </c>
      <c r="E911" s="200" t="s">
        <v>707</v>
      </c>
      <c r="F911" s="200" t="s">
        <v>214</v>
      </c>
      <c r="G911" s="200" t="s">
        <v>708</v>
      </c>
      <c r="H911" s="200" t="s">
        <v>740</v>
      </c>
      <c r="I911" s="200" t="s">
        <v>710</v>
      </c>
      <c r="J911" s="158" t="s">
        <v>34</v>
      </c>
      <c r="K911" s="158" t="s">
        <v>3309</v>
      </c>
      <c r="L911" s="363" t="s">
        <v>1183</v>
      </c>
      <c r="M911" s="364">
        <v>0.11805555555555555</v>
      </c>
      <c r="N911" s="364">
        <v>0.15972222222222221</v>
      </c>
      <c r="O911" s="158" t="s">
        <v>1173</v>
      </c>
      <c r="P911" s="158"/>
      <c r="Q911" s="158"/>
      <c r="R911" s="158"/>
      <c r="S911" s="158"/>
      <c r="T911" s="365"/>
      <c r="U911" s="365"/>
      <c r="V911" s="365"/>
    </row>
    <row r="912" spans="1:22" ht="25.5">
      <c r="A912" s="153">
        <v>46308</v>
      </c>
      <c r="B912" s="200" t="s">
        <v>556</v>
      </c>
      <c r="C912" s="200" t="s">
        <v>1236</v>
      </c>
      <c r="D912" s="200" t="s">
        <v>210</v>
      </c>
      <c r="E912" s="200" t="s">
        <v>707</v>
      </c>
      <c r="F912" s="200" t="s">
        <v>214</v>
      </c>
      <c r="G912" s="200" t="s">
        <v>708</v>
      </c>
      <c r="H912" s="200" t="s">
        <v>740</v>
      </c>
      <c r="I912" s="200" t="s">
        <v>710</v>
      </c>
      <c r="J912" s="158" t="s">
        <v>34</v>
      </c>
      <c r="K912" s="158" t="s">
        <v>3310</v>
      </c>
      <c r="L912" s="363" t="s">
        <v>1183</v>
      </c>
      <c r="M912" s="364">
        <v>0.15972222222222221</v>
      </c>
      <c r="N912" s="364">
        <v>0.2013888888888889</v>
      </c>
      <c r="O912" s="158" t="s">
        <v>1173</v>
      </c>
      <c r="P912" s="158"/>
      <c r="Q912" s="158"/>
      <c r="R912" s="158"/>
      <c r="S912" s="158"/>
      <c r="T912" s="365"/>
      <c r="U912" s="365"/>
      <c r="V912" s="365"/>
    </row>
    <row r="913" spans="1:22" ht="25.5">
      <c r="A913" s="153">
        <v>46308</v>
      </c>
      <c r="B913" s="200" t="s">
        <v>547</v>
      </c>
      <c r="C913" s="200" t="s">
        <v>53</v>
      </c>
      <c r="D913" s="200" t="s">
        <v>1221</v>
      </c>
      <c r="E913" s="200" t="s">
        <v>707</v>
      </c>
      <c r="F913" s="200" t="s">
        <v>55</v>
      </c>
      <c r="G913" s="200" t="s">
        <v>3311</v>
      </c>
      <c r="H913" s="200" t="s">
        <v>740</v>
      </c>
      <c r="I913" s="200" t="s">
        <v>710</v>
      </c>
      <c r="J913" s="158" t="s">
        <v>34</v>
      </c>
      <c r="K913" s="158" t="s">
        <v>3312</v>
      </c>
      <c r="L913" s="363" t="s">
        <v>3313</v>
      </c>
      <c r="M913" s="364">
        <v>0.83333333333333337</v>
      </c>
      <c r="N913" s="364">
        <v>0.91666666666666663</v>
      </c>
      <c r="O913" s="158">
        <v>53041688</v>
      </c>
      <c r="P913" s="158"/>
      <c r="Q913" s="158"/>
      <c r="R913" s="158"/>
      <c r="S913" s="158"/>
      <c r="T913" s="365"/>
      <c r="U913" s="365"/>
      <c r="V913" s="365"/>
    </row>
    <row r="914" spans="1:22" ht="25.5">
      <c r="A914" s="153">
        <v>46308</v>
      </c>
      <c r="B914" s="200" t="s">
        <v>547</v>
      </c>
      <c r="C914" s="200" t="s">
        <v>53</v>
      </c>
      <c r="D914" s="200" t="s">
        <v>292</v>
      </c>
      <c r="E914" s="200" t="s">
        <v>707</v>
      </c>
      <c r="F914" s="200" t="s">
        <v>55</v>
      </c>
      <c r="G914" s="200" t="s">
        <v>3311</v>
      </c>
      <c r="H914" s="200" t="s">
        <v>740</v>
      </c>
      <c r="I914" s="200" t="s">
        <v>710</v>
      </c>
      <c r="J914" s="158" t="s">
        <v>34</v>
      </c>
      <c r="K914" s="158" t="s">
        <v>3314</v>
      </c>
      <c r="L914" s="363" t="s">
        <v>3315</v>
      </c>
      <c r="M914" s="364">
        <v>0.91666666666666663</v>
      </c>
      <c r="N914" s="364">
        <v>0.95833333333333337</v>
      </c>
      <c r="O914" s="158">
        <v>53041688</v>
      </c>
      <c r="P914" s="158">
        <v>145524</v>
      </c>
      <c r="Q914" s="158"/>
      <c r="R914" s="158"/>
      <c r="S914" s="158"/>
      <c r="T914" s="365"/>
      <c r="U914" s="365"/>
      <c r="V914" s="365"/>
    </row>
    <row r="915" spans="1:22" ht="25.5">
      <c r="A915" s="153">
        <v>46308</v>
      </c>
      <c r="B915" s="200" t="s">
        <v>563</v>
      </c>
      <c r="C915" s="200" t="s">
        <v>53</v>
      </c>
      <c r="D915" s="200" t="s">
        <v>182</v>
      </c>
      <c r="E915" s="200" t="s">
        <v>707</v>
      </c>
      <c r="F915" s="200" t="s">
        <v>55</v>
      </c>
      <c r="G915" s="200" t="s">
        <v>3311</v>
      </c>
      <c r="H915" s="200" t="s">
        <v>740</v>
      </c>
      <c r="I915" s="200" t="s">
        <v>710</v>
      </c>
      <c r="J915" s="158" t="s">
        <v>34</v>
      </c>
      <c r="K915" s="158" t="s">
        <v>3316</v>
      </c>
      <c r="L915" s="363" t="s">
        <v>3317</v>
      </c>
      <c r="M915" s="364">
        <v>0.95833333333333337</v>
      </c>
      <c r="N915" s="364">
        <v>0</v>
      </c>
      <c r="O915" s="158">
        <v>53041688</v>
      </c>
      <c r="P915" s="158">
        <v>145524</v>
      </c>
      <c r="Q915" s="158"/>
      <c r="R915" s="158"/>
      <c r="S915" s="158"/>
      <c r="T915" s="365"/>
      <c r="U915" s="365"/>
      <c r="V915" s="365"/>
    </row>
    <row r="916" spans="1:22" ht="25.5">
      <c r="A916" s="153">
        <v>46308</v>
      </c>
      <c r="B916" s="200" t="s">
        <v>563</v>
      </c>
      <c r="C916" s="200" t="s">
        <v>53</v>
      </c>
      <c r="D916" s="200" t="s">
        <v>182</v>
      </c>
      <c r="E916" s="200" t="s">
        <v>707</v>
      </c>
      <c r="F916" s="200" t="s">
        <v>55</v>
      </c>
      <c r="G916" s="200" t="s">
        <v>3311</v>
      </c>
      <c r="H916" s="200" t="s">
        <v>740</v>
      </c>
      <c r="I916" s="200" t="s">
        <v>710</v>
      </c>
      <c r="J916" s="158" t="s">
        <v>34</v>
      </c>
      <c r="K916" s="158" t="s">
        <v>3318</v>
      </c>
      <c r="L916" s="363" t="s">
        <v>3319</v>
      </c>
      <c r="M916" s="364">
        <v>0</v>
      </c>
      <c r="N916" s="364">
        <v>4.1666666666666664E-2</v>
      </c>
      <c r="O916" s="158">
        <v>53041688</v>
      </c>
      <c r="P916" s="158">
        <v>145524</v>
      </c>
      <c r="Q916" s="158"/>
      <c r="R916" s="158"/>
      <c r="S916" s="158"/>
      <c r="T916" s="365"/>
      <c r="U916" s="365"/>
      <c r="V916" s="365"/>
    </row>
    <row r="917" spans="1:22" ht="25.5">
      <c r="A917" s="153">
        <v>46308</v>
      </c>
      <c r="B917" s="200" t="s">
        <v>563</v>
      </c>
      <c r="C917" s="200" t="s">
        <v>53</v>
      </c>
      <c r="D917" s="200" t="s">
        <v>182</v>
      </c>
      <c r="E917" s="200" t="s">
        <v>707</v>
      </c>
      <c r="F917" s="200" t="s">
        <v>55</v>
      </c>
      <c r="G917" s="200" t="s">
        <v>3311</v>
      </c>
      <c r="H917" s="200" t="s">
        <v>740</v>
      </c>
      <c r="I917" s="200" t="s">
        <v>710</v>
      </c>
      <c r="J917" s="158" t="s">
        <v>34</v>
      </c>
      <c r="K917" s="158" t="s">
        <v>3320</v>
      </c>
      <c r="L917" s="363" t="s">
        <v>3321</v>
      </c>
      <c r="M917" s="364">
        <v>4.1666666666666664E-2</v>
      </c>
      <c r="N917" s="364">
        <v>8.3333333333333329E-2</v>
      </c>
      <c r="O917" s="158">
        <v>53041688</v>
      </c>
      <c r="P917" s="158">
        <v>145524</v>
      </c>
      <c r="Q917" s="158"/>
      <c r="R917" s="158"/>
      <c r="S917" s="158"/>
      <c r="T917" s="365"/>
      <c r="U917" s="365"/>
      <c r="V917" s="365"/>
    </row>
    <row r="918" spans="1:22" ht="25.5">
      <c r="A918" s="153">
        <v>46308</v>
      </c>
      <c r="B918" s="200" t="s">
        <v>563</v>
      </c>
      <c r="C918" s="200" t="s">
        <v>53</v>
      </c>
      <c r="D918" s="200" t="s">
        <v>182</v>
      </c>
      <c r="E918" s="200" t="s">
        <v>707</v>
      </c>
      <c r="F918" s="200" t="s">
        <v>55</v>
      </c>
      <c r="G918" s="200" t="s">
        <v>3311</v>
      </c>
      <c r="H918" s="200" t="s">
        <v>740</v>
      </c>
      <c r="I918" s="200" t="s">
        <v>710</v>
      </c>
      <c r="J918" s="158" t="s">
        <v>34</v>
      </c>
      <c r="K918" s="158" t="s">
        <v>3322</v>
      </c>
      <c r="L918" s="363" t="s">
        <v>3323</v>
      </c>
      <c r="M918" s="364">
        <v>0.83333333333333337</v>
      </c>
      <c r="N918" s="364">
        <v>0.875</v>
      </c>
      <c r="O918" s="158">
        <v>145526</v>
      </c>
      <c r="P918" s="158">
        <v>83123903</v>
      </c>
      <c r="Q918" s="158"/>
      <c r="R918" s="158"/>
      <c r="S918" s="158"/>
      <c r="T918" s="365"/>
      <c r="U918" s="365"/>
      <c r="V918" s="365"/>
    </row>
    <row r="919" spans="1:22" ht="25.5">
      <c r="A919" s="153">
        <v>46308</v>
      </c>
      <c r="B919" s="200" t="s">
        <v>563</v>
      </c>
      <c r="C919" s="200" t="s">
        <v>53</v>
      </c>
      <c r="D919" s="200" t="s">
        <v>182</v>
      </c>
      <c r="E919" s="200" t="s">
        <v>707</v>
      </c>
      <c r="F919" s="200" t="s">
        <v>55</v>
      </c>
      <c r="G919" s="200" t="s">
        <v>3311</v>
      </c>
      <c r="H919" s="200" t="s">
        <v>740</v>
      </c>
      <c r="I919" s="200" t="s">
        <v>710</v>
      </c>
      <c r="J919" s="158" t="s">
        <v>34</v>
      </c>
      <c r="K919" s="158" t="s">
        <v>3324</v>
      </c>
      <c r="L919" s="363" t="s">
        <v>3325</v>
      </c>
      <c r="M919" s="364">
        <v>0.875</v>
      </c>
      <c r="N919" s="364">
        <v>0.91666666666666663</v>
      </c>
      <c r="O919" s="158">
        <v>145526</v>
      </c>
      <c r="P919" s="158">
        <v>83123903</v>
      </c>
      <c r="Q919" s="158"/>
      <c r="R919" s="158"/>
      <c r="S919" s="158"/>
      <c r="T919" s="365"/>
      <c r="U919" s="365"/>
      <c r="V919" s="365"/>
    </row>
    <row r="920" spans="1:22" ht="25.5">
      <c r="A920" s="153">
        <v>46308</v>
      </c>
      <c r="B920" s="200" t="s">
        <v>563</v>
      </c>
      <c r="C920" s="200" t="s">
        <v>53</v>
      </c>
      <c r="D920" s="200" t="s">
        <v>182</v>
      </c>
      <c r="E920" s="200" t="s">
        <v>707</v>
      </c>
      <c r="F920" s="200" t="s">
        <v>55</v>
      </c>
      <c r="G920" s="200" t="s">
        <v>3311</v>
      </c>
      <c r="H920" s="200" t="s">
        <v>740</v>
      </c>
      <c r="I920" s="200" t="s">
        <v>710</v>
      </c>
      <c r="J920" s="158" t="s">
        <v>34</v>
      </c>
      <c r="K920" s="158" t="s">
        <v>3326</v>
      </c>
      <c r="L920" s="363" t="s">
        <v>3327</v>
      </c>
      <c r="M920" s="364">
        <v>0.91666666666666663</v>
      </c>
      <c r="N920" s="364">
        <v>0</v>
      </c>
      <c r="O920" s="158">
        <v>145526</v>
      </c>
      <c r="P920" s="158">
        <v>83123903</v>
      </c>
      <c r="Q920" s="158"/>
      <c r="R920" s="158"/>
      <c r="S920" s="158"/>
      <c r="T920" s="365"/>
      <c r="U920" s="365"/>
      <c r="V920" s="365"/>
    </row>
    <row r="921" spans="1:22" ht="25.5">
      <c r="A921" s="153">
        <v>46308</v>
      </c>
      <c r="B921" s="200" t="s">
        <v>563</v>
      </c>
      <c r="C921" s="200" t="s">
        <v>53</v>
      </c>
      <c r="D921" s="200" t="s">
        <v>182</v>
      </c>
      <c r="E921" s="200" t="s">
        <v>707</v>
      </c>
      <c r="F921" s="200" t="s">
        <v>55</v>
      </c>
      <c r="G921" s="200" t="s">
        <v>3311</v>
      </c>
      <c r="H921" s="200" t="s">
        <v>740</v>
      </c>
      <c r="I921" s="200" t="s">
        <v>710</v>
      </c>
      <c r="J921" s="158" t="s">
        <v>34</v>
      </c>
      <c r="K921" s="158" t="s">
        <v>3328</v>
      </c>
      <c r="L921" s="363" t="s">
        <v>3329</v>
      </c>
      <c r="M921" s="364">
        <v>0</v>
      </c>
      <c r="N921" s="364">
        <v>8.3333333333333329E-2</v>
      </c>
      <c r="O921" s="158">
        <v>145526</v>
      </c>
      <c r="P921" s="158">
        <v>83123903</v>
      </c>
      <c r="Q921" s="158"/>
      <c r="R921" s="158"/>
      <c r="S921" s="158"/>
      <c r="T921" s="365"/>
      <c r="U921" s="365"/>
      <c r="V921" s="365"/>
    </row>
    <row r="922" spans="1:22" ht="25.5">
      <c r="A922" s="153">
        <v>46308</v>
      </c>
      <c r="B922" s="200" t="s">
        <v>563</v>
      </c>
      <c r="C922" s="200" t="s">
        <v>53</v>
      </c>
      <c r="D922" s="200" t="s">
        <v>182</v>
      </c>
      <c r="E922" s="200" t="s">
        <v>707</v>
      </c>
      <c r="F922" s="200" t="s">
        <v>55</v>
      </c>
      <c r="G922" s="200" t="s">
        <v>3311</v>
      </c>
      <c r="H922" s="200" t="s">
        <v>740</v>
      </c>
      <c r="I922" s="200" t="s">
        <v>710</v>
      </c>
      <c r="J922" s="158" t="s">
        <v>34</v>
      </c>
      <c r="K922" s="158" t="s">
        <v>3330</v>
      </c>
      <c r="L922" s="363" t="s">
        <v>3331</v>
      </c>
      <c r="M922" s="364">
        <v>8.3333333333333329E-2</v>
      </c>
      <c r="N922" s="364">
        <v>0.125</v>
      </c>
      <c r="O922" s="158">
        <v>145526</v>
      </c>
      <c r="P922" s="158">
        <v>83123903</v>
      </c>
      <c r="Q922" s="158"/>
      <c r="R922" s="158"/>
      <c r="S922" s="158"/>
      <c r="T922" s="365"/>
      <c r="U922" s="365"/>
      <c r="V922" s="365"/>
    </row>
    <row r="923" spans="1:22" ht="38.25">
      <c r="A923" s="153">
        <v>46308</v>
      </c>
      <c r="B923" s="200" t="s">
        <v>563</v>
      </c>
      <c r="C923" s="200" t="s">
        <v>53</v>
      </c>
      <c r="D923" s="200" t="s">
        <v>564</v>
      </c>
      <c r="E923" s="200" t="s">
        <v>707</v>
      </c>
      <c r="F923" s="200" t="s">
        <v>94</v>
      </c>
      <c r="G923" s="200" t="s">
        <v>3311</v>
      </c>
      <c r="H923" s="200" t="s">
        <v>740</v>
      </c>
      <c r="I923" s="200" t="s">
        <v>710</v>
      </c>
      <c r="J923" s="158" t="s">
        <v>34</v>
      </c>
      <c r="K923" s="158" t="s">
        <v>3173</v>
      </c>
      <c r="L923" s="363" t="s">
        <v>3332</v>
      </c>
      <c r="M923" s="364">
        <v>0.20833333333333334</v>
      </c>
      <c r="N923" s="364">
        <v>0.25</v>
      </c>
      <c r="O923" s="158" t="s">
        <v>3333</v>
      </c>
      <c r="P923" s="158" t="s">
        <v>3334</v>
      </c>
      <c r="Q923" s="158"/>
      <c r="R923" s="158"/>
      <c r="S923" s="158"/>
      <c r="T923" s="365"/>
      <c r="U923" s="365"/>
      <c r="V923" s="365"/>
    </row>
    <row r="924" spans="1:22" ht="12.75">
      <c r="A924" s="153"/>
      <c r="B924" s="200"/>
      <c r="C924" s="200"/>
      <c r="D924" s="200"/>
      <c r="E924" s="200"/>
      <c r="F924" s="200"/>
      <c r="G924" s="200"/>
      <c r="H924" s="200"/>
      <c r="I924" s="200"/>
      <c r="J924" s="158"/>
      <c r="K924" s="158"/>
      <c r="L924" s="363"/>
      <c r="M924" s="364"/>
      <c r="N924" s="364"/>
      <c r="O924" s="158"/>
      <c r="P924" s="158"/>
      <c r="Q924" s="158"/>
      <c r="R924" s="158"/>
      <c r="S924" s="158"/>
      <c r="T924" s="365"/>
      <c r="U924" s="365"/>
      <c r="V924" s="365"/>
    </row>
    <row r="925" spans="1:22" ht="12.75">
      <c r="A925" s="153"/>
      <c r="B925" s="200"/>
      <c r="C925" s="200"/>
      <c r="D925" s="200"/>
      <c r="E925" s="200"/>
      <c r="F925" s="200"/>
      <c r="G925" s="200"/>
      <c r="H925" s="200"/>
      <c r="I925" s="200"/>
      <c r="J925" s="158"/>
      <c r="K925" s="158"/>
      <c r="L925" s="363"/>
      <c r="M925" s="364"/>
      <c r="N925" s="364"/>
      <c r="O925" s="158"/>
      <c r="P925" s="158"/>
      <c r="Q925" s="158"/>
      <c r="R925" s="158"/>
      <c r="S925" s="158"/>
      <c r="T925" s="365"/>
      <c r="U925" s="365"/>
      <c r="V925" s="365"/>
    </row>
    <row r="926" spans="1:22" ht="12.75">
      <c r="A926" s="153"/>
      <c r="B926" s="200"/>
      <c r="C926" s="200"/>
      <c r="D926" s="200"/>
      <c r="E926" s="200"/>
      <c r="F926" s="200"/>
      <c r="G926" s="200"/>
      <c r="H926" s="200"/>
      <c r="I926" s="200"/>
      <c r="J926" s="158"/>
      <c r="K926" s="158"/>
      <c r="L926" s="363"/>
      <c r="M926" s="364"/>
      <c r="N926" s="364"/>
      <c r="O926" s="158"/>
      <c r="P926" s="158"/>
      <c r="Q926" s="158"/>
      <c r="R926" s="158"/>
      <c r="S926" s="158"/>
      <c r="T926" s="365"/>
      <c r="U926" s="365"/>
      <c r="V926" s="365"/>
    </row>
    <row r="927" spans="1:22" ht="12.75">
      <c r="A927" s="153"/>
      <c r="B927" s="200"/>
      <c r="C927" s="200"/>
      <c r="D927" s="200"/>
      <c r="E927" s="200"/>
      <c r="F927" s="200"/>
      <c r="G927" s="200"/>
      <c r="H927" s="200"/>
      <c r="I927" s="200"/>
      <c r="J927" s="158"/>
      <c r="K927" s="158"/>
      <c r="L927" s="363"/>
      <c r="M927" s="364"/>
      <c r="N927" s="364"/>
      <c r="O927" s="158"/>
      <c r="P927" s="158"/>
      <c r="Q927" s="158"/>
      <c r="R927" s="158"/>
      <c r="S927" s="158"/>
      <c r="T927" s="365"/>
      <c r="U927" s="365"/>
      <c r="V927" s="365"/>
    </row>
    <row r="928" spans="1:22" ht="12.75">
      <c r="A928" s="153"/>
      <c r="B928" s="200"/>
      <c r="C928" s="200"/>
      <c r="D928" s="200"/>
      <c r="E928" s="200"/>
      <c r="F928" s="200"/>
      <c r="G928" s="200"/>
      <c r="H928" s="200"/>
      <c r="I928" s="200"/>
      <c r="J928" s="158"/>
      <c r="K928" s="158"/>
      <c r="L928" s="363"/>
      <c r="M928" s="364"/>
      <c r="N928" s="364"/>
      <c r="O928" s="158"/>
      <c r="P928" s="158"/>
      <c r="Q928" s="158"/>
      <c r="R928" s="158"/>
      <c r="S928" s="158"/>
      <c r="T928" s="365"/>
      <c r="U928" s="365"/>
      <c r="V928" s="365"/>
    </row>
    <row r="929" spans="1:22" ht="12.75">
      <c r="A929" s="153"/>
      <c r="B929" s="200"/>
      <c r="C929" s="200"/>
      <c r="D929" s="200"/>
      <c r="E929" s="200"/>
      <c r="F929" s="200"/>
      <c r="G929" s="200"/>
      <c r="H929" s="200"/>
      <c r="I929" s="200"/>
      <c r="J929" s="158"/>
      <c r="K929" s="158"/>
      <c r="L929" s="363"/>
      <c r="M929" s="364"/>
      <c r="N929" s="364"/>
      <c r="O929" s="158"/>
      <c r="P929" s="158"/>
      <c r="Q929" s="158"/>
      <c r="R929" s="158"/>
      <c r="S929" s="158"/>
      <c r="T929" s="365"/>
      <c r="U929" s="365"/>
      <c r="V929" s="365"/>
    </row>
    <row r="930" spans="1:22" ht="12.75">
      <c r="A930" s="153"/>
      <c r="B930" s="200"/>
      <c r="C930" s="200"/>
      <c r="D930" s="200"/>
      <c r="E930" s="200"/>
      <c r="F930" s="200"/>
      <c r="G930" s="200"/>
      <c r="H930" s="200"/>
      <c r="I930" s="200"/>
      <c r="J930" s="158"/>
      <c r="K930" s="158"/>
      <c r="L930" s="363"/>
      <c r="M930" s="364"/>
      <c r="N930" s="364"/>
      <c r="O930" s="158"/>
      <c r="P930" s="158"/>
      <c r="Q930" s="158"/>
      <c r="R930" s="158"/>
      <c r="S930" s="158"/>
      <c r="T930" s="365"/>
      <c r="U930" s="365"/>
      <c r="V930" s="365"/>
    </row>
    <row r="931" spans="1:22" ht="12.75">
      <c r="A931" s="153"/>
      <c r="B931" s="200"/>
      <c r="C931" s="200"/>
      <c r="D931" s="200"/>
      <c r="E931" s="200"/>
      <c r="F931" s="200"/>
      <c r="G931" s="200"/>
      <c r="H931" s="200"/>
      <c r="I931" s="200"/>
      <c r="J931" s="158"/>
      <c r="K931" s="158"/>
      <c r="L931" s="363"/>
      <c r="M931" s="364"/>
      <c r="N931" s="364"/>
      <c r="O931" s="158"/>
      <c r="P931" s="158"/>
      <c r="Q931" s="158"/>
      <c r="R931" s="158"/>
      <c r="S931" s="158"/>
      <c r="T931" s="365"/>
      <c r="U931" s="365"/>
      <c r="V931" s="365"/>
    </row>
    <row r="932" spans="1:22" ht="12.75">
      <c r="A932" s="153"/>
      <c r="B932" s="200"/>
      <c r="C932" s="200"/>
      <c r="D932" s="200"/>
      <c r="E932" s="200"/>
      <c r="F932" s="200"/>
      <c r="G932" s="200"/>
      <c r="H932" s="200"/>
      <c r="I932" s="200"/>
      <c r="J932" s="158"/>
      <c r="K932" s="158"/>
      <c r="L932" s="363"/>
      <c r="M932" s="364"/>
      <c r="N932" s="364"/>
      <c r="O932" s="158"/>
      <c r="P932" s="158"/>
      <c r="Q932" s="158"/>
      <c r="R932" s="158"/>
      <c r="S932" s="158"/>
      <c r="T932" s="365"/>
      <c r="U932" s="365"/>
      <c r="V932" s="365"/>
    </row>
    <row r="933" spans="1:22" ht="12.75">
      <c r="A933" s="153"/>
      <c r="B933" s="200"/>
      <c r="C933" s="200"/>
      <c r="D933" s="200"/>
      <c r="E933" s="200"/>
      <c r="F933" s="200"/>
      <c r="G933" s="200"/>
      <c r="H933" s="200"/>
      <c r="I933" s="200"/>
      <c r="J933" s="158"/>
      <c r="K933" s="158"/>
      <c r="L933" s="363"/>
      <c r="M933" s="364"/>
      <c r="N933" s="364"/>
      <c r="O933" s="158"/>
      <c r="P933" s="158"/>
      <c r="Q933" s="158"/>
      <c r="R933" s="158"/>
      <c r="S933" s="158"/>
      <c r="T933" s="365"/>
      <c r="U933" s="365"/>
      <c r="V933" s="365"/>
    </row>
    <row r="934" spans="1:22" ht="12.75">
      <c r="A934" s="153"/>
      <c r="B934" s="200"/>
      <c r="C934" s="200"/>
      <c r="D934" s="200"/>
      <c r="E934" s="200"/>
      <c r="F934" s="200"/>
      <c r="G934" s="200"/>
      <c r="H934" s="200"/>
      <c r="I934" s="200"/>
      <c r="J934" s="158"/>
      <c r="K934" s="158"/>
      <c r="L934" s="363"/>
      <c r="M934" s="364"/>
      <c r="N934" s="364"/>
      <c r="O934" s="158"/>
      <c r="P934" s="158"/>
      <c r="Q934" s="158"/>
      <c r="R934" s="158"/>
      <c r="S934" s="158"/>
      <c r="T934" s="365"/>
      <c r="U934" s="365"/>
      <c r="V934" s="365"/>
    </row>
    <row r="935" spans="1:22" ht="12.75">
      <c r="A935" s="153"/>
      <c r="B935" s="200"/>
      <c r="C935" s="200"/>
      <c r="D935" s="200"/>
      <c r="E935" s="200"/>
      <c r="F935" s="200"/>
      <c r="G935" s="200"/>
      <c r="H935" s="200"/>
      <c r="I935" s="200"/>
      <c r="J935" s="158"/>
      <c r="K935" s="158"/>
      <c r="L935" s="363"/>
      <c r="M935" s="364"/>
      <c r="N935" s="364"/>
      <c r="O935" s="158"/>
      <c r="P935" s="158"/>
      <c r="Q935" s="158"/>
      <c r="R935" s="158"/>
      <c r="S935" s="158"/>
      <c r="T935" s="365"/>
      <c r="U935" s="365"/>
      <c r="V935" s="365"/>
    </row>
    <row r="936" spans="1:22" ht="12.75">
      <c r="A936" s="153"/>
      <c r="B936" s="200"/>
      <c r="C936" s="200"/>
      <c r="D936" s="200"/>
      <c r="E936" s="200"/>
      <c r="F936" s="200"/>
      <c r="G936" s="200"/>
      <c r="H936" s="200"/>
      <c r="I936" s="200"/>
      <c r="J936" s="158"/>
      <c r="K936" s="158"/>
      <c r="L936" s="363"/>
      <c r="M936" s="364"/>
      <c r="N936" s="364"/>
      <c r="O936" s="158"/>
      <c r="P936" s="158"/>
      <c r="Q936" s="158"/>
      <c r="R936" s="158"/>
      <c r="S936" s="158"/>
      <c r="T936" s="365"/>
      <c r="U936" s="365"/>
      <c r="V936" s="365"/>
    </row>
    <row r="937" spans="1:22" ht="12.75">
      <c r="A937" s="153"/>
      <c r="B937" s="200"/>
      <c r="C937" s="200"/>
      <c r="D937" s="200"/>
      <c r="E937" s="200"/>
      <c r="F937" s="200"/>
      <c r="G937" s="200"/>
      <c r="H937" s="200"/>
      <c r="I937" s="200"/>
      <c r="J937" s="158"/>
      <c r="K937" s="158"/>
      <c r="L937" s="363"/>
      <c r="M937" s="364"/>
      <c r="N937" s="364"/>
      <c r="O937" s="158"/>
      <c r="P937" s="158"/>
      <c r="Q937" s="158"/>
      <c r="R937" s="158"/>
      <c r="S937" s="158"/>
      <c r="T937" s="365"/>
      <c r="U937" s="365"/>
      <c r="V937" s="365"/>
    </row>
    <row r="938" spans="1:22" ht="12.75">
      <c r="A938" s="153"/>
      <c r="B938" s="200"/>
      <c r="C938" s="200"/>
      <c r="D938" s="200"/>
      <c r="E938" s="200"/>
      <c r="F938" s="200"/>
      <c r="G938" s="200"/>
      <c r="H938" s="200"/>
      <c r="I938" s="200"/>
      <c r="J938" s="158"/>
      <c r="K938" s="158"/>
      <c r="L938" s="363"/>
      <c r="M938" s="364"/>
      <c r="N938" s="364"/>
      <c r="O938" s="158"/>
      <c r="P938" s="158"/>
      <c r="Q938" s="158"/>
      <c r="R938" s="158"/>
      <c r="S938" s="158"/>
      <c r="T938" s="365"/>
      <c r="U938" s="365"/>
      <c r="V938" s="365"/>
    </row>
    <row r="939" spans="1:22" ht="12.75">
      <c r="A939" s="153"/>
      <c r="B939" s="200"/>
      <c r="C939" s="200"/>
      <c r="D939" s="200"/>
      <c r="E939" s="200"/>
      <c r="F939" s="200"/>
      <c r="G939" s="200"/>
      <c r="H939" s="200"/>
      <c r="I939" s="200"/>
      <c r="J939" s="158"/>
      <c r="K939" s="158"/>
      <c r="L939" s="363"/>
      <c r="M939" s="364"/>
      <c r="N939" s="364"/>
      <c r="O939" s="158"/>
      <c r="P939" s="158"/>
      <c r="Q939" s="158"/>
      <c r="R939" s="158"/>
      <c r="S939" s="158"/>
      <c r="T939" s="365"/>
      <c r="U939" s="365"/>
      <c r="V939" s="365"/>
    </row>
    <row r="940" spans="1:22" ht="12.75">
      <c r="A940" s="153"/>
      <c r="B940" s="200"/>
      <c r="C940" s="200"/>
      <c r="D940" s="200"/>
      <c r="E940" s="200"/>
      <c r="F940" s="200"/>
      <c r="G940" s="200"/>
      <c r="H940" s="200"/>
      <c r="I940" s="200"/>
      <c r="J940" s="158"/>
      <c r="K940" s="158"/>
      <c r="L940" s="363"/>
      <c r="M940" s="364"/>
      <c r="N940" s="364"/>
      <c r="O940" s="158"/>
      <c r="P940" s="158"/>
      <c r="Q940" s="158"/>
      <c r="R940" s="158"/>
      <c r="S940" s="158"/>
      <c r="T940" s="365"/>
      <c r="U940" s="365"/>
      <c r="V940" s="365"/>
    </row>
    <row r="941" spans="1:22" ht="12.75">
      <c r="A941" s="153"/>
      <c r="B941" s="200"/>
      <c r="C941" s="200"/>
      <c r="D941" s="200"/>
      <c r="E941" s="200"/>
      <c r="F941" s="200"/>
      <c r="G941" s="200"/>
      <c r="H941" s="200"/>
      <c r="I941" s="200"/>
      <c r="J941" s="158"/>
      <c r="K941" s="158"/>
      <c r="L941" s="363"/>
      <c r="M941" s="364"/>
      <c r="N941" s="364"/>
      <c r="O941" s="158"/>
      <c r="P941" s="158"/>
      <c r="Q941" s="158"/>
      <c r="R941" s="158"/>
      <c r="S941" s="158"/>
      <c r="T941" s="365"/>
      <c r="U941" s="365"/>
      <c r="V941" s="365"/>
    </row>
    <row r="942" spans="1:22" ht="12.75">
      <c r="A942" s="153"/>
      <c r="B942" s="200"/>
      <c r="C942" s="200"/>
      <c r="D942" s="200"/>
      <c r="E942" s="200"/>
      <c r="F942" s="200"/>
      <c r="G942" s="200"/>
      <c r="H942" s="200"/>
      <c r="I942" s="200"/>
      <c r="J942" s="158"/>
      <c r="K942" s="158"/>
      <c r="L942" s="363"/>
      <c r="M942" s="364"/>
      <c r="N942" s="364"/>
      <c r="O942" s="158"/>
      <c r="P942" s="158"/>
      <c r="Q942" s="158"/>
      <c r="R942" s="158"/>
      <c r="S942" s="158"/>
      <c r="T942" s="365"/>
      <c r="U942" s="365"/>
      <c r="V942" s="365"/>
    </row>
    <row r="943" spans="1:22" ht="12.75">
      <c r="A943" s="153"/>
      <c r="B943" s="200"/>
      <c r="C943" s="200"/>
      <c r="D943" s="200"/>
      <c r="E943" s="200"/>
      <c r="F943" s="200"/>
      <c r="G943" s="200"/>
      <c r="H943" s="200"/>
      <c r="I943" s="200"/>
      <c r="J943" s="158"/>
      <c r="K943" s="158"/>
      <c r="L943" s="363"/>
      <c r="M943" s="364"/>
      <c r="N943" s="364"/>
      <c r="O943" s="158"/>
      <c r="P943" s="158"/>
      <c r="Q943" s="158"/>
      <c r="R943" s="158"/>
      <c r="S943" s="158"/>
      <c r="T943" s="365"/>
      <c r="U943" s="365"/>
      <c r="V943" s="365"/>
    </row>
    <row r="944" spans="1:22" ht="12.75">
      <c r="A944" s="153"/>
      <c r="B944" s="200"/>
      <c r="C944" s="200"/>
      <c r="D944" s="200"/>
      <c r="E944" s="200"/>
      <c r="F944" s="200"/>
      <c r="G944" s="200"/>
      <c r="H944" s="200"/>
      <c r="I944" s="200"/>
      <c r="J944" s="158"/>
      <c r="K944" s="158"/>
      <c r="L944" s="363"/>
      <c r="M944" s="364"/>
      <c r="N944" s="364"/>
      <c r="O944" s="158"/>
      <c r="P944" s="158"/>
      <c r="Q944" s="158"/>
      <c r="R944" s="158"/>
      <c r="S944" s="158"/>
      <c r="T944" s="365"/>
      <c r="U944" s="365"/>
      <c r="V944" s="365"/>
    </row>
    <row r="945" spans="1:22" ht="12.75">
      <c r="A945" s="153"/>
      <c r="B945" s="200"/>
      <c r="C945" s="200"/>
      <c r="D945" s="200"/>
      <c r="E945" s="200"/>
      <c r="F945" s="200"/>
      <c r="G945" s="200"/>
      <c r="H945" s="200"/>
      <c r="I945" s="200"/>
      <c r="J945" s="158"/>
      <c r="K945" s="158"/>
      <c r="L945" s="363"/>
      <c r="M945" s="364"/>
      <c r="N945" s="364"/>
      <c r="O945" s="158"/>
      <c r="P945" s="158"/>
      <c r="Q945" s="158"/>
      <c r="R945" s="158"/>
      <c r="S945" s="158"/>
      <c r="T945" s="365"/>
      <c r="U945" s="365"/>
      <c r="V945" s="365"/>
    </row>
    <row r="946" spans="1:22" ht="12.75">
      <c r="A946" s="153"/>
      <c r="B946" s="200"/>
      <c r="C946" s="200"/>
      <c r="D946" s="200"/>
      <c r="E946" s="200"/>
      <c r="F946" s="200"/>
      <c r="G946" s="200"/>
      <c r="H946" s="200"/>
      <c r="I946" s="200"/>
      <c r="J946" s="158"/>
      <c r="K946" s="158"/>
      <c r="L946" s="363"/>
      <c r="M946" s="364"/>
      <c r="N946" s="364"/>
      <c r="O946" s="158"/>
      <c r="P946" s="158"/>
      <c r="Q946" s="158"/>
      <c r="R946" s="158"/>
      <c r="S946" s="158"/>
      <c r="T946" s="365"/>
      <c r="U946" s="365"/>
      <c r="V946" s="365"/>
    </row>
    <row r="947" spans="1:22" ht="12.75">
      <c r="A947" s="153"/>
      <c r="B947" s="200"/>
      <c r="C947" s="200"/>
      <c r="D947" s="200"/>
      <c r="E947" s="200"/>
      <c r="F947" s="200"/>
      <c r="G947" s="200"/>
      <c r="H947" s="200"/>
      <c r="I947" s="200"/>
      <c r="J947" s="158"/>
      <c r="K947" s="158"/>
      <c r="L947" s="363"/>
      <c r="M947" s="364"/>
      <c r="N947" s="364"/>
      <c r="O947" s="158"/>
      <c r="P947" s="158"/>
      <c r="Q947" s="158"/>
      <c r="R947" s="158"/>
      <c r="S947" s="158"/>
      <c r="T947" s="365"/>
      <c r="U947" s="365"/>
      <c r="V947" s="365"/>
    </row>
    <row r="948" spans="1:22" ht="12.75">
      <c r="A948" s="153"/>
      <c r="B948" s="200"/>
      <c r="C948" s="200"/>
      <c r="D948" s="200"/>
      <c r="E948" s="200"/>
      <c r="F948" s="200"/>
      <c r="G948" s="200"/>
      <c r="H948" s="200"/>
      <c r="I948" s="200"/>
      <c r="J948" s="158"/>
      <c r="K948" s="158"/>
      <c r="L948" s="363"/>
      <c r="M948" s="364"/>
      <c r="N948" s="364"/>
      <c r="O948" s="158"/>
      <c r="P948" s="158"/>
      <c r="Q948" s="158"/>
      <c r="R948" s="158"/>
      <c r="S948" s="158"/>
      <c r="T948" s="365"/>
      <c r="U948" s="365"/>
      <c r="V948" s="365"/>
    </row>
    <row r="949" spans="1:22" ht="12.75">
      <c r="A949" s="153"/>
      <c r="B949" s="200"/>
      <c r="C949" s="200"/>
      <c r="D949" s="200"/>
      <c r="E949" s="200"/>
      <c r="F949" s="200"/>
      <c r="G949" s="200"/>
      <c r="H949" s="200"/>
      <c r="I949" s="200"/>
      <c r="J949" s="158"/>
      <c r="K949" s="158"/>
      <c r="L949" s="363"/>
      <c r="M949" s="364"/>
      <c r="N949" s="364"/>
      <c r="O949" s="158"/>
      <c r="P949" s="158"/>
      <c r="Q949" s="158"/>
      <c r="R949" s="158"/>
      <c r="S949" s="158"/>
      <c r="T949" s="365"/>
      <c r="U949" s="365"/>
      <c r="V949" s="365"/>
    </row>
    <row r="950" spans="1:22" ht="12.75">
      <c r="A950" s="153"/>
      <c r="B950" s="200"/>
      <c r="C950" s="200"/>
      <c r="D950" s="200"/>
      <c r="E950" s="200"/>
      <c r="F950" s="200"/>
      <c r="G950" s="200"/>
      <c r="H950" s="200"/>
      <c r="I950" s="200"/>
      <c r="J950" s="158"/>
      <c r="K950" s="158"/>
      <c r="L950" s="363"/>
      <c r="M950" s="364"/>
      <c r="N950" s="364"/>
      <c r="O950" s="158"/>
      <c r="P950" s="158"/>
      <c r="Q950" s="158"/>
      <c r="R950" s="158"/>
      <c r="S950" s="158"/>
      <c r="T950" s="365"/>
      <c r="U950" s="365"/>
      <c r="V950" s="365"/>
    </row>
    <row r="951" spans="1:22" ht="12.75">
      <c r="A951" s="153"/>
      <c r="B951" s="200"/>
      <c r="C951" s="200"/>
      <c r="D951" s="200"/>
      <c r="E951" s="200"/>
      <c r="F951" s="200"/>
      <c r="G951" s="200"/>
      <c r="H951" s="200"/>
      <c r="I951" s="200"/>
      <c r="J951" s="158"/>
      <c r="K951" s="158"/>
      <c r="L951" s="363"/>
      <c r="M951" s="364"/>
      <c r="N951" s="364"/>
      <c r="O951" s="158"/>
      <c r="P951" s="158"/>
      <c r="Q951" s="158"/>
      <c r="R951" s="158"/>
      <c r="S951" s="158"/>
      <c r="T951" s="365"/>
      <c r="U951" s="365"/>
      <c r="V951" s="365"/>
    </row>
    <row r="952" spans="1:22" ht="12.75">
      <c r="A952" s="153"/>
      <c r="B952" s="200"/>
      <c r="C952" s="200"/>
      <c r="D952" s="200"/>
      <c r="E952" s="200"/>
      <c r="F952" s="200"/>
      <c r="G952" s="200"/>
      <c r="H952" s="200"/>
      <c r="I952" s="200"/>
      <c r="J952" s="158"/>
      <c r="K952" s="158"/>
      <c r="L952" s="363"/>
      <c r="M952" s="364"/>
      <c r="N952" s="364"/>
      <c r="O952" s="158"/>
      <c r="P952" s="158"/>
      <c r="Q952" s="158"/>
      <c r="R952" s="158"/>
      <c r="S952" s="158"/>
      <c r="T952" s="365"/>
      <c r="U952" s="365"/>
      <c r="V952" s="365"/>
    </row>
    <row r="953" spans="1:22" ht="12.75">
      <c r="A953" s="153"/>
      <c r="B953" s="200"/>
      <c r="C953" s="200"/>
      <c r="D953" s="200"/>
      <c r="E953" s="200"/>
      <c r="F953" s="200"/>
      <c r="G953" s="200"/>
      <c r="H953" s="200"/>
      <c r="I953" s="200"/>
      <c r="J953" s="158"/>
      <c r="K953" s="158"/>
      <c r="L953" s="363"/>
      <c r="M953" s="364"/>
      <c r="N953" s="364"/>
      <c r="O953" s="158"/>
      <c r="P953" s="158"/>
      <c r="Q953" s="158"/>
      <c r="R953" s="158"/>
      <c r="S953" s="158"/>
      <c r="T953" s="365"/>
      <c r="U953" s="365"/>
      <c r="V953" s="365"/>
    </row>
    <row r="954" spans="1:22" ht="12.75">
      <c r="A954" s="153"/>
      <c r="B954" s="200"/>
      <c r="C954" s="200"/>
      <c r="D954" s="200"/>
      <c r="E954" s="200"/>
      <c r="F954" s="200"/>
      <c r="G954" s="200"/>
      <c r="H954" s="200"/>
      <c r="I954" s="200"/>
      <c r="J954" s="158"/>
      <c r="K954" s="158"/>
      <c r="L954" s="363"/>
      <c r="M954" s="364"/>
      <c r="N954" s="364"/>
      <c r="O954" s="158"/>
      <c r="P954" s="158"/>
      <c r="Q954" s="158"/>
      <c r="R954" s="158"/>
      <c r="S954" s="158"/>
      <c r="T954" s="365"/>
      <c r="U954" s="365"/>
      <c r="V954" s="365"/>
    </row>
    <row r="955" spans="1:22" ht="12.75">
      <c r="A955" s="153"/>
      <c r="B955" s="200"/>
      <c r="C955" s="200"/>
      <c r="D955" s="200"/>
      <c r="E955" s="200"/>
      <c r="F955" s="200"/>
      <c r="G955" s="200"/>
      <c r="H955" s="200"/>
      <c r="I955" s="200"/>
      <c r="J955" s="158"/>
      <c r="K955" s="158"/>
      <c r="L955" s="363"/>
      <c r="M955" s="364"/>
      <c r="N955" s="364"/>
      <c r="O955" s="158"/>
      <c r="P955" s="158"/>
      <c r="Q955" s="158"/>
      <c r="R955" s="158"/>
      <c r="S955" s="158"/>
      <c r="T955" s="365"/>
      <c r="U955" s="365"/>
      <c r="V955" s="365"/>
    </row>
    <row r="956" spans="1:22" ht="12.75">
      <c r="A956" s="153"/>
      <c r="B956" s="200"/>
      <c r="C956" s="200"/>
      <c r="D956" s="200"/>
      <c r="E956" s="200"/>
      <c r="F956" s="200"/>
      <c r="G956" s="200"/>
      <c r="H956" s="200"/>
      <c r="I956" s="200"/>
      <c r="J956" s="158"/>
      <c r="K956" s="158"/>
      <c r="L956" s="363"/>
      <c r="M956" s="364"/>
      <c r="N956" s="364"/>
      <c r="O956" s="158"/>
      <c r="P956" s="158"/>
      <c r="Q956" s="158"/>
      <c r="R956" s="158"/>
      <c r="S956" s="158"/>
      <c r="T956" s="365"/>
      <c r="U956" s="365"/>
      <c r="V956" s="365"/>
    </row>
    <row r="957" spans="1:22" ht="12.75">
      <c r="A957" s="153"/>
      <c r="B957" s="200"/>
      <c r="C957" s="200"/>
      <c r="D957" s="200"/>
      <c r="E957" s="200"/>
      <c r="F957" s="200"/>
      <c r="G957" s="200"/>
      <c r="H957" s="200"/>
      <c r="I957" s="200"/>
      <c r="J957" s="158"/>
      <c r="K957" s="158"/>
      <c r="L957" s="363"/>
      <c r="M957" s="364"/>
      <c r="N957" s="364"/>
      <c r="O957" s="158"/>
      <c r="P957" s="158"/>
      <c r="Q957" s="158"/>
      <c r="R957" s="158"/>
      <c r="S957" s="158"/>
      <c r="T957" s="365"/>
      <c r="U957" s="365"/>
      <c r="V957" s="365"/>
    </row>
    <row r="958" spans="1:22" ht="12.75">
      <c r="A958" s="153"/>
      <c r="B958" s="200"/>
      <c r="C958" s="200"/>
      <c r="D958" s="200"/>
      <c r="E958" s="200"/>
      <c r="F958" s="200"/>
      <c r="G958" s="200"/>
      <c r="H958" s="200"/>
      <c r="I958" s="200"/>
      <c r="J958" s="158"/>
      <c r="K958" s="158"/>
      <c r="L958" s="363"/>
      <c r="M958" s="364"/>
      <c r="N958" s="364"/>
      <c r="O958" s="158"/>
      <c r="P958" s="158"/>
      <c r="Q958" s="158"/>
      <c r="R958" s="158"/>
      <c r="S958" s="158"/>
      <c r="T958" s="365"/>
      <c r="U958" s="365"/>
      <c r="V958" s="365"/>
    </row>
    <row r="959" spans="1:22" ht="12.75">
      <c r="A959" s="153"/>
      <c r="B959" s="200"/>
      <c r="C959" s="200"/>
      <c r="D959" s="200"/>
      <c r="E959" s="200"/>
      <c r="F959" s="200"/>
      <c r="G959" s="200"/>
      <c r="H959" s="200"/>
      <c r="I959" s="200"/>
      <c r="J959" s="158"/>
      <c r="K959" s="158"/>
      <c r="L959" s="363"/>
      <c r="M959" s="364"/>
      <c r="N959" s="364"/>
      <c r="O959" s="158"/>
      <c r="P959" s="158"/>
      <c r="Q959" s="158"/>
      <c r="R959" s="158"/>
      <c r="S959" s="158"/>
      <c r="T959" s="365"/>
      <c r="U959" s="365"/>
      <c r="V959" s="365"/>
    </row>
    <row r="960" spans="1:22" ht="12.75">
      <c r="A960" s="153"/>
      <c r="B960" s="200"/>
      <c r="C960" s="200"/>
      <c r="D960" s="200"/>
      <c r="E960" s="200"/>
      <c r="F960" s="200"/>
      <c r="G960" s="200"/>
      <c r="H960" s="200"/>
      <c r="I960" s="200"/>
      <c r="J960" s="158"/>
      <c r="K960" s="158"/>
      <c r="L960" s="363"/>
      <c r="M960" s="364"/>
      <c r="N960" s="364"/>
      <c r="O960" s="158"/>
      <c r="P960" s="158"/>
      <c r="Q960" s="158"/>
      <c r="R960" s="158"/>
      <c r="S960" s="158"/>
      <c r="T960" s="365"/>
      <c r="U960" s="365"/>
      <c r="V960" s="365"/>
    </row>
    <row r="961" spans="1:22" ht="12.75">
      <c r="A961" s="153"/>
      <c r="B961" s="200"/>
      <c r="C961" s="200"/>
      <c r="D961" s="200"/>
      <c r="E961" s="200"/>
      <c r="F961" s="200"/>
      <c r="G961" s="200"/>
      <c r="H961" s="200"/>
      <c r="I961" s="200"/>
      <c r="J961" s="158"/>
      <c r="K961" s="158"/>
      <c r="L961" s="363"/>
      <c r="M961" s="364"/>
      <c r="N961" s="364"/>
      <c r="O961" s="158"/>
      <c r="P961" s="158"/>
      <c r="Q961" s="158"/>
      <c r="R961" s="158"/>
      <c r="S961" s="158"/>
      <c r="T961" s="365"/>
      <c r="U961" s="365"/>
      <c r="V961" s="365"/>
    </row>
    <row r="962" spans="1:22" ht="12.75">
      <c r="A962" s="153"/>
      <c r="B962" s="200"/>
      <c r="C962" s="200"/>
      <c r="D962" s="200"/>
      <c r="E962" s="200"/>
      <c r="F962" s="200"/>
      <c r="G962" s="200"/>
      <c r="H962" s="200"/>
      <c r="I962" s="200"/>
      <c r="J962" s="158"/>
      <c r="K962" s="158"/>
      <c r="L962" s="363"/>
      <c r="M962" s="364"/>
      <c r="N962" s="364"/>
      <c r="O962" s="158"/>
      <c r="P962" s="158"/>
      <c r="Q962" s="158"/>
      <c r="R962" s="158"/>
      <c r="S962" s="158"/>
      <c r="T962" s="365"/>
      <c r="U962" s="365"/>
      <c r="V962" s="365"/>
    </row>
    <row r="963" spans="1:22" ht="12.75">
      <c r="A963" s="153"/>
      <c r="B963" s="200"/>
      <c r="C963" s="200"/>
      <c r="D963" s="200"/>
      <c r="E963" s="200"/>
      <c r="F963" s="200"/>
      <c r="G963" s="200"/>
      <c r="H963" s="200"/>
      <c r="I963" s="200"/>
      <c r="J963" s="158"/>
      <c r="K963" s="158"/>
      <c r="L963" s="363"/>
      <c r="M963" s="364"/>
      <c r="N963" s="364"/>
      <c r="O963" s="158"/>
      <c r="P963" s="158"/>
      <c r="Q963" s="158"/>
      <c r="R963" s="158"/>
      <c r="S963" s="158"/>
      <c r="T963" s="365"/>
      <c r="U963" s="365"/>
      <c r="V963" s="365"/>
    </row>
    <row r="964" spans="1:22" ht="12.75">
      <c r="A964" s="153"/>
      <c r="B964" s="200"/>
      <c r="C964" s="200"/>
      <c r="D964" s="200"/>
      <c r="E964" s="200"/>
      <c r="F964" s="200"/>
      <c r="G964" s="200"/>
      <c r="H964" s="200"/>
      <c r="I964" s="200"/>
      <c r="J964" s="158"/>
      <c r="K964" s="158"/>
      <c r="L964" s="363"/>
      <c r="M964" s="364"/>
      <c r="N964" s="364"/>
      <c r="O964" s="158"/>
      <c r="P964" s="158"/>
      <c r="Q964" s="158"/>
      <c r="R964" s="158"/>
      <c r="S964" s="158"/>
      <c r="T964" s="365"/>
      <c r="U964" s="365"/>
      <c r="V964" s="365"/>
    </row>
    <row r="965" spans="1:22" ht="12.75">
      <c r="A965" s="153"/>
      <c r="B965" s="200"/>
      <c r="C965" s="200"/>
      <c r="D965" s="200"/>
      <c r="E965" s="200"/>
      <c r="F965" s="200"/>
      <c r="G965" s="200"/>
      <c r="H965" s="200"/>
      <c r="I965" s="200"/>
      <c r="J965" s="158"/>
      <c r="K965" s="158"/>
      <c r="L965" s="363"/>
      <c r="M965" s="364"/>
      <c r="N965" s="364"/>
      <c r="O965" s="158"/>
      <c r="P965" s="158"/>
      <c r="Q965" s="158"/>
      <c r="R965" s="158"/>
      <c r="S965" s="158"/>
      <c r="T965" s="365"/>
      <c r="U965" s="365"/>
      <c r="V965" s="365"/>
    </row>
    <row r="966" spans="1:22" ht="12.75">
      <c r="A966" s="153"/>
      <c r="B966" s="200"/>
      <c r="C966" s="200"/>
      <c r="D966" s="200"/>
      <c r="E966" s="200"/>
      <c r="F966" s="200"/>
      <c r="G966" s="200"/>
      <c r="H966" s="200"/>
      <c r="I966" s="200"/>
      <c r="J966" s="158"/>
      <c r="K966" s="158"/>
      <c r="L966" s="363"/>
      <c r="M966" s="364"/>
      <c r="N966" s="364"/>
      <c r="O966" s="158"/>
      <c r="P966" s="158"/>
      <c r="Q966" s="158"/>
      <c r="R966" s="158"/>
      <c r="S966" s="158"/>
      <c r="T966" s="365"/>
      <c r="U966" s="365"/>
      <c r="V966" s="365"/>
    </row>
    <row r="967" spans="1:22" ht="12.75">
      <c r="A967" s="153"/>
      <c r="B967" s="200"/>
      <c r="C967" s="200"/>
      <c r="D967" s="200"/>
      <c r="E967" s="200"/>
      <c r="F967" s="200"/>
      <c r="G967" s="200"/>
      <c r="H967" s="200"/>
      <c r="I967" s="200"/>
      <c r="J967" s="158"/>
      <c r="K967" s="158"/>
      <c r="L967" s="363"/>
      <c r="M967" s="364"/>
      <c r="N967" s="364"/>
      <c r="O967" s="158"/>
      <c r="P967" s="158"/>
      <c r="Q967" s="158"/>
      <c r="R967" s="158"/>
      <c r="S967" s="158"/>
      <c r="T967" s="365"/>
      <c r="U967" s="365"/>
      <c r="V967" s="365"/>
    </row>
    <row r="968" spans="1:22" ht="12.75">
      <c r="A968" s="153"/>
      <c r="B968" s="200"/>
      <c r="C968" s="200"/>
      <c r="D968" s="200"/>
      <c r="E968" s="200"/>
      <c r="F968" s="200"/>
      <c r="G968" s="200"/>
      <c r="H968" s="200"/>
      <c r="I968" s="200"/>
      <c r="J968" s="158"/>
      <c r="K968" s="158"/>
      <c r="L968" s="363"/>
      <c r="M968" s="364"/>
      <c r="N968" s="364"/>
      <c r="O968" s="158"/>
      <c r="P968" s="158"/>
      <c r="Q968" s="158"/>
      <c r="R968" s="158"/>
      <c r="S968" s="158"/>
      <c r="T968" s="365"/>
      <c r="U968" s="365"/>
      <c r="V968" s="365"/>
    </row>
    <row r="969" spans="1:22" ht="12.75">
      <c r="A969" s="153"/>
      <c r="B969" s="200"/>
      <c r="C969" s="200"/>
      <c r="D969" s="200"/>
      <c r="E969" s="200"/>
      <c r="F969" s="200"/>
      <c r="G969" s="200"/>
      <c r="H969" s="200"/>
      <c r="I969" s="200"/>
      <c r="J969" s="158"/>
      <c r="K969" s="158"/>
      <c r="L969" s="363"/>
      <c r="M969" s="364"/>
      <c r="N969" s="364"/>
      <c r="O969" s="158"/>
      <c r="P969" s="158"/>
      <c r="Q969" s="158"/>
      <c r="R969" s="158"/>
      <c r="S969" s="158"/>
      <c r="T969" s="365"/>
      <c r="U969" s="365"/>
      <c r="V969" s="365"/>
    </row>
    <row r="970" spans="1:22" ht="12.75">
      <c r="A970" s="153"/>
      <c r="B970" s="200"/>
      <c r="C970" s="200"/>
      <c r="D970" s="200"/>
      <c r="E970" s="200"/>
      <c r="F970" s="200"/>
      <c r="G970" s="200"/>
      <c r="H970" s="200"/>
      <c r="I970" s="200"/>
      <c r="J970" s="158"/>
      <c r="K970" s="158"/>
      <c r="L970" s="363"/>
      <c r="M970" s="364"/>
      <c r="N970" s="364"/>
      <c r="O970" s="158"/>
      <c r="P970" s="158"/>
      <c r="Q970" s="158"/>
      <c r="R970" s="158"/>
      <c r="S970" s="158"/>
      <c r="T970" s="365"/>
      <c r="U970" s="365"/>
      <c r="V970" s="365"/>
    </row>
    <row r="971" spans="1:22" ht="12.75">
      <c r="A971" s="153"/>
      <c r="B971" s="200"/>
      <c r="C971" s="200"/>
      <c r="D971" s="200"/>
      <c r="E971" s="200"/>
      <c r="F971" s="200"/>
      <c r="G971" s="200"/>
      <c r="H971" s="200"/>
      <c r="I971" s="200"/>
      <c r="J971" s="158"/>
      <c r="K971" s="158"/>
      <c r="L971" s="363"/>
      <c r="M971" s="364"/>
      <c r="N971" s="364"/>
      <c r="O971" s="158"/>
      <c r="P971" s="158"/>
      <c r="Q971" s="158"/>
      <c r="R971" s="158"/>
      <c r="S971" s="158"/>
      <c r="T971" s="365"/>
      <c r="U971" s="365"/>
      <c r="V971" s="365"/>
    </row>
    <row r="972" spans="1:22" ht="12.75">
      <c r="A972" s="153"/>
      <c r="B972" s="200"/>
      <c r="C972" s="200"/>
      <c r="D972" s="200"/>
      <c r="E972" s="200"/>
      <c r="F972" s="200"/>
      <c r="G972" s="200"/>
      <c r="H972" s="200"/>
      <c r="I972" s="200"/>
      <c r="J972" s="158"/>
      <c r="K972" s="158"/>
      <c r="L972" s="363"/>
      <c r="M972" s="364"/>
      <c r="N972" s="364"/>
      <c r="O972" s="158"/>
      <c r="P972" s="158"/>
      <c r="Q972" s="158"/>
      <c r="R972" s="158"/>
      <c r="S972" s="158"/>
      <c r="T972" s="365"/>
      <c r="U972" s="365"/>
      <c r="V972" s="365"/>
    </row>
    <row r="973" spans="1:22" ht="12.75">
      <c r="A973" s="153"/>
      <c r="B973" s="200"/>
      <c r="C973" s="200"/>
      <c r="D973" s="200"/>
      <c r="E973" s="200"/>
      <c r="F973" s="200"/>
      <c r="G973" s="200"/>
      <c r="H973" s="200"/>
      <c r="I973" s="200"/>
      <c r="J973" s="158"/>
      <c r="K973" s="158"/>
      <c r="L973" s="363"/>
      <c r="M973" s="364"/>
      <c r="N973" s="364"/>
      <c r="O973" s="158"/>
      <c r="P973" s="158"/>
      <c r="Q973" s="158"/>
      <c r="R973" s="158"/>
      <c r="S973" s="158"/>
      <c r="T973" s="365"/>
      <c r="U973" s="365"/>
      <c r="V973" s="365"/>
    </row>
    <row r="974" spans="1:22" ht="12.75">
      <c r="A974" s="153"/>
      <c r="B974" s="200"/>
      <c r="C974" s="200"/>
      <c r="D974" s="200"/>
      <c r="E974" s="200"/>
      <c r="F974" s="200"/>
      <c r="G974" s="200"/>
      <c r="H974" s="200"/>
      <c r="I974" s="200"/>
      <c r="J974" s="158"/>
      <c r="K974" s="158"/>
      <c r="L974" s="363"/>
      <c r="M974" s="364"/>
      <c r="N974" s="364"/>
      <c r="O974" s="158"/>
      <c r="P974" s="158"/>
      <c r="Q974" s="158"/>
      <c r="R974" s="158"/>
      <c r="S974" s="158"/>
      <c r="T974" s="365"/>
      <c r="U974" s="365"/>
      <c r="V974" s="365"/>
    </row>
    <row r="975" spans="1:22" ht="12.75">
      <c r="A975" s="153"/>
      <c r="B975" s="200"/>
      <c r="C975" s="200"/>
      <c r="D975" s="200"/>
      <c r="E975" s="200"/>
      <c r="F975" s="200"/>
      <c r="G975" s="200"/>
      <c r="H975" s="200"/>
      <c r="I975" s="200"/>
      <c r="J975" s="158"/>
      <c r="K975" s="158"/>
      <c r="L975" s="363"/>
      <c r="M975" s="364"/>
      <c r="N975" s="364"/>
      <c r="O975" s="158"/>
      <c r="P975" s="158"/>
      <c r="Q975" s="158"/>
      <c r="R975" s="158"/>
      <c r="S975" s="158"/>
      <c r="T975" s="365"/>
      <c r="U975" s="365"/>
      <c r="V975" s="365"/>
    </row>
    <row r="976" spans="1:22" ht="12.75">
      <c r="A976" s="153"/>
      <c r="B976" s="200"/>
      <c r="C976" s="200"/>
      <c r="D976" s="200"/>
      <c r="E976" s="200"/>
      <c r="F976" s="200"/>
      <c r="G976" s="200"/>
      <c r="H976" s="200"/>
      <c r="I976" s="200"/>
      <c r="J976" s="158"/>
      <c r="K976" s="158"/>
      <c r="L976" s="363"/>
      <c r="M976" s="364"/>
      <c r="N976" s="364"/>
      <c r="O976" s="158"/>
      <c r="P976" s="158"/>
      <c r="Q976" s="158"/>
      <c r="R976" s="158"/>
      <c r="S976" s="158"/>
      <c r="T976" s="365"/>
      <c r="U976" s="365"/>
      <c r="V976" s="365"/>
    </row>
    <row r="977" spans="1:22" ht="12.75">
      <c r="A977" s="153"/>
      <c r="B977" s="200"/>
      <c r="C977" s="200"/>
      <c r="D977" s="200"/>
      <c r="E977" s="200"/>
      <c r="F977" s="200"/>
      <c r="G977" s="200"/>
      <c r="H977" s="200"/>
      <c r="I977" s="200"/>
      <c r="J977" s="158"/>
      <c r="K977" s="158"/>
      <c r="L977" s="363"/>
      <c r="M977" s="364"/>
      <c r="N977" s="364"/>
      <c r="O977" s="158"/>
      <c r="P977" s="158"/>
      <c r="Q977" s="158"/>
      <c r="R977" s="158"/>
      <c r="S977" s="158"/>
      <c r="T977" s="365"/>
      <c r="U977" s="365"/>
      <c r="V977" s="365"/>
    </row>
    <row r="978" spans="1:22" ht="12.75">
      <c r="A978" s="153"/>
      <c r="B978" s="200"/>
      <c r="C978" s="200"/>
      <c r="D978" s="200"/>
      <c r="E978" s="200"/>
      <c r="F978" s="200"/>
      <c r="G978" s="200"/>
      <c r="H978" s="200"/>
      <c r="I978" s="200"/>
      <c r="J978" s="158"/>
      <c r="K978" s="158"/>
      <c r="L978" s="363"/>
      <c r="M978" s="364"/>
      <c r="N978" s="364"/>
      <c r="O978" s="158"/>
      <c r="P978" s="158"/>
      <c r="Q978" s="158"/>
      <c r="R978" s="158"/>
      <c r="S978" s="158"/>
      <c r="T978" s="365"/>
      <c r="U978" s="365"/>
      <c r="V978" s="365"/>
    </row>
    <row r="979" spans="1:22" ht="12.75">
      <c r="A979" s="153"/>
      <c r="B979" s="200"/>
      <c r="C979" s="200"/>
      <c r="D979" s="200"/>
      <c r="E979" s="200"/>
      <c r="F979" s="200"/>
      <c r="G979" s="200"/>
      <c r="H979" s="200"/>
      <c r="I979" s="200"/>
      <c r="J979" s="158"/>
      <c r="K979" s="158"/>
      <c r="L979" s="363"/>
      <c r="M979" s="364"/>
      <c r="N979" s="364"/>
      <c r="O979" s="158"/>
      <c r="P979" s="158"/>
      <c r="Q979" s="158"/>
      <c r="R979" s="158"/>
      <c r="S979" s="158"/>
      <c r="T979" s="365"/>
      <c r="U979" s="365"/>
      <c r="V979" s="365"/>
    </row>
    <row r="980" spans="1:22" ht="12.75">
      <c r="A980" s="153"/>
      <c r="B980" s="200"/>
      <c r="C980" s="200"/>
      <c r="D980" s="200"/>
      <c r="E980" s="200"/>
      <c r="F980" s="200"/>
      <c r="G980" s="200"/>
      <c r="H980" s="200"/>
      <c r="I980" s="200"/>
      <c r="J980" s="158"/>
      <c r="K980" s="158"/>
      <c r="L980" s="363"/>
      <c r="M980" s="364"/>
      <c r="N980" s="364"/>
      <c r="O980" s="158"/>
      <c r="P980" s="158"/>
      <c r="Q980" s="158"/>
      <c r="R980" s="158"/>
      <c r="S980" s="158"/>
      <c r="T980" s="365"/>
      <c r="U980" s="365"/>
      <c r="V980" s="365"/>
    </row>
    <row r="981" spans="1:22" ht="12.75">
      <c r="A981" s="153"/>
      <c r="B981" s="200"/>
      <c r="C981" s="200"/>
      <c r="D981" s="200"/>
      <c r="E981" s="200"/>
      <c r="F981" s="200"/>
      <c r="G981" s="200"/>
      <c r="H981" s="200"/>
      <c r="I981" s="200"/>
      <c r="J981" s="158"/>
      <c r="K981" s="158"/>
      <c r="L981" s="363"/>
      <c r="M981" s="364"/>
      <c r="N981" s="364"/>
      <c r="O981" s="158"/>
      <c r="P981" s="158"/>
      <c r="Q981" s="158"/>
      <c r="R981" s="158"/>
      <c r="S981" s="158"/>
      <c r="T981" s="365"/>
      <c r="U981" s="365"/>
      <c r="V981" s="365"/>
    </row>
    <row r="982" spans="1:22" ht="12.75">
      <c r="A982" s="153"/>
      <c r="B982" s="200"/>
      <c r="C982" s="200"/>
      <c r="D982" s="200"/>
      <c r="E982" s="200"/>
      <c r="F982" s="200"/>
      <c r="G982" s="200"/>
      <c r="H982" s="200"/>
      <c r="I982" s="200"/>
      <c r="J982" s="158"/>
      <c r="K982" s="158"/>
      <c r="L982" s="363"/>
      <c r="M982" s="364"/>
      <c r="N982" s="364"/>
      <c r="O982" s="158"/>
      <c r="P982" s="158"/>
      <c r="Q982" s="158"/>
      <c r="R982" s="158"/>
      <c r="S982" s="158"/>
      <c r="T982" s="365"/>
      <c r="U982" s="365"/>
      <c r="V982" s="365"/>
    </row>
    <row r="983" spans="1:22" ht="12.75">
      <c r="A983" s="153"/>
      <c r="B983" s="200"/>
      <c r="C983" s="200"/>
      <c r="D983" s="200"/>
      <c r="E983" s="200"/>
      <c r="F983" s="200"/>
      <c r="G983" s="200"/>
      <c r="H983" s="200"/>
      <c r="I983" s="200"/>
      <c r="J983" s="158"/>
      <c r="K983" s="158"/>
      <c r="L983" s="363"/>
      <c r="M983" s="364"/>
      <c r="N983" s="364"/>
      <c r="O983" s="158"/>
      <c r="P983" s="158"/>
      <c r="Q983" s="158"/>
      <c r="R983" s="158"/>
      <c r="S983" s="158"/>
      <c r="T983" s="365"/>
      <c r="U983" s="365"/>
      <c r="V983" s="365"/>
    </row>
    <row r="984" spans="1:22" ht="12.75">
      <c r="A984" s="153"/>
      <c r="B984" s="200"/>
      <c r="C984" s="200"/>
      <c r="D984" s="200"/>
      <c r="E984" s="200"/>
      <c r="F984" s="200"/>
      <c r="G984" s="200"/>
      <c r="H984" s="200"/>
      <c r="I984" s="200"/>
      <c r="J984" s="158"/>
      <c r="K984" s="158"/>
      <c r="L984" s="363"/>
      <c r="M984" s="364"/>
      <c r="N984" s="364"/>
      <c r="O984" s="158"/>
      <c r="P984" s="158"/>
      <c r="Q984" s="158"/>
      <c r="R984" s="158"/>
      <c r="S984" s="158"/>
      <c r="T984" s="365"/>
      <c r="U984" s="365"/>
      <c r="V984" s="365"/>
    </row>
    <row r="985" spans="1:22" ht="12.75">
      <c r="A985" s="153"/>
      <c r="B985" s="200"/>
      <c r="C985" s="200"/>
      <c r="D985" s="200"/>
      <c r="E985" s="200"/>
      <c r="F985" s="200"/>
      <c r="G985" s="200"/>
      <c r="H985" s="200"/>
      <c r="I985" s="200"/>
      <c r="J985" s="158"/>
      <c r="K985" s="158"/>
      <c r="L985" s="363"/>
      <c r="M985" s="364"/>
      <c r="N985" s="364"/>
      <c r="O985" s="158"/>
      <c r="P985" s="158"/>
      <c r="Q985" s="158"/>
      <c r="R985" s="158"/>
      <c r="S985" s="158"/>
      <c r="T985" s="365"/>
      <c r="U985" s="365"/>
      <c r="V985" s="365"/>
    </row>
    <row r="986" spans="1:22" ht="12.75">
      <c r="A986" s="153"/>
      <c r="B986" s="200"/>
      <c r="C986" s="200"/>
      <c r="D986" s="200"/>
      <c r="E986" s="200"/>
      <c r="F986" s="200"/>
      <c r="G986" s="200"/>
      <c r="H986" s="200"/>
      <c r="I986" s="200"/>
      <c r="J986" s="158"/>
      <c r="K986" s="158"/>
      <c r="L986" s="363"/>
      <c r="M986" s="364"/>
      <c r="N986" s="364"/>
      <c r="O986" s="158"/>
      <c r="P986" s="158"/>
      <c r="Q986" s="158"/>
      <c r="R986" s="158"/>
      <c r="S986" s="158"/>
      <c r="T986" s="365"/>
      <c r="U986" s="365"/>
      <c r="V986" s="365"/>
    </row>
    <row r="987" spans="1:22" ht="12.75">
      <c r="A987" s="153"/>
      <c r="B987" s="200"/>
      <c r="C987" s="200"/>
      <c r="D987" s="200"/>
      <c r="E987" s="200"/>
      <c r="F987" s="200"/>
      <c r="G987" s="200"/>
      <c r="H987" s="200"/>
      <c r="I987" s="200"/>
      <c r="J987" s="158"/>
      <c r="K987" s="158"/>
      <c r="L987" s="363"/>
      <c r="M987" s="364"/>
      <c r="N987" s="364"/>
      <c r="O987" s="158"/>
      <c r="P987" s="158"/>
      <c r="Q987" s="158"/>
      <c r="R987" s="158"/>
      <c r="S987" s="158"/>
      <c r="T987" s="365"/>
      <c r="U987" s="365"/>
      <c r="V987" s="365"/>
    </row>
    <row r="988" spans="1:22" ht="12.75">
      <c r="A988" s="153"/>
      <c r="B988" s="200"/>
      <c r="C988" s="200"/>
      <c r="D988" s="200"/>
      <c r="E988" s="200"/>
      <c r="F988" s="200"/>
      <c r="G988" s="200"/>
      <c r="H988" s="200"/>
      <c r="I988" s="200"/>
      <c r="J988" s="158"/>
      <c r="K988" s="158"/>
      <c r="L988" s="363"/>
      <c r="M988" s="364"/>
      <c r="N988" s="364"/>
      <c r="O988" s="158"/>
      <c r="P988" s="158"/>
      <c r="Q988" s="158"/>
      <c r="R988" s="158"/>
      <c r="S988" s="158"/>
      <c r="T988" s="365"/>
      <c r="U988" s="365"/>
      <c r="V988" s="365"/>
    </row>
    <row r="989" spans="1:22" ht="12.75">
      <c r="A989" s="153"/>
      <c r="B989" s="200"/>
      <c r="C989" s="200"/>
      <c r="D989" s="200"/>
      <c r="E989" s="200"/>
      <c r="F989" s="200"/>
      <c r="G989" s="200"/>
      <c r="H989" s="200"/>
      <c r="I989" s="200"/>
      <c r="J989" s="158"/>
      <c r="K989" s="158"/>
      <c r="L989" s="363"/>
      <c r="M989" s="364"/>
      <c r="N989" s="364"/>
      <c r="O989" s="158"/>
      <c r="P989" s="158"/>
      <c r="Q989" s="158"/>
      <c r="R989" s="158"/>
      <c r="S989" s="158"/>
      <c r="T989" s="365"/>
      <c r="U989" s="365"/>
      <c r="V989" s="365"/>
    </row>
    <row r="990" spans="1:22" ht="12.75">
      <c r="A990" s="153"/>
      <c r="B990" s="200"/>
      <c r="C990" s="200"/>
      <c r="D990" s="200"/>
      <c r="E990" s="200"/>
      <c r="F990" s="200"/>
      <c r="G990" s="200"/>
      <c r="H990" s="200"/>
      <c r="I990" s="200"/>
      <c r="J990" s="158"/>
      <c r="K990" s="158"/>
      <c r="L990" s="363"/>
      <c r="M990" s="364"/>
      <c r="N990" s="364"/>
      <c r="O990" s="158"/>
      <c r="P990" s="158"/>
      <c r="Q990" s="158"/>
      <c r="R990" s="158"/>
      <c r="S990" s="158"/>
      <c r="T990" s="365"/>
      <c r="U990" s="365"/>
      <c r="V990" s="365"/>
    </row>
    <row r="991" spans="1:22" ht="12.75">
      <c r="A991" s="153"/>
      <c r="B991" s="200"/>
      <c r="C991" s="200"/>
      <c r="D991" s="200"/>
      <c r="E991" s="200"/>
      <c r="F991" s="200"/>
      <c r="G991" s="200"/>
      <c r="H991" s="200"/>
      <c r="I991" s="200"/>
      <c r="J991" s="158"/>
      <c r="K991" s="158"/>
      <c r="L991" s="363"/>
      <c r="M991" s="364"/>
      <c r="N991" s="364"/>
      <c r="O991" s="158"/>
      <c r="P991" s="158"/>
      <c r="Q991" s="158"/>
      <c r="R991" s="158"/>
      <c r="S991" s="158"/>
      <c r="T991" s="365"/>
      <c r="U991" s="365"/>
      <c r="V991" s="365"/>
    </row>
    <row r="992" spans="1:22" ht="12.75">
      <c r="A992" s="153"/>
      <c r="B992" s="200"/>
      <c r="C992" s="200"/>
      <c r="D992" s="200"/>
      <c r="E992" s="200"/>
      <c r="F992" s="200"/>
      <c r="G992" s="200"/>
      <c r="H992" s="200"/>
      <c r="I992" s="200"/>
      <c r="J992" s="158"/>
      <c r="K992" s="158"/>
      <c r="L992" s="363"/>
      <c r="M992" s="364"/>
      <c r="N992" s="364"/>
      <c r="O992" s="158"/>
      <c r="P992" s="158"/>
      <c r="Q992" s="158"/>
      <c r="R992" s="158"/>
      <c r="S992" s="158"/>
      <c r="T992" s="365"/>
      <c r="U992" s="365"/>
      <c r="V992" s="365"/>
    </row>
    <row r="993" spans="1:22" ht="12.75">
      <c r="A993" s="153"/>
      <c r="B993" s="200"/>
      <c r="C993" s="200"/>
      <c r="D993" s="200"/>
      <c r="E993" s="200"/>
      <c r="F993" s="200"/>
      <c r="G993" s="200"/>
      <c r="H993" s="200"/>
      <c r="I993" s="200"/>
      <c r="J993" s="158"/>
      <c r="K993" s="158"/>
      <c r="L993" s="363"/>
      <c r="M993" s="364"/>
      <c r="N993" s="364"/>
      <c r="O993" s="158"/>
      <c r="P993" s="158"/>
      <c r="Q993" s="158"/>
      <c r="R993" s="158"/>
      <c r="S993" s="158"/>
      <c r="T993" s="365"/>
      <c r="U993" s="365"/>
      <c r="V993" s="365"/>
    </row>
    <row r="994" spans="1:22" ht="12.75">
      <c r="A994" s="153"/>
      <c r="B994" s="200"/>
      <c r="C994" s="200"/>
      <c r="D994" s="200"/>
      <c r="E994" s="200"/>
      <c r="F994" s="200"/>
      <c r="G994" s="200"/>
      <c r="H994" s="200"/>
      <c r="I994" s="200"/>
      <c r="J994" s="158"/>
      <c r="K994" s="158"/>
      <c r="L994" s="363"/>
      <c r="M994" s="364"/>
      <c r="N994" s="364"/>
      <c r="O994" s="158"/>
      <c r="P994" s="158"/>
      <c r="Q994" s="158"/>
      <c r="R994" s="158"/>
      <c r="S994" s="158"/>
      <c r="T994" s="365"/>
      <c r="U994" s="365"/>
      <c r="V994" s="365"/>
    </row>
    <row r="995" spans="1:22" ht="12.75">
      <c r="A995" s="153"/>
      <c r="B995" s="200"/>
      <c r="C995" s="200"/>
      <c r="D995" s="200"/>
      <c r="E995" s="200"/>
      <c r="F995" s="200"/>
      <c r="G995" s="200"/>
      <c r="H995" s="200"/>
      <c r="I995" s="200"/>
      <c r="J995" s="158"/>
      <c r="K995" s="158"/>
      <c r="L995" s="363"/>
      <c r="M995" s="364"/>
      <c r="N995" s="364"/>
      <c r="O995" s="158"/>
      <c r="P995" s="158"/>
      <c r="Q995" s="158"/>
      <c r="R995" s="158"/>
      <c r="S995" s="158"/>
      <c r="T995" s="365"/>
      <c r="U995" s="365"/>
      <c r="V995" s="365"/>
    </row>
    <row r="996" spans="1:22" ht="12.75">
      <c r="A996" s="153"/>
      <c r="B996" s="200"/>
      <c r="C996" s="200"/>
      <c r="D996" s="200"/>
      <c r="E996" s="200"/>
      <c r="F996" s="200"/>
      <c r="G996" s="200"/>
      <c r="H996" s="200"/>
      <c r="I996" s="200"/>
      <c r="J996" s="158"/>
      <c r="K996" s="158"/>
      <c r="L996" s="363"/>
      <c r="M996" s="364"/>
      <c r="N996" s="364"/>
      <c r="O996" s="158"/>
      <c r="P996" s="158"/>
      <c r="Q996" s="158"/>
      <c r="R996" s="158"/>
      <c r="S996" s="158"/>
      <c r="T996" s="365"/>
      <c r="U996" s="365"/>
      <c r="V996" s="365"/>
    </row>
    <row r="997" spans="1:22" ht="12.75">
      <c r="A997" s="153"/>
      <c r="B997" s="200"/>
      <c r="C997" s="200"/>
      <c r="D997" s="200"/>
      <c r="E997" s="200"/>
      <c r="F997" s="200"/>
      <c r="G997" s="200"/>
      <c r="H997" s="200"/>
      <c r="I997" s="200"/>
      <c r="J997" s="158"/>
      <c r="K997" s="158"/>
      <c r="L997" s="363"/>
      <c r="M997" s="364"/>
      <c r="N997" s="364"/>
      <c r="O997" s="158"/>
      <c r="P997" s="158"/>
      <c r="Q997" s="158"/>
      <c r="R997" s="158"/>
      <c r="S997" s="158"/>
      <c r="T997" s="365"/>
      <c r="U997" s="365"/>
      <c r="V997" s="365"/>
    </row>
    <row r="998" spans="1:22" ht="12.75">
      <c r="A998" s="153"/>
      <c r="B998" s="200"/>
      <c r="C998" s="200"/>
      <c r="D998" s="200"/>
      <c r="E998" s="200"/>
      <c r="F998" s="200"/>
      <c r="G998" s="200"/>
      <c r="H998" s="200"/>
      <c r="I998" s="200"/>
      <c r="J998" s="158"/>
      <c r="K998" s="158"/>
      <c r="L998" s="363"/>
      <c r="M998" s="364"/>
      <c r="N998" s="364"/>
      <c r="O998" s="158"/>
      <c r="P998" s="158"/>
      <c r="Q998" s="158"/>
      <c r="R998" s="158"/>
      <c r="S998" s="158"/>
      <c r="T998" s="365"/>
      <c r="U998" s="365"/>
      <c r="V998" s="365"/>
    </row>
    <row r="999" spans="1:22" ht="12.75">
      <c r="A999" s="153"/>
      <c r="B999" s="200"/>
      <c r="C999" s="200"/>
      <c r="D999" s="200"/>
      <c r="E999" s="200"/>
      <c r="F999" s="200"/>
      <c r="G999" s="200"/>
      <c r="H999" s="200"/>
      <c r="I999" s="200"/>
      <c r="J999" s="158"/>
      <c r="K999" s="158"/>
      <c r="L999" s="363"/>
      <c r="M999" s="364"/>
      <c r="N999" s="364"/>
      <c r="O999" s="158"/>
      <c r="P999" s="158"/>
      <c r="Q999" s="158"/>
      <c r="R999" s="158"/>
      <c r="S999" s="158"/>
      <c r="T999" s="365"/>
      <c r="U999" s="365"/>
      <c r="V999" s="365"/>
    </row>
    <row r="1000" spans="1:22" ht="12.75">
      <c r="A1000" s="153"/>
      <c r="B1000" s="200"/>
      <c r="C1000" s="200"/>
      <c r="D1000" s="200"/>
      <c r="E1000" s="200"/>
      <c r="F1000" s="200"/>
      <c r="G1000" s="200"/>
      <c r="H1000" s="200"/>
      <c r="I1000" s="200"/>
      <c r="J1000" s="158"/>
      <c r="K1000" s="158"/>
      <c r="L1000" s="363"/>
      <c r="M1000" s="364"/>
      <c r="N1000" s="364"/>
      <c r="O1000" s="158"/>
      <c r="P1000" s="158"/>
      <c r="Q1000" s="158"/>
      <c r="R1000" s="158"/>
      <c r="S1000" s="158"/>
      <c r="T1000" s="365"/>
      <c r="U1000" s="365"/>
      <c r="V1000" s="365"/>
    </row>
    <row r="1001" spans="1:22" ht="12.75">
      <c r="A1001" s="153"/>
      <c r="B1001" s="200"/>
      <c r="C1001" s="200"/>
      <c r="D1001" s="200"/>
      <c r="E1001" s="200"/>
      <c r="F1001" s="200"/>
      <c r="G1001" s="200"/>
      <c r="H1001" s="200"/>
      <c r="I1001" s="200"/>
      <c r="J1001" s="158"/>
      <c r="K1001" s="158"/>
      <c r="L1001" s="363"/>
      <c r="M1001" s="364"/>
      <c r="N1001" s="364"/>
      <c r="O1001" s="158"/>
      <c r="P1001" s="158"/>
      <c r="Q1001" s="158"/>
      <c r="R1001" s="158"/>
      <c r="S1001" s="158"/>
      <c r="T1001" s="365"/>
      <c r="U1001" s="365"/>
      <c r="V1001" s="365"/>
    </row>
    <row r="1002" spans="1:22" ht="12.75">
      <c r="A1002" s="153"/>
      <c r="B1002" s="200"/>
      <c r="C1002" s="200"/>
      <c r="D1002" s="200"/>
      <c r="E1002" s="200"/>
      <c r="F1002" s="200"/>
      <c r="G1002" s="200"/>
      <c r="H1002" s="200"/>
      <c r="I1002" s="200"/>
      <c r="J1002" s="158"/>
      <c r="K1002" s="158"/>
      <c r="L1002" s="363"/>
      <c r="M1002" s="364"/>
      <c r="N1002" s="364"/>
      <c r="O1002" s="158"/>
      <c r="P1002" s="158"/>
      <c r="Q1002" s="158"/>
      <c r="R1002" s="158"/>
      <c r="S1002" s="158"/>
      <c r="T1002" s="365"/>
      <c r="U1002" s="365"/>
      <c r="V1002" s="365"/>
    </row>
    <row r="1003" spans="1:22" ht="12.75">
      <c r="A1003" s="153"/>
      <c r="B1003" s="200"/>
      <c r="C1003" s="200"/>
      <c r="D1003" s="200"/>
      <c r="E1003" s="200"/>
      <c r="F1003" s="200"/>
      <c r="G1003" s="200"/>
      <c r="H1003" s="200"/>
      <c r="I1003" s="200"/>
      <c r="J1003" s="158"/>
      <c r="K1003" s="158"/>
      <c r="L1003" s="363"/>
      <c r="M1003" s="364"/>
      <c r="N1003" s="364"/>
      <c r="O1003" s="158"/>
      <c r="P1003" s="158"/>
      <c r="Q1003" s="158"/>
      <c r="R1003" s="158"/>
      <c r="S1003" s="158"/>
      <c r="T1003" s="365"/>
      <c r="U1003" s="365"/>
      <c r="V1003" s="365"/>
    </row>
    <row r="1004" spans="1:22" ht="12.75">
      <c r="A1004" s="153"/>
      <c r="B1004" s="200"/>
      <c r="C1004" s="200"/>
      <c r="D1004" s="200"/>
      <c r="E1004" s="200"/>
      <c r="F1004" s="200"/>
      <c r="G1004" s="200"/>
      <c r="H1004" s="200"/>
      <c r="I1004" s="200"/>
      <c r="J1004" s="158"/>
      <c r="K1004" s="158"/>
      <c r="L1004" s="363"/>
      <c r="M1004" s="364"/>
      <c r="N1004" s="364"/>
      <c r="O1004" s="158"/>
      <c r="P1004" s="158"/>
      <c r="Q1004" s="158"/>
      <c r="R1004" s="158"/>
      <c r="S1004" s="158"/>
      <c r="T1004" s="365"/>
      <c r="U1004" s="365"/>
      <c r="V1004" s="365"/>
    </row>
    <row r="1005" spans="1:22" ht="12.75">
      <c r="A1005" s="153"/>
      <c r="B1005" s="200"/>
      <c r="C1005" s="200"/>
      <c r="D1005" s="200"/>
      <c r="E1005" s="200"/>
      <c r="F1005" s="200"/>
      <c r="G1005" s="200"/>
      <c r="H1005" s="200"/>
      <c r="I1005" s="200"/>
      <c r="J1005" s="158"/>
      <c r="K1005" s="158"/>
      <c r="L1005" s="363"/>
      <c r="M1005" s="364"/>
      <c r="N1005" s="364"/>
      <c r="O1005" s="158"/>
      <c r="P1005" s="158"/>
      <c r="Q1005" s="158"/>
      <c r="R1005" s="158"/>
      <c r="S1005" s="158"/>
      <c r="T1005" s="365"/>
      <c r="U1005" s="365"/>
      <c r="V1005" s="365"/>
    </row>
    <row r="1006" spans="1:22" ht="12.75">
      <c r="A1006" s="153"/>
      <c r="B1006" s="200"/>
      <c r="C1006" s="200"/>
      <c r="D1006" s="200"/>
      <c r="E1006" s="200"/>
      <c r="F1006" s="200"/>
      <c r="G1006" s="200"/>
      <c r="H1006" s="200"/>
      <c r="I1006" s="200"/>
      <c r="J1006" s="158"/>
      <c r="K1006" s="158"/>
      <c r="L1006" s="363"/>
      <c r="M1006" s="364"/>
      <c r="N1006" s="364"/>
      <c r="O1006" s="158"/>
      <c r="P1006" s="158"/>
      <c r="Q1006" s="158"/>
      <c r="R1006" s="158"/>
      <c r="S1006" s="158"/>
      <c r="T1006" s="365"/>
      <c r="U1006" s="365"/>
      <c r="V1006" s="365"/>
    </row>
    <row r="1007" spans="1:22" ht="12.75">
      <c r="A1007" s="153"/>
      <c r="B1007" s="200"/>
      <c r="C1007" s="200"/>
      <c r="D1007" s="200"/>
      <c r="E1007" s="200"/>
      <c r="F1007" s="200"/>
      <c r="G1007" s="200"/>
      <c r="H1007" s="200"/>
      <c r="I1007" s="200"/>
      <c r="J1007" s="158"/>
      <c r="K1007" s="158"/>
      <c r="L1007" s="363"/>
      <c r="M1007" s="364"/>
      <c r="N1007" s="364"/>
      <c r="O1007" s="158"/>
      <c r="P1007" s="158"/>
      <c r="Q1007" s="158"/>
      <c r="R1007" s="158"/>
      <c r="S1007" s="158"/>
      <c r="T1007" s="365"/>
      <c r="U1007" s="365"/>
      <c r="V1007" s="365"/>
    </row>
    <row r="1008" spans="1:22" ht="12.75">
      <c r="A1008" s="153"/>
      <c r="B1008" s="200"/>
      <c r="C1008" s="200"/>
      <c r="D1008" s="200"/>
      <c r="E1008" s="200"/>
      <c r="F1008" s="200"/>
      <c r="G1008" s="200"/>
      <c r="H1008" s="200"/>
      <c r="I1008" s="200"/>
      <c r="J1008" s="158"/>
      <c r="K1008" s="158"/>
      <c r="L1008" s="363"/>
      <c r="M1008" s="364"/>
      <c r="N1008" s="364"/>
      <c r="O1008" s="158"/>
      <c r="P1008" s="158"/>
      <c r="Q1008" s="158"/>
      <c r="R1008" s="158"/>
      <c r="S1008" s="158"/>
      <c r="T1008" s="365"/>
      <c r="U1008" s="365"/>
      <c r="V1008" s="365"/>
    </row>
    <row r="1009" spans="1:22" ht="12.75">
      <c r="A1009" s="153"/>
      <c r="B1009" s="200"/>
      <c r="C1009" s="200"/>
      <c r="D1009" s="200"/>
      <c r="E1009" s="200"/>
      <c r="F1009" s="200"/>
      <c r="G1009" s="200"/>
      <c r="H1009" s="200"/>
      <c r="I1009" s="200"/>
      <c r="J1009" s="158"/>
      <c r="K1009" s="158"/>
      <c r="L1009" s="363"/>
      <c r="M1009" s="364"/>
      <c r="N1009" s="364"/>
      <c r="O1009" s="158"/>
      <c r="P1009" s="158"/>
      <c r="Q1009" s="158"/>
      <c r="R1009" s="158"/>
      <c r="S1009" s="158"/>
      <c r="T1009" s="365"/>
      <c r="U1009" s="365"/>
      <c r="V1009" s="365"/>
    </row>
    <row r="1010" spans="1:22" ht="12.75">
      <c r="A1010" s="153"/>
      <c r="B1010" s="200"/>
      <c r="C1010" s="200"/>
      <c r="D1010" s="200"/>
      <c r="E1010" s="200"/>
      <c r="F1010" s="200"/>
      <c r="G1010" s="200"/>
      <c r="H1010" s="200"/>
      <c r="I1010" s="200"/>
      <c r="J1010" s="158"/>
      <c r="K1010" s="158"/>
      <c r="L1010" s="363"/>
      <c r="M1010" s="364"/>
      <c r="N1010" s="364"/>
      <c r="O1010" s="158"/>
      <c r="P1010" s="158"/>
      <c r="Q1010" s="158"/>
      <c r="R1010" s="158"/>
      <c r="S1010" s="158"/>
      <c r="T1010" s="365"/>
      <c r="U1010" s="365"/>
      <c r="V1010" s="365"/>
    </row>
    <row r="1011" spans="1:22" ht="12.75">
      <c r="A1011" s="153"/>
      <c r="B1011" s="200"/>
      <c r="C1011" s="200"/>
      <c r="D1011" s="200"/>
      <c r="E1011" s="200"/>
      <c r="F1011" s="200"/>
      <c r="G1011" s="200"/>
      <c r="H1011" s="200"/>
      <c r="I1011" s="200"/>
      <c r="J1011" s="158"/>
      <c r="K1011" s="158"/>
      <c r="L1011" s="363"/>
      <c r="M1011" s="364"/>
      <c r="N1011" s="364"/>
      <c r="O1011" s="158"/>
      <c r="P1011" s="158"/>
      <c r="Q1011" s="158"/>
      <c r="R1011" s="158"/>
      <c r="S1011" s="158"/>
      <c r="T1011" s="365"/>
      <c r="U1011" s="365"/>
      <c r="V1011" s="365"/>
    </row>
    <row r="1012" spans="1:22" ht="12.75">
      <c r="A1012" s="153"/>
      <c r="B1012" s="200"/>
      <c r="C1012" s="200"/>
      <c r="D1012" s="200"/>
      <c r="E1012" s="200"/>
      <c r="F1012" s="200"/>
      <c r="G1012" s="200"/>
      <c r="H1012" s="200"/>
      <c r="I1012" s="200"/>
      <c r="J1012" s="158"/>
      <c r="K1012" s="158"/>
      <c r="L1012" s="363"/>
      <c r="M1012" s="364"/>
      <c r="N1012" s="364"/>
      <c r="O1012" s="158"/>
      <c r="P1012" s="158"/>
      <c r="Q1012" s="158"/>
      <c r="R1012" s="158"/>
      <c r="S1012" s="158"/>
      <c r="T1012" s="365"/>
      <c r="U1012" s="365"/>
      <c r="V1012" s="365"/>
    </row>
  </sheetData>
  <autoFilter ref="A1:V923"/>
  <conditionalFormatting sqref="A2:I1012 K470:L478">
    <cfRule type="expression" dxfId="104" priority="1">
      <formula>$I2="OPEN"</formula>
    </cfRule>
  </conditionalFormatting>
  <conditionalFormatting sqref="A2:I1012 K470:L478">
    <cfRule type="expression" dxfId="103" priority="2">
      <formula>$I2="CLOSED"</formula>
    </cfRule>
  </conditionalFormatting>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30"/>
  <sheetViews>
    <sheetView tabSelected="1" workbookViewId="0">
      <selection activeCell="Y19" sqref="Y19"/>
    </sheetView>
  </sheetViews>
  <sheetFormatPr defaultColWidth="12.5703125" defaultRowHeight="15" customHeight="1"/>
  <cols>
    <col min="1" max="1" width="5" customWidth="1"/>
    <col min="2" max="2" width="8.5703125" customWidth="1"/>
    <col min="3" max="11" width="7.85546875" customWidth="1"/>
    <col min="12" max="15" width="12.85546875" customWidth="1"/>
    <col min="16" max="17" width="9.42578125" customWidth="1"/>
    <col min="18" max="18" width="8.5703125" customWidth="1"/>
    <col min="19" max="19" width="10.7109375" customWidth="1"/>
    <col min="20" max="29" width="8.5703125" customWidth="1"/>
  </cols>
  <sheetData>
    <row r="1" spans="1:29" ht="27" customHeight="1">
      <c r="A1" s="390" t="str">
        <f ca="1">"DAILY REPORT CBM " &amp; UPPER(TEXT(TODAY()-1, "D MMM YYYY"))</f>
        <v>DAILY REPORT CBM 13 OCT 2026</v>
      </c>
      <c r="B1" s="375"/>
      <c r="C1" s="375"/>
      <c r="D1" s="375"/>
      <c r="E1" s="375"/>
      <c r="F1" s="375"/>
      <c r="G1" s="375"/>
      <c r="H1" s="375"/>
      <c r="I1" s="375"/>
      <c r="J1" s="375"/>
      <c r="K1" s="375"/>
      <c r="L1" s="375"/>
      <c r="M1" s="375"/>
      <c r="N1" s="375"/>
      <c r="O1" s="375"/>
      <c r="P1" s="375"/>
      <c r="Q1" s="377"/>
      <c r="T1" s="251"/>
      <c r="U1" s="251"/>
      <c r="V1" s="251"/>
      <c r="W1" s="251"/>
      <c r="X1" s="251"/>
      <c r="Y1" s="251"/>
      <c r="Z1" s="251"/>
      <c r="AA1" s="251"/>
      <c r="AB1" s="251"/>
      <c r="AC1" s="251"/>
    </row>
    <row r="2" spans="1:29" ht="20.25" customHeight="1">
      <c r="A2" s="387" t="s">
        <v>724</v>
      </c>
      <c r="B2" s="387" t="s">
        <v>546</v>
      </c>
      <c r="C2" s="389" t="s">
        <v>725</v>
      </c>
      <c r="D2" s="375"/>
      <c r="E2" s="377"/>
      <c r="F2" s="389" t="s">
        <v>727</v>
      </c>
      <c r="G2" s="375"/>
      <c r="H2" s="377"/>
      <c r="I2" s="389" t="s">
        <v>728</v>
      </c>
      <c r="J2" s="375"/>
      <c r="K2" s="377"/>
      <c r="L2" s="387" t="s">
        <v>729</v>
      </c>
      <c r="M2" s="387" t="s">
        <v>730</v>
      </c>
      <c r="N2" s="387" t="s">
        <v>733</v>
      </c>
      <c r="O2" s="387" t="s">
        <v>734</v>
      </c>
      <c r="P2" s="387" t="s">
        <v>735</v>
      </c>
      <c r="Q2" s="387" t="s">
        <v>736</v>
      </c>
      <c r="R2" s="252" t="s">
        <v>737</v>
      </c>
      <c r="S2" s="253">
        <v>46308</v>
      </c>
      <c r="T2" s="254"/>
      <c r="U2" s="254"/>
      <c r="V2" s="254"/>
      <c r="W2" s="254"/>
      <c r="X2" s="254"/>
      <c r="Y2" s="254"/>
      <c r="Z2" s="254"/>
      <c r="AA2" s="254"/>
      <c r="AB2" s="254"/>
      <c r="AC2" s="254"/>
    </row>
    <row r="3" spans="1:29" ht="27" customHeight="1" thickBot="1">
      <c r="A3" s="388"/>
      <c r="B3" s="388"/>
      <c r="C3" s="255" t="s">
        <v>743</v>
      </c>
      <c r="D3" s="255" t="s">
        <v>34</v>
      </c>
      <c r="E3" s="255" t="s">
        <v>76</v>
      </c>
      <c r="F3" s="255" t="s">
        <v>743</v>
      </c>
      <c r="G3" s="255" t="s">
        <v>34</v>
      </c>
      <c r="H3" s="255" t="s">
        <v>76</v>
      </c>
      <c r="I3" s="255" t="s">
        <v>743</v>
      </c>
      <c r="J3" s="255" t="s">
        <v>34</v>
      </c>
      <c r="K3" s="255" t="s">
        <v>76</v>
      </c>
      <c r="L3" s="388"/>
      <c r="M3" s="388"/>
      <c r="N3" s="388"/>
      <c r="O3" s="388"/>
      <c r="P3" s="388"/>
      <c r="Q3" s="388"/>
      <c r="R3" s="252" t="s">
        <v>745</v>
      </c>
      <c r="S3" s="253">
        <v>46308</v>
      </c>
      <c r="T3" s="254"/>
      <c r="U3" s="254"/>
      <c r="V3" s="254"/>
      <c r="W3" s="254"/>
      <c r="X3" s="254"/>
      <c r="Y3" s="254"/>
      <c r="Z3" s="254"/>
      <c r="AA3" s="254"/>
      <c r="AB3" s="254"/>
      <c r="AC3" s="254"/>
    </row>
    <row r="4" spans="1:29" ht="18.75" customHeight="1" thickBot="1">
      <c r="A4" s="257">
        <v>1</v>
      </c>
      <c r="B4" s="258" t="s">
        <v>55</v>
      </c>
      <c r="C4" s="407">
        <v>5</v>
      </c>
      <c r="D4" s="408">
        <v>4</v>
      </c>
      <c r="E4" s="408">
        <v>1</v>
      </c>
      <c r="F4" s="408">
        <v>33</v>
      </c>
      <c r="G4" s="408">
        <v>29</v>
      </c>
      <c r="H4" s="408">
        <v>4</v>
      </c>
      <c r="I4" s="408">
        <v>5</v>
      </c>
      <c r="J4" s="408">
        <v>5</v>
      </c>
      <c r="K4" s="408">
        <v>0</v>
      </c>
      <c r="L4" s="408">
        <v>10</v>
      </c>
      <c r="M4" s="408">
        <v>3</v>
      </c>
      <c r="N4" s="408">
        <v>7</v>
      </c>
      <c r="O4" s="408">
        <v>0</v>
      </c>
      <c r="P4" s="408">
        <v>113</v>
      </c>
      <c r="Q4" s="409">
        <v>171</v>
      </c>
      <c r="R4" s="262"/>
      <c r="S4" s="262"/>
      <c r="T4" s="262"/>
      <c r="U4" s="262"/>
      <c r="V4" s="262"/>
      <c r="W4" s="262"/>
      <c r="X4" s="262"/>
      <c r="Y4" s="262"/>
      <c r="Z4" s="262"/>
      <c r="AA4" s="262"/>
      <c r="AB4" s="262"/>
      <c r="AC4" s="262"/>
    </row>
    <row r="5" spans="1:29" ht="18.75" customHeight="1" thickBot="1">
      <c r="A5" s="257">
        <v>2</v>
      </c>
      <c r="B5" s="258" t="s">
        <v>322</v>
      </c>
      <c r="C5" s="410">
        <v>0</v>
      </c>
      <c r="D5" s="411">
        <v>0</v>
      </c>
      <c r="E5" s="411">
        <v>0</v>
      </c>
      <c r="F5" s="411">
        <v>3</v>
      </c>
      <c r="G5" s="411">
        <v>3</v>
      </c>
      <c r="H5" s="411">
        <v>0</v>
      </c>
      <c r="I5" s="411">
        <v>0</v>
      </c>
      <c r="J5" s="411">
        <v>0</v>
      </c>
      <c r="K5" s="411">
        <v>0</v>
      </c>
      <c r="L5" s="411">
        <v>0</v>
      </c>
      <c r="M5" s="411">
        <v>0</v>
      </c>
      <c r="N5" s="411">
        <v>8</v>
      </c>
      <c r="O5" s="411">
        <v>0</v>
      </c>
      <c r="P5" s="411">
        <v>29</v>
      </c>
      <c r="Q5" s="412">
        <v>40</v>
      </c>
      <c r="R5" s="262"/>
      <c r="S5" s="262"/>
      <c r="T5" s="262"/>
      <c r="U5" s="262"/>
      <c r="V5" s="262"/>
      <c r="W5" s="262"/>
      <c r="X5" s="262"/>
      <c r="Y5" s="262"/>
      <c r="Z5" s="262"/>
      <c r="AA5" s="262"/>
      <c r="AB5" s="262"/>
      <c r="AC5" s="262"/>
    </row>
    <row r="6" spans="1:29" ht="18.75" customHeight="1" thickBot="1">
      <c r="A6" s="257">
        <v>3</v>
      </c>
      <c r="B6" s="258" t="s">
        <v>94</v>
      </c>
      <c r="C6" s="410">
        <v>5</v>
      </c>
      <c r="D6" s="411">
        <v>4</v>
      </c>
      <c r="E6" s="411">
        <v>1</v>
      </c>
      <c r="F6" s="411">
        <v>8</v>
      </c>
      <c r="G6" s="411">
        <v>5</v>
      </c>
      <c r="H6" s="411">
        <v>3</v>
      </c>
      <c r="I6" s="411">
        <v>2</v>
      </c>
      <c r="J6" s="411">
        <v>0</v>
      </c>
      <c r="K6" s="411">
        <v>2</v>
      </c>
      <c r="L6" s="411">
        <v>4</v>
      </c>
      <c r="M6" s="411">
        <v>0</v>
      </c>
      <c r="N6" s="411">
        <v>6</v>
      </c>
      <c r="O6" s="411">
        <v>0</v>
      </c>
      <c r="P6" s="411">
        <v>77</v>
      </c>
      <c r="Q6" s="412">
        <v>96</v>
      </c>
      <c r="R6" s="262"/>
      <c r="S6" s="262"/>
      <c r="T6" s="262"/>
      <c r="U6" s="262"/>
      <c r="V6" s="262"/>
      <c r="W6" s="262"/>
      <c r="X6" s="262"/>
      <c r="Y6" s="262"/>
      <c r="Z6" s="262"/>
      <c r="AA6" s="262"/>
      <c r="AB6" s="262"/>
      <c r="AC6" s="262"/>
    </row>
    <row r="7" spans="1:29" ht="18.75" customHeight="1" thickBot="1">
      <c r="A7" s="257">
        <v>4</v>
      </c>
      <c r="B7" s="258" t="s">
        <v>328</v>
      </c>
      <c r="C7" s="410">
        <v>0</v>
      </c>
      <c r="D7" s="411">
        <v>0</v>
      </c>
      <c r="E7" s="411">
        <v>0</v>
      </c>
      <c r="F7" s="411">
        <v>2</v>
      </c>
      <c r="G7" s="411">
        <v>1</v>
      </c>
      <c r="H7" s="411">
        <v>1</v>
      </c>
      <c r="I7" s="411">
        <v>0</v>
      </c>
      <c r="J7" s="411">
        <v>0</v>
      </c>
      <c r="K7" s="411">
        <v>0</v>
      </c>
      <c r="L7" s="411">
        <v>0</v>
      </c>
      <c r="M7" s="411">
        <v>0</v>
      </c>
      <c r="N7" s="411">
        <v>0</v>
      </c>
      <c r="O7" s="411">
        <v>0</v>
      </c>
      <c r="P7" s="411">
        <v>23</v>
      </c>
      <c r="Q7" s="412">
        <v>24</v>
      </c>
      <c r="R7" s="262"/>
      <c r="S7" s="262"/>
      <c r="T7" s="262"/>
      <c r="U7" s="262"/>
      <c r="V7" s="262"/>
      <c r="W7" s="262"/>
      <c r="X7" s="262"/>
      <c r="Y7" s="262"/>
      <c r="Z7" s="262"/>
      <c r="AA7" s="262"/>
      <c r="AB7" s="262"/>
      <c r="AC7" s="262"/>
    </row>
    <row r="8" spans="1:29" ht="18.75" customHeight="1" thickBot="1">
      <c r="A8" s="257">
        <v>5</v>
      </c>
      <c r="B8" s="258" t="s">
        <v>111</v>
      </c>
      <c r="C8" s="410">
        <v>4</v>
      </c>
      <c r="D8" s="411">
        <v>4</v>
      </c>
      <c r="E8" s="411">
        <v>0</v>
      </c>
      <c r="F8" s="411">
        <v>2</v>
      </c>
      <c r="G8" s="411">
        <v>2</v>
      </c>
      <c r="H8" s="411">
        <v>0</v>
      </c>
      <c r="I8" s="411">
        <v>2</v>
      </c>
      <c r="J8" s="411">
        <v>2</v>
      </c>
      <c r="K8" s="411">
        <v>0</v>
      </c>
      <c r="L8" s="411">
        <v>4</v>
      </c>
      <c r="M8" s="411">
        <v>0</v>
      </c>
      <c r="N8" s="411">
        <v>6</v>
      </c>
      <c r="O8" s="411">
        <v>0</v>
      </c>
      <c r="P8" s="411">
        <v>42</v>
      </c>
      <c r="Q8" s="412">
        <v>60</v>
      </c>
      <c r="R8" s="262"/>
      <c r="S8" s="262"/>
      <c r="T8" s="262"/>
      <c r="U8" s="262"/>
      <c r="V8" s="262"/>
      <c r="W8" s="262"/>
      <c r="X8" s="262"/>
      <c r="Y8" s="262"/>
      <c r="Z8" s="262"/>
      <c r="AA8" s="262"/>
      <c r="AB8" s="262"/>
      <c r="AC8" s="262"/>
    </row>
    <row r="9" spans="1:29" ht="18.75" customHeight="1" thickBot="1">
      <c r="A9" s="257">
        <v>6</v>
      </c>
      <c r="B9" s="258" t="s">
        <v>958</v>
      </c>
      <c r="C9" s="410">
        <v>0</v>
      </c>
      <c r="D9" s="411">
        <v>0</v>
      </c>
      <c r="E9" s="411">
        <v>0</v>
      </c>
      <c r="F9" s="411">
        <v>0</v>
      </c>
      <c r="G9" s="411">
        <v>0</v>
      </c>
      <c r="H9" s="411">
        <v>0</v>
      </c>
      <c r="I9" s="411">
        <v>0</v>
      </c>
      <c r="J9" s="411">
        <v>0</v>
      </c>
      <c r="K9" s="411">
        <v>0</v>
      </c>
      <c r="L9" s="411">
        <v>0</v>
      </c>
      <c r="M9" s="411">
        <v>0</v>
      </c>
      <c r="N9" s="411">
        <v>1</v>
      </c>
      <c r="O9" s="411">
        <v>0</v>
      </c>
      <c r="P9" s="411">
        <v>11</v>
      </c>
      <c r="Q9" s="412">
        <v>12</v>
      </c>
      <c r="R9" s="262"/>
      <c r="S9" s="262"/>
      <c r="T9" s="262"/>
      <c r="U9" s="262"/>
      <c r="V9" s="262"/>
      <c r="W9" s="262"/>
      <c r="X9" s="262"/>
      <c r="Y9" s="262"/>
      <c r="Z9" s="262"/>
      <c r="AA9" s="262"/>
      <c r="AB9" s="262"/>
      <c r="AC9" s="262"/>
    </row>
    <row r="10" spans="1:29" ht="18.75" customHeight="1" thickBot="1">
      <c r="A10" s="263">
        <v>7</v>
      </c>
      <c r="B10" s="264" t="s">
        <v>375</v>
      </c>
      <c r="C10" s="413">
        <v>0</v>
      </c>
      <c r="D10" s="414">
        <v>0</v>
      </c>
      <c r="E10" s="414">
        <v>0</v>
      </c>
      <c r="F10" s="411">
        <v>1</v>
      </c>
      <c r="G10" s="411">
        <v>0</v>
      </c>
      <c r="H10" s="411">
        <v>1</v>
      </c>
      <c r="I10" s="411">
        <v>0</v>
      </c>
      <c r="J10" s="411">
        <v>0</v>
      </c>
      <c r="K10" s="411">
        <v>0</v>
      </c>
      <c r="L10" s="411">
        <v>0</v>
      </c>
      <c r="M10" s="414">
        <v>0</v>
      </c>
      <c r="N10" s="411">
        <v>0</v>
      </c>
      <c r="O10" s="414">
        <v>0</v>
      </c>
      <c r="P10" s="411">
        <v>17</v>
      </c>
      <c r="Q10" s="412">
        <v>17</v>
      </c>
      <c r="R10" s="251"/>
      <c r="S10" s="251"/>
      <c r="T10" s="251"/>
      <c r="U10" s="251"/>
      <c r="V10" s="251"/>
      <c r="W10" s="251"/>
      <c r="X10" s="251"/>
      <c r="Y10" s="251"/>
      <c r="Z10" s="251"/>
      <c r="AA10" s="251"/>
      <c r="AB10" s="251"/>
      <c r="AC10" s="251"/>
    </row>
    <row r="11" spans="1:29" ht="18.75" customHeight="1" thickBot="1">
      <c r="A11" s="257">
        <v>8</v>
      </c>
      <c r="B11" s="258" t="s">
        <v>677</v>
      </c>
      <c r="C11" s="410">
        <v>0</v>
      </c>
      <c r="D11" s="411">
        <v>0</v>
      </c>
      <c r="E11" s="411">
        <v>0</v>
      </c>
      <c r="F11" s="411">
        <v>0</v>
      </c>
      <c r="G11" s="411">
        <v>0</v>
      </c>
      <c r="H11" s="411">
        <v>0</v>
      </c>
      <c r="I11" s="411">
        <v>0</v>
      </c>
      <c r="J11" s="411">
        <v>0</v>
      </c>
      <c r="K11" s="411">
        <v>0</v>
      </c>
      <c r="L11" s="411">
        <v>0</v>
      </c>
      <c r="M11" s="411">
        <v>0</v>
      </c>
      <c r="N11" s="411">
        <v>0</v>
      </c>
      <c r="O11" s="411">
        <v>0</v>
      </c>
      <c r="P11" s="411">
        <v>8</v>
      </c>
      <c r="Q11" s="412">
        <v>8</v>
      </c>
      <c r="R11" s="251"/>
      <c r="S11" s="251"/>
      <c r="T11" s="251"/>
      <c r="U11" s="251"/>
      <c r="V11" s="251"/>
      <c r="W11" s="251"/>
      <c r="X11" s="251"/>
      <c r="Y11" s="251"/>
      <c r="Z11" s="251"/>
      <c r="AA11" s="251"/>
      <c r="AB11" s="251"/>
      <c r="AC11" s="251"/>
    </row>
    <row r="12" spans="1:29" ht="18.75" customHeight="1" thickBot="1">
      <c r="A12" s="257">
        <v>9</v>
      </c>
      <c r="B12" s="258" t="s">
        <v>109</v>
      </c>
      <c r="C12" s="410">
        <v>1</v>
      </c>
      <c r="D12" s="411">
        <v>1</v>
      </c>
      <c r="E12" s="411">
        <v>0</v>
      </c>
      <c r="F12" s="411">
        <v>0</v>
      </c>
      <c r="G12" s="411">
        <v>0</v>
      </c>
      <c r="H12" s="411">
        <v>0</v>
      </c>
      <c r="I12" s="411">
        <v>3</v>
      </c>
      <c r="J12" s="411">
        <v>3</v>
      </c>
      <c r="K12" s="411">
        <v>0</v>
      </c>
      <c r="L12" s="411">
        <v>0</v>
      </c>
      <c r="M12" s="411">
        <v>0</v>
      </c>
      <c r="N12" s="411">
        <v>0</v>
      </c>
      <c r="O12" s="411">
        <v>0</v>
      </c>
      <c r="P12" s="411">
        <v>19</v>
      </c>
      <c r="Q12" s="412">
        <v>23</v>
      </c>
      <c r="R12" s="251"/>
      <c r="S12" s="251"/>
      <c r="T12" s="251"/>
      <c r="U12" s="251"/>
      <c r="V12" s="251"/>
      <c r="W12" s="251"/>
      <c r="X12" s="251"/>
      <c r="Y12" s="251"/>
      <c r="Z12" s="251"/>
      <c r="AA12" s="251"/>
      <c r="AB12" s="251"/>
      <c r="AC12" s="251"/>
    </row>
    <row r="13" spans="1:29" ht="18.75" customHeight="1" thickBot="1">
      <c r="A13" s="257">
        <v>10</v>
      </c>
      <c r="B13" s="258" t="s">
        <v>409</v>
      </c>
      <c r="C13" s="410">
        <v>0</v>
      </c>
      <c r="D13" s="411">
        <v>0</v>
      </c>
      <c r="E13" s="411">
        <v>0</v>
      </c>
      <c r="F13" s="411">
        <v>1</v>
      </c>
      <c r="G13" s="411">
        <v>1</v>
      </c>
      <c r="H13" s="411">
        <v>0</v>
      </c>
      <c r="I13" s="411">
        <v>0</v>
      </c>
      <c r="J13" s="411">
        <v>0</v>
      </c>
      <c r="K13" s="411">
        <v>0</v>
      </c>
      <c r="L13" s="411">
        <v>0</v>
      </c>
      <c r="M13" s="411">
        <v>0</v>
      </c>
      <c r="N13" s="411">
        <v>1</v>
      </c>
      <c r="O13" s="411">
        <v>0</v>
      </c>
      <c r="P13" s="411">
        <v>16</v>
      </c>
      <c r="Q13" s="412">
        <v>18</v>
      </c>
      <c r="R13" s="251"/>
      <c r="S13" s="251"/>
      <c r="T13" s="251"/>
      <c r="U13" s="251"/>
      <c r="V13" s="251"/>
      <c r="W13" s="251"/>
      <c r="X13" s="251"/>
      <c r="Y13" s="251"/>
      <c r="Z13" s="251"/>
      <c r="AA13" s="251"/>
      <c r="AB13" s="251"/>
      <c r="AC13" s="251"/>
    </row>
    <row r="14" spans="1:29" ht="18.75" customHeight="1" thickBot="1">
      <c r="A14" s="265">
        <v>11</v>
      </c>
      <c r="B14" s="264" t="s">
        <v>317</v>
      </c>
      <c r="C14" s="413">
        <v>0</v>
      </c>
      <c r="D14" s="414">
        <v>0</v>
      </c>
      <c r="E14" s="414">
        <v>0</v>
      </c>
      <c r="F14" s="411">
        <v>2</v>
      </c>
      <c r="G14" s="411">
        <v>2</v>
      </c>
      <c r="H14" s="411">
        <v>0</v>
      </c>
      <c r="I14" s="411">
        <v>0</v>
      </c>
      <c r="J14" s="411">
        <v>0</v>
      </c>
      <c r="K14" s="411">
        <v>0</v>
      </c>
      <c r="L14" s="411">
        <v>0</v>
      </c>
      <c r="M14" s="414">
        <v>0</v>
      </c>
      <c r="N14" s="411">
        <v>2</v>
      </c>
      <c r="O14" s="414">
        <v>0</v>
      </c>
      <c r="P14" s="411">
        <v>20</v>
      </c>
      <c r="Q14" s="412">
        <v>24</v>
      </c>
      <c r="R14" s="251"/>
      <c r="S14" s="251"/>
      <c r="T14" s="251"/>
      <c r="U14" s="251"/>
      <c r="V14" s="251"/>
      <c r="W14" s="251"/>
      <c r="X14" s="251"/>
      <c r="Y14" s="251"/>
      <c r="Z14" s="251"/>
      <c r="AA14" s="251"/>
      <c r="AB14" s="251"/>
      <c r="AC14" s="251"/>
    </row>
    <row r="15" spans="1:29" ht="18.75" customHeight="1" thickBot="1">
      <c r="A15" s="265">
        <v>12</v>
      </c>
      <c r="B15" s="264" t="s">
        <v>97</v>
      </c>
      <c r="C15" s="413">
        <v>3</v>
      </c>
      <c r="D15" s="414">
        <v>2</v>
      </c>
      <c r="E15" s="414">
        <v>1</v>
      </c>
      <c r="F15" s="411">
        <v>1</v>
      </c>
      <c r="G15" s="411">
        <v>0</v>
      </c>
      <c r="H15" s="411">
        <v>1</v>
      </c>
      <c r="I15" s="411">
        <v>0</v>
      </c>
      <c r="J15" s="411">
        <v>0</v>
      </c>
      <c r="K15" s="411">
        <v>0</v>
      </c>
      <c r="L15" s="411">
        <v>0</v>
      </c>
      <c r="M15" s="414">
        <v>0</v>
      </c>
      <c r="N15" s="411">
        <v>0</v>
      </c>
      <c r="O15" s="414">
        <v>0</v>
      </c>
      <c r="P15" s="411">
        <v>10</v>
      </c>
      <c r="Q15" s="412">
        <v>12</v>
      </c>
      <c r="R15" s="251"/>
      <c r="S15" s="251"/>
      <c r="T15" s="251"/>
      <c r="U15" s="251"/>
      <c r="V15" s="251"/>
      <c r="W15" s="251"/>
      <c r="X15" s="251"/>
      <c r="Y15" s="251"/>
      <c r="Z15" s="251"/>
      <c r="AA15" s="251"/>
      <c r="AB15" s="251"/>
      <c r="AC15" s="251"/>
    </row>
    <row r="16" spans="1:29" ht="18.75" customHeight="1" thickBot="1">
      <c r="A16" s="272">
        <v>13</v>
      </c>
      <c r="B16" s="261" t="s">
        <v>214</v>
      </c>
      <c r="C16" s="410">
        <v>1</v>
      </c>
      <c r="D16" s="411">
        <v>1</v>
      </c>
      <c r="E16" s="411">
        <v>0</v>
      </c>
      <c r="F16" s="411">
        <v>1</v>
      </c>
      <c r="G16" s="411">
        <v>1</v>
      </c>
      <c r="H16" s="411">
        <v>0</v>
      </c>
      <c r="I16" s="411">
        <v>0</v>
      </c>
      <c r="J16" s="411">
        <v>0</v>
      </c>
      <c r="K16" s="411">
        <v>0</v>
      </c>
      <c r="L16" s="411">
        <v>0</v>
      </c>
      <c r="M16" s="411">
        <v>0</v>
      </c>
      <c r="N16" s="411">
        <v>0</v>
      </c>
      <c r="O16" s="411">
        <v>0</v>
      </c>
      <c r="P16" s="411">
        <v>15</v>
      </c>
      <c r="Q16" s="412">
        <v>17</v>
      </c>
      <c r="R16" s="251"/>
      <c r="S16" s="251"/>
      <c r="T16" s="251"/>
      <c r="U16" s="251"/>
      <c r="V16" s="251"/>
      <c r="W16" s="251"/>
      <c r="X16" s="251"/>
      <c r="Y16" s="251"/>
      <c r="Z16" s="251"/>
      <c r="AA16" s="251"/>
      <c r="AB16" s="251"/>
      <c r="AC16" s="251"/>
    </row>
    <row r="17" spans="1:29" ht="18.75" customHeight="1" thickBot="1">
      <c r="A17" s="272">
        <v>14</v>
      </c>
      <c r="B17" s="261" t="s">
        <v>66</v>
      </c>
      <c r="C17" s="410">
        <v>0</v>
      </c>
      <c r="D17" s="411">
        <v>0</v>
      </c>
      <c r="E17" s="411">
        <v>0</v>
      </c>
      <c r="F17" s="411">
        <v>0</v>
      </c>
      <c r="G17" s="411">
        <v>0</v>
      </c>
      <c r="H17" s="411">
        <v>0</v>
      </c>
      <c r="I17" s="411">
        <v>1</v>
      </c>
      <c r="J17" s="411">
        <v>1</v>
      </c>
      <c r="K17" s="411">
        <v>0</v>
      </c>
      <c r="L17" s="411">
        <v>0</v>
      </c>
      <c r="M17" s="411">
        <v>0</v>
      </c>
      <c r="N17" s="411">
        <v>8</v>
      </c>
      <c r="O17" s="411">
        <v>0</v>
      </c>
      <c r="P17" s="411">
        <v>17</v>
      </c>
      <c r="Q17" s="412">
        <v>26</v>
      </c>
      <c r="R17" s="278"/>
      <c r="S17" s="278"/>
      <c r="T17" s="278"/>
      <c r="U17" s="278"/>
      <c r="V17" s="278"/>
      <c r="W17" s="278"/>
      <c r="X17" s="278"/>
      <c r="Y17" s="278"/>
      <c r="Z17" s="278"/>
      <c r="AA17" s="278"/>
      <c r="AB17" s="278"/>
      <c r="AC17" s="278"/>
    </row>
    <row r="18" spans="1:29" ht="18.75" customHeight="1" thickBot="1">
      <c r="A18" s="272">
        <v>15</v>
      </c>
      <c r="B18" s="261" t="s">
        <v>162</v>
      </c>
      <c r="C18" s="410">
        <v>0</v>
      </c>
      <c r="D18" s="411">
        <v>0</v>
      </c>
      <c r="E18" s="411">
        <v>0</v>
      </c>
      <c r="F18" s="411">
        <v>0</v>
      </c>
      <c r="G18" s="411">
        <v>0</v>
      </c>
      <c r="H18" s="411">
        <v>0</v>
      </c>
      <c r="I18" s="411">
        <v>0</v>
      </c>
      <c r="J18" s="411">
        <v>0</v>
      </c>
      <c r="K18" s="411">
        <v>0</v>
      </c>
      <c r="L18" s="411">
        <v>0</v>
      </c>
      <c r="M18" s="411">
        <v>0</v>
      </c>
      <c r="N18" s="411">
        <v>1</v>
      </c>
      <c r="O18" s="411">
        <v>0</v>
      </c>
      <c r="P18" s="411">
        <v>7</v>
      </c>
      <c r="Q18" s="412">
        <v>8</v>
      </c>
      <c r="R18" s="278"/>
      <c r="S18" s="278"/>
      <c r="T18" s="278"/>
      <c r="U18" s="278"/>
      <c r="V18" s="278"/>
      <c r="W18" s="278"/>
      <c r="X18" s="278"/>
      <c r="Y18" s="278"/>
      <c r="Z18" s="278"/>
      <c r="AA18" s="278"/>
      <c r="AB18" s="278"/>
      <c r="AC18" s="278"/>
    </row>
    <row r="19" spans="1:29" ht="18.75" customHeight="1" thickBot="1">
      <c r="A19" s="279">
        <v>16</v>
      </c>
      <c r="B19" s="258" t="s">
        <v>89</v>
      </c>
      <c r="C19" s="410">
        <v>1</v>
      </c>
      <c r="D19" s="411">
        <v>1</v>
      </c>
      <c r="E19" s="411">
        <v>0</v>
      </c>
      <c r="F19" s="411">
        <v>1</v>
      </c>
      <c r="G19" s="411">
        <v>1</v>
      </c>
      <c r="H19" s="411">
        <v>0</v>
      </c>
      <c r="I19" s="411">
        <v>0</v>
      </c>
      <c r="J19" s="411">
        <v>0</v>
      </c>
      <c r="K19" s="411">
        <v>0</v>
      </c>
      <c r="L19" s="411">
        <v>0</v>
      </c>
      <c r="M19" s="411">
        <v>0</v>
      </c>
      <c r="N19" s="411">
        <v>0</v>
      </c>
      <c r="O19" s="411">
        <v>0</v>
      </c>
      <c r="P19" s="411">
        <v>13</v>
      </c>
      <c r="Q19" s="412">
        <v>15</v>
      </c>
      <c r="R19" s="262"/>
      <c r="S19" s="262"/>
      <c r="T19" s="262"/>
      <c r="U19" s="262"/>
      <c r="V19" s="262"/>
      <c r="W19" s="262"/>
      <c r="X19" s="262"/>
      <c r="Y19" s="262"/>
      <c r="Z19" s="262"/>
      <c r="AA19" s="262"/>
      <c r="AB19" s="262"/>
      <c r="AC19" s="262"/>
    </row>
    <row r="20" spans="1:29" ht="18.75" customHeight="1" thickBot="1">
      <c r="A20" s="265">
        <v>17</v>
      </c>
      <c r="B20" s="264" t="s">
        <v>1487</v>
      </c>
      <c r="C20" s="410">
        <v>0</v>
      </c>
      <c r="D20" s="411">
        <v>0</v>
      </c>
      <c r="E20" s="411">
        <v>0</v>
      </c>
      <c r="F20" s="411">
        <v>0</v>
      </c>
      <c r="G20" s="411">
        <v>0</v>
      </c>
      <c r="H20" s="411">
        <v>0</v>
      </c>
      <c r="I20" s="411">
        <v>0</v>
      </c>
      <c r="J20" s="411">
        <v>0</v>
      </c>
      <c r="K20" s="411">
        <v>0</v>
      </c>
      <c r="L20" s="411">
        <v>0</v>
      </c>
      <c r="M20" s="411">
        <v>0</v>
      </c>
      <c r="N20" s="411">
        <v>0</v>
      </c>
      <c r="O20" s="411">
        <v>0</v>
      </c>
      <c r="P20" s="411">
        <v>0</v>
      </c>
      <c r="Q20" s="412">
        <v>0</v>
      </c>
      <c r="R20" s="251"/>
      <c r="S20" s="251"/>
      <c r="T20" s="251"/>
      <c r="U20" s="251"/>
      <c r="V20" s="251"/>
      <c r="W20" s="251"/>
      <c r="X20" s="251"/>
      <c r="Y20" s="251"/>
      <c r="Z20" s="251"/>
      <c r="AA20" s="251"/>
      <c r="AB20" s="251"/>
      <c r="AC20" s="251"/>
    </row>
    <row r="21" spans="1:29" ht="18.75" customHeight="1" thickBot="1">
      <c r="A21" s="279">
        <v>18</v>
      </c>
      <c r="B21" s="280" t="s">
        <v>388</v>
      </c>
      <c r="C21" s="410">
        <v>0</v>
      </c>
      <c r="D21" s="411">
        <v>0</v>
      </c>
      <c r="E21" s="411">
        <v>0</v>
      </c>
      <c r="F21" s="411">
        <v>0</v>
      </c>
      <c r="G21" s="411">
        <v>0</v>
      </c>
      <c r="H21" s="411">
        <v>0</v>
      </c>
      <c r="I21" s="411">
        <v>0</v>
      </c>
      <c r="J21" s="411">
        <v>0</v>
      </c>
      <c r="K21" s="411">
        <v>0</v>
      </c>
      <c r="L21" s="411">
        <v>4</v>
      </c>
      <c r="M21" s="411">
        <v>0</v>
      </c>
      <c r="N21" s="411">
        <v>0</v>
      </c>
      <c r="O21" s="411">
        <v>0</v>
      </c>
      <c r="P21" s="411">
        <v>8</v>
      </c>
      <c r="Q21" s="412">
        <v>12</v>
      </c>
      <c r="R21" s="251"/>
      <c r="S21" s="251"/>
      <c r="T21" s="251"/>
      <c r="U21" s="251"/>
      <c r="V21" s="251"/>
      <c r="W21" s="251"/>
      <c r="X21" s="251"/>
      <c r="Y21" s="251"/>
      <c r="Z21" s="251"/>
      <c r="AA21" s="251"/>
      <c r="AB21" s="251"/>
      <c r="AC21" s="251"/>
    </row>
    <row r="22" spans="1:29" ht="18.75" customHeight="1">
      <c r="A22" s="391" t="s">
        <v>1593</v>
      </c>
      <c r="B22" s="392"/>
      <c r="C22" s="281">
        <f t="shared" ref="C22:Q22" si="0">SUM(C4:C21)</f>
        <v>20</v>
      </c>
      <c r="D22" s="281">
        <f t="shared" si="0"/>
        <v>17</v>
      </c>
      <c r="E22" s="281">
        <f t="shared" si="0"/>
        <v>3</v>
      </c>
      <c r="F22" s="281">
        <f t="shared" si="0"/>
        <v>55</v>
      </c>
      <c r="G22" s="281">
        <f t="shared" si="0"/>
        <v>45</v>
      </c>
      <c r="H22" s="281">
        <f t="shared" si="0"/>
        <v>10</v>
      </c>
      <c r="I22" s="281">
        <f t="shared" si="0"/>
        <v>13</v>
      </c>
      <c r="J22" s="281">
        <f t="shared" si="0"/>
        <v>11</v>
      </c>
      <c r="K22" s="281">
        <f t="shared" si="0"/>
        <v>2</v>
      </c>
      <c r="L22" s="281">
        <f t="shared" si="0"/>
        <v>22</v>
      </c>
      <c r="M22" s="281">
        <f t="shared" si="0"/>
        <v>3</v>
      </c>
      <c r="N22" s="281">
        <f t="shared" si="0"/>
        <v>40</v>
      </c>
      <c r="O22" s="281">
        <f t="shared" si="0"/>
        <v>0</v>
      </c>
      <c r="P22" s="281">
        <f t="shared" si="0"/>
        <v>445</v>
      </c>
      <c r="Q22" s="281">
        <f t="shared" si="0"/>
        <v>583</v>
      </c>
      <c r="R22" s="282"/>
      <c r="S22" s="282"/>
      <c r="T22" s="282"/>
      <c r="U22" s="282"/>
      <c r="V22" s="282"/>
      <c r="W22" s="282"/>
      <c r="X22" s="282"/>
      <c r="Y22" s="282"/>
      <c r="Z22" s="282"/>
      <c r="AA22" s="282"/>
      <c r="AB22" s="282"/>
      <c r="AC22" s="282"/>
    </row>
    <row r="23" spans="1:29" ht="18" customHeight="1">
      <c r="A23" s="251"/>
      <c r="B23" s="251"/>
      <c r="C23" s="251"/>
      <c r="D23" s="251"/>
      <c r="E23" s="251"/>
      <c r="F23" s="283"/>
      <c r="G23" s="251"/>
      <c r="H23" s="251"/>
      <c r="I23" s="251"/>
      <c r="J23" s="251"/>
      <c r="K23" s="251"/>
      <c r="L23" s="251"/>
      <c r="M23" s="251"/>
      <c r="N23" s="251"/>
      <c r="O23" s="251"/>
      <c r="P23" s="251"/>
      <c r="Q23" s="284"/>
      <c r="R23" s="251"/>
      <c r="S23" s="251"/>
      <c r="T23" s="251"/>
      <c r="U23" s="251"/>
      <c r="V23" s="251"/>
      <c r="W23" s="251"/>
      <c r="X23" s="251"/>
      <c r="Y23" s="251"/>
      <c r="Z23" s="251"/>
      <c r="AA23" s="251"/>
      <c r="AB23" s="251"/>
      <c r="AC23" s="251"/>
    </row>
    <row r="24" spans="1:29" ht="22.5" customHeight="1">
      <c r="A24" s="387" t="s">
        <v>724</v>
      </c>
      <c r="B24" s="387" t="s">
        <v>15</v>
      </c>
      <c r="C24" s="389" t="s">
        <v>725</v>
      </c>
      <c r="D24" s="375"/>
      <c r="E24" s="377"/>
      <c r="F24" s="389" t="s">
        <v>727</v>
      </c>
      <c r="G24" s="375"/>
      <c r="H24" s="377"/>
      <c r="I24" s="389" t="s">
        <v>728</v>
      </c>
      <c r="J24" s="375"/>
      <c r="K24" s="377"/>
      <c r="L24" s="387" t="s">
        <v>729</v>
      </c>
      <c r="M24" s="387" t="s">
        <v>730</v>
      </c>
      <c r="N24" s="387" t="s">
        <v>733</v>
      </c>
      <c r="O24" s="387" t="s">
        <v>734</v>
      </c>
      <c r="P24" s="387" t="s">
        <v>735</v>
      </c>
      <c r="Q24" s="387" t="s">
        <v>736</v>
      </c>
      <c r="R24" s="251"/>
      <c r="S24" s="251"/>
      <c r="T24" s="251"/>
      <c r="U24" s="251"/>
      <c r="V24" s="251"/>
      <c r="W24" s="251"/>
      <c r="X24" s="251"/>
      <c r="Y24" s="251"/>
      <c r="Z24" s="251"/>
      <c r="AA24" s="251"/>
      <c r="AB24" s="251"/>
      <c r="AC24" s="251"/>
    </row>
    <row r="25" spans="1:29" ht="22.5" customHeight="1">
      <c r="A25" s="388"/>
      <c r="B25" s="388"/>
      <c r="C25" s="255" t="s">
        <v>743</v>
      </c>
      <c r="D25" s="255" t="s">
        <v>34</v>
      </c>
      <c r="E25" s="255" t="s">
        <v>76</v>
      </c>
      <c r="F25" s="255" t="s">
        <v>743</v>
      </c>
      <c r="G25" s="255" t="s">
        <v>34</v>
      </c>
      <c r="H25" s="255" t="s">
        <v>76</v>
      </c>
      <c r="I25" s="255" t="s">
        <v>743</v>
      </c>
      <c r="J25" s="255" t="s">
        <v>34</v>
      </c>
      <c r="K25" s="255" t="s">
        <v>76</v>
      </c>
      <c r="L25" s="388"/>
      <c r="M25" s="388"/>
      <c r="N25" s="388"/>
      <c r="O25" s="388"/>
      <c r="P25" s="388"/>
      <c r="Q25" s="388"/>
      <c r="R25" s="251"/>
      <c r="S25" s="251"/>
      <c r="T25" s="251"/>
      <c r="U25" s="251"/>
      <c r="V25" s="251"/>
      <c r="W25" s="251"/>
      <c r="X25" s="251"/>
      <c r="Y25" s="251"/>
      <c r="Z25" s="251"/>
      <c r="AA25" s="251"/>
      <c r="AB25" s="251"/>
      <c r="AC25" s="251"/>
    </row>
    <row r="26" spans="1:29" ht="18.75" customHeight="1">
      <c r="A26" s="257">
        <v>1</v>
      </c>
      <c r="B26" s="258" t="s">
        <v>86</v>
      </c>
      <c r="C26" s="260">
        <f>COUNTIFS(WO!$A$3:$A30, "&gt;="&amp;$S$2, WO!$A$3:$A30, "&lt;="&amp;$S$3, WO!$I$3:$I30, $B26)</f>
        <v>5</v>
      </c>
      <c r="D26" s="260">
        <f>COUNTIFS(WO!$A$3:$A30, "&gt;="&amp;$S$2, WO!$A$3:$A30, "&lt;="&amp;$S$3, WO!$I$3:$I30, $B26, WO!$N$3:$N30, "CLOSED")</f>
        <v>4</v>
      </c>
      <c r="E26" s="260">
        <f>COUNTIFS(WO!$A$3:$A30, "&gt;="&amp;$S$2, WO!$A$3:$A30, "&lt;="&amp;$S$3, WO!$I$3:$I30, $B26, WO!$N$3:$N30, "OPEN")</f>
        <v>1</v>
      </c>
      <c r="F26" s="260">
        <f>COUNTIFS('DJA AOC NSRDIL R01'!$L$3:$L30, $B26, 'DJA AOC NSRDIL R01'!$O$3:$O30, "&gt;="&amp;$S$2, 'DJA AOC NSRDIL R01'!$O$3:$O30, "&lt;="&amp;$S$3)</f>
        <v>2</v>
      </c>
      <c r="G26" s="260">
        <f>COUNTIFS('DJA AOC NSRDIL R01'!$L$3:$L30, $B26, 'DJA AOC NSRDIL R01'!$O$3:$O30, "&gt;="&amp;$S$2, 'DJA AOC NSRDIL R01'!$O$3:$O30, "&lt;="&amp;$S$3, 'DJA AOC NSRDIL R01'!$Q$3:$Q30, "CLOSED")</f>
        <v>1</v>
      </c>
      <c r="H26" s="260">
        <f>COUNTIFS('DJA AOC NSRDIL R01'!$L$3:$L30, $B26, 'DJA AOC NSRDIL R01'!$O$3:$O30, "&gt;="&amp;$S$2, 'DJA AOC NSRDIL R01'!$O$3:$O30, "&lt;="&amp;$S$3, 'DJA AOC NSRDIL R01'!$Q$3:$Q30, "OPEN")</f>
        <v>1</v>
      </c>
      <c r="I26" s="260">
        <f>COUNTIFS('DMI CBM'!$X:$X, "DJA DMI", 'DMI CBM'!$Q:$Q, "&gt;="&amp;$S$2, 'DMI CBM'!$Q:$Q, "&lt;="&amp;$S$3, 'DMI CBM'!$N:$N, $B26)</f>
        <v>2</v>
      </c>
      <c r="J26" s="260">
        <f>COUNTIFS('DMI CBM'!$X:$X, "DJA DMI", 'DMI CBM'!$Q:$Q, "&gt;="&amp;$S$2, 'DMI CBM'!$Q:$Q, "&lt;="&amp;$S$3, 'DMI CBM'!$N:$N, $B26, 'DMI CBM'!$G:$G, "CLOSED")</f>
        <v>0</v>
      </c>
      <c r="K26" s="260">
        <f>COUNTIFS('DMI CBM'!$X:$X, "DJA DMI", 'DMI CBM'!$Q:$Q, "&gt;="&amp;$S$2, 'DMI CBM'!$Q:$Q, "&lt;="&amp;$S$3, 'DMI CBM'!$N:$N, $B26, 'DMI CBM'!$G:$G, "OPEN")</f>
        <v>2</v>
      </c>
      <c r="L26" s="260">
        <f>COUNTIFS('ALL FINDING'!$A:$A, "&gt;="&amp;$S$2, 'ALL FINDING'!$A:$A, "&lt;="&amp;$S$3, 'ALL FINDING'!$B:$B, $B26, 'ALL FINDING'!$I:$I, "CLOSED")</f>
        <v>0</v>
      </c>
      <c r="M26" s="260"/>
      <c r="N26" s="260"/>
      <c r="O26" s="260"/>
      <c r="P26" s="260" t="s">
        <v>3335</v>
      </c>
      <c r="Q26" s="261">
        <f t="shared" ref="Q26:Q29" si="1">SUM(D26, G26, J26, L26:P26)</f>
        <v>5</v>
      </c>
    </row>
    <row r="27" spans="1:29" ht="18.75" customHeight="1">
      <c r="A27" s="257">
        <v>2</v>
      </c>
      <c r="B27" s="258" t="s">
        <v>52</v>
      </c>
      <c r="C27" s="260">
        <f>COUNTIFS(WO!$A$3:$A30, "&gt;="&amp;$S$2, WO!$A$3:$A30, "&lt;="&amp;$S$3, WO!$I$3:$I30, $B27)</f>
        <v>7</v>
      </c>
      <c r="D27" s="260">
        <f>COUNTIFS(WO!$A$3:$A30, "&gt;="&amp;$S$2, WO!$A$3:$A30, "&lt;="&amp;$S$3, WO!$I$3:$I30, $B27, WO!$N$3:$N30, "CLOSED")</f>
        <v>5</v>
      </c>
      <c r="E27" s="260">
        <f>COUNTIFS(WO!$A$3:$A30, "&gt;="&amp;$S$2, WO!$A$3:$A30, "&lt;="&amp;$S$3, WO!$I$3:$I30, $B27, WO!$N$3:$N30, "OPEN")</f>
        <v>2</v>
      </c>
      <c r="F27" s="260">
        <f>COUNTIFS('DJA AOC NSRDIL R01'!$L$3:$L30, $B27, 'DJA AOC NSRDIL R01'!$O$3:$O30, "&gt;="&amp;$S$2, 'DJA AOC NSRDIL R01'!$O$3:$O30, "&lt;="&amp;$S$3)</f>
        <v>24</v>
      </c>
      <c r="G27" s="260">
        <f>COUNTIFS('DJA AOC NSRDIL R01'!$L$3:$L30, $B27, 'DJA AOC NSRDIL R01'!$O$3:$O30, "&gt;="&amp;$S$2, 'DJA AOC NSRDIL R01'!$O$3:$O30, "&lt;="&amp;$S$3, 'DJA AOC NSRDIL R01'!$Q$3:$Q30, "CLOSED")</f>
        <v>23</v>
      </c>
      <c r="H27" s="260">
        <f>COUNTIFS('DJA AOC NSRDIL R01'!$L$3:$L30, $B27, 'DJA AOC NSRDIL R01'!$O$3:$O30, "&gt;="&amp;$S$2, 'DJA AOC NSRDIL R01'!$O$3:$O30, "&lt;="&amp;$S$3, 'DJA AOC NSRDIL R01'!$Q$3:$Q30, "OPEN")</f>
        <v>1</v>
      </c>
      <c r="I27" s="260">
        <f>COUNTIFS('DMI CBM'!$X:$X, "DJA DMI", 'DMI CBM'!$Q:$Q, "&gt;="&amp;$S$2, 'DMI CBM'!$Q:$Q, "&lt;="&amp;$S$3, 'DMI CBM'!$N:$N, $B27)</f>
        <v>2</v>
      </c>
      <c r="J27" s="260">
        <f>COUNTIFS('DMI CBM'!$X:$X, "DJA DMI", 'DMI CBM'!$Q:$Q, "&gt;="&amp;$S$2, 'DMI CBM'!$Q:$Q, "&lt;="&amp;$S$3, 'DMI CBM'!$N:$N, $B27, 'DMI CBM'!$G:$G, "CLOSED")</f>
        <v>2</v>
      </c>
      <c r="K27" s="260">
        <f>COUNTIFS('DMI CBM'!$X:$X, "DJA DMI", 'DMI CBM'!$Q:$Q, "&gt;="&amp;$S$2, 'DMI CBM'!$Q:$Q, "&lt;="&amp;$S$3, 'DMI CBM'!$N:$N, $B27, 'DMI CBM'!$G:$G, "OPEN")</f>
        <v>0</v>
      </c>
      <c r="L27" s="260">
        <f>COUNTIFS('ALL FINDING'!$A:$A, "&gt;="&amp;$S$2, 'ALL FINDING'!$A:$A, "&lt;="&amp;$S$3, 'ALL FINDING'!$B:$B, $B27, 'ALL FINDING'!$I:$I, "CLOSED")</f>
        <v>6</v>
      </c>
      <c r="M27" s="260"/>
      <c r="N27" s="260"/>
      <c r="O27" s="260"/>
      <c r="P27" s="260"/>
      <c r="Q27" s="261">
        <f t="shared" si="1"/>
        <v>36</v>
      </c>
    </row>
    <row r="28" spans="1:29" ht="18.75" customHeight="1">
      <c r="A28" s="257">
        <v>3</v>
      </c>
      <c r="B28" s="258" t="s">
        <v>108</v>
      </c>
      <c r="C28" s="260">
        <f>COUNTIFS(WO!$A$3:$A30, "&gt;="&amp;$S$2, WO!$A$3:$A30, "&lt;="&amp;$S$3, WO!$I$3:$I30, $B28)</f>
        <v>3</v>
      </c>
      <c r="D28" s="260">
        <f>COUNTIFS(WO!$A$3:$A30, "&gt;="&amp;$S$2, WO!$A$3:$A30, "&lt;="&amp;$S$3, WO!$I$3:$I30, $B28, WO!$N$3:$N30, "CLOSED")</f>
        <v>3</v>
      </c>
      <c r="E28" s="260">
        <f>COUNTIFS(WO!$A$3:$A30, "&gt;="&amp;$S$2, WO!$A$3:$A30, "&lt;="&amp;$S$3, WO!$I$3:$I30, $B28, WO!$N$3:$N30, "OPEN")</f>
        <v>0</v>
      </c>
      <c r="F28" s="260">
        <f>COUNTIFS('DJA AOC NSRDIL R01'!$L$3:$L30, $B28, 'DJA AOC NSRDIL R01'!$O$3:$O30, "&gt;="&amp;$S$2, 'DJA AOC NSRDIL R01'!$O$3:$O30, "&lt;="&amp;$S$3)</f>
        <v>1</v>
      </c>
      <c r="G28" s="260">
        <f>COUNTIFS('DJA AOC NSRDIL R01'!$L$3:$L30, $B28, 'DJA AOC NSRDIL R01'!$O$3:$O30, "&gt;="&amp;$S$2, 'DJA AOC NSRDIL R01'!$O$3:$O30, "&lt;="&amp;$S$3, 'DJA AOC NSRDIL R01'!$Q$3:$Q30, "CLOSED")</f>
        <v>1</v>
      </c>
      <c r="H28" s="260">
        <f>COUNTIFS('DJA AOC NSRDIL R01'!$L$3:$L30, $B28, 'DJA AOC NSRDIL R01'!$O$3:$O30, "&gt;="&amp;$S$2, 'DJA AOC NSRDIL R01'!$O$3:$O30, "&lt;="&amp;$S$3, 'DJA AOC NSRDIL R01'!$Q$3:$Q30, "OPEN")</f>
        <v>0</v>
      </c>
      <c r="I28" s="260">
        <f>COUNTIFS('DMI CBM'!$X:$X, "DJA DMI", 'DMI CBM'!$Q:$Q, "&gt;="&amp;$S$2, 'DMI CBM'!$Q:$Q, "&lt;="&amp;$S$3, 'DMI CBM'!$N:$N, $B28)</f>
        <v>9</v>
      </c>
      <c r="J28" s="260">
        <f>COUNTIFS('DMI CBM'!$X:$X, "DJA DMI", 'DMI CBM'!$Q:$Q, "&gt;="&amp;$S$2, 'DMI CBM'!$Q:$Q, "&lt;="&amp;$S$3, 'DMI CBM'!$N:$N, $B28, 'DMI CBM'!$G:$G, "CLOSED")</f>
        <v>9</v>
      </c>
      <c r="K28" s="260">
        <f>COUNTIFS('DMI CBM'!$X:$X, "DJA DMI", 'DMI CBM'!$Q:$Q, "&gt;="&amp;$S$2, 'DMI CBM'!$Q:$Q, "&lt;="&amp;$S$3, 'DMI CBM'!$N:$N, $B28, 'DMI CBM'!$G:$G, "OPEN")</f>
        <v>0</v>
      </c>
      <c r="L28" s="260">
        <f>COUNTIFS('ALL FINDING'!$A:$A, "&gt;="&amp;$S$2, 'ALL FINDING'!$A:$A, "&lt;="&amp;$S$3, 'ALL FINDING'!$B:$B, $B28, 'ALL FINDING'!$I:$I, "CLOSED")</f>
        <v>16</v>
      </c>
      <c r="M28" s="260"/>
      <c r="N28" s="260"/>
      <c r="O28" s="260"/>
      <c r="P28" s="260"/>
      <c r="Q28" s="261">
        <f t="shared" si="1"/>
        <v>29</v>
      </c>
    </row>
    <row r="29" spans="1:29" ht="18.75" customHeight="1">
      <c r="A29" s="257">
        <v>4</v>
      </c>
      <c r="B29" s="258" t="s">
        <v>85</v>
      </c>
      <c r="C29" s="260">
        <f>COUNTIFS(WO!$A$3:$A30, "&gt;="&amp;$S$2, WO!$A$3:$A30, "&lt;="&amp;$S$3, WO!$I$3:$I30, $B29)</f>
        <v>5</v>
      </c>
      <c r="D29" s="260">
        <f>COUNTIFS(WO!$A$3:$A30, "&gt;="&amp;$S$2, WO!$A$3:$A30, "&lt;="&amp;$S$3, WO!$I$3:$I30, $B29, WO!$N$3:$N30, "CLOSED")</f>
        <v>5</v>
      </c>
      <c r="E29" s="260">
        <f>COUNTIFS(WO!$A$3:$A30, "&gt;="&amp;$S$2, WO!$A$3:$A30, "&lt;="&amp;$S$3, WO!$I$3:$I30, $B29, WO!$N$3:$N30, "OPEN")</f>
        <v>0</v>
      </c>
      <c r="F29" s="260">
        <f>COUNTIFS('DJA AOC NSRDIL R01'!$L$3:$L30, $B29, 'DJA AOC NSRDIL R01'!$O$3:$O30, "&gt;="&amp;$S$2, 'DJA AOC NSRDIL R01'!$O$3:$O30, "&lt;="&amp;$S$3)</f>
        <v>1</v>
      </c>
      <c r="G29" s="260">
        <f>COUNTIFS('DJA AOC NSRDIL R01'!$L$3:$L30, $B29, 'DJA AOC NSRDIL R01'!$O$3:$O30, "&gt;="&amp;$S$2, 'DJA AOC NSRDIL R01'!$O$3:$O30, "&lt;="&amp;$S$3, 'DJA AOC NSRDIL R01'!$Q$3:$Q30, "CLOSED")</f>
        <v>1</v>
      </c>
      <c r="H29" s="260">
        <f>COUNTIFS('DJA AOC NSRDIL R01'!$L$3:$L30, $B29, 'DJA AOC NSRDIL R01'!$O$3:$O30, "&gt;="&amp;$S$2, 'DJA AOC NSRDIL R01'!$O$3:$O30, "&lt;="&amp;$S$3, 'DJA AOC NSRDIL R01'!$Q$3:$Q30, "OPEN")</f>
        <v>0</v>
      </c>
      <c r="I29" s="260">
        <f>COUNTIFS('DMI CBM'!$X:$X, "DJA DMI", 'DMI CBM'!$Q:$Q, "&gt;="&amp;$S$2, 'DMI CBM'!$Q:$Q, "&lt;="&amp;$S$3, 'DMI CBM'!$N:$N, $B29)</f>
        <v>0</v>
      </c>
      <c r="J29" s="260">
        <f>COUNTIFS('DMI CBM'!$X:$X, "DJA DMI", 'DMI CBM'!$Q:$Q, "&gt;="&amp;$S$2, 'DMI CBM'!$Q:$Q, "&lt;="&amp;$S$3, 'DMI CBM'!$N:$N, $B29, 'DMI CBM'!$G:$G, "CLOSED")</f>
        <v>0</v>
      </c>
      <c r="K29" s="260">
        <f>COUNTIFS('DMI CBM'!$X:$X, "DJA DMI", 'DMI CBM'!$Q:$Q, "&gt;="&amp;$S$2, 'DMI CBM'!$Q:$Q, "&lt;="&amp;$S$3, 'DMI CBM'!$N:$N, $B29, 'DMI CBM'!$G:$G, "OPEN")</f>
        <v>0</v>
      </c>
      <c r="L29" s="260">
        <f>COUNTIFS('ALL FINDING'!$A:$A, "&gt;="&amp;$S$2, 'ALL FINDING'!$A:$A, "&lt;="&amp;$S$3, 'ALL FINDING'!$B:$B, $B29, 'ALL FINDING'!$I:$I, "CLOSED")</f>
        <v>0</v>
      </c>
      <c r="M29" s="260"/>
      <c r="N29" s="260"/>
      <c r="O29" s="260"/>
      <c r="P29" s="260"/>
      <c r="Q29" s="261">
        <f t="shared" si="1"/>
        <v>6</v>
      </c>
    </row>
    <row r="30" spans="1:29" ht="12.75" customHeight="1">
      <c r="A30" s="391" t="s">
        <v>1593</v>
      </c>
      <c r="B30" s="392"/>
      <c r="C30" s="281">
        <f t="shared" ref="C30:Q30" si="2">SUM(C26:C29)</f>
        <v>20</v>
      </c>
      <c r="D30" s="281">
        <f t="shared" si="2"/>
        <v>17</v>
      </c>
      <c r="E30" s="281">
        <f t="shared" si="2"/>
        <v>3</v>
      </c>
      <c r="F30" s="281">
        <f t="shared" si="2"/>
        <v>28</v>
      </c>
      <c r="G30" s="281">
        <f t="shared" si="2"/>
        <v>26</v>
      </c>
      <c r="H30" s="281">
        <f t="shared" si="2"/>
        <v>2</v>
      </c>
      <c r="I30" s="281">
        <f t="shared" si="2"/>
        <v>13</v>
      </c>
      <c r="J30" s="281">
        <f t="shared" si="2"/>
        <v>11</v>
      </c>
      <c r="K30" s="281">
        <f t="shared" si="2"/>
        <v>2</v>
      </c>
      <c r="L30" s="281">
        <f t="shared" si="2"/>
        <v>22</v>
      </c>
      <c r="M30" s="281">
        <f t="shared" si="2"/>
        <v>0</v>
      </c>
      <c r="N30" s="281">
        <f t="shared" si="2"/>
        <v>0</v>
      </c>
      <c r="O30" s="281">
        <f t="shared" si="2"/>
        <v>0</v>
      </c>
      <c r="P30" s="281">
        <f t="shared" si="2"/>
        <v>0</v>
      </c>
      <c r="Q30" s="281">
        <f t="shared" si="2"/>
        <v>76</v>
      </c>
    </row>
  </sheetData>
  <mergeCells count="25">
    <mergeCell ref="A30:B30"/>
    <mergeCell ref="I24:K24"/>
    <mergeCell ref="L24:L25"/>
    <mergeCell ref="M24:M25"/>
    <mergeCell ref="Q2:Q3"/>
    <mergeCell ref="A1:Q1"/>
    <mergeCell ref="L2:L3"/>
    <mergeCell ref="N24:N25"/>
    <mergeCell ref="O24:O25"/>
    <mergeCell ref="P24:P25"/>
    <mergeCell ref="Q24:Q25"/>
    <mergeCell ref="A24:A25"/>
    <mergeCell ref="B24:B25"/>
    <mergeCell ref="C24:E24"/>
    <mergeCell ref="F24:H24"/>
    <mergeCell ref="M2:M3"/>
    <mergeCell ref="N2:N3"/>
    <mergeCell ref="A22:B22"/>
    <mergeCell ref="A2:A3"/>
    <mergeCell ref="B2:B3"/>
    <mergeCell ref="O2:O3"/>
    <mergeCell ref="P2:P3"/>
    <mergeCell ref="C2:E2"/>
    <mergeCell ref="F2:H2"/>
    <mergeCell ref="I2:K2"/>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M21"/>
  <sheetViews>
    <sheetView workbookViewId="0"/>
  </sheetViews>
  <sheetFormatPr defaultColWidth="12.5703125" defaultRowHeight="15" customHeight="1"/>
  <cols>
    <col min="1" max="1" width="6.7109375" customWidth="1"/>
    <col min="2" max="2" width="8.42578125" customWidth="1"/>
    <col min="3" max="6" width="6.85546875" customWidth="1"/>
    <col min="7" max="7" width="10.28515625" customWidth="1"/>
    <col min="8" max="8" width="6.42578125" customWidth="1"/>
    <col min="9" max="9" width="6.7109375" customWidth="1"/>
    <col min="10" max="10" width="8.42578125" customWidth="1"/>
    <col min="11" max="14" width="6.85546875" customWidth="1"/>
    <col min="15" max="15" width="10.85546875" customWidth="1"/>
    <col min="16" max="16" width="6" customWidth="1"/>
    <col min="17" max="17" width="12.42578125" customWidth="1"/>
    <col min="18" max="18" width="9.5703125" customWidth="1"/>
    <col min="19" max="19" width="9.140625" customWidth="1"/>
    <col min="20" max="33" width="6.7109375" customWidth="1"/>
    <col min="34" max="39" width="9.28515625" customWidth="1"/>
  </cols>
  <sheetData>
    <row r="1" spans="1:39" ht="28.5" customHeight="1">
      <c r="A1" s="401" t="s">
        <v>1886</v>
      </c>
      <c r="B1" s="383"/>
      <c r="C1" s="383"/>
      <c r="D1" s="383"/>
      <c r="E1" s="383"/>
      <c r="F1" s="383"/>
      <c r="G1" s="383"/>
      <c r="H1" s="288"/>
      <c r="I1" s="401" t="s">
        <v>1890</v>
      </c>
      <c r="J1" s="383"/>
      <c r="K1" s="383"/>
      <c r="L1" s="383"/>
      <c r="M1" s="383"/>
      <c r="N1" s="289" t="s">
        <v>24</v>
      </c>
      <c r="O1" s="290">
        <v>46308</v>
      </c>
    </row>
    <row r="2" spans="1:39" ht="33" customHeight="1">
      <c r="A2" s="291" t="s">
        <v>724</v>
      </c>
      <c r="B2" s="291" t="s">
        <v>546</v>
      </c>
      <c r="C2" s="291" t="s">
        <v>86</v>
      </c>
      <c r="D2" s="291" t="s">
        <v>52</v>
      </c>
      <c r="E2" s="291" t="s">
        <v>108</v>
      </c>
      <c r="F2" s="291" t="s">
        <v>85</v>
      </c>
      <c r="G2" s="292" t="s">
        <v>1897</v>
      </c>
      <c r="H2" s="288"/>
      <c r="I2" s="291" t="s">
        <v>724</v>
      </c>
      <c r="J2" s="291" t="s">
        <v>546</v>
      </c>
      <c r="K2" s="291" t="s">
        <v>86</v>
      </c>
      <c r="L2" s="291" t="s">
        <v>52</v>
      </c>
      <c r="M2" s="291" t="s">
        <v>108</v>
      </c>
      <c r="N2" s="291" t="s">
        <v>85</v>
      </c>
      <c r="O2" s="292" t="s">
        <v>1897</v>
      </c>
      <c r="Q2" s="403" t="s">
        <v>1902</v>
      </c>
      <c r="R2" s="404"/>
      <c r="S2" s="404"/>
      <c r="T2" s="404"/>
      <c r="U2" s="404"/>
      <c r="V2" s="404"/>
      <c r="W2" s="404"/>
      <c r="X2" s="404"/>
      <c r="Y2" s="404"/>
      <c r="Z2" s="404"/>
      <c r="AA2" s="404"/>
      <c r="AB2" s="404"/>
      <c r="AC2" s="404"/>
      <c r="AD2" s="404"/>
      <c r="AE2" s="404"/>
      <c r="AF2" s="404"/>
      <c r="AG2" s="404"/>
      <c r="AH2" s="404"/>
      <c r="AI2" s="405"/>
      <c r="AJ2" s="293"/>
      <c r="AK2" s="293"/>
      <c r="AL2" s="293"/>
      <c r="AM2" s="293"/>
    </row>
    <row r="3" spans="1:39" ht="18.75" customHeight="1">
      <c r="A3" s="294">
        <v>1</v>
      </c>
      <c r="B3" s="294" t="s">
        <v>55</v>
      </c>
      <c r="C3" s="294">
        <v>2</v>
      </c>
      <c r="D3" s="294">
        <v>7</v>
      </c>
      <c r="E3" s="294">
        <v>7</v>
      </c>
      <c r="F3" s="294">
        <v>0</v>
      </c>
      <c r="G3" s="294">
        <f t="shared" ref="G3:G20" si="0">SUM(C3:F3)</f>
        <v>16</v>
      </c>
      <c r="H3" s="288"/>
      <c r="I3" s="294">
        <v>1</v>
      </c>
      <c r="J3" s="294" t="s">
        <v>55</v>
      </c>
      <c r="K3" s="294"/>
      <c r="L3" s="294"/>
      <c r="M3" s="294"/>
      <c r="N3" s="294"/>
      <c r="O3" s="294">
        <f t="shared" ref="O3:O20" si="1">SUM(K3:N3)</f>
        <v>0</v>
      </c>
      <c r="Q3" s="393" t="s">
        <v>15</v>
      </c>
      <c r="R3" s="393" t="s">
        <v>1920</v>
      </c>
      <c r="S3" s="393" t="s">
        <v>7</v>
      </c>
      <c r="T3" s="398">
        <v>46297</v>
      </c>
      <c r="U3" s="399"/>
      <c r="V3" s="398">
        <v>46298</v>
      </c>
      <c r="W3" s="399"/>
      <c r="X3" s="398">
        <v>46299</v>
      </c>
      <c r="Y3" s="399"/>
      <c r="Z3" s="398">
        <v>46300</v>
      </c>
      <c r="AA3" s="399"/>
      <c r="AB3" s="398">
        <v>46301</v>
      </c>
      <c r="AC3" s="399"/>
      <c r="AD3" s="398">
        <v>46302</v>
      </c>
      <c r="AE3" s="399"/>
      <c r="AF3" s="398">
        <v>46303</v>
      </c>
      <c r="AG3" s="399"/>
      <c r="AH3" s="393" t="s">
        <v>1931</v>
      </c>
      <c r="AI3" s="393" t="s">
        <v>736</v>
      </c>
      <c r="AJ3" s="295"/>
      <c r="AK3" s="295"/>
      <c r="AL3" s="295"/>
      <c r="AM3" s="295"/>
    </row>
    <row r="4" spans="1:39" ht="18.75" customHeight="1">
      <c r="A4" s="294">
        <v>2</v>
      </c>
      <c r="B4" s="294" t="s">
        <v>322</v>
      </c>
      <c r="C4" s="294">
        <v>0</v>
      </c>
      <c r="D4" s="294">
        <v>2</v>
      </c>
      <c r="E4" s="294">
        <v>0</v>
      </c>
      <c r="F4" s="294">
        <v>0</v>
      </c>
      <c r="G4" s="294">
        <f t="shared" si="0"/>
        <v>2</v>
      </c>
      <c r="H4" s="288"/>
      <c r="I4" s="294">
        <v>2</v>
      </c>
      <c r="J4" s="294" t="s">
        <v>322</v>
      </c>
      <c r="K4" s="294"/>
      <c r="L4" s="294"/>
      <c r="M4" s="294"/>
      <c r="N4" s="294"/>
      <c r="O4" s="294">
        <f t="shared" si="1"/>
        <v>0</v>
      </c>
      <c r="Q4" s="394"/>
      <c r="R4" s="394"/>
      <c r="S4" s="394"/>
      <c r="T4" s="296" t="s">
        <v>743</v>
      </c>
      <c r="U4" s="296" t="s">
        <v>34</v>
      </c>
      <c r="V4" s="296" t="s">
        <v>743</v>
      </c>
      <c r="W4" s="296" t="s">
        <v>34</v>
      </c>
      <c r="X4" s="296" t="s">
        <v>743</v>
      </c>
      <c r="Y4" s="296" t="s">
        <v>34</v>
      </c>
      <c r="Z4" s="296" t="s">
        <v>743</v>
      </c>
      <c r="AA4" s="296" t="s">
        <v>34</v>
      </c>
      <c r="AB4" s="296" t="s">
        <v>743</v>
      </c>
      <c r="AC4" s="296" t="s">
        <v>34</v>
      </c>
      <c r="AD4" s="296" t="s">
        <v>743</v>
      </c>
      <c r="AE4" s="296" t="s">
        <v>34</v>
      </c>
      <c r="AF4" s="296" t="s">
        <v>743</v>
      </c>
      <c r="AG4" s="296" t="s">
        <v>34</v>
      </c>
      <c r="AH4" s="394"/>
      <c r="AI4" s="394"/>
      <c r="AJ4" s="295"/>
      <c r="AK4" s="295"/>
      <c r="AL4" s="295"/>
      <c r="AM4" s="295"/>
    </row>
    <row r="5" spans="1:39" ht="18.75" customHeight="1">
      <c r="A5" s="294">
        <v>3</v>
      </c>
      <c r="B5" s="294" t="s">
        <v>94</v>
      </c>
      <c r="C5" s="294">
        <v>1</v>
      </c>
      <c r="D5" s="294">
        <v>2</v>
      </c>
      <c r="E5" s="294">
        <v>2</v>
      </c>
      <c r="F5" s="294">
        <v>0</v>
      </c>
      <c r="G5" s="294">
        <f t="shared" si="0"/>
        <v>5</v>
      </c>
      <c r="H5" s="288"/>
      <c r="I5" s="294">
        <v>3</v>
      </c>
      <c r="J5" s="294" t="s">
        <v>94</v>
      </c>
      <c r="K5" s="294"/>
      <c r="L5" s="294"/>
      <c r="M5" s="294"/>
      <c r="N5" s="294"/>
      <c r="O5" s="294">
        <f t="shared" si="1"/>
        <v>0</v>
      </c>
      <c r="Q5" s="395" t="s">
        <v>86</v>
      </c>
      <c r="R5" s="397" t="s">
        <v>1944</v>
      </c>
      <c r="S5" s="297" t="s">
        <v>88</v>
      </c>
      <c r="T5" s="298"/>
      <c r="U5" s="298"/>
      <c r="V5" s="298"/>
      <c r="W5" s="298"/>
      <c r="X5" s="299"/>
      <c r="Y5" s="299"/>
      <c r="Z5" s="299"/>
      <c r="AA5" s="299"/>
      <c r="AB5" s="299"/>
      <c r="AC5" s="299"/>
      <c r="AD5" s="299"/>
      <c r="AE5" s="299"/>
      <c r="AF5" s="299"/>
      <c r="AG5" s="299"/>
      <c r="AH5" s="400">
        <f t="shared" ref="AH5:AI5" si="2">SUM(T5:T6,V5:V6,X5:X6,Z5:Z6,AB5:AB6,AD5:AD6,AF5:AF6)</f>
        <v>0</v>
      </c>
      <c r="AI5" s="400">
        <f t="shared" si="2"/>
        <v>0</v>
      </c>
      <c r="AJ5" s="300"/>
      <c r="AK5" s="300"/>
      <c r="AL5" s="300"/>
      <c r="AM5" s="300"/>
    </row>
    <row r="6" spans="1:39" ht="18.75" customHeight="1">
      <c r="A6" s="294">
        <v>4</v>
      </c>
      <c r="B6" s="294" t="s">
        <v>328</v>
      </c>
      <c r="C6" s="294">
        <v>1</v>
      </c>
      <c r="D6" s="294">
        <v>1</v>
      </c>
      <c r="E6" s="294">
        <v>1</v>
      </c>
      <c r="F6" s="294">
        <v>3</v>
      </c>
      <c r="G6" s="294">
        <f t="shared" si="0"/>
        <v>6</v>
      </c>
      <c r="H6" s="288"/>
      <c r="I6" s="294">
        <v>4</v>
      </c>
      <c r="J6" s="294" t="s">
        <v>328</v>
      </c>
      <c r="K6" s="301"/>
      <c r="L6" s="294"/>
      <c r="M6" s="301"/>
      <c r="N6" s="301"/>
      <c r="O6" s="294">
        <f t="shared" si="1"/>
        <v>0</v>
      </c>
      <c r="Q6" s="396"/>
      <c r="R6" s="396"/>
      <c r="S6" s="297" t="s">
        <v>295</v>
      </c>
      <c r="T6" s="298"/>
      <c r="U6" s="298"/>
      <c r="V6" s="298"/>
      <c r="W6" s="298"/>
      <c r="X6" s="299"/>
      <c r="Y6" s="299"/>
      <c r="Z6" s="299"/>
      <c r="AA6" s="299"/>
      <c r="AB6" s="299"/>
      <c r="AC6" s="299"/>
      <c r="AD6" s="299"/>
      <c r="AE6" s="299"/>
      <c r="AF6" s="299"/>
      <c r="AG6" s="299"/>
      <c r="AH6" s="396"/>
      <c r="AI6" s="396"/>
      <c r="AJ6" s="300"/>
      <c r="AK6" s="300"/>
      <c r="AL6" s="300"/>
      <c r="AM6" s="300"/>
    </row>
    <row r="7" spans="1:39" ht="18.75" customHeight="1">
      <c r="A7" s="294">
        <v>5</v>
      </c>
      <c r="B7" s="294" t="s">
        <v>111</v>
      </c>
      <c r="C7" s="294">
        <v>1</v>
      </c>
      <c r="D7" s="294">
        <v>1</v>
      </c>
      <c r="E7" s="294">
        <v>1</v>
      </c>
      <c r="F7" s="294">
        <v>3</v>
      </c>
      <c r="G7" s="294">
        <f t="shared" si="0"/>
        <v>6</v>
      </c>
      <c r="H7" s="288"/>
      <c r="I7" s="294">
        <v>5</v>
      </c>
      <c r="J7" s="294" t="s">
        <v>111</v>
      </c>
      <c r="K7" s="294"/>
      <c r="L7" s="301"/>
      <c r="M7" s="301"/>
      <c r="N7" s="294"/>
      <c r="O7" s="294">
        <f t="shared" si="1"/>
        <v>0</v>
      </c>
      <c r="Q7" s="395" t="s">
        <v>52</v>
      </c>
      <c r="R7" s="397" t="s">
        <v>1965</v>
      </c>
      <c r="S7" s="297" t="s">
        <v>88</v>
      </c>
      <c r="T7" s="298"/>
      <c r="U7" s="298"/>
      <c r="V7" s="298"/>
      <c r="W7" s="298"/>
      <c r="X7" s="299"/>
      <c r="Y7" s="299"/>
      <c r="Z7" s="299"/>
      <c r="AA7" s="299"/>
      <c r="AB7" s="299"/>
      <c r="AC7" s="299"/>
      <c r="AD7" s="299"/>
      <c r="AE7" s="299"/>
      <c r="AF7" s="299"/>
      <c r="AG7" s="299"/>
      <c r="AH7" s="400">
        <f t="shared" ref="AH7:AI7" si="3">SUM(T7:T8,V7:V8,X7:X8,Z7:Z8,AB7:AB8,AD7:AD8,AF7:AF8)</f>
        <v>0</v>
      </c>
      <c r="AI7" s="400">
        <f t="shared" si="3"/>
        <v>0</v>
      </c>
      <c r="AJ7" s="300"/>
      <c r="AK7" s="300"/>
      <c r="AL7" s="300"/>
      <c r="AM7" s="300"/>
    </row>
    <row r="8" spans="1:39" ht="18.75" customHeight="1">
      <c r="A8" s="294">
        <v>6</v>
      </c>
      <c r="B8" s="294" t="s">
        <v>958</v>
      </c>
      <c r="C8" s="294">
        <v>0</v>
      </c>
      <c r="D8" s="294">
        <v>0</v>
      </c>
      <c r="E8" s="294">
        <v>1</v>
      </c>
      <c r="F8" s="294">
        <v>1</v>
      </c>
      <c r="G8" s="294">
        <f t="shared" si="0"/>
        <v>2</v>
      </c>
      <c r="H8" s="288"/>
      <c r="I8" s="294">
        <v>6</v>
      </c>
      <c r="J8" s="294" t="s">
        <v>958</v>
      </c>
      <c r="K8" s="294"/>
      <c r="L8" s="294"/>
      <c r="M8" s="294"/>
      <c r="N8" s="301"/>
      <c r="O8" s="294">
        <f t="shared" si="1"/>
        <v>0</v>
      </c>
      <c r="Q8" s="396"/>
      <c r="R8" s="396"/>
      <c r="S8" s="297" t="s">
        <v>295</v>
      </c>
      <c r="T8" s="298"/>
      <c r="U8" s="298"/>
      <c r="V8" s="298"/>
      <c r="W8" s="298"/>
      <c r="X8" s="299"/>
      <c r="Y8" s="299"/>
      <c r="Z8" s="299"/>
      <c r="AA8" s="299"/>
      <c r="AB8" s="299"/>
      <c r="AC8" s="299"/>
      <c r="AD8" s="299"/>
      <c r="AE8" s="299"/>
      <c r="AF8" s="302" t="s">
        <v>1980</v>
      </c>
      <c r="AG8" s="299"/>
      <c r="AH8" s="396"/>
      <c r="AI8" s="396"/>
      <c r="AJ8" s="300"/>
      <c r="AK8" s="300"/>
      <c r="AL8" s="300"/>
      <c r="AM8" s="300"/>
    </row>
    <row r="9" spans="1:39" ht="18.75" customHeight="1">
      <c r="A9" s="294">
        <v>7</v>
      </c>
      <c r="B9" s="294" t="s">
        <v>375</v>
      </c>
      <c r="C9" s="294">
        <v>0</v>
      </c>
      <c r="D9" s="294">
        <v>0</v>
      </c>
      <c r="E9" s="294">
        <v>1</v>
      </c>
      <c r="F9" s="294">
        <v>0</v>
      </c>
      <c r="G9" s="294">
        <f t="shared" si="0"/>
        <v>1</v>
      </c>
      <c r="H9" s="288"/>
      <c r="I9" s="294">
        <v>7</v>
      </c>
      <c r="J9" s="294" t="s">
        <v>375</v>
      </c>
      <c r="K9" s="294"/>
      <c r="L9" s="294"/>
      <c r="M9" s="301"/>
      <c r="N9" s="294"/>
      <c r="O9" s="294">
        <f t="shared" si="1"/>
        <v>0</v>
      </c>
      <c r="Q9" s="395" t="s">
        <v>108</v>
      </c>
      <c r="R9" s="397" t="s">
        <v>1984</v>
      </c>
      <c r="S9" s="297" t="s">
        <v>88</v>
      </c>
      <c r="T9" s="298"/>
      <c r="U9" s="298"/>
      <c r="V9" s="298"/>
      <c r="W9" s="298"/>
      <c r="X9" s="299"/>
      <c r="Y9" s="299"/>
      <c r="Z9" s="299"/>
      <c r="AA9" s="299"/>
      <c r="AB9" s="299"/>
      <c r="AC9" s="299"/>
      <c r="AD9" s="299"/>
      <c r="AE9" s="299"/>
      <c r="AF9" s="302" t="s">
        <v>1989</v>
      </c>
      <c r="AG9" s="299"/>
      <c r="AH9" s="400">
        <f t="shared" ref="AH9:AI9" si="4">SUM(T9:T10,V9:V10,X9:X10,Z9:Z10,AB9:AB10,AD9:AD10,AF9:AF10)</f>
        <v>0</v>
      </c>
      <c r="AI9" s="400">
        <f t="shared" si="4"/>
        <v>0</v>
      </c>
      <c r="AJ9" s="300"/>
      <c r="AK9" s="300"/>
      <c r="AL9" s="300"/>
      <c r="AM9" s="300"/>
    </row>
    <row r="10" spans="1:39" ht="18.75" customHeight="1">
      <c r="A10" s="294">
        <v>8</v>
      </c>
      <c r="B10" s="294" t="s">
        <v>677</v>
      </c>
      <c r="C10" s="294">
        <v>0</v>
      </c>
      <c r="D10" s="294">
        <v>0</v>
      </c>
      <c r="E10" s="294">
        <v>0</v>
      </c>
      <c r="F10" s="294">
        <v>2</v>
      </c>
      <c r="G10" s="294">
        <f t="shared" si="0"/>
        <v>2</v>
      </c>
      <c r="H10" s="288"/>
      <c r="I10" s="294">
        <v>8</v>
      </c>
      <c r="J10" s="294" t="s">
        <v>677</v>
      </c>
      <c r="K10" s="294"/>
      <c r="L10" s="294"/>
      <c r="M10" s="294"/>
      <c r="N10" s="301"/>
      <c r="O10" s="294">
        <f t="shared" si="1"/>
        <v>0</v>
      </c>
      <c r="Q10" s="396"/>
      <c r="R10" s="396"/>
      <c r="S10" s="297" t="s">
        <v>295</v>
      </c>
      <c r="T10" s="298"/>
      <c r="U10" s="298"/>
      <c r="V10" s="298"/>
      <c r="W10" s="298"/>
      <c r="X10" s="299"/>
      <c r="Y10" s="299"/>
      <c r="Z10" s="299"/>
      <c r="AA10" s="299"/>
      <c r="AB10" s="299"/>
      <c r="AC10" s="299"/>
      <c r="AD10" s="299"/>
      <c r="AE10" s="299"/>
      <c r="AF10" s="299"/>
      <c r="AG10" s="299"/>
      <c r="AH10" s="396"/>
      <c r="AI10" s="396"/>
      <c r="AJ10" s="300"/>
      <c r="AK10" s="300"/>
      <c r="AL10" s="300"/>
      <c r="AM10" s="300"/>
    </row>
    <row r="11" spans="1:39" ht="18.75" customHeight="1">
      <c r="A11" s="294">
        <v>9</v>
      </c>
      <c r="B11" s="294" t="s">
        <v>109</v>
      </c>
      <c r="C11" s="294">
        <v>1</v>
      </c>
      <c r="D11" s="294">
        <v>0</v>
      </c>
      <c r="E11" s="294">
        <v>1</v>
      </c>
      <c r="F11" s="294">
        <v>0</v>
      </c>
      <c r="G11" s="294">
        <f t="shared" si="0"/>
        <v>2</v>
      </c>
      <c r="H11" s="288"/>
      <c r="I11" s="294">
        <v>9</v>
      </c>
      <c r="J11" s="294" t="s">
        <v>109</v>
      </c>
      <c r="K11" s="301"/>
      <c r="L11" s="294"/>
      <c r="M11" s="301"/>
      <c r="N11" s="294"/>
      <c r="O11" s="294">
        <f t="shared" si="1"/>
        <v>0</v>
      </c>
      <c r="Q11" s="395" t="s">
        <v>85</v>
      </c>
      <c r="R11" s="397" t="s">
        <v>2004</v>
      </c>
      <c r="S11" s="297" t="s">
        <v>88</v>
      </c>
      <c r="T11" s="298"/>
      <c r="U11" s="298"/>
      <c r="V11" s="298"/>
      <c r="W11" s="298"/>
      <c r="X11" s="299"/>
      <c r="Y11" s="299"/>
      <c r="Z11" s="299"/>
      <c r="AA11" s="299"/>
      <c r="AB11" s="299"/>
      <c r="AC11" s="299"/>
      <c r="AD11" s="299"/>
      <c r="AE11" s="299"/>
      <c r="AF11" s="299"/>
      <c r="AG11" s="299"/>
      <c r="AH11" s="400">
        <f t="shared" ref="AH11:AI11" si="5">SUM(T11:T12,V11:V12,X11:X12,Z11:Z12,AB11:AB12,AD11:AD12,AF11:AF12)</f>
        <v>0</v>
      </c>
      <c r="AI11" s="400">
        <f t="shared" si="5"/>
        <v>0</v>
      </c>
      <c r="AJ11" s="300"/>
      <c r="AK11" s="300"/>
      <c r="AL11" s="300"/>
      <c r="AM11" s="300"/>
    </row>
    <row r="12" spans="1:39" ht="18.75" customHeight="1">
      <c r="A12" s="294">
        <v>10</v>
      </c>
      <c r="B12" s="294" t="s">
        <v>409</v>
      </c>
      <c r="C12" s="294">
        <v>0</v>
      </c>
      <c r="D12" s="294">
        <v>1</v>
      </c>
      <c r="E12" s="294">
        <v>2</v>
      </c>
      <c r="F12" s="294">
        <v>0</v>
      </c>
      <c r="G12" s="294">
        <f t="shared" si="0"/>
        <v>3</v>
      </c>
      <c r="H12" s="288"/>
      <c r="I12" s="294">
        <v>10</v>
      </c>
      <c r="J12" s="294" t="s">
        <v>409</v>
      </c>
      <c r="K12" s="294"/>
      <c r="L12" s="294"/>
      <c r="M12" s="294"/>
      <c r="N12" s="294"/>
      <c r="O12" s="294">
        <f t="shared" si="1"/>
        <v>0</v>
      </c>
      <c r="Q12" s="396"/>
      <c r="R12" s="396"/>
      <c r="S12" s="297" t="s">
        <v>295</v>
      </c>
      <c r="T12" s="298"/>
      <c r="U12" s="298"/>
      <c r="V12" s="299"/>
      <c r="W12" s="299"/>
      <c r="X12" s="299"/>
      <c r="Y12" s="299"/>
      <c r="Z12" s="299"/>
      <c r="AA12" s="299"/>
      <c r="AB12" s="299"/>
      <c r="AC12" s="299"/>
      <c r="AD12" s="299"/>
      <c r="AE12" s="299"/>
      <c r="AF12" s="299"/>
      <c r="AG12" s="299"/>
      <c r="AH12" s="396"/>
      <c r="AI12" s="396"/>
      <c r="AJ12" s="300"/>
      <c r="AK12" s="300"/>
      <c r="AL12" s="300"/>
      <c r="AM12" s="300"/>
    </row>
    <row r="13" spans="1:39" ht="18.75" customHeight="1">
      <c r="A13" s="294">
        <v>11</v>
      </c>
      <c r="B13" s="294" t="s">
        <v>317</v>
      </c>
      <c r="C13" s="294">
        <v>1</v>
      </c>
      <c r="D13" s="294">
        <v>0</v>
      </c>
      <c r="E13" s="294">
        <v>1</v>
      </c>
      <c r="F13" s="294">
        <v>0</v>
      </c>
      <c r="G13" s="294">
        <f t="shared" si="0"/>
        <v>2</v>
      </c>
      <c r="H13" s="288"/>
      <c r="I13" s="294">
        <v>11</v>
      </c>
      <c r="J13" s="294" t="s">
        <v>317</v>
      </c>
      <c r="K13" s="294"/>
      <c r="L13" s="294"/>
      <c r="M13" s="301"/>
      <c r="N13" s="294"/>
      <c r="O13" s="294">
        <f t="shared" si="1"/>
        <v>0</v>
      </c>
      <c r="Q13" s="303" t="s">
        <v>1897</v>
      </c>
      <c r="R13" s="303">
        <v>55</v>
      </c>
      <c r="S13" s="304"/>
      <c r="T13" s="303">
        <f t="shared" ref="T13:AI13" si="6">SUM(T5:T12)</f>
        <v>0</v>
      </c>
      <c r="U13" s="303">
        <f t="shared" si="6"/>
        <v>0</v>
      </c>
      <c r="V13" s="303">
        <f t="shared" si="6"/>
        <v>0</v>
      </c>
      <c r="W13" s="303">
        <f t="shared" si="6"/>
        <v>0</v>
      </c>
      <c r="X13" s="303">
        <f t="shared" si="6"/>
        <v>0</v>
      </c>
      <c r="Y13" s="303">
        <f t="shared" si="6"/>
        <v>0</v>
      </c>
      <c r="Z13" s="303">
        <f t="shared" si="6"/>
        <v>0</v>
      </c>
      <c r="AA13" s="303">
        <f t="shared" si="6"/>
        <v>0</v>
      </c>
      <c r="AB13" s="303">
        <f t="shared" si="6"/>
        <v>0</v>
      </c>
      <c r="AC13" s="303">
        <f t="shared" si="6"/>
        <v>0</v>
      </c>
      <c r="AD13" s="303">
        <f t="shared" si="6"/>
        <v>0</v>
      </c>
      <c r="AE13" s="303">
        <f t="shared" si="6"/>
        <v>0</v>
      </c>
      <c r="AF13" s="303">
        <f t="shared" si="6"/>
        <v>0</v>
      </c>
      <c r="AG13" s="303">
        <f t="shared" si="6"/>
        <v>0</v>
      </c>
      <c r="AH13" s="303">
        <f t="shared" si="6"/>
        <v>0</v>
      </c>
      <c r="AI13" s="303">
        <f t="shared" si="6"/>
        <v>0</v>
      </c>
      <c r="AJ13" s="295"/>
      <c r="AK13" s="295"/>
      <c r="AL13" s="295"/>
      <c r="AM13" s="295"/>
    </row>
    <row r="14" spans="1:39" ht="18.75" customHeight="1">
      <c r="A14" s="294">
        <v>12</v>
      </c>
      <c r="B14" s="294" t="s">
        <v>97</v>
      </c>
      <c r="C14" s="294">
        <v>1</v>
      </c>
      <c r="D14" s="294">
        <v>0</v>
      </c>
      <c r="E14" s="294">
        <v>0</v>
      </c>
      <c r="F14" s="294">
        <v>1</v>
      </c>
      <c r="G14" s="294">
        <f t="shared" si="0"/>
        <v>2</v>
      </c>
      <c r="H14" s="288"/>
      <c r="I14" s="294">
        <v>12</v>
      </c>
      <c r="J14" s="294" t="s">
        <v>97</v>
      </c>
      <c r="K14" s="301"/>
      <c r="L14" s="294"/>
      <c r="M14" s="294"/>
      <c r="N14" s="301"/>
      <c r="O14" s="294">
        <f t="shared" si="1"/>
        <v>0</v>
      </c>
    </row>
    <row r="15" spans="1:39" ht="18.75" customHeight="1">
      <c r="A15" s="294">
        <v>13</v>
      </c>
      <c r="B15" s="294" t="s">
        <v>214</v>
      </c>
      <c r="C15" s="294">
        <v>0</v>
      </c>
      <c r="D15" s="294">
        <v>0</v>
      </c>
      <c r="E15" s="294">
        <v>0</v>
      </c>
      <c r="F15" s="294">
        <v>2</v>
      </c>
      <c r="G15" s="294">
        <f t="shared" si="0"/>
        <v>2</v>
      </c>
      <c r="H15" s="288"/>
      <c r="I15" s="294">
        <v>13</v>
      </c>
      <c r="J15" s="294" t="s">
        <v>214</v>
      </c>
      <c r="K15" s="294"/>
      <c r="L15" s="294"/>
      <c r="M15" s="294"/>
      <c r="N15" s="294"/>
      <c r="O15" s="294">
        <f t="shared" si="1"/>
        <v>0</v>
      </c>
    </row>
    <row r="16" spans="1:39" ht="18.75" customHeight="1">
      <c r="A16" s="294">
        <v>14</v>
      </c>
      <c r="B16" s="294" t="s">
        <v>66</v>
      </c>
      <c r="C16" s="294">
        <v>1</v>
      </c>
      <c r="D16" s="294">
        <v>1</v>
      </c>
      <c r="E16" s="294">
        <v>0</v>
      </c>
      <c r="F16" s="294">
        <v>0</v>
      </c>
      <c r="G16" s="294">
        <f t="shared" si="0"/>
        <v>2</v>
      </c>
      <c r="H16" s="288"/>
      <c r="I16" s="294">
        <v>14</v>
      </c>
      <c r="J16" s="294" t="s">
        <v>66</v>
      </c>
      <c r="K16" s="301"/>
      <c r="L16" s="294"/>
      <c r="M16" s="294"/>
      <c r="N16" s="294"/>
      <c r="O16" s="294">
        <f t="shared" si="1"/>
        <v>0</v>
      </c>
    </row>
    <row r="17" spans="1:15" ht="18.75" customHeight="1">
      <c r="A17" s="294">
        <v>15</v>
      </c>
      <c r="B17" s="294" t="s">
        <v>162</v>
      </c>
      <c r="C17" s="294">
        <v>1</v>
      </c>
      <c r="D17" s="294">
        <v>0</v>
      </c>
      <c r="E17" s="294">
        <v>0</v>
      </c>
      <c r="F17" s="294">
        <v>0</v>
      </c>
      <c r="G17" s="294">
        <f t="shared" si="0"/>
        <v>1</v>
      </c>
      <c r="H17" s="288"/>
      <c r="I17" s="294">
        <v>15</v>
      </c>
      <c r="J17" s="294" t="s">
        <v>162</v>
      </c>
      <c r="K17" s="301"/>
      <c r="L17" s="294"/>
      <c r="M17" s="294"/>
      <c r="N17" s="294"/>
      <c r="O17" s="294">
        <f t="shared" si="1"/>
        <v>0</v>
      </c>
    </row>
    <row r="18" spans="1:15" ht="18.75" customHeight="1">
      <c r="A18" s="294">
        <v>16</v>
      </c>
      <c r="B18" s="294" t="s">
        <v>388</v>
      </c>
      <c r="C18" s="294">
        <v>0</v>
      </c>
      <c r="D18" s="294">
        <v>0</v>
      </c>
      <c r="E18" s="294">
        <v>0</v>
      </c>
      <c r="F18" s="294">
        <v>0</v>
      </c>
      <c r="G18" s="294">
        <f t="shared" si="0"/>
        <v>0</v>
      </c>
      <c r="H18" s="288"/>
      <c r="I18" s="294">
        <v>16</v>
      </c>
      <c r="J18" s="294" t="s">
        <v>388</v>
      </c>
      <c r="K18" s="294"/>
      <c r="L18" s="294"/>
      <c r="M18" s="294"/>
      <c r="N18" s="294"/>
      <c r="O18" s="294">
        <f t="shared" si="1"/>
        <v>0</v>
      </c>
    </row>
    <row r="19" spans="1:15" ht="18.75" customHeight="1">
      <c r="A19" s="294">
        <v>17</v>
      </c>
      <c r="B19" s="294" t="s">
        <v>89</v>
      </c>
      <c r="C19" s="294">
        <v>0</v>
      </c>
      <c r="D19" s="294">
        <v>0</v>
      </c>
      <c r="E19" s="294">
        <v>1</v>
      </c>
      <c r="F19" s="294">
        <v>0</v>
      </c>
      <c r="G19" s="294">
        <f t="shared" si="0"/>
        <v>1</v>
      </c>
      <c r="H19" s="288"/>
      <c r="I19" s="294">
        <v>17</v>
      </c>
      <c r="J19" s="294" t="s">
        <v>89</v>
      </c>
      <c r="K19" s="294"/>
      <c r="L19" s="294"/>
      <c r="M19" s="301"/>
      <c r="N19" s="294"/>
      <c r="O19" s="294">
        <f t="shared" si="1"/>
        <v>0</v>
      </c>
    </row>
    <row r="20" spans="1:15" ht="18.75" customHeight="1">
      <c r="A20" s="294">
        <v>18</v>
      </c>
      <c r="B20" s="294" t="s">
        <v>1487</v>
      </c>
      <c r="C20" s="294">
        <v>0</v>
      </c>
      <c r="D20" s="294">
        <v>0</v>
      </c>
      <c r="E20" s="294">
        <v>0</v>
      </c>
      <c r="F20" s="294">
        <v>0</v>
      </c>
      <c r="G20" s="294">
        <f t="shared" si="0"/>
        <v>0</v>
      </c>
      <c r="H20" s="288"/>
      <c r="I20" s="294">
        <v>18</v>
      </c>
      <c r="J20" s="294" t="s">
        <v>1487</v>
      </c>
      <c r="K20" s="294"/>
      <c r="L20" s="294"/>
      <c r="M20" s="294"/>
      <c r="N20" s="294"/>
      <c r="O20" s="294">
        <f t="shared" si="1"/>
        <v>0</v>
      </c>
    </row>
    <row r="21" spans="1:15">
      <c r="A21" s="402" t="s">
        <v>1593</v>
      </c>
      <c r="B21" s="377"/>
      <c r="C21" s="291">
        <f t="shared" ref="C21:G21" si="7">SUM(C3:C20)</f>
        <v>10</v>
      </c>
      <c r="D21" s="291">
        <f t="shared" si="7"/>
        <v>15</v>
      </c>
      <c r="E21" s="291">
        <f t="shared" si="7"/>
        <v>18</v>
      </c>
      <c r="F21" s="291">
        <f t="shared" si="7"/>
        <v>12</v>
      </c>
      <c r="G21" s="291">
        <f t="shared" si="7"/>
        <v>55</v>
      </c>
      <c r="H21" s="288"/>
      <c r="I21" s="402" t="s">
        <v>1593</v>
      </c>
      <c r="J21" s="377"/>
      <c r="K21" s="291">
        <f t="shared" ref="K21:O21" si="8">SUM(K3:K20)</f>
        <v>0</v>
      </c>
      <c r="L21" s="291">
        <f t="shared" si="8"/>
        <v>0</v>
      </c>
      <c r="M21" s="291">
        <f t="shared" si="8"/>
        <v>0</v>
      </c>
      <c r="N21" s="291">
        <f t="shared" si="8"/>
        <v>0</v>
      </c>
      <c r="O21" s="291">
        <f t="shared" si="8"/>
        <v>0</v>
      </c>
    </row>
  </sheetData>
  <mergeCells count="33">
    <mergeCell ref="AH11:AH12"/>
    <mergeCell ref="AI11:AI12"/>
    <mergeCell ref="A1:G1"/>
    <mergeCell ref="I1:M1"/>
    <mergeCell ref="A21:B21"/>
    <mergeCell ref="I21:J21"/>
    <mergeCell ref="R5:R6"/>
    <mergeCell ref="Q2:AI2"/>
    <mergeCell ref="AI7:AI8"/>
    <mergeCell ref="Q9:Q10"/>
    <mergeCell ref="R9:R10"/>
    <mergeCell ref="Q11:Q12"/>
    <mergeCell ref="R11:R12"/>
    <mergeCell ref="V3:W3"/>
    <mergeCell ref="X3:Y3"/>
    <mergeCell ref="Z3:AA3"/>
    <mergeCell ref="AI3:AI4"/>
    <mergeCell ref="AH5:AH6"/>
    <mergeCell ref="AI5:AI6"/>
    <mergeCell ref="AH9:AH10"/>
    <mergeCell ref="AI9:AI10"/>
    <mergeCell ref="T3:U3"/>
    <mergeCell ref="AH3:AH4"/>
    <mergeCell ref="AD3:AE3"/>
    <mergeCell ref="AF3:AG3"/>
    <mergeCell ref="AH7:AH8"/>
    <mergeCell ref="AB3:AC3"/>
    <mergeCell ref="R3:R4"/>
    <mergeCell ref="S3:S4"/>
    <mergeCell ref="Q3:Q4"/>
    <mergeCell ref="Q5:Q6"/>
    <mergeCell ref="Q7:Q8"/>
    <mergeCell ref="R7:R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P1592"/>
  <sheetViews>
    <sheetView workbookViewId="0"/>
  </sheetViews>
  <sheetFormatPr defaultColWidth="12.5703125" defaultRowHeight="15" customHeight="1"/>
  <cols>
    <col min="1" max="1" width="13.5703125" customWidth="1"/>
    <col min="2" max="2" width="14.5703125" customWidth="1"/>
    <col min="3" max="3" width="11.42578125" customWidth="1"/>
    <col min="4" max="4" width="14.42578125" customWidth="1"/>
    <col min="5" max="5" width="13.42578125" customWidth="1"/>
    <col min="6" max="6" width="16" customWidth="1"/>
    <col min="7" max="7" width="14" customWidth="1"/>
    <col min="8" max="8" width="114.5703125" customWidth="1"/>
    <col min="9" max="9" width="18" customWidth="1"/>
  </cols>
  <sheetData>
    <row r="1" spans="1:16" ht="18.75">
      <c r="A1" s="406">
        <v>46241</v>
      </c>
      <c r="B1" s="379"/>
      <c r="C1" s="318"/>
      <c r="D1" s="318"/>
      <c r="E1" s="318"/>
      <c r="F1" s="318"/>
      <c r="G1" s="318"/>
      <c r="H1" s="319"/>
      <c r="I1" s="320"/>
      <c r="J1" s="321"/>
      <c r="K1" s="321"/>
      <c r="L1" s="321"/>
      <c r="M1" s="321"/>
      <c r="N1" s="321"/>
      <c r="O1" s="321"/>
      <c r="P1" s="321"/>
    </row>
    <row r="2" spans="1:16" ht="18.75" customHeight="1">
      <c r="A2" s="322" t="s">
        <v>24</v>
      </c>
      <c r="B2" s="322" t="s">
        <v>47</v>
      </c>
      <c r="C2" s="322" t="s">
        <v>35</v>
      </c>
      <c r="D2" s="322" t="s">
        <v>2245</v>
      </c>
      <c r="E2" s="322" t="s">
        <v>546</v>
      </c>
      <c r="F2" s="322" t="s">
        <v>456</v>
      </c>
      <c r="G2" s="322" t="s">
        <v>2246</v>
      </c>
      <c r="H2" s="323" t="s">
        <v>459</v>
      </c>
      <c r="I2" s="322" t="s">
        <v>51</v>
      </c>
      <c r="J2" s="321"/>
      <c r="K2" s="321"/>
      <c r="L2" s="321"/>
      <c r="M2" s="321"/>
      <c r="N2" s="321"/>
      <c r="O2" s="321"/>
      <c r="P2" s="321"/>
    </row>
    <row r="3" spans="1:16" ht="18.75" customHeight="1">
      <c r="A3" s="221"/>
      <c r="B3" s="324"/>
      <c r="C3" s="324"/>
      <c r="D3" s="325"/>
      <c r="E3" s="325"/>
      <c r="F3" s="325"/>
      <c r="G3" s="326"/>
      <c r="H3" s="327"/>
      <c r="I3" s="328"/>
      <c r="J3" s="329"/>
      <c r="K3" s="330"/>
      <c r="L3" s="330"/>
      <c r="M3" s="330"/>
      <c r="N3" s="330"/>
      <c r="O3" s="330"/>
      <c r="P3" s="330"/>
    </row>
    <row r="4" spans="1:16" ht="18.75" customHeight="1">
      <c r="A4" s="221"/>
      <c r="B4" s="331"/>
      <c r="C4" s="331"/>
      <c r="D4" s="325"/>
      <c r="E4" s="325"/>
      <c r="F4" s="325"/>
      <c r="G4" s="332"/>
      <c r="H4" s="333"/>
      <c r="I4" s="63"/>
      <c r="J4" s="334"/>
      <c r="K4" s="330"/>
      <c r="L4" s="330"/>
      <c r="M4" s="330"/>
      <c r="N4" s="330"/>
      <c r="O4" s="330"/>
      <c r="P4" s="330"/>
    </row>
    <row r="5" spans="1:16" ht="18.75" customHeight="1">
      <c r="A5" s="221"/>
      <c r="B5" s="324"/>
      <c r="C5" s="324"/>
      <c r="D5" s="325"/>
      <c r="E5" s="325"/>
      <c r="F5" s="325"/>
      <c r="G5" s="326"/>
      <c r="H5" s="327"/>
      <c r="I5" s="328"/>
      <c r="J5" s="329"/>
      <c r="K5" s="330"/>
      <c r="L5" s="330"/>
      <c r="M5" s="330"/>
      <c r="N5" s="330"/>
      <c r="O5" s="330"/>
      <c r="P5" s="330"/>
    </row>
    <row r="6" spans="1:16" ht="18.75" customHeight="1">
      <c r="A6" s="221"/>
      <c r="B6" s="331"/>
      <c r="C6" s="331"/>
      <c r="D6" s="325"/>
      <c r="E6" s="325"/>
      <c r="F6" s="325"/>
      <c r="G6" s="332"/>
      <c r="H6" s="333"/>
      <c r="I6" s="63"/>
      <c r="J6" s="334"/>
      <c r="K6" s="330"/>
      <c r="L6" s="330"/>
      <c r="M6" s="330"/>
      <c r="N6" s="330"/>
      <c r="O6" s="330"/>
      <c r="P6" s="330"/>
    </row>
    <row r="7" spans="1:16" ht="18.75" customHeight="1">
      <c r="A7" s="221"/>
      <c r="B7" s="324"/>
      <c r="C7" s="324"/>
      <c r="D7" s="325"/>
      <c r="E7" s="325"/>
      <c r="F7" s="325"/>
      <c r="G7" s="326"/>
      <c r="H7" s="327"/>
      <c r="I7" s="328"/>
      <c r="J7" s="329"/>
      <c r="K7" s="330"/>
      <c r="L7" s="330"/>
      <c r="M7" s="330"/>
      <c r="N7" s="330"/>
      <c r="O7" s="330"/>
      <c r="P7" s="330"/>
    </row>
    <row r="8" spans="1:16" ht="18.75" customHeight="1">
      <c r="A8" s="221"/>
      <c r="B8" s="331"/>
      <c r="C8" s="331"/>
      <c r="D8" s="325"/>
      <c r="E8" s="325"/>
      <c r="F8" s="325"/>
      <c r="G8" s="332"/>
      <c r="H8" s="333"/>
      <c r="I8" s="63"/>
      <c r="J8" s="334"/>
      <c r="K8" s="330"/>
      <c r="L8" s="330"/>
      <c r="M8" s="330"/>
      <c r="N8" s="330"/>
      <c r="O8" s="330"/>
      <c r="P8" s="330"/>
    </row>
    <row r="9" spans="1:16" ht="18.75" customHeight="1">
      <c r="A9" s="221"/>
      <c r="B9" s="324"/>
      <c r="C9" s="324"/>
      <c r="D9" s="325"/>
      <c r="E9" s="325"/>
      <c r="F9" s="325"/>
      <c r="G9" s="326"/>
      <c r="H9" s="327"/>
      <c r="I9" s="328"/>
      <c r="J9" s="329"/>
      <c r="K9" s="330"/>
      <c r="L9" s="330"/>
      <c r="M9" s="330"/>
      <c r="N9" s="330"/>
      <c r="O9" s="330"/>
      <c r="P9" s="330"/>
    </row>
    <row r="10" spans="1:16" ht="18.75" customHeight="1">
      <c r="A10" s="221"/>
      <c r="B10" s="331"/>
      <c r="C10" s="331"/>
      <c r="D10" s="325"/>
      <c r="E10" s="325"/>
      <c r="F10" s="325"/>
      <c r="G10" s="332"/>
      <c r="H10" s="333"/>
      <c r="I10" s="63"/>
      <c r="J10" s="334"/>
      <c r="K10" s="330"/>
      <c r="L10" s="330"/>
      <c r="M10" s="330"/>
      <c r="N10" s="330"/>
      <c r="O10" s="330"/>
      <c r="P10" s="330"/>
    </row>
    <row r="11" spans="1:16" ht="18.75" customHeight="1">
      <c r="A11" s="221"/>
      <c r="B11" s="324"/>
      <c r="C11" s="324"/>
      <c r="D11" s="325"/>
      <c r="E11" s="325"/>
      <c r="F11" s="325"/>
      <c r="G11" s="326"/>
      <c r="H11" s="327"/>
      <c r="I11" s="328"/>
      <c r="J11" s="329"/>
      <c r="K11" s="330"/>
      <c r="L11" s="330"/>
      <c r="M11" s="330"/>
      <c r="N11" s="330"/>
      <c r="O11" s="330"/>
      <c r="P11" s="330"/>
    </row>
    <row r="12" spans="1:16" ht="18.75" customHeight="1">
      <c r="A12" s="221"/>
      <c r="B12" s="331"/>
      <c r="C12" s="331"/>
      <c r="D12" s="325"/>
      <c r="E12" s="325"/>
      <c r="F12" s="325"/>
      <c r="G12" s="332"/>
      <c r="H12" s="333"/>
      <c r="I12" s="63"/>
      <c r="J12" s="334"/>
      <c r="K12" s="330"/>
      <c r="L12" s="330"/>
      <c r="M12" s="330"/>
      <c r="N12" s="330"/>
      <c r="O12" s="330"/>
      <c r="P12" s="330"/>
    </row>
    <row r="13" spans="1:16" ht="18.75" customHeight="1">
      <c r="A13" s="221"/>
      <c r="B13" s="324"/>
      <c r="C13" s="324"/>
      <c r="D13" s="325"/>
      <c r="E13" s="325"/>
      <c r="F13" s="325"/>
      <c r="G13" s="326"/>
      <c r="H13" s="327"/>
      <c r="I13" s="328"/>
      <c r="J13" s="329"/>
      <c r="K13" s="330"/>
      <c r="L13" s="330"/>
      <c r="M13" s="330"/>
      <c r="N13" s="330"/>
      <c r="O13" s="330"/>
      <c r="P13" s="330"/>
    </row>
    <row r="14" spans="1:16" ht="18.75" customHeight="1">
      <c r="A14" s="221"/>
      <c r="B14" s="331"/>
      <c r="C14" s="331"/>
      <c r="D14" s="325"/>
      <c r="E14" s="325"/>
      <c r="F14" s="325"/>
      <c r="G14" s="332"/>
      <c r="H14" s="333"/>
      <c r="I14" s="63"/>
      <c r="J14" s="334"/>
      <c r="K14" s="330"/>
      <c r="L14" s="330"/>
      <c r="M14" s="330"/>
      <c r="N14" s="330"/>
      <c r="O14" s="330"/>
      <c r="P14" s="330"/>
    </row>
    <row r="15" spans="1:16" ht="18.75" customHeight="1">
      <c r="A15" s="221"/>
      <c r="B15" s="324"/>
      <c r="C15" s="324"/>
      <c r="D15" s="325"/>
      <c r="E15" s="325"/>
      <c r="F15" s="325"/>
      <c r="G15" s="326"/>
      <c r="H15" s="327"/>
      <c r="I15" s="328"/>
      <c r="J15" s="329"/>
      <c r="K15" s="330"/>
      <c r="L15" s="330"/>
      <c r="M15" s="330"/>
      <c r="N15" s="330"/>
      <c r="O15" s="330"/>
      <c r="P15" s="330"/>
    </row>
    <row r="16" spans="1:16" ht="18.75" customHeight="1">
      <c r="A16" s="221"/>
      <c r="B16" s="331"/>
      <c r="C16" s="331"/>
      <c r="D16" s="325"/>
      <c r="E16" s="325"/>
      <c r="F16" s="325"/>
      <c r="G16" s="332"/>
      <c r="H16" s="333"/>
      <c r="I16" s="63"/>
      <c r="J16" s="334"/>
      <c r="K16" s="330"/>
      <c r="L16" s="330"/>
      <c r="M16" s="330"/>
      <c r="N16" s="330"/>
      <c r="O16" s="330"/>
      <c r="P16" s="330"/>
    </row>
    <row r="17" spans="1:16" ht="18.75" customHeight="1">
      <c r="A17" s="221"/>
      <c r="B17" s="324"/>
      <c r="C17" s="324"/>
      <c r="D17" s="325"/>
      <c r="E17" s="325"/>
      <c r="F17" s="325"/>
      <c r="G17" s="326"/>
      <c r="H17" s="327"/>
      <c r="I17" s="328"/>
      <c r="J17" s="329"/>
      <c r="K17" s="330"/>
      <c r="L17" s="330"/>
      <c r="M17" s="330"/>
      <c r="N17" s="330"/>
      <c r="O17" s="330"/>
      <c r="P17" s="330"/>
    </row>
    <row r="18" spans="1:16" ht="18.75" customHeight="1">
      <c r="A18" s="221"/>
      <c r="B18" s="331"/>
      <c r="C18" s="331"/>
      <c r="D18" s="325"/>
      <c r="E18" s="325"/>
      <c r="F18" s="325"/>
      <c r="G18" s="332"/>
      <c r="H18" s="333"/>
      <c r="I18" s="63"/>
      <c r="J18" s="334"/>
      <c r="K18" s="330"/>
      <c r="L18" s="330"/>
      <c r="M18" s="330"/>
      <c r="N18" s="330"/>
      <c r="O18" s="330"/>
      <c r="P18" s="330"/>
    </row>
    <row r="19" spans="1:16" ht="18.75" customHeight="1">
      <c r="A19" s="221"/>
      <c r="B19" s="324"/>
      <c r="C19" s="324"/>
      <c r="D19" s="325"/>
      <c r="E19" s="325"/>
      <c r="F19" s="325"/>
      <c r="G19" s="326"/>
      <c r="H19" s="327"/>
      <c r="I19" s="328"/>
      <c r="J19" s="329"/>
      <c r="K19" s="330"/>
      <c r="L19" s="330"/>
      <c r="M19" s="330"/>
      <c r="N19" s="330"/>
      <c r="O19" s="330"/>
      <c r="P19" s="330"/>
    </row>
    <row r="20" spans="1:16" ht="18.75" customHeight="1">
      <c r="A20" s="221"/>
      <c r="B20" s="331"/>
      <c r="C20" s="331"/>
      <c r="D20" s="325"/>
      <c r="E20" s="325"/>
      <c r="F20" s="325"/>
      <c r="G20" s="332"/>
      <c r="H20" s="333"/>
      <c r="I20" s="63"/>
      <c r="J20" s="334"/>
      <c r="K20" s="330"/>
      <c r="L20" s="330"/>
      <c r="M20" s="330"/>
      <c r="N20" s="330"/>
      <c r="O20" s="330"/>
      <c r="P20" s="330"/>
    </row>
    <row r="21" spans="1:16" ht="18.75" customHeight="1">
      <c r="A21" s="221"/>
      <c r="B21" s="324"/>
      <c r="C21" s="324"/>
      <c r="D21" s="325"/>
      <c r="E21" s="325"/>
      <c r="F21" s="325"/>
      <c r="G21" s="326"/>
      <c r="H21" s="327"/>
      <c r="I21" s="328"/>
      <c r="J21" s="329"/>
      <c r="K21" s="330"/>
      <c r="L21" s="330"/>
      <c r="M21" s="330"/>
      <c r="N21" s="330"/>
      <c r="O21" s="330"/>
      <c r="P21" s="330"/>
    </row>
    <row r="22" spans="1:16" ht="18.75" customHeight="1">
      <c r="A22" s="221"/>
      <c r="B22" s="331"/>
      <c r="C22" s="331"/>
      <c r="D22" s="325"/>
      <c r="E22" s="325"/>
      <c r="F22" s="325"/>
      <c r="G22" s="332"/>
      <c r="H22" s="333"/>
      <c r="I22" s="63"/>
      <c r="J22" s="335"/>
      <c r="K22" s="336"/>
      <c r="L22" s="336"/>
      <c r="M22" s="336"/>
      <c r="N22" s="336"/>
      <c r="O22" s="336"/>
      <c r="P22" s="336"/>
    </row>
    <row r="23" spans="1:16" ht="18.75" customHeight="1">
      <c r="A23" s="221"/>
      <c r="B23" s="324"/>
      <c r="C23" s="324"/>
      <c r="D23" s="324"/>
      <c r="E23" s="324"/>
      <c r="F23" s="324"/>
      <c r="G23" s="337"/>
      <c r="H23" s="333"/>
      <c r="I23" s="328"/>
      <c r="J23" s="329"/>
      <c r="K23" s="330"/>
      <c r="L23" s="330"/>
      <c r="M23" s="330"/>
      <c r="N23" s="330"/>
      <c r="O23" s="330"/>
      <c r="P23" s="330"/>
    </row>
    <row r="24" spans="1:16" ht="18.75" customHeight="1">
      <c r="A24" s="221"/>
      <c r="B24" s="331"/>
      <c r="C24" s="331"/>
      <c r="D24" s="331"/>
      <c r="E24" s="331"/>
      <c r="F24" s="331"/>
      <c r="G24" s="338"/>
      <c r="H24" s="333"/>
      <c r="I24" s="63"/>
      <c r="J24" s="334"/>
      <c r="K24" s="330"/>
      <c r="L24" s="330"/>
      <c r="M24" s="330"/>
      <c r="N24" s="330"/>
      <c r="O24" s="330"/>
      <c r="P24" s="330"/>
    </row>
    <row r="25" spans="1:16" ht="18.75" customHeight="1">
      <c r="A25" s="221"/>
      <c r="B25" s="324"/>
      <c r="C25" s="324"/>
      <c r="D25" s="324"/>
      <c r="E25" s="324"/>
      <c r="F25" s="324"/>
      <c r="G25" s="337"/>
      <c r="H25" s="333"/>
      <c r="I25" s="328"/>
      <c r="J25" s="329"/>
      <c r="K25" s="330"/>
      <c r="L25" s="330"/>
      <c r="M25" s="330"/>
      <c r="N25" s="330"/>
      <c r="O25" s="330"/>
      <c r="P25" s="330"/>
    </row>
    <row r="26" spans="1:16" ht="18.75" customHeight="1">
      <c r="A26" s="221"/>
      <c r="B26" s="331"/>
      <c r="C26" s="331"/>
      <c r="D26" s="331"/>
      <c r="E26" s="331"/>
      <c r="F26" s="331"/>
      <c r="G26" s="338"/>
      <c r="H26" s="333"/>
      <c r="I26" s="63"/>
      <c r="J26" s="334"/>
      <c r="K26" s="330"/>
      <c r="L26" s="330"/>
      <c r="M26" s="330"/>
      <c r="N26" s="330"/>
      <c r="O26" s="330"/>
      <c r="P26" s="330"/>
    </row>
    <row r="27" spans="1:16" ht="18.75" customHeight="1">
      <c r="A27" s="221"/>
      <c r="B27" s="324"/>
      <c r="C27" s="324"/>
      <c r="D27" s="339"/>
      <c r="E27" s="339"/>
      <c r="F27" s="339"/>
      <c r="G27" s="324"/>
      <c r="H27" s="340"/>
      <c r="I27" s="328"/>
      <c r="J27" s="329"/>
      <c r="K27" s="330"/>
      <c r="L27" s="330"/>
      <c r="M27" s="330"/>
      <c r="N27" s="330"/>
      <c r="O27" s="330"/>
      <c r="P27" s="330"/>
    </row>
    <row r="28" spans="1:16" ht="18.75" customHeight="1">
      <c r="A28" s="221"/>
      <c r="B28" s="331"/>
      <c r="C28" s="331"/>
      <c r="D28" s="341"/>
      <c r="E28" s="341"/>
      <c r="F28" s="341"/>
      <c r="G28" s="331"/>
      <c r="H28" s="333"/>
      <c r="I28" s="63"/>
      <c r="J28" s="334"/>
      <c r="K28" s="330"/>
      <c r="L28" s="330"/>
      <c r="M28" s="330"/>
      <c r="N28" s="330"/>
      <c r="O28" s="330"/>
      <c r="P28" s="330"/>
    </row>
    <row r="29" spans="1:16" ht="18.75" customHeight="1">
      <c r="A29" s="221"/>
      <c r="B29" s="324"/>
      <c r="C29" s="324"/>
      <c r="D29" s="339"/>
      <c r="E29" s="339"/>
      <c r="F29" s="339"/>
      <c r="G29" s="324"/>
      <c r="H29" s="333"/>
      <c r="I29" s="328"/>
      <c r="J29" s="329"/>
      <c r="K29" s="330"/>
      <c r="L29" s="330"/>
      <c r="M29" s="330"/>
      <c r="N29" s="330"/>
      <c r="O29" s="330"/>
      <c r="P29" s="330"/>
    </row>
    <row r="30" spans="1:16" ht="18.75" customHeight="1">
      <c r="A30" s="221"/>
      <c r="B30" s="331"/>
      <c r="C30" s="331"/>
      <c r="D30" s="341"/>
      <c r="E30" s="341"/>
      <c r="F30" s="341"/>
      <c r="G30" s="331"/>
      <c r="H30" s="333"/>
      <c r="I30" s="63"/>
      <c r="J30" s="334"/>
      <c r="K30" s="330"/>
      <c r="L30" s="330"/>
      <c r="M30" s="330"/>
      <c r="N30" s="330"/>
      <c r="O30" s="330"/>
      <c r="P30" s="330"/>
    </row>
    <row r="31" spans="1:16" ht="18.75" customHeight="1">
      <c r="A31" s="221"/>
      <c r="B31" s="324"/>
      <c r="C31" s="324"/>
      <c r="D31" s="339"/>
      <c r="E31" s="339"/>
      <c r="F31" s="339"/>
      <c r="G31" s="324"/>
      <c r="H31" s="333"/>
      <c r="I31" s="328"/>
      <c r="J31" s="329"/>
      <c r="K31" s="330"/>
      <c r="L31" s="330"/>
      <c r="M31" s="330"/>
      <c r="N31" s="330"/>
      <c r="O31" s="330"/>
      <c r="P31" s="330"/>
    </row>
    <row r="32" spans="1:16" ht="18.75" customHeight="1">
      <c r="A32" s="221"/>
      <c r="B32" s="331"/>
      <c r="C32" s="331"/>
      <c r="D32" s="341"/>
      <c r="E32" s="341"/>
      <c r="F32" s="341"/>
      <c r="G32" s="331"/>
      <c r="H32" s="333"/>
      <c r="I32" s="63"/>
      <c r="J32" s="334"/>
      <c r="K32" s="330"/>
      <c r="L32" s="330"/>
      <c r="M32" s="330"/>
      <c r="N32" s="330"/>
      <c r="O32" s="330"/>
      <c r="P32" s="330"/>
    </row>
    <row r="33" spans="1:16" ht="18.75" customHeight="1">
      <c r="A33" s="221"/>
      <c r="B33" s="324"/>
      <c r="C33" s="324"/>
      <c r="D33" s="339"/>
      <c r="E33" s="339"/>
      <c r="F33" s="339"/>
      <c r="G33" s="324"/>
      <c r="H33" s="340"/>
      <c r="I33" s="328"/>
      <c r="J33" s="329"/>
      <c r="K33" s="330"/>
      <c r="L33" s="330"/>
      <c r="M33" s="330"/>
      <c r="N33" s="330"/>
      <c r="O33" s="330"/>
      <c r="P33" s="330"/>
    </row>
    <row r="34" spans="1:16" ht="18.75" customHeight="1">
      <c r="A34" s="221"/>
      <c r="B34" s="331"/>
      <c r="C34" s="331"/>
      <c r="D34" s="341"/>
      <c r="E34" s="341"/>
      <c r="F34" s="341"/>
      <c r="G34" s="331"/>
      <c r="H34" s="333"/>
      <c r="I34" s="63"/>
      <c r="J34" s="334"/>
      <c r="K34" s="330"/>
      <c r="L34" s="330"/>
      <c r="M34" s="330"/>
      <c r="N34" s="330"/>
      <c r="O34" s="330"/>
      <c r="P34" s="330"/>
    </row>
    <row r="35" spans="1:16" ht="18.75" customHeight="1">
      <c r="A35" s="221"/>
      <c r="B35" s="324"/>
      <c r="C35" s="324"/>
      <c r="D35" s="339"/>
      <c r="E35" s="339"/>
      <c r="F35" s="339"/>
      <c r="G35" s="324"/>
      <c r="H35" s="340"/>
      <c r="I35" s="328"/>
      <c r="J35" s="329"/>
      <c r="K35" s="330"/>
      <c r="L35" s="330"/>
      <c r="M35" s="330"/>
      <c r="N35" s="330"/>
      <c r="O35" s="330"/>
      <c r="P35" s="330"/>
    </row>
    <row r="36" spans="1:16" ht="18.75" customHeight="1">
      <c r="A36" s="221"/>
      <c r="B36" s="331"/>
      <c r="C36" s="331"/>
      <c r="D36" s="341"/>
      <c r="E36" s="341"/>
      <c r="F36" s="341"/>
      <c r="G36" s="331"/>
      <c r="H36" s="340"/>
      <c r="I36" s="63"/>
      <c r="J36" s="334"/>
      <c r="K36" s="330"/>
      <c r="L36" s="330"/>
      <c r="M36" s="330"/>
      <c r="N36" s="330"/>
      <c r="O36" s="330"/>
      <c r="P36" s="330"/>
    </row>
    <row r="37" spans="1:16" ht="18.75" customHeight="1">
      <c r="A37" s="221"/>
      <c r="B37" s="324"/>
      <c r="C37" s="324"/>
      <c r="D37" s="339"/>
      <c r="E37" s="339"/>
      <c r="F37" s="339"/>
      <c r="G37" s="324"/>
      <c r="H37" s="333"/>
      <c r="I37" s="328"/>
      <c r="J37" s="329"/>
      <c r="K37" s="330"/>
      <c r="L37" s="330"/>
      <c r="M37" s="330"/>
      <c r="N37" s="330"/>
      <c r="O37" s="330"/>
      <c r="P37" s="330"/>
    </row>
    <row r="38" spans="1:16" ht="18.75" customHeight="1">
      <c r="A38" s="221"/>
      <c r="B38" s="331"/>
      <c r="C38" s="331"/>
      <c r="D38" s="341"/>
      <c r="E38" s="341"/>
      <c r="F38" s="341"/>
      <c r="G38" s="331"/>
      <c r="H38" s="340"/>
      <c r="I38" s="63"/>
      <c r="J38" s="334"/>
      <c r="K38" s="330"/>
      <c r="L38" s="330"/>
      <c r="M38" s="330"/>
      <c r="N38" s="330"/>
      <c r="O38" s="330"/>
      <c r="P38" s="330"/>
    </row>
    <row r="39" spans="1:16" ht="18.75" customHeight="1">
      <c r="A39" s="221"/>
      <c r="B39" s="324"/>
      <c r="C39" s="324"/>
      <c r="D39" s="339"/>
      <c r="E39" s="339"/>
      <c r="F39" s="339"/>
      <c r="G39" s="324"/>
      <c r="H39" s="333"/>
      <c r="I39" s="328"/>
      <c r="J39" s="329"/>
      <c r="K39" s="330"/>
      <c r="L39" s="330"/>
      <c r="M39" s="330"/>
      <c r="N39" s="330"/>
      <c r="O39" s="330"/>
      <c r="P39" s="330"/>
    </row>
    <row r="40" spans="1:16" ht="18.75" customHeight="1">
      <c r="A40" s="221"/>
      <c r="B40" s="342"/>
      <c r="C40" s="342"/>
      <c r="D40" s="343"/>
      <c r="E40" s="344"/>
      <c r="F40" s="344"/>
      <c r="G40" s="344"/>
      <c r="H40" s="47"/>
      <c r="I40" s="63"/>
      <c r="J40" s="334"/>
      <c r="K40" s="330"/>
      <c r="L40" s="330"/>
      <c r="M40" s="330"/>
      <c r="N40" s="330"/>
      <c r="O40" s="330"/>
      <c r="P40" s="330"/>
    </row>
    <row r="41" spans="1:16" ht="18.75" customHeight="1">
      <c r="A41" s="221"/>
      <c r="B41" s="342"/>
      <c r="C41" s="342"/>
      <c r="D41" s="343"/>
      <c r="E41" s="344"/>
      <c r="F41" s="344"/>
      <c r="G41" s="344"/>
      <c r="H41" s="47"/>
      <c r="I41" s="328"/>
      <c r="J41" s="329"/>
      <c r="K41" s="330"/>
      <c r="L41" s="330"/>
      <c r="M41" s="330"/>
      <c r="N41" s="330"/>
      <c r="O41" s="330"/>
      <c r="P41" s="330"/>
    </row>
    <row r="42" spans="1:16" ht="18.75" customHeight="1">
      <c r="A42" s="221"/>
      <c r="B42" s="342"/>
      <c r="C42" s="342"/>
      <c r="D42" s="343"/>
      <c r="E42" s="344"/>
      <c r="F42" s="344"/>
      <c r="G42" s="344"/>
      <c r="H42" s="47"/>
      <c r="I42" s="63"/>
      <c r="J42" s="334"/>
      <c r="K42" s="330"/>
      <c r="L42" s="330"/>
      <c r="M42" s="330"/>
      <c r="N42" s="330"/>
      <c r="O42" s="330"/>
      <c r="P42" s="330"/>
    </row>
    <row r="43" spans="1:16" ht="18.75" customHeight="1">
      <c r="A43" s="221"/>
      <c r="B43" s="342"/>
      <c r="C43" s="342"/>
      <c r="D43" s="343"/>
      <c r="E43" s="344"/>
      <c r="F43" s="344"/>
      <c r="G43" s="344"/>
      <c r="H43" s="47"/>
      <c r="I43" s="328"/>
      <c r="J43" s="329"/>
      <c r="K43" s="330"/>
      <c r="L43" s="330"/>
      <c r="M43" s="330"/>
      <c r="N43" s="330"/>
      <c r="O43" s="330"/>
      <c r="P43" s="330"/>
    </row>
    <row r="44" spans="1:16" ht="18.75" customHeight="1">
      <c r="A44" s="221"/>
      <c r="B44" s="342"/>
      <c r="C44" s="342"/>
      <c r="D44" s="343"/>
      <c r="E44" s="344"/>
      <c r="F44" s="344"/>
      <c r="G44" s="344"/>
      <c r="H44" s="47"/>
      <c r="I44" s="63"/>
      <c r="J44" s="334"/>
      <c r="K44" s="330"/>
      <c r="L44" s="330"/>
      <c r="M44" s="330"/>
      <c r="N44" s="330"/>
      <c r="O44" s="330"/>
      <c r="P44" s="330"/>
    </row>
    <row r="45" spans="1:16" ht="18.75" customHeight="1">
      <c r="A45" s="221"/>
      <c r="B45" s="342"/>
      <c r="C45" s="342"/>
      <c r="D45" s="343"/>
      <c r="E45" s="344"/>
      <c r="F45" s="344"/>
      <c r="G45" s="344"/>
      <c r="H45" s="47"/>
      <c r="I45" s="328"/>
      <c r="J45" s="329"/>
      <c r="K45" s="330"/>
      <c r="L45" s="330"/>
      <c r="M45" s="330"/>
      <c r="N45" s="330"/>
      <c r="O45" s="330"/>
      <c r="P45" s="330"/>
    </row>
    <row r="46" spans="1:16" ht="18.75" customHeight="1">
      <c r="A46" s="221"/>
      <c r="B46" s="342"/>
      <c r="C46" s="342"/>
      <c r="D46" s="343"/>
      <c r="E46" s="344"/>
      <c r="F46" s="344"/>
      <c r="G46" s="344"/>
      <c r="H46" s="47"/>
      <c r="I46" s="63"/>
      <c r="J46" s="334"/>
      <c r="K46" s="330"/>
      <c r="L46" s="330"/>
      <c r="M46" s="330"/>
      <c r="N46" s="330"/>
      <c r="O46" s="330"/>
      <c r="P46" s="330"/>
    </row>
    <row r="47" spans="1:16" ht="18.75" customHeight="1">
      <c r="A47" s="221"/>
      <c r="B47" s="342"/>
      <c r="C47" s="342"/>
      <c r="D47" s="343"/>
      <c r="E47" s="344"/>
      <c r="F47" s="344"/>
      <c r="G47" s="344"/>
      <c r="H47" s="47"/>
      <c r="I47" s="328"/>
      <c r="J47" s="329"/>
      <c r="K47" s="330"/>
      <c r="L47" s="330"/>
      <c r="M47" s="330"/>
      <c r="N47" s="330"/>
      <c r="O47" s="330"/>
      <c r="P47" s="330"/>
    </row>
    <row r="48" spans="1:16" ht="18.75" customHeight="1">
      <c r="A48" s="221"/>
      <c r="B48" s="342"/>
      <c r="C48" s="342"/>
      <c r="D48" s="343"/>
      <c r="E48" s="344"/>
      <c r="F48" s="344"/>
      <c r="G48" s="344"/>
      <c r="H48" s="47"/>
      <c r="I48" s="63"/>
      <c r="J48" s="334"/>
      <c r="K48" s="330"/>
      <c r="L48" s="330"/>
      <c r="M48" s="330"/>
      <c r="N48" s="330"/>
      <c r="O48" s="330"/>
      <c r="P48" s="330"/>
    </row>
    <row r="49" spans="1:16" ht="18.75" customHeight="1">
      <c r="A49" s="221"/>
      <c r="B49" s="342"/>
      <c r="C49" s="342"/>
      <c r="D49" s="343"/>
      <c r="E49" s="344"/>
      <c r="F49" s="344"/>
      <c r="G49" s="344"/>
      <c r="H49" s="47"/>
      <c r="I49" s="328"/>
      <c r="J49" s="329"/>
      <c r="K49" s="330"/>
      <c r="L49" s="330"/>
      <c r="M49" s="330"/>
      <c r="N49" s="330"/>
      <c r="O49" s="330"/>
      <c r="P49" s="330"/>
    </row>
    <row r="50" spans="1:16" ht="18.75" customHeight="1">
      <c r="A50" s="221"/>
      <c r="B50" s="342"/>
      <c r="C50" s="342"/>
      <c r="D50" s="343"/>
      <c r="E50" s="344"/>
      <c r="F50" s="344"/>
      <c r="G50" s="344"/>
      <c r="H50" s="47"/>
      <c r="I50" s="63"/>
      <c r="J50" s="334"/>
      <c r="K50" s="330"/>
      <c r="L50" s="330"/>
      <c r="M50" s="330"/>
      <c r="N50" s="330"/>
      <c r="O50" s="330"/>
      <c r="P50" s="330"/>
    </row>
    <row r="51" spans="1:16" ht="18.75" customHeight="1">
      <c r="A51" s="221"/>
      <c r="B51" s="342"/>
      <c r="C51" s="342"/>
      <c r="D51" s="343"/>
      <c r="E51" s="344"/>
      <c r="F51" s="344"/>
      <c r="G51" s="344"/>
      <c r="H51" s="47"/>
      <c r="I51" s="328"/>
      <c r="J51" s="329"/>
      <c r="K51" s="330"/>
      <c r="L51" s="330"/>
      <c r="M51" s="330"/>
      <c r="N51" s="330"/>
      <c r="O51" s="330"/>
      <c r="P51" s="330"/>
    </row>
    <row r="52" spans="1:16" ht="18.75" customHeight="1">
      <c r="A52" s="221"/>
      <c r="B52" s="342"/>
      <c r="C52" s="342"/>
      <c r="D52" s="343"/>
      <c r="E52" s="344"/>
      <c r="F52" s="344"/>
      <c r="G52" s="344"/>
      <c r="H52" s="47"/>
      <c r="I52" s="63"/>
      <c r="J52" s="334"/>
      <c r="K52" s="330"/>
      <c r="L52" s="330"/>
      <c r="M52" s="330"/>
      <c r="N52" s="330"/>
      <c r="O52" s="330"/>
      <c r="P52" s="330"/>
    </row>
    <row r="53" spans="1:16" ht="18.75" customHeight="1">
      <c r="A53" s="221"/>
      <c r="B53" s="342"/>
      <c r="C53" s="342"/>
      <c r="D53" s="343"/>
      <c r="E53" s="344"/>
      <c r="F53" s="344"/>
      <c r="G53" s="344"/>
      <c r="H53" s="47"/>
      <c r="I53" s="328"/>
      <c r="J53" s="329"/>
      <c r="K53" s="330"/>
      <c r="L53" s="330"/>
      <c r="M53" s="330"/>
      <c r="N53" s="330"/>
      <c r="O53" s="330"/>
      <c r="P53" s="330"/>
    </row>
    <row r="54" spans="1:16" ht="18.75" customHeight="1">
      <c r="A54" s="221"/>
      <c r="B54" s="342"/>
      <c r="C54" s="342"/>
      <c r="D54" s="343"/>
      <c r="E54" s="344"/>
      <c r="F54" s="344"/>
      <c r="G54" s="344"/>
      <c r="H54" s="47"/>
      <c r="I54" s="63"/>
      <c r="J54" s="334"/>
      <c r="K54" s="330"/>
      <c r="L54" s="330"/>
      <c r="M54" s="330"/>
      <c r="N54" s="330"/>
      <c r="O54" s="330"/>
      <c r="P54" s="330"/>
    </row>
    <row r="55" spans="1:16" ht="18.75" customHeight="1">
      <c r="A55" s="221"/>
      <c r="B55" s="342"/>
      <c r="C55" s="342"/>
      <c r="D55" s="343"/>
      <c r="E55" s="344"/>
      <c r="F55" s="344"/>
      <c r="G55" s="344"/>
      <c r="H55" s="47"/>
      <c r="I55" s="328"/>
      <c r="J55" s="329"/>
      <c r="K55" s="330"/>
      <c r="L55" s="330"/>
      <c r="M55" s="330"/>
      <c r="N55" s="330"/>
      <c r="O55" s="330"/>
      <c r="P55" s="330"/>
    </row>
    <row r="56" spans="1:16" ht="18.75" customHeight="1">
      <c r="A56" s="221"/>
      <c r="B56" s="342"/>
      <c r="C56" s="342"/>
      <c r="D56" s="343"/>
      <c r="E56" s="344"/>
      <c r="F56" s="344"/>
      <c r="G56" s="344"/>
      <c r="H56" s="47"/>
      <c r="I56" s="63"/>
      <c r="J56" s="334"/>
      <c r="K56" s="330"/>
      <c r="L56" s="330"/>
      <c r="M56" s="330"/>
      <c r="N56" s="330"/>
      <c r="O56" s="330"/>
      <c r="P56" s="330"/>
    </row>
    <row r="57" spans="1:16" ht="18.75" customHeight="1">
      <c r="A57" s="221"/>
      <c r="B57" s="342"/>
      <c r="C57" s="342"/>
      <c r="D57" s="343"/>
      <c r="E57" s="344"/>
      <c r="F57" s="344"/>
      <c r="G57" s="344"/>
      <c r="H57" s="47"/>
      <c r="I57" s="328"/>
      <c r="J57" s="329"/>
      <c r="K57" s="330"/>
      <c r="L57" s="330"/>
      <c r="M57" s="330"/>
      <c r="N57" s="330"/>
      <c r="O57" s="330"/>
      <c r="P57" s="330"/>
    </row>
    <row r="58" spans="1:16" ht="18.75" customHeight="1">
      <c r="A58" s="221"/>
      <c r="B58" s="342"/>
      <c r="C58" s="342"/>
      <c r="D58" s="343"/>
      <c r="E58" s="344"/>
      <c r="F58" s="344"/>
      <c r="G58" s="344"/>
      <c r="H58" s="47"/>
      <c r="I58" s="63"/>
      <c r="J58" s="334"/>
      <c r="K58" s="330"/>
      <c r="L58" s="330"/>
      <c r="M58" s="330"/>
      <c r="N58" s="330"/>
      <c r="O58" s="330"/>
      <c r="P58" s="330"/>
    </row>
    <row r="59" spans="1:16" ht="18.75" customHeight="1">
      <c r="A59" s="221"/>
      <c r="B59" s="342"/>
      <c r="C59" s="342"/>
      <c r="D59" s="343"/>
      <c r="E59" s="344"/>
      <c r="F59" s="344"/>
      <c r="G59" s="344"/>
      <c r="H59" s="47"/>
      <c r="I59" s="328"/>
      <c r="J59" s="329"/>
      <c r="K59" s="330"/>
      <c r="L59" s="330"/>
      <c r="M59" s="330"/>
      <c r="N59" s="330"/>
      <c r="O59" s="330"/>
      <c r="P59" s="330"/>
    </row>
    <row r="60" spans="1:16" ht="18.75" customHeight="1">
      <c r="A60" s="221"/>
      <c r="B60" s="342"/>
      <c r="C60" s="342"/>
      <c r="D60" s="343"/>
      <c r="E60" s="344"/>
      <c r="F60" s="344"/>
      <c r="G60" s="344"/>
      <c r="H60" s="47"/>
      <c r="I60" s="63"/>
      <c r="J60" s="334"/>
      <c r="K60" s="330"/>
      <c r="L60" s="330"/>
      <c r="M60" s="330"/>
      <c r="N60" s="330"/>
      <c r="O60" s="330"/>
      <c r="P60" s="330"/>
    </row>
    <row r="61" spans="1:16" ht="18.75" customHeight="1">
      <c r="A61" s="221"/>
      <c r="B61" s="342"/>
      <c r="C61" s="342"/>
      <c r="D61" s="343"/>
      <c r="E61" s="344"/>
      <c r="F61" s="344"/>
      <c r="G61" s="344"/>
      <c r="H61" s="47"/>
      <c r="I61" s="328"/>
      <c r="J61" s="329"/>
      <c r="K61" s="330"/>
      <c r="L61" s="330"/>
      <c r="M61" s="330"/>
      <c r="N61" s="330"/>
      <c r="O61" s="330"/>
      <c r="P61" s="330"/>
    </row>
    <row r="62" spans="1:16" ht="18.75" customHeight="1">
      <c r="A62" s="221"/>
      <c r="B62" s="342"/>
      <c r="C62" s="342"/>
      <c r="D62" s="343"/>
      <c r="E62" s="344"/>
      <c r="F62" s="344"/>
      <c r="G62" s="344"/>
      <c r="H62" s="47"/>
      <c r="I62" s="63"/>
      <c r="J62" s="334"/>
      <c r="K62" s="330"/>
      <c r="L62" s="330"/>
      <c r="M62" s="330"/>
      <c r="N62" s="330"/>
      <c r="O62" s="330"/>
      <c r="P62" s="330"/>
    </row>
    <row r="63" spans="1:16" ht="18.75" customHeight="1">
      <c r="A63" s="221"/>
      <c r="B63" s="345"/>
      <c r="C63" s="345"/>
      <c r="D63" s="324"/>
      <c r="E63" s="345"/>
      <c r="F63" s="324"/>
      <c r="G63" s="326"/>
      <c r="H63" s="327"/>
      <c r="I63" s="328"/>
      <c r="J63" s="329"/>
      <c r="K63" s="330"/>
      <c r="L63" s="330"/>
      <c r="M63" s="330"/>
      <c r="N63" s="330"/>
      <c r="O63" s="330"/>
      <c r="P63" s="330"/>
    </row>
    <row r="64" spans="1:16" ht="18.75" customHeight="1">
      <c r="A64" s="221"/>
      <c r="B64" s="342"/>
      <c r="C64" s="342"/>
      <c r="D64" s="331"/>
      <c r="E64" s="342"/>
      <c r="F64" s="331"/>
      <c r="G64" s="332"/>
      <c r="H64" s="333"/>
      <c r="I64" s="63"/>
      <c r="J64" s="334"/>
      <c r="K64" s="330"/>
      <c r="L64" s="330"/>
      <c r="M64" s="330"/>
      <c r="N64" s="330"/>
      <c r="O64" s="330"/>
      <c r="P64" s="330"/>
    </row>
    <row r="65" spans="1:16" ht="18.75" customHeight="1">
      <c r="A65" s="221"/>
      <c r="B65" s="345"/>
      <c r="C65" s="345"/>
      <c r="D65" s="324"/>
      <c r="E65" s="345"/>
      <c r="F65" s="324"/>
      <c r="G65" s="326"/>
      <c r="H65" s="327"/>
      <c r="I65" s="328"/>
      <c r="J65" s="329"/>
      <c r="K65" s="330"/>
      <c r="L65" s="330"/>
      <c r="M65" s="330"/>
      <c r="N65" s="330"/>
      <c r="O65" s="330"/>
      <c r="P65" s="330"/>
    </row>
    <row r="66" spans="1:16" ht="18.75" customHeight="1">
      <c r="A66" s="221"/>
      <c r="B66" s="342"/>
      <c r="C66" s="342"/>
      <c r="D66" s="331"/>
      <c r="E66" s="342"/>
      <c r="F66" s="331"/>
      <c r="G66" s="332"/>
      <c r="H66" s="333"/>
      <c r="I66" s="63"/>
      <c r="J66" s="334"/>
      <c r="K66" s="330"/>
      <c r="L66" s="330"/>
      <c r="M66" s="330"/>
      <c r="N66" s="330"/>
      <c r="O66" s="330"/>
      <c r="P66" s="330"/>
    </row>
    <row r="67" spans="1:16" ht="18.75" customHeight="1">
      <c r="A67" s="221"/>
      <c r="B67" s="345"/>
      <c r="C67" s="345"/>
      <c r="D67" s="324"/>
      <c r="E67" s="345"/>
      <c r="F67" s="324"/>
      <c r="G67" s="326"/>
      <c r="H67" s="327"/>
      <c r="I67" s="328"/>
      <c r="J67" s="329"/>
      <c r="K67" s="330"/>
      <c r="L67" s="330"/>
      <c r="M67" s="330"/>
      <c r="N67" s="330"/>
      <c r="O67" s="330"/>
      <c r="P67" s="330"/>
    </row>
    <row r="68" spans="1:16" ht="18.75" customHeight="1">
      <c r="A68" s="221"/>
      <c r="B68" s="342"/>
      <c r="C68" s="342"/>
      <c r="D68" s="331"/>
      <c r="E68" s="342"/>
      <c r="F68" s="331"/>
      <c r="G68" s="332"/>
      <c r="H68" s="333"/>
      <c r="I68" s="63"/>
      <c r="J68" s="334"/>
      <c r="K68" s="330"/>
      <c r="L68" s="330"/>
      <c r="M68" s="330"/>
      <c r="N68" s="330"/>
      <c r="O68" s="330"/>
      <c r="P68" s="330"/>
    </row>
    <row r="69" spans="1:16" ht="18.75" customHeight="1">
      <c r="A69" s="221"/>
      <c r="B69" s="345"/>
      <c r="C69" s="345"/>
      <c r="D69" s="346"/>
      <c r="E69" s="345"/>
      <c r="F69" s="324"/>
      <c r="G69" s="347"/>
      <c r="H69" s="328"/>
      <c r="I69" s="328"/>
      <c r="J69" s="329"/>
      <c r="K69" s="330"/>
      <c r="L69" s="330"/>
      <c r="M69" s="330"/>
      <c r="N69" s="330"/>
      <c r="O69" s="330"/>
      <c r="P69" s="330"/>
    </row>
    <row r="70" spans="1:16" ht="18.75" customHeight="1">
      <c r="A70" s="221"/>
      <c r="B70" s="342"/>
      <c r="C70" s="342"/>
      <c r="D70" s="343"/>
      <c r="E70" s="342"/>
      <c r="F70" s="331"/>
      <c r="G70" s="325"/>
      <c r="H70" s="63"/>
      <c r="I70" s="63"/>
      <c r="J70" s="334"/>
      <c r="K70" s="330"/>
      <c r="L70" s="330"/>
      <c r="M70" s="330"/>
      <c r="N70" s="330"/>
      <c r="O70" s="330"/>
      <c r="P70" s="330"/>
    </row>
    <row r="71" spans="1:16" ht="18.75" customHeight="1">
      <c r="A71" s="221"/>
      <c r="B71" s="345"/>
      <c r="C71" s="345"/>
      <c r="D71" s="346"/>
      <c r="E71" s="345"/>
      <c r="F71" s="324"/>
      <c r="G71" s="347"/>
      <c r="H71" s="328"/>
      <c r="I71" s="328"/>
      <c r="J71" s="329"/>
      <c r="K71" s="330"/>
      <c r="L71" s="330"/>
      <c r="M71" s="330"/>
      <c r="N71" s="330"/>
      <c r="O71" s="330"/>
      <c r="P71" s="330"/>
    </row>
    <row r="72" spans="1:16" ht="18.75" customHeight="1">
      <c r="A72" s="221"/>
      <c r="B72" s="342"/>
      <c r="C72" s="342"/>
      <c r="D72" s="343"/>
      <c r="E72" s="342"/>
      <c r="F72" s="331"/>
      <c r="G72" s="325"/>
      <c r="H72" s="47"/>
      <c r="I72" s="63"/>
      <c r="J72" s="334"/>
      <c r="K72" s="330"/>
      <c r="L72" s="330"/>
      <c r="M72" s="330"/>
      <c r="N72" s="330"/>
      <c r="O72" s="330"/>
      <c r="P72" s="330"/>
    </row>
    <row r="73" spans="1:16" ht="18.75" customHeight="1">
      <c r="A73" s="221"/>
      <c r="B73" s="345"/>
      <c r="C73" s="345"/>
      <c r="D73" s="346"/>
      <c r="E73" s="345"/>
      <c r="F73" s="324"/>
      <c r="G73" s="347"/>
      <c r="H73" s="348"/>
      <c r="I73" s="328"/>
      <c r="J73" s="329"/>
      <c r="K73" s="330"/>
      <c r="L73" s="330"/>
      <c r="M73" s="330"/>
      <c r="N73" s="330"/>
      <c r="O73" s="330"/>
      <c r="P73" s="330"/>
    </row>
    <row r="74" spans="1:16" ht="18.75" customHeight="1">
      <c r="A74" s="221"/>
      <c r="B74" s="342"/>
      <c r="C74" s="342"/>
      <c r="D74" s="343"/>
      <c r="E74" s="342"/>
      <c r="F74" s="331"/>
      <c r="G74" s="332"/>
      <c r="H74" s="333"/>
      <c r="I74" s="63"/>
      <c r="J74" s="334"/>
      <c r="K74" s="330"/>
      <c r="L74" s="330"/>
      <c r="M74" s="330"/>
      <c r="N74" s="330"/>
      <c r="O74" s="330"/>
      <c r="P74" s="330"/>
    </row>
    <row r="75" spans="1:16" ht="18.75" customHeight="1">
      <c r="A75" s="221"/>
      <c r="B75" s="345"/>
      <c r="C75" s="345"/>
      <c r="D75" s="346"/>
      <c r="E75" s="345"/>
      <c r="F75" s="324"/>
      <c r="G75" s="347"/>
      <c r="H75" s="328"/>
      <c r="I75" s="328"/>
      <c r="J75" s="329"/>
      <c r="K75" s="330"/>
      <c r="L75" s="330"/>
      <c r="M75" s="330"/>
      <c r="N75" s="330"/>
      <c r="O75" s="330"/>
      <c r="P75" s="330"/>
    </row>
    <row r="76" spans="1:16" ht="18.75" customHeight="1">
      <c r="A76" s="221"/>
      <c r="B76" s="342"/>
      <c r="C76" s="342"/>
      <c r="D76" s="343"/>
      <c r="E76" s="342"/>
      <c r="F76" s="331"/>
      <c r="G76" s="325"/>
      <c r="H76" s="63"/>
      <c r="I76" s="63"/>
      <c r="J76" s="334"/>
      <c r="K76" s="330"/>
      <c r="L76" s="330"/>
      <c r="M76" s="330"/>
      <c r="N76" s="330"/>
      <c r="O76" s="330"/>
      <c r="P76" s="330"/>
    </row>
    <row r="77" spans="1:16" ht="18.75" customHeight="1">
      <c r="A77" s="221"/>
      <c r="B77" s="345"/>
      <c r="C77" s="345"/>
      <c r="D77" s="346"/>
      <c r="E77" s="345"/>
      <c r="F77" s="324"/>
      <c r="G77" s="347"/>
      <c r="H77" s="328"/>
      <c r="I77" s="328"/>
      <c r="J77" s="329"/>
      <c r="K77" s="330"/>
      <c r="L77" s="330"/>
      <c r="M77" s="330"/>
      <c r="N77" s="330"/>
      <c r="O77" s="330"/>
      <c r="P77" s="330"/>
    </row>
    <row r="78" spans="1:16" ht="18.75" customHeight="1">
      <c r="A78" s="221"/>
      <c r="B78" s="342"/>
      <c r="C78" s="342"/>
      <c r="D78" s="343"/>
      <c r="E78" s="342"/>
      <c r="F78" s="342"/>
      <c r="G78" s="325"/>
      <c r="H78" s="63"/>
      <c r="I78" s="63"/>
      <c r="J78" s="334"/>
      <c r="K78" s="330"/>
      <c r="L78" s="330"/>
      <c r="M78" s="330"/>
      <c r="N78" s="330"/>
      <c r="O78" s="330"/>
      <c r="P78" s="330"/>
    </row>
    <row r="79" spans="1:16" ht="18.75" customHeight="1">
      <c r="A79" s="221"/>
      <c r="B79" s="345"/>
      <c r="C79" s="345"/>
      <c r="D79" s="346"/>
      <c r="E79" s="345"/>
      <c r="F79" s="345"/>
      <c r="G79" s="347"/>
      <c r="H79" s="328"/>
      <c r="I79" s="328"/>
      <c r="J79" s="329"/>
      <c r="K79" s="330"/>
      <c r="L79" s="330"/>
      <c r="M79" s="330"/>
      <c r="N79" s="330"/>
      <c r="O79" s="330"/>
      <c r="P79" s="330"/>
    </row>
    <row r="80" spans="1:16" ht="18.75" customHeight="1">
      <c r="A80" s="221"/>
      <c r="B80" s="342"/>
      <c r="C80" s="342"/>
      <c r="D80" s="343"/>
      <c r="E80" s="342"/>
      <c r="F80" s="342"/>
      <c r="G80" s="325"/>
      <c r="H80" s="63"/>
      <c r="I80" s="63"/>
      <c r="J80" s="334"/>
      <c r="K80" s="330"/>
      <c r="L80" s="330"/>
      <c r="M80" s="330"/>
      <c r="N80" s="330"/>
      <c r="O80" s="330"/>
      <c r="P80" s="330"/>
    </row>
    <row r="81" spans="1:16" ht="18.75" customHeight="1">
      <c r="A81" s="221"/>
      <c r="B81" s="345"/>
      <c r="C81" s="345"/>
      <c r="D81" s="349"/>
      <c r="E81" s="345"/>
      <c r="F81" s="347"/>
      <c r="G81" s="347"/>
      <c r="H81" s="328"/>
      <c r="I81" s="328"/>
      <c r="J81" s="329"/>
      <c r="K81" s="330"/>
      <c r="L81" s="330"/>
      <c r="M81" s="330"/>
      <c r="N81" s="330"/>
      <c r="O81" s="330"/>
      <c r="P81" s="330"/>
    </row>
    <row r="82" spans="1:16" ht="18.75" customHeight="1">
      <c r="A82" s="221"/>
      <c r="B82" s="342"/>
      <c r="C82" s="342"/>
      <c r="D82" s="344"/>
      <c r="E82" s="342"/>
      <c r="F82" s="325"/>
      <c r="G82" s="325"/>
      <c r="H82" s="47"/>
      <c r="I82" s="63"/>
      <c r="J82" s="334"/>
      <c r="K82" s="330"/>
      <c r="L82" s="330"/>
      <c r="M82" s="330"/>
      <c r="N82" s="330"/>
      <c r="O82" s="330"/>
      <c r="P82" s="330"/>
    </row>
    <row r="83" spans="1:16" ht="18.75" customHeight="1">
      <c r="A83" s="221"/>
      <c r="B83" s="345"/>
      <c r="C83" s="345"/>
      <c r="D83" s="349"/>
      <c r="E83" s="345"/>
      <c r="F83" s="347"/>
      <c r="G83" s="347"/>
      <c r="H83" s="328"/>
      <c r="I83" s="328"/>
      <c r="J83" s="329"/>
      <c r="K83" s="330"/>
      <c r="L83" s="330"/>
      <c r="M83" s="330"/>
      <c r="N83" s="330"/>
      <c r="O83" s="330"/>
      <c r="P83" s="330"/>
    </row>
    <row r="84" spans="1:16" ht="18.75" customHeight="1">
      <c r="A84" s="221"/>
      <c r="B84" s="342"/>
      <c r="C84" s="342"/>
      <c r="D84" s="344"/>
      <c r="E84" s="342"/>
      <c r="F84" s="325"/>
      <c r="G84" s="325"/>
      <c r="H84" s="63"/>
      <c r="I84" s="63"/>
      <c r="J84" s="334"/>
      <c r="K84" s="330"/>
      <c r="L84" s="330"/>
      <c r="M84" s="330"/>
      <c r="N84" s="330"/>
      <c r="O84" s="330"/>
      <c r="P84" s="330"/>
    </row>
    <row r="85" spans="1:16" ht="18.75" customHeight="1">
      <c r="A85" s="221"/>
      <c r="B85" s="345"/>
      <c r="C85" s="345"/>
      <c r="D85" s="349"/>
      <c r="E85" s="345"/>
      <c r="F85" s="347"/>
      <c r="G85" s="347"/>
      <c r="H85" s="328"/>
      <c r="I85" s="328"/>
      <c r="J85" s="329"/>
      <c r="K85" s="330"/>
      <c r="L85" s="330"/>
      <c r="M85" s="330"/>
      <c r="N85" s="330"/>
      <c r="O85" s="330"/>
      <c r="P85" s="330"/>
    </row>
    <row r="86" spans="1:16" ht="18.75" customHeight="1">
      <c r="A86" s="221"/>
      <c r="B86" s="342"/>
      <c r="C86" s="342"/>
      <c r="D86" s="344"/>
      <c r="E86" s="342"/>
      <c r="F86" s="325"/>
      <c r="G86" s="325"/>
      <c r="H86" s="63"/>
      <c r="I86" s="63"/>
      <c r="J86" s="334"/>
      <c r="K86" s="330"/>
      <c r="L86" s="330"/>
      <c r="M86" s="330"/>
      <c r="N86" s="330"/>
      <c r="O86" s="330"/>
      <c r="P86" s="330"/>
    </row>
    <row r="87" spans="1:16" ht="18.75" customHeight="1">
      <c r="A87" s="221"/>
      <c r="B87" s="345"/>
      <c r="C87" s="345"/>
      <c r="D87" s="349"/>
      <c r="E87" s="345"/>
      <c r="F87" s="347"/>
      <c r="G87" s="347"/>
      <c r="H87" s="328"/>
      <c r="I87" s="328"/>
      <c r="J87" s="329"/>
      <c r="K87" s="330"/>
      <c r="L87" s="330"/>
      <c r="M87" s="330"/>
      <c r="N87" s="330"/>
      <c r="O87" s="330"/>
      <c r="P87" s="330"/>
    </row>
    <row r="88" spans="1:16" ht="18.75" customHeight="1">
      <c r="A88" s="221"/>
      <c r="B88" s="342"/>
      <c r="C88" s="342"/>
      <c r="D88" s="344"/>
      <c r="E88" s="342"/>
      <c r="F88" s="342"/>
      <c r="G88" s="325"/>
      <c r="H88" s="47"/>
      <c r="I88" s="63"/>
      <c r="J88" s="334"/>
      <c r="K88" s="330"/>
      <c r="L88" s="330"/>
      <c r="M88" s="330"/>
      <c r="N88" s="330"/>
      <c r="O88" s="330"/>
      <c r="P88" s="330"/>
    </row>
    <row r="89" spans="1:16" ht="18.75" customHeight="1">
      <c r="A89" s="221"/>
      <c r="B89" s="345"/>
      <c r="C89" s="345"/>
      <c r="D89" s="349"/>
      <c r="E89" s="345"/>
      <c r="F89" s="347"/>
      <c r="G89" s="347"/>
      <c r="H89" s="328"/>
      <c r="I89" s="328"/>
      <c r="J89" s="329"/>
      <c r="K89" s="330"/>
      <c r="L89" s="330"/>
      <c r="M89" s="330"/>
      <c r="N89" s="330"/>
      <c r="O89" s="330"/>
      <c r="P89" s="330"/>
    </row>
    <row r="90" spans="1:16" ht="18.75" customHeight="1">
      <c r="A90" s="221"/>
      <c r="B90" s="342"/>
      <c r="C90" s="342"/>
      <c r="D90" s="344"/>
      <c r="E90" s="342"/>
      <c r="F90" s="342"/>
      <c r="G90" s="325"/>
      <c r="H90" s="63"/>
      <c r="I90" s="63"/>
      <c r="J90" s="334"/>
      <c r="K90" s="330"/>
      <c r="L90" s="330"/>
      <c r="M90" s="330"/>
      <c r="N90" s="330"/>
      <c r="O90" s="330"/>
      <c r="P90" s="330"/>
    </row>
    <row r="91" spans="1:16" ht="18.75" customHeight="1">
      <c r="A91" s="221"/>
      <c r="B91" s="345"/>
      <c r="C91" s="345"/>
      <c r="D91" s="349"/>
      <c r="E91" s="345"/>
      <c r="F91" s="347"/>
      <c r="G91" s="347"/>
      <c r="H91" s="328"/>
      <c r="I91" s="328"/>
      <c r="J91" s="329"/>
      <c r="K91" s="330"/>
      <c r="L91" s="330"/>
      <c r="M91" s="330"/>
      <c r="N91" s="330"/>
      <c r="O91" s="330"/>
      <c r="P91" s="330"/>
    </row>
    <row r="92" spans="1:16" ht="18.75" customHeight="1">
      <c r="A92" s="221"/>
      <c r="B92" s="342"/>
      <c r="C92" s="342"/>
      <c r="D92" s="344"/>
      <c r="E92" s="342"/>
      <c r="F92" s="325"/>
      <c r="G92" s="325"/>
      <c r="H92" s="63"/>
      <c r="I92" s="63"/>
      <c r="J92" s="334"/>
      <c r="K92" s="330"/>
      <c r="L92" s="330"/>
      <c r="M92" s="330"/>
      <c r="N92" s="330"/>
      <c r="O92" s="330"/>
      <c r="P92" s="330"/>
    </row>
    <row r="93" spans="1:16" ht="18.75" customHeight="1">
      <c r="A93" s="221"/>
      <c r="B93" s="345"/>
      <c r="C93" s="345"/>
      <c r="D93" s="349"/>
      <c r="E93" s="345"/>
      <c r="F93" s="347"/>
      <c r="G93" s="347"/>
      <c r="H93" s="328"/>
      <c r="I93" s="328"/>
      <c r="J93" s="329"/>
      <c r="K93" s="330"/>
      <c r="L93" s="330"/>
      <c r="M93" s="330"/>
      <c r="N93" s="330"/>
      <c r="O93" s="330"/>
      <c r="P93" s="330"/>
    </row>
    <row r="94" spans="1:16" ht="18.75" customHeight="1">
      <c r="A94" s="221"/>
      <c r="B94" s="342"/>
      <c r="C94" s="342"/>
      <c r="D94" s="344"/>
      <c r="E94" s="342"/>
      <c r="F94" s="325"/>
      <c r="G94" s="325"/>
      <c r="H94" s="47"/>
      <c r="I94" s="63"/>
      <c r="J94" s="334"/>
      <c r="K94" s="330"/>
      <c r="L94" s="330"/>
      <c r="M94" s="330"/>
      <c r="N94" s="330"/>
      <c r="O94" s="330"/>
      <c r="P94" s="330"/>
    </row>
    <row r="95" spans="1:16" ht="18.75" customHeight="1">
      <c r="A95" s="221"/>
      <c r="B95" s="345"/>
      <c r="C95" s="345"/>
      <c r="D95" s="349"/>
      <c r="E95" s="345"/>
      <c r="F95" s="347"/>
      <c r="G95" s="347"/>
      <c r="H95" s="348"/>
      <c r="I95" s="328"/>
      <c r="J95" s="329"/>
      <c r="K95" s="330"/>
      <c r="L95" s="330"/>
      <c r="M95" s="330"/>
      <c r="N95" s="330"/>
      <c r="O95" s="330"/>
      <c r="P95" s="330"/>
    </row>
    <row r="96" spans="1:16" ht="18.75" customHeight="1">
      <c r="A96" s="221"/>
      <c r="B96" s="342"/>
      <c r="C96" s="342"/>
      <c r="D96" s="344"/>
      <c r="E96" s="342"/>
      <c r="F96" s="325"/>
      <c r="G96" s="325"/>
      <c r="H96" s="47"/>
      <c r="I96" s="63"/>
      <c r="J96" s="334"/>
      <c r="K96" s="330"/>
      <c r="L96" s="330"/>
      <c r="M96" s="330"/>
      <c r="N96" s="330"/>
      <c r="O96" s="330"/>
      <c r="P96" s="330"/>
    </row>
    <row r="97" spans="1:16" ht="18.75" customHeight="1">
      <c r="A97" s="221"/>
      <c r="B97" s="345"/>
      <c r="C97" s="345"/>
      <c r="D97" s="349"/>
      <c r="E97" s="345"/>
      <c r="F97" s="347"/>
      <c r="G97" s="347"/>
      <c r="H97" s="328"/>
      <c r="I97" s="328"/>
      <c r="J97" s="329"/>
      <c r="K97" s="330"/>
      <c r="L97" s="330"/>
      <c r="M97" s="330"/>
      <c r="N97" s="330"/>
      <c r="O97" s="330"/>
      <c r="P97" s="330"/>
    </row>
    <row r="98" spans="1:16" ht="18.75" customHeight="1">
      <c r="A98" s="221"/>
      <c r="B98" s="342"/>
      <c r="C98" s="342"/>
      <c r="D98" s="344"/>
      <c r="E98" s="342"/>
      <c r="F98" s="325"/>
      <c r="G98" s="325"/>
      <c r="H98" s="47"/>
      <c r="I98" s="63"/>
      <c r="J98" s="334"/>
      <c r="K98" s="330"/>
      <c r="L98" s="330"/>
      <c r="M98" s="330"/>
      <c r="N98" s="330"/>
      <c r="O98" s="330"/>
      <c r="P98" s="330"/>
    </row>
    <row r="99" spans="1:16" ht="18.75" customHeight="1">
      <c r="A99" s="221"/>
      <c r="B99" s="345"/>
      <c r="C99" s="345"/>
      <c r="D99" s="349"/>
      <c r="E99" s="345"/>
      <c r="F99" s="347"/>
      <c r="G99" s="347"/>
      <c r="H99" s="348"/>
      <c r="I99" s="328"/>
      <c r="J99" s="329"/>
      <c r="K99" s="330"/>
      <c r="L99" s="330"/>
      <c r="M99" s="330"/>
      <c r="N99" s="330"/>
      <c r="O99" s="330"/>
      <c r="P99" s="330"/>
    </row>
    <row r="100" spans="1:16" ht="18.75" customHeight="1">
      <c r="A100" s="221"/>
      <c r="B100" s="342"/>
      <c r="C100" s="342"/>
      <c r="D100" s="342"/>
      <c r="E100" s="331"/>
      <c r="F100" s="331"/>
      <c r="G100" s="344"/>
      <c r="H100" s="47"/>
      <c r="I100" s="63"/>
      <c r="J100" s="334"/>
      <c r="K100" s="330"/>
      <c r="L100" s="330"/>
      <c r="M100" s="330"/>
      <c r="N100" s="330"/>
      <c r="O100" s="330"/>
      <c r="P100" s="330"/>
    </row>
    <row r="101" spans="1:16" ht="18.75" customHeight="1">
      <c r="A101" s="221"/>
      <c r="B101" s="345"/>
      <c r="C101" s="345"/>
      <c r="D101" s="345"/>
      <c r="E101" s="324"/>
      <c r="F101" s="324"/>
      <c r="G101" s="349"/>
      <c r="H101" s="348"/>
      <c r="I101" s="328"/>
      <c r="J101" s="329"/>
      <c r="K101" s="330"/>
      <c r="L101" s="330"/>
      <c r="M101" s="330"/>
      <c r="N101" s="330"/>
      <c r="O101" s="330"/>
      <c r="P101" s="330"/>
    </row>
    <row r="102" spans="1:16" ht="18.75" customHeight="1">
      <c r="A102" s="221"/>
      <c r="B102" s="342"/>
      <c r="C102" s="342"/>
      <c r="D102" s="342"/>
      <c r="E102" s="331"/>
      <c r="F102" s="331"/>
      <c r="G102" s="344"/>
      <c r="H102" s="47"/>
      <c r="I102" s="63"/>
      <c r="J102" s="334"/>
      <c r="K102" s="330"/>
      <c r="L102" s="330"/>
      <c r="M102" s="330"/>
      <c r="N102" s="330"/>
      <c r="O102" s="330"/>
      <c r="P102" s="330"/>
    </row>
    <row r="103" spans="1:16" ht="18.75" customHeight="1">
      <c r="A103" s="221"/>
      <c r="B103" s="345"/>
      <c r="C103" s="345"/>
      <c r="D103" s="345"/>
      <c r="E103" s="324"/>
      <c r="F103" s="324"/>
      <c r="G103" s="349"/>
      <c r="H103" s="348"/>
      <c r="I103" s="328"/>
      <c r="J103" s="329"/>
      <c r="K103" s="330"/>
      <c r="L103" s="330"/>
      <c r="M103" s="330"/>
      <c r="N103" s="330"/>
      <c r="O103" s="330"/>
      <c r="P103" s="330"/>
    </row>
    <row r="104" spans="1:16" ht="18.75" customHeight="1">
      <c r="A104" s="221"/>
      <c r="B104" s="342"/>
      <c r="C104" s="342"/>
      <c r="D104" s="342"/>
      <c r="E104" s="331"/>
      <c r="F104" s="331"/>
      <c r="G104" s="344"/>
      <c r="H104" s="47"/>
      <c r="I104" s="63"/>
      <c r="J104" s="334"/>
      <c r="K104" s="330"/>
      <c r="L104" s="330"/>
      <c r="M104" s="330"/>
      <c r="N104" s="330"/>
      <c r="O104" s="330"/>
      <c r="P104" s="330"/>
    </row>
    <row r="105" spans="1:16" ht="18.75" customHeight="1">
      <c r="A105" s="221"/>
      <c r="B105" s="345"/>
      <c r="C105" s="345"/>
      <c r="D105" s="345"/>
      <c r="E105" s="324"/>
      <c r="F105" s="324"/>
      <c r="G105" s="349"/>
      <c r="H105" s="348"/>
      <c r="I105" s="328"/>
      <c r="J105" s="329"/>
      <c r="K105" s="330"/>
      <c r="L105" s="330"/>
      <c r="M105" s="330"/>
      <c r="N105" s="330"/>
      <c r="O105" s="330"/>
      <c r="P105" s="330"/>
    </row>
    <row r="106" spans="1:16" ht="18.75" customHeight="1">
      <c r="A106" s="221"/>
      <c r="B106" s="342"/>
      <c r="C106" s="342"/>
      <c r="D106" s="342"/>
      <c r="E106" s="331"/>
      <c r="F106" s="331"/>
      <c r="G106" s="325"/>
      <c r="H106" s="47"/>
      <c r="I106" s="63"/>
      <c r="J106" s="334"/>
      <c r="K106" s="330"/>
      <c r="L106" s="330"/>
      <c r="M106" s="330"/>
      <c r="N106" s="330"/>
      <c r="O106" s="330"/>
      <c r="P106" s="330"/>
    </row>
    <row r="107" spans="1:16" ht="18.75" customHeight="1">
      <c r="A107" s="221"/>
      <c r="B107" s="345"/>
      <c r="C107" s="345"/>
      <c r="D107" s="345"/>
      <c r="E107" s="324"/>
      <c r="F107" s="324"/>
      <c r="G107" s="347"/>
      <c r="H107" s="348"/>
      <c r="I107" s="328"/>
      <c r="J107" s="329"/>
      <c r="K107" s="330"/>
      <c r="L107" s="330"/>
      <c r="M107" s="330"/>
      <c r="N107" s="330"/>
      <c r="O107" s="330"/>
      <c r="P107" s="330"/>
    </row>
    <row r="108" spans="1:16" ht="18.75" customHeight="1">
      <c r="A108" s="221"/>
      <c r="B108" s="342"/>
      <c r="C108" s="342"/>
      <c r="D108" s="342"/>
      <c r="E108" s="331"/>
      <c r="F108" s="331"/>
      <c r="G108" s="325"/>
      <c r="H108" s="47"/>
      <c r="I108" s="63"/>
      <c r="J108" s="334"/>
      <c r="K108" s="330"/>
      <c r="L108" s="330"/>
      <c r="M108" s="330"/>
      <c r="N108" s="330"/>
      <c r="O108" s="330"/>
      <c r="P108" s="330"/>
    </row>
    <row r="109" spans="1:16" ht="18.75" customHeight="1">
      <c r="A109" s="221"/>
      <c r="B109" s="345"/>
      <c r="C109" s="345"/>
      <c r="D109" s="345"/>
      <c r="E109" s="324"/>
      <c r="F109" s="324"/>
      <c r="G109" s="347"/>
      <c r="H109" s="348"/>
      <c r="I109" s="328"/>
      <c r="J109" s="329"/>
      <c r="K109" s="330"/>
      <c r="L109" s="330"/>
      <c r="M109" s="330"/>
      <c r="N109" s="330"/>
      <c r="O109" s="330"/>
      <c r="P109" s="330"/>
    </row>
    <row r="110" spans="1:16" ht="18.75" customHeight="1">
      <c r="A110" s="221"/>
      <c r="B110" s="342"/>
      <c r="C110" s="342"/>
      <c r="D110" s="342"/>
      <c r="E110" s="331"/>
      <c r="F110" s="331"/>
      <c r="G110" s="325"/>
      <c r="H110" s="47"/>
      <c r="I110" s="63"/>
      <c r="J110" s="334"/>
      <c r="K110" s="330"/>
      <c r="L110" s="330"/>
      <c r="M110" s="330"/>
      <c r="N110" s="330"/>
      <c r="O110" s="330"/>
      <c r="P110" s="330"/>
    </row>
    <row r="111" spans="1:16" ht="18.75" customHeight="1">
      <c r="A111" s="221"/>
      <c r="B111" s="345"/>
      <c r="C111" s="345"/>
      <c r="D111" s="345"/>
      <c r="E111" s="324"/>
      <c r="F111" s="324"/>
      <c r="G111" s="347"/>
      <c r="H111" s="348"/>
      <c r="I111" s="328"/>
      <c r="J111" s="329"/>
      <c r="K111" s="330"/>
      <c r="L111" s="330"/>
      <c r="M111" s="330"/>
      <c r="N111" s="330"/>
      <c r="O111" s="330"/>
      <c r="P111" s="330"/>
    </row>
    <row r="112" spans="1:16" ht="18.75" customHeight="1">
      <c r="A112" s="221"/>
      <c r="B112" s="342"/>
      <c r="C112" s="342"/>
      <c r="D112" s="342"/>
      <c r="E112" s="331"/>
      <c r="F112" s="331"/>
      <c r="G112" s="325"/>
      <c r="H112" s="47"/>
      <c r="I112" s="63"/>
      <c r="J112" s="334"/>
      <c r="K112" s="330"/>
      <c r="L112" s="330"/>
      <c r="M112" s="330"/>
      <c r="N112" s="330"/>
      <c r="O112" s="330"/>
      <c r="P112" s="330"/>
    </row>
    <row r="113" spans="1:16" ht="18.75" customHeight="1">
      <c r="A113" s="221"/>
      <c r="B113" s="345"/>
      <c r="C113" s="345"/>
      <c r="D113" s="345"/>
      <c r="E113" s="324"/>
      <c r="F113" s="324"/>
      <c r="G113" s="347"/>
      <c r="H113" s="348"/>
      <c r="I113" s="328"/>
      <c r="J113" s="329"/>
      <c r="K113" s="330"/>
      <c r="L113" s="330"/>
      <c r="M113" s="330"/>
      <c r="N113" s="330"/>
      <c r="O113" s="330"/>
      <c r="P113" s="330"/>
    </row>
    <row r="114" spans="1:16" ht="18.75" customHeight="1">
      <c r="A114" s="221"/>
      <c r="B114" s="342"/>
      <c r="C114" s="342"/>
      <c r="D114" s="342"/>
      <c r="E114" s="331"/>
      <c r="F114" s="331"/>
      <c r="G114" s="325"/>
      <c r="H114" s="47"/>
      <c r="I114" s="63"/>
      <c r="J114" s="334"/>
      <c r="K114" s="330"/>
      <c r="L114" s="330"/>
      <c r="M114" s="330"/>
      <c r="N114" s="330"/>
      <c r="O114" s="330"/>
      <c r="P114" s="330"/>
    </row>
    <row r="115" spans="1:16" ht="18.75" customHeight="1">
      <c r="A115" s="221"/>
      <c r="B115" s="345"/>
      <c r="C115" s="345"/>
      <c r="D115" s="345"/>
      <c r="E115" s="324"/>
      <c r="F115" s="324"/>
      <c r="G115" s="347"/>
      <c r="H115" s="348"/>
      <c r="I115" s="328"/>
      <c r="J115" s="329"/>
      <c r="K115" s="330"/>
      <c r="L115" s="330"/>
      <c r="M115" s="330"/>
      <c r="N115" s="330"/>
      <c r="O115" s="330"/>
      <c r="P115" s="330"/>
    </row>
    <row r="116" spans="1:16" ht="18.75" customHeight="1">
      <c r="A116" s="221"/>
      <c r="B116" s="342"/>
      <c r="C116" s="342"/>
      <c r="D116" s="342"/>
      <c r="E116" s="331"/>
      <c r="F116" s="331"/>
      <c r="G116" s="325"/>
      <c r="H116" s="47"/>
      <c r="I116" s="63"/>
      <c r="J116" s="334"/>
      <c r="K116" s="330"/>
      <c r="L116" s="330"/>
      <c r="M116" s="330"/>
      <c r="N116" s="330"/>
      <c r="O116" s="330"/>
      <c r="P116" s="330"/>
    </row>
    <row r="117" spans="1:16" ht="18.75" customHeight="1">
      <c r="A117" s="221"/>
      <c r="B117" s="345"/>
      <c r="C117" s="345"/>
      <c r="D117" s="345"/>
      <c r="E117" s="324"/>
      <c r="F117" s="324"/>
      <c r="G117" s="347"/>
      <c r="H117" s="348"/>
      <c r="I117" s="328"/>
      <c r="J117" s="329"/>
      <c r="K117" s="330"/>
      <c r="L117" s="330"/>
      <c r="M117" s="330"/>
      <c r="N117" s="330"/>
      <c r="O117" s="330"/>
      <c r="P117" s="330"/>
    </row>
    <row r="118" spans="1:16" ht="18.75" customHeight="1">
      <c r="A118" s="221"/>
      <c r="B118" s="342"/>
      <c r="C118" s="342"/>
      <c r="D118" s="342"/>
      <c r="E118" s="331"/>
      <c r="F118" s="331"/>
      <c r="G118" s="325"/>
      <c r="H118" s="47"/>
      <c r="I118" s="63"/>
      <c r="J118" s="334"/>
      <c r="K118" s="330"/>
      <c r="L118" s="330"/>
      <c r="M118" s="330"/>
      <c r="N118" s="330"/>
      <c r="O118" s="330"/>
      <c r="P118" s="330"/>
    </row>
    <row r="119" spans="1:16" ht="18.75" customHeight="1">
      <c r="A119" s="221"/>
      <c r="B119" s="345"/>
      <c r="C119" s="345"/>
      <c r="D119" s="345"/>
      <c r="E119" s="324"/>
      <c r="F119" s="324"/>
      <c r="G119" s="347"/>
      <c r="H119" s="348"/>
      <c r="I119" s="328"/>
      <c r="J119" s="329"/>
      <c r="K119" s="330"/>
      <c r="L119" s="330"/>
      <c r="M119" s="330"/>
      <c r="N119" s="330"/>
      <c r="O119" s="330"/>
      <c r="P119" s="330"/>
    </row>
    <row r="120" spans="1:16" ht="18.75" customHeight="1">
      <c r="A120" s="221"/>
      <c r="B120" s="342"/>
      <c r="C120" s="342"/>
      <c r="D120" s="342"/>
      <c r="E120" s="331"/>
      <c r="F120" s="331"/>
      <c r="G120" s="325"/>
      <c r="H120" s="47"/>
      <c r="I120" s="63"/>
      <c r="J120" s="334"/>
      <c r="K120" s="330"/>
      <c r="L120" s="330"/>
      <c r="M120" s="330"/>
      <c r="N120" s="330"/>
      <c r="O120" s="330"/>
      <c r="P120" s="330"/>
    </row>
    <row r="121" spans="1:16" ht="18.75" customHeight="1">
      <c r="A121" s="221"/>
      <c r="B121" s="345"/>
      <c r="C121" s="345"/>
      <c r="D121" s="345"/>
      <c r="E121" s="324"/>
      <c r="F121" s="324"/>
      <c r="G121" s="347"/>
      <c r="H121" s="348"/>
      <c r="I121" s="328"/>
      <c r="J121" s="329"/>
      <c r="K121" s="330"/>
      <c r="L121" s="330"/>
      <c r="M121" s="330"/>
      <c r="N121" s="330"/>
      <c r="O121" s="330"/>
      <c r="P121" s="330"/>
    </row>
    <row r="122" spans="1:16" ht="18.75" customHeight="1">
      <c r="A122" s="221"/>
      <c r="B122" s="342"/>
      <c r="C122" s="342"/>
      <c r="D122" s="342"/>
      <c r="E122" s="331"/>
      <c r="F122" s="331"/>
      <c r="G122" s="325"/>
      <c r="H122" s="47"/>
      <c r="I122" s="63"/>
      <c r="J122" s="334"/>
      <c r="K122" s="330"/>
      <c r="L122" s="330"/>
      <c r="M122" s="330"/>
      <c r="N122" s="330"/>
      <c r="O122" s="330"/>
      <c r="P122" s="330"/>
    </row>
    <row r="123" spans="1:16" ht="18.75" customHeight="1">
      <c r="A123" s="221"/>
      <c r="B123" s="345"/>
      <c r="C123" s="345"/>
      <c r="D123" s="345"/>
      <c r="E123" s="324"/>
      <c r="F123" s="324"/>
      <c r="G123" s="347"/>
      <c r="H123" s="348"/>
      <c r="I123" s="328"/>
      <c r="J123" s="329"/>
      <c r="K123" s="330"/>
      <c r="L123" s="330"/>
      <c r="M123" s="330"/>
      <c r="N123" s="330"/>
      <c r="O123" s="330"/>
      <c r="P123" s="330"/>
    </row>
    <row r="124" spans="1:16" ht="18.75" customHeight="1">
      <c r="A124" s="221"/>
      <c r="B124" s="342"/>
      <c r="C124" s="342"/>
      <c r="D124" s="342"/>
      <c r="E124" s="331"/>
      <c r="F124" s="331"/>
      <c r="G124" s="325"/>
      <c r="H124" s="47"/>
      <c r="I124" s="63"/>
      <c r="J124" s="334"/>
      <c r="K124" s="330"/>
      <c r="L124" s="330"/>
      <c r="M124" s="330"/>
      <c r="N124" s="330"/>
      <c r="O124" s="330"/>
      <c r="P124" s="330"/>
    </row>
    <row r="125" spans="1:16" ht="18.75" customHeight="1">
      <c r="A125" s="221"/>
      <c r="B125" s="345"/>
      <c r="C125" s="345"/>
      <c r="D125" s="345"/>
      <c r="E125" s="324"/>
      <c r="F125" s="324"/>
      <c r="G125" s="347"/>
      <c r="H125" s="348"/>
      <c r="I125" s="328"/>
      <c r="J125" s="329"/>
      <c r="K125" s="330"/>
      <c r="L125" s="330"/>
      <c r="M125" s="330"/>
      <c r="N125" s="330"/>
      <c r="O125" s="330"/>
      <c r="P125" s="330"/>
    </row>
    <row r="126" spans="1:16" ht="18.75" customHeight="1">
      <c r="A126" s="221"/>
      <c r="B126" s="342"/>
      <c r="C126" s="342"/>
      <c r="D126" s="342"/>
      <c r="E126" s="331"/>
      <c r="F126" s="331"/>
      <c r="G126" s="325"/>
      <c r="H126" s="47"/>
      <c r="I126" s="63"/>
      <c r="J126" s="334"/>
      <c r="K126" s="330"/>
      <c r="L126" s="330"/>
      <c r="M126" s="330"/>
      <c r="N126" s="330"/>
      <c r="O126" s="330"/>
      <c r="P126" s="330"/>
    </row>
    <row r="127" spans="1:16" ht="18.75" customHeight="1">
      <c r="A127" s="221"/>
      <c r="B127" s="345"/>
      <c r="C127" s="345"/>
      <c r="D127" s="345"/>
      <c r="E127" s="324"/>
      <c r="F127" s="324"/>
      <c r="G127" s="347"/>
      <c r="H127" s="348"/>
      <c r="I127" s="328"/>
      <c r="J127" s="329"/>
      <c r="K127" s="330"/>
      <c r="L127" s="330"/>
      <c r="M127" s="330"/>
      <c r="N127" s="330"/>
      <c r="O127" s="330"/>
      <c r="P127" s="330"/>
    </row>
    <row r="128" spans="1:16" ht="18.75" customHeight="1">
      <c r="A128" s="221"/>
      <c r="B128" s="342"/>
      <c r="C128" s="342"/>
      <c r="D128" s="342"/>
      <c r="E128" s="342"/>
      <c r="F128" s="342"/>
      <c r="G128" s="325"/>
      <c r="H128" s="47"/>
      <c r="I128" s="63"/>
      <c r="J128" s="334"/>
      <c r="K128" s="330"/>
      <c r="L128" s="330"/>
      <c r="M128" s="330"/>
      <c r="N128" s="330"/>
      <c r="O128" s="330"/>
      <c r="P128" s="330"/>
    </row>
    <row r="129" spans="1:16" ht="18.75" customHeight="1">
      <c r="A129" s="221"/>
      <c r="B129" s="345"/>
      <c r="C129" s="345"/>
      <c r="D129" s="345"/>
      <c r="E129" s="345"/>
      <c r="F129" s="345"/>
      <c r="G129" s="347"/>
      <c r="H129" s="348"/>
      <c r="I129" s="328"/>
      <c r="J129" s="329"/>
      <c r="K129" s="330"/>
      <c r="L129" s="330"/>
      <c r="M129" s="330"/>
      <c r="N129" s="330"/>
      <c r="O129" s="330"/>
      <c r="P129" s="330"/>
    </row>
    <row r="130" spans="1:16" ht="18.75" customHeight="1">
      <c r="A130" s="221"/>
      <c r="B130" s="342"/>
      <c r="C130" s="342"/>
      <c r="D130" s="342"/>
      <c r="E130" s="342"/>
      <c r="F130" s="342"/>
      <c r="G130" s="325"/>
      <c r="H130" s="47"/>
      <c r="I130" s="63"/>
      <c r="J130" s="334"/>
      <c r="K130" s="330"/>
      <c r="L130" s="330"/>
      <c r="M130" s="330"/>
      <c r="N130" s="330"/>
      <c r="O130" s="330"/>
      <c r="P130" s="330"/>
    </row>
    <row r="131" spans="1:16" ht="18.75" customHeight="1">
      <c r="A131" s="221"/>
      <c r="B131" s="345"/>
      <c r="C131" s="345"/>
      <c r="D131" s="345"/>
      <c r="E131" s="345"/>
      <c r="F131" s="345"/>
      <c r="G131" s="347"/>
      <c r="H131" s="348"/>
      <c r="I131" s="328"/>
      <c r="J131" s="329"/>
      <c r="K131" s="330"/>
      <c r="L131" s="330"/>
      <c r="M131" s="330"/>
      <c r="N131" s="330"/>
      <c r="O131" s="330"/>
      <c r="P131" s="330"/>
    </row>
    <row r="132" spans="1:16" ht="18.75" customHeight="1">
      <c r="A132" s="221"/>
      <c r="B132" s="342"/>
      <c r="C132" s="342"/>
      <c r="D132" s="342"/>
      <c r="E132" s="342"/>
      <c r="F132" s="342"/>
      <c r="G132" s="325"/>
      <c r="H132" s="47"/>
      <c r="I132" s="63"/>
      <c r="J132" s="334"/>
      <c r="K132" s="330"/>
      <c r="L132" s="330"/>
      <c r="M132" s="330"/>
      <c r="N132" s="330"/>
      <c r="O132" s="330"/>
      <c r="P132" s="330"/>
    </row>
    <row r="133" spans="1:16" ht="18.75" customHeight="1">
      <c r="A133" s="221"/>
      <c r="B133" s="345"/>
      <c r="C133" s="345"/>
      <c r="D133" s="345"/>
      <c r="E133" s="345"/>
      <c r="F133" s="345"/>
      <c r="G133" s="347"/>
      <c r="H133" s="348"/>
      <c r="I133" s="328"/>
      <c r="J133" s="329"/>
      <c r="K133" s="330"/>
      <c r="L133" s="330"/>
      <c r="M133" s="330"/>
      <c r="N133" s="330"/>
      <c r="O133" s="330"/>
      <c r="P133" s="330"/>
    </row>
    <row r="134" spans="1:16" ht="18.75" customHeight="1">
      <c r="A134" s="221"/>
      <c r="B134" s="342"/>
      <c r="C134" s="342"/>
      <c r="D134" s="342"/>
      <c r="E134" s="342"/>
      <c r="F134" s="342"/>
      <c r="G134" s="325"/>
      <c r="H134" s="47"/>
      <c r="I134" s="63"/>
      <c r="J134" s="334"/>
      <c r="K134" s="330"/>
      <c r="L134" s="330"/>
      <c r="M134" s="330"/>
      <c r="N134" s="330"/>
      <c r="O134" s="330"/>
      <c r="P134" s="330"/>
    </row>
    <row r="135" spans="1:16" ht="18.75" customHeight="1">
      <c r="A135" s="221"/>
      <c r="B135" s="345"/>
      <c r="C135" s="345"/>
      <c r="D135" s="345"/>
      <c r="E135" s="345"/>
      <c r="F135" s="345"/>
      <c r="G135" s="347"/>
      <c r="H135" s="348"/>
      <c r="I135" s="328"/>
      <c r="J135" s="329"/>
      <c r="K135" s="330"/>
      <c r="L135" s="330"/>
      <c r="M135" s="330"/>
      <c r="N135" s="330"/>
      <c r="O135" s="330"/>
      <c r="P135" s="330"/>
    </row>
    <row r="136" spans="1:16" ht="18.75" customHeight="1">
      <c r="A136" s="221"/>
      <c r="B136" s="342"/>
      <c r="C136" s="342"/>
      <c r="D136" s="342"/>
      <c r="E136" s="342"/>
      <c r="F136" s="342"/>
      <c r="G136" s="325"/>
      <c r="H136" s="47"/>
      <c r="I136" s="63"/>
      <c r="J136" s="334"/>
      <c r="K136" s="330"/>
      <c r="L136" s="330"/>
      <c r="M136" s="330"/>
      <c r="N136" s="330"/>
      <c r="O136" s="330"/>
      <c r="P136" s="330"/>
    </row>
    <row r="137" spans="1:16" ht="18.75" customHeight="1">
      <c r="A137" s="221"/>
      <c r="B137" s="345"/>
      <c r="C137" s="345"/>
      <c r="D137" s="345"/>
      <c r="E137" s="345"/>
      <c r="F137" s="345"/>
      <c r="G137" s="347"/>
      <c r="H137" s="348"/>
      <c r="I137" s="328"/>
      <c r="J137" s="329"/>
      <c r="K137" s="330"/>
      <c r="L137" s="330"/>
      <c r="M137" s="330"/>
      <c r="N137" s="330"/>
      <c r="O137" s="330"/>
      <c r="P137" s="330"/>
    </row>
    <row r="138" spans="1:16" ht="18.75" customHeight="1">
      <c r="A138" s="221"/>
      <c r="B138" s="342"/>
      <c r="C138" s="342"/>
      <c r="D138" s="342"/>
      <c r="E138" s="342"/>
      <c r="F138" s="342"/>
      <c r="G138" s="325"/>
      <c r="H138" s="47"/>
      <c r="I138" s="63"/>
      <c r="J138" s="334"/>
      <c r="K138" s="330"/>
      <c r="L138" s="330"/>
      <c r="M138" s="330"/>
      <c r="N138" s="330"/>
      <c r="O138" s="330"/>
      <c r="P138" s="330"/>
    </row>
    <row r="139" spans="1:16" ht="18.75" customHeight="1">
      <c r="A139" s="221"/>
      <c r="B139" s="345"/>
      <c r="C139" s="345"/>
      <c r="D139" s="345"/>
      <c r="E139" s="345"/>
      <c r="F139" s="345"/>
      <c r="G139" s="347"/>
      <c r="H139" s="348"/>
      <c r="I139" s="328"/>
      <c r="J139" s="329"/>
      <c r="K139" s="330"/>
      <c r="L139" s="330"/>
      <c r="M139" s="330"/>
      <c r="N139" s="330"/>
      <c r="O139" s="330"/>
      <c r="P139" s="330"/>
    </row>
    <row r="140" spans="1:16" ht="18.75" customHeight="1">
      <c r="A140" s="221"/>
      <c r="B140" s="342"/>
      <c r="C140" s="342"/>
      <c r="D140" s="342"/>
      <c r="E140" s="342"/>
      <c r="F140" s="342"/>
      <c r="G140" s="325"/>
      <c r="H140" s="47"/>
      <c r="I140" s="63"/>
      <c r="J140" s="334"/>
      <c r="K140" s="330"/>
      <c r="L140" s="330"/>
      <c r="M140" s="330"/>
      <c r="N140" s="330"/>
      <c r="O140" s="330"/>
      <c r="P140" s="330"/>
    </row>
    <row r="141" spans="1:16" ht="18.75" customHeight="1">
      <c r="A141" s="221"/>
      <c r="B141" s="345"/>
      <c r="C141" s="345"/>
      <c r="D141" s="345"/>
      <c r="E141" s="345"/>
      <c r="F141" s="345"/>
      <c r="G141" s="347"/>
      <c r="H141" s="348"/>
      <c r="I141" s="328"/>
      <c r="J141" s="329"/>
      <c r="K141" s="330"/>
      <c r="L141" s="330"/>
      <c r="M141" s="330"/>
      <c r="N141" s="330"/>
      <c r="O141" s="330"/>
      <c r="P141" s="330"/>
    </row>
    <row r="142" spans="1:16" ht="18.75" customHeight="1">
      <c r="A142" s="221"/>
      <c r="B142" s="342"/>
      <c r="C142" s="344"/>
      <c r="D142" s="344"/>
      <c r="E142" s="342"/>
      <c r="F142" s="342"/>
      <c r="G142" s="344"/>
      <c r="H142" s="47"/>
      <c r="I142" s="63"/>
      <c r="J142" s="334"/>
      <c r="K142" s="330"/>
      <c r="L142" s="330"/>
      <c r="M142" s="330"/>
      <c r="N142" s="330"/>
      <c r="O142" s="330"/>
      <c r="P142" s="330"/>
    </row>
    <row r="143" spans="1:16" ht="18.75" customHeight="1">
      <c r="A143" s="221"/>
      <c r="B143" s="345"/>
      <c r="C143" s="349"/>
      <c r="D143" s="344"/>
      <c r="E143" s="345"/>
      <c r="F143" s="345"/>
      <c r="G143" s="344"/>
      <c r="H143" s="348"/>
      <c r="I143" s="328"/>
      <c r="J143" s="329"/>
      <c r="K143" s="330"/>
      <c r="L143" s="330"/>
      <c r="M143" s="330"/>
      <c r="N143" s="330"/>
      <c r="O143" s="330"/>
      <c r="P143" s="330"/>
    </row>
    <row r="144" spans="1:16" ht="18.75" customHeight="1">
      <c r="A144" s="221"/>
      <c r="B144" s="342"/>
      <c r="C144" s="344"/>
      <c r="D144" s="344"/>
      <c r="E144" s="342"/>
      <c r="F144" s="342"/>
      <c r="G144" s="344"/>
      <c r="H144" s="47"/>
      <c r="I144" s="63"/>
      <c r="J144" s="334"/>
      <c r="K144" s="330"/>
      <c r="L144" s="330"/>
      <c r="M144" s="330"/>
      <c r="N144" s="330"/>
      <c r="O144" s="330"/>
      <c r="P144" s="330"/>
    </row>
    <row r="145" spans="1:16" ht="18.75" customHeight="1">
      <c r="A145" s="221"/>
      <c r="B145" s="345"/>
      <c r="C145" s="349"/>
      <c r="D145" s="344"/>
      <c r="E145" s="345"/>
      <c r="F145" s="345"/>
      <c r="G145" s="347"/>
      <c r="H145" s="328"/>
      <c r="I145" s="328"/>
      <c r="J145" s="329"/>
      <c r="K145" s="330"/>
      <c r="L145" s="330"/>
      <c r="M145" s="330"/>
      <c r="N145" s="330"/>
      <c r="O145" s="330"/>
      <c r="P145" s="330"/>
    </row>
    <row r="146" spans="1:16" ht="18.75" customHeight="1">
      <c r="A146" s="221"/>
      <c r="B146" s="344"/>
      <c r="C146" s="344"/>
      <c r="D146" s="344"/>
      <c r="E146" s="342"/>
      <c r="F146" s="342"/>
      <c r="G146" s="325"/>
      <c r="H146" s="63"/>
      <c r="I146" s="63"/>
      <c r="J146" s="334"/>
      <c r="K146" s="330"/>
      <c r="L146" s="330"/>
      <c r="M146" s="330"/>
      <c r="N146" s="330"/>
      <c r="O146" s="330"/>
      <c r="P146" s="330"/>
    </row>
    <row r="147" spans="1:16" ht="18.75" customHeight="1">
      <c r="A147" s="221"/>
      <c r="B147" s="349"/>
      <c r="C147" s="349"/>
      <c r="D147" s="344"/>
      <c r="E147" s="345"/>
      <c r="F147" s="345"/>
      <c r="G147" s="347"/>
      <c r="H147" s="348"/>
      <c r="I147" s="328"/>
      <c r="J147" s="329"/>
      <c r="K147" s="330"/>
      <c r="L147" s="330"/>
      <c r="M147" s="330"/>
      <c r="N147" s="330"/>
      <c r="O147" s="330"/>
      <c r="P147" s="330"/>
    </row>
    <row r="148" spans="1:16" ht="18.75" customHeight="1">
      <c r="A148" s="221"/>
      <c r="B148" s="344"/>
      <c r="C148" s="344"/>
      <c r="D148" s="344"/>
      <c r="E148" s="342"/>
      <c r="F148" s="342"/>
      <c r="G148" s="344"/>
      <c r="H148" s="47"/>
      <c r="I148" s="63"/>
      <c r="J148" s="334"/>
      <c r="K148" s="330"/>
      <c r="L148" s="330"/>
      <c r="M148" s="330"/>
      <c r="N148" s="330"/>
      <c r="O148" s="330"/>
      <c r="P148" s="330"/>
    </row>
    <row r="149" spans="1:16" ht="18.75" customHeight="1">
      <c r="A149" s="221"/>
      <c r="B149" s="345"/>
      <c r="C149" s="349"/>
      <c r="D149" s="344"/>
      <c r="E149" s="345"/>
      <c r="F149" s="345"/>
      <c r="G149" s="344"/>
      <c r="H149" s="348"/>
      <c r="I149" s="328"/>
      <c r="J149" s="329"/>
      <c r="K149" s="330"/>
      <c r="L149" s="330"/>
      <c r="M149" s="330"/>
      <c r="N149" s="330"/>
      <c r="O149" s="330"/>
      <c r="P149" s="330"/>
    </row>
    <row r="150" spans="1:16" ht="18.75" customHeight="1">
      <c r="A150" s="221"/>
      <c r="B150" s="342"/>
      <c r="C150" s="344"/>
      <c r="D150" s="344"/>
      <c r="E150" s="342"/>
      <c r="F150" s="342"/>
      <c r="G150" s="325"/>
      <c r="H150" s="63"/>
      <c r="I150" s="63"/>
      <c r="J150" s="334"/>
      <c r="K150" s="330"/>
      <c r="L150" s="330"/>
      <c r="M150" s="330"/>
      <c r="N150" s="330"/>
      <c r="O150" s="330"/>
      <c r="P150" s="330"/>
    </row>
    <row r="151" spans="1:16" ht="18.75" customHeight="1">
      <c r="A151" s="221"/>
      <c r="B151" s="345"/>
      <c r="C151" s="349"/>
      <c r="D151" s="344"/>
      <c r="E151" s="345"/>
      <c r="F151" s="345"/>
      <c r="G151" s="347"/>
      <c r="H151" s="328"/>
      <c r="I151" s="328"/>
      <c r="J151" s="329"/>
      <c r="K151" s="330"/>
      <c r="L151" s="330"/>
      <c r="M151" s="330"/>
      <c r="N151" s="330"/>
      <c r="O151" s="330"/>
      <c r="P151" s="330"/>
    </row>
    <row r="152" spans="1:16" ht="18.75" customHeight="1">
      <c r="A152" s="221"/>
      <c r="B152" s="342"/>
      <c r="C152" s="344"/>
      <c r="D152" s="344"/>
      <c r="E152" s="342"/>
      <c r="F152" s="342"/>
      <c r="G152" s="325"/>
      <c r="H152" s="63"/>
      <c r="I152" s="63"/>
      <c r="J152" s="334"/>
      <c r="K152" s="330"/>
      <c r="L152" s="330"/>
      <c r="M152" s="330"/>
      <c r="N152" s="330"/>
      <c r="O152" s="330"/>
      <c r="P152" s="330"/>
    </row>
    <row r="153" spans="1:16" ht="18.75" customHeight="1">
      <c r="A153" s="221"/>
      <c r="B153" s="345"/>
      <c r="C153" s="349"/>
      <c r="D153" s="344"/>
      <c r="E153" s="345"/>
      <c r="F153" s="345"/>
      <c r="G153" s="347"/>
      <c r="H153" s="328"/>
      <c r="I153" s="328"/>
      <c r="J153" s="329"/>
      <c r="K153" s="330"/>
      <c r="L153" s="330"/>
      <c r="M153" s="330"/>
      <c r="N153" s="330"/>
      <c r="O153" s="330"/>
      <c r="P153" s="330"/>
    </row>
    <row r="154" spans="1:16" ht="18.75" customHeight="1">
      <c r="A154" s="221"/>
      <c r="B154" s="342"/>
      <c r="C154" s="344"/>
      <c r="D154" s="344"/>
      <c r="E154" s="342"/>
      <c r="F154" s="342"/>
      <c r="G154" s="325"/>
      <c r="H154" s="47"/>
      <c r="I154" s="63"/>
      <c r="J154" s="334"/>
      <c r="K154" s="330"/>
      <c r="L154" s="330"/>
      <c r="M154" s="330"/>
      <c r="N154" s="330"/>
      <c r="O154" s="330"/>
      <c r="P154" s="330"/>
    </row>
    <row r="155" spans="1:16" ht="18.75" customHeight="1">
      <c r="A155" s="221"/>
      <c r="B155" s="345"/>
      <c r="C155" s="349"/>
      <c r="D155" s="344"/>
      <c r="E155" s="345"/>
      <c r="F155" s="345"/>
      <c r="G155" s="347"/>
      <c r="H155" s="328"/>
      <c r="I155" s="328"/>
      <c r="J155" s="329"/>
      <c r="K155" s="330"/>
      <c r="L155" s="330"/>
      <c r="M155" s="330"/>
      <c r="N155" s="330"/>
      <c r="O155" s="330"/>
      <c r="P155" s="330"/>
    </row>
    <row r="156" spans="1:16" ht="18.75" customHeight="1">
      <c r="A156" s="221"/>
      <c r="B156" s="342"/>
      <c r="C156" s="344"/>
      <c r="D156" s="344"/>
      <c r="E156" s="342"/>
      <c r="F156" s="342"/>
      <c r="G156" s="325"/>
      <c r="H156" s="63"/>
      <c r="I156" s="63"/>
      <c r="J156" s="334"/>
      <c r="K156" s="330"/>
      <c r="L156" s="330"/>
      <c r="M156" s="330"/>
      <c r="N156" s="330"/>
      <c r="O156" s="330"/>
      <c r="P156" s="330"/>
    </row>
    <row r="157" spans="1:16" ht="18.75" customHeight="1">
      <c r="A157" s="221"/>
      <c r="B157" s="345"/>
      <c r="C157" s="349"/>
      <c r="D157" s="344"/>
      <c r="E157" s="345"/>
      <c r="F157" s="345"/>
      <c r="G157" s="347"/>
      <c r="H157" s="328"/>
      <c r="I157" s="328"/>
      <c r="J157" s="329"/>
      <c r="K157" s="330"/>
      <c r="L157" s="330"/>
      <c r="M157" s="330"/>
      <c r="N157" s="330"/>
      <c r="O157" s="330"/>
      <c r="P157" s="330"/>
    </row>
    <row r="158" spans="1:16" ht="18.75" customHeight="1">
      <c r="A158" s="221"/>
      <c r="B158" s="342"/>
      <c r="C158" s="344"/>
      <c r="D158" s="344"/>
      <c r="E158" s="342"/>
      <c r="F158" s="342"/>
      <c r="G158" s="325"/>
      <c r="H158" s="47"/>
      <c r="I158" s="63"/>
      <c r="J158" s="334"/>
      <c r="K158" s="330"/>
      <c r="L158" s="330"/>
      <c r="M158" s="330"/>
      <c r="N158" s="330"/>
      <c r="O158" s="330"/>
      <c r="P158" s="330"/>
    </row>
    <row r="159" spans="1:16" ht="18.75" customHeight="1">
      <c r="A159" s="221"/>
      <c r="B159" s="345"/>
      <c r="C159" s="349"/>
      <c r="D159" s="344"/>
      <c r="E159" s="345"/>
      <c r="F159" s="345"/>
      <c r="G159" s="347"/>
      <c r="H159" s="328"/>
      <c r="I159" s="328"/>
      <c r="J159" s="329"/>
      <c r="K159" s="330"/>
      <c r="L159" s="330"/>
      <c r="M159" s="330"/>
      <c r="N159" s="330"/>
      <c r="O159" s="330"/>
      <c r="P159" s="330"/>
    </row>
    <row r="160" spans="1:16" ht="18.75" customHeight="1">
      <c r="A160" s="221"/>
      <c r="B160" s="342"/>
      <c r="C160" s="344"/>
      <c r="D160" s="344"/>
      <c r="E160" s="342"/>
      <c r="F160" s="342"/>
      <c r="G160" s="325"/>
      <c r="H160" s="47"/>
      <c r="I160" s="63"/>
      <c r="J160" s="334"/>
      <c r="K160" s="330"/>
      <c r="L160" s="330"/>
      <c r="M160" s="330"/>
      <c r="N160" s="330"/>
      <c r="O160" s="330"/>
      <c r="P160" s="330"/>
    </row>
    <row r="161" spans="1:16" ht="18.75" customHeight="1">
      <c r="A161" s="221"/>
      <c r="B161" s="345"/>
      <c r="C161" s="345"/>
      <c r="D161" s="344"/>
      <c r="E161" s="345"/>
      <c r="F161" s="345"/>
      <c r="G161" s="344"/>
      <c r="H161" s="328"/>
      <c r="I161" s="328"/>
      <c r="J161" s="329"/>
      <c r="K161" s="330"/>
      <c r="L161" s="330"/>
      <c r="M161" s="330"/>
      <c r="N161" s="330"/>
      <c r="O161" s="330"/>
      <c r="P161" s="330"/>
    </row>
    <row r="162" spans="1:16" ht="18.75" customHeight="1">
      <c r="A162" s="221"/>
      <c r="B162" s="342"/>
      <c r="C162" s="342"/>
      <c r="D162" s="344"/>
      <c r="E162" s="342"/>
      <c r="F162" s="342"/>
      <c r="G162" s="344"/>
      <c r="H162" s="47"/>
      <c r="I162" s="63"/>
      <c r="J162" s="334"/>
      <c r="K162" s="330"/>
      <c r="L162" s="330"/>
      <c r="M162" s="330"/>
      <c r="N162" s="330"/>
      <c r="O162" s="330"/>
      <c r="P162" s="330"/>
    </row>
    <row r="163" spans="1:16" ht="18.75" customHeight="1">
      <c r="A163" s="221"/>
      <c r="B163" s="349"/>
      <c r="C163" s="349"/>
      <c r="D163" s="344"/>
      <c r="E163" s="345"/>
      <c r="F163" s="345"/>
      <c r="G163" s="347"/>
      <c r="H163" s="328"/>
      <c r="I163" s="328"/>
      <c r="J163" s="329"/>
      <c r="K163" s="330"/>
      <c r="L163" s="330"/>
      <c r="M163" s="330"/>
      <c r="N163" s="330"/>
      <c r="O163" s="330"/>
      <c r="P163" s="330"/>
    </row>
    <row r="164" spans="1:16" ht="18.75" customHeight="1">
      <c r="A164" s="221"/>
      <c r="B164" s="344"/>
      <c r="C164" s="344"/>
      <c r="D164" s="344"/>
      <c r="E164" s="342"/>
      <c r="F164" s="342"/>
      <c r="G164" s="325"/>
      <c r="H164" s="63"/>
      <c r="I164" s="63"/>
      <c r="J164" s="334"/>
      <c r="K164" s="330"/>
      <c r="L164" s="330"/>
      <c r="M164" s="330"/>
      <c r="N164" s="330"/>
      <c r="O164" s="330"/>
      <c r="P164" s="330"/>
    </row>
    <row r="165" spans="1:16" ht="18.75" customHeight="1">
      <c r="A165" s="221"/>
      <c r="B165" s="350"/>
      <c r="C165" s="351"/>
      <c r="D165" s="339"/>
      <c r="E165" s="339"/>
      <c r="F165" s="339"/>
      <c r="G165" s="351"/>
      <c r="H165" s="340"/>
      <c r="I165" s="328"/>
      <c r="J165" s="329"/>
      <c r="K165" s="330"/>
      <c r="L165" s="330"/>
      <c r="M165" s="330"/>
      <c r="N165" s="330"/>
      <c r="O165" s="330"/>
      <c r="P165" s="330"/>
    </row>
    <row r="166" spans="1:16" ht="18.75" customHeight="1">
      <c r="A166" s="221"/>
      <c r="B166" s="351"/>
      <c r="C166" s="351"/>
      <c r="D166" s="341"/>
      <c r="E166" s="341"/>
      <c r="F166" s="341"/>
      <c r="G166" s="351"/>
      <c r="H166" s="340"/>
      <c r="I166" s="63"/>
      <c r="J166" s="334"/>
      <c r="K166" s="330"/>
      <c r="L166" s="330"/>
      <c r="M166" s="330"/>
      <c r="N166" s="330"/>
      <c r="O166" s="330"/>
      <c r="P166" s="330"/>
    </row>
    <row r="167" spans="1:16" ht="18.75" customHeight="1">
      <c r="A167" s="221"/>
      <c r="B167" s="350"/>
      <c r="C167" s="351"/>
      <c r="D167" s="339"/>
      <c r="E167" s="339"/>
      <c r="F167" s="339"/>
      <c r="G167" s="351"/>
      <c r="H167" s="340"/>
      <c r="I167" s="328"/>
      <c r="J167" s="329"/>
      <c r="K167" s="330"/>
      <c r="L167" s="330"/>
      <c r="M167" s="330"/>
      <c r="N167" s="330"/>
      <c r="O167" s="330"/>
      <c r="P167" s="330"/>
    </row>
    <row r="168" spans="1:16" ht="18.75" customHeight="1">
      <c r="A168" s="221"/>
      <c r="B168" s="351"/>
      <c r="C168" s="351"/>
      <c r="D168" s="341"/>
      <c r="E168" s="341"/>
      <c r="F168" s="341"/>
      <c r="G168" s="351"/>
      <c r="H168" s="340"/>
      <c r="I168" s="63"/>
      <c r="J168" s="334"/>
      <c r="K168" s="330"/>
      <c r="L168" s="330"/>
      <c r="M168" s="330"/>
      <c r="N168" s="330"/>
      <c r="O168" s="330"/>
      <c r="P168" s="330"/>
    </row>
    <row r="169" spans="1:16" ht="18.75" customHeight="1">
      <c r="A169" s="221"/>
      <c r="B169" s="350"/>
      <c r="C169" s="351"/>
      <c r="D169" s="339"/>
      <c r="E169" s="339"/>
      <c r="F169" s="339"/>
      <c r="G169" s="351"/>
      <c r="H169" s="340"/>
      <c r="I169" s="328"/>
      <c r="J169" s="329"/>
      <c r="K169" s="330"/>
      <c r="L169" s="330"/>
      <c r="M169" s="330"/>
      <c r="N169" s="330"/>
      <c r="O169" s="330"/>
      <c r="P169" s="330"/>
    </row>
    <row r="170" spans="1:16" ht="18.75" customHeight="1">
      <c r="A170" s="221"/>
      <c r="B170" s="351"/>
      <c r="C170" s="351"/>
      <c r="D170" s="341"/>
      <c r="E170" s="341"/>
      <c r="F170" s="341"/>
      <c r="G170" s="351"/>
      <c r="H170" s="340"/>
      <c r="I170" s="63"/>
      <c r="J170" s="334"/>
      <c r="K170" s="330"/>
      <c r="L170" s="330"/>
      <c r="M170" s="330"/>
      <c r="N170" s="330"/>
      <c r="O170" s="330"/>
      <c r="P170" s="330"/>
    </row>
    <row r="171" spans="1:16" ht="18.75" customHeight="1">
      <c r="A171" s="221"/>
      <c r="B171" s="350"/>
      <c r="C171" s="351"/>
      <c r="D171" s="339"/>
      <c r="E171" s="339"/>
      <c r="F171" s="339"/>
      <c r="G171" s="351"/>
      <c r="H171" s="340"/>
      <c r="I171" s="328"/>
      <c r="J171" s="329"/>
      <c r="K171" s="330"/>
      <c r="L171" s="330"/>
      <c r="M171" s="330"/>
      <c r="N171" s="330"/>
      <c r="O171" s="330"/>
      <c r="P171" s="330"/>
    </row>
    <row r="172" spans="1:16" ht="18.75" customHeight="1">
      <c r="A172" s="221"/>
      <c r="B172" s="351"/>
      <c r="C172" s="351"/>
      <c r="D172" s="341"/>
      <c r="E172" s="341"/>
      <c r="F172" s="341"/>
      <c r="G172" s="351"/>
      <c r="H172" s="340"/>
      <c r="I172" s="63"/>
      <c r="J172" s="334"/>
      <c r="K172" s="330"/>
      <c r="L172" s="330"/>
      <c r="M172" s="330"/>
      <c r="N172" s="330"/>
      <c r="O172" s="330"/>
      <c r="P172" s="330"/>
    </row>
    <row r="173" spans="1:16" ht="18.75" customHeight="1">
      <c r="A173" s="221"/>
      <c r="B173" s="350"/>
      <c r="C173" s="351"/>
      <c r="D173" s="339"/>
      <c r="E173" s="339"/>
      <c r="F173" s="339"/>
      <c r="G173" s="351"/>
      <c r="H173" s="340"/>
      <c r="I173" s="328"/>
      <c r="J173" s="329"/>
      <c r="K173" s="330"/>
      <c r="L173" s="330"/>
      <c r="M173" s="330"/>
      <c r="N173" s="330"/>
      <c r="O173" s="330"/>
      <c r="P173" s="330"/>
    </row>
    <row r="174" spans="1:16" ht="18.75" customHeight="1">
      <c r="A174" s="221"/>
      <c r="B174" s="351"/>
      <c r="C174" s="351"/>
      <c r="D174" s="341"/>
      <c r="E174" s="341"/>
      <c r="F174" s="341"/>
      <c r="G174" s="351"/>
      <c r="H174" s="340"/>
      <c r="I174" s="63"/>
      <c r="J174" s="334"/>
      <c r="K174" s="330"/>
      <c r="L174" s="330"/>
      <c r="M174" s="330"/>
      <c r="N174" s="330"/>
      <c r="O174" s="330"/>
      <c r="P174" s="330"/>
    </row>
    <row r="175" spans="1:16" ht="18.75" customHeight="1">
      <c r="A175" s="221"/>
      <c r="B175" s="350"/>
      <c r="C175" s="351"/>
      <c r="D175" s="339"/>
      <c r="E175" s="339"/>
      <c r="F175" s="339"/>
      <c r="G175" s="351"/>
      <c r="H175" s="340"/>
      <c r="I175" s="328"/>
      <c r="J175" s="329"/>
      <c r="K175" s="330"/>
      <c r="L175" s="330"/>
      <c r="M175" s="330"/>
      <c r="N175" s="330"/>
      <c r="O175" s="330"/>
      <c r="P175" s="330"/>
    </row>
    <row r="176" spans="1:16" ht="18.75" customHeight="1">
      <c r="A176" s="221"/>
      <c r="B176" s="351"/>
      <c r="C176" s="351"/>
      <c r="D176" s="341"/>
      <c r="E176" s="341"/>
      <c r="F176" s="341"/>
      <c r="G176" s="351"/>
      <c r="H176" s="340"/>
      <c r="I176" s="63"/>
      <c r="J176" s="334"/>
      <c r="K176" s="330"/>
      <c r="L176" s="330"/>
      <c r="M176" s="330"/>
      <c r="N176" s="330"/>
      <c r="O176" s="330"/>
      <c r="P176" s="330"/>
    </row>
    <row r="177" spans="1:16" ht="18.75" customHeight="1">
      <c r="A177" s="221"/>
      <c r="B177" s="350"/>
      <c r="C177" s="351"/>
      <c r="D177" s="339"/>
      <c r="E177" s="339"/>
      <c r="F177" s="339"/>
      <c r="G177" s="351"/>
      <c r="H177" s="340"/>
      <c r="I177" s="328"/>
      <c r="J177" s="329"/>
      <c r="K177" s="330"/>
      <c r="L177" s="330"/>
      <c r="M177" s="330"/>
      <c r="N177" s="330"/>
      <c r="O177" s="330"/>
      <c r="P177" s="330"/>
    </row>
    <row r="178" spans="1:16" ht="18.75" customHeight="1">
      <c r="A178" s="221"/>
      <c r="B178" s="351"/>
      <c r="C178" s="351"/>
      <c r="D178" s="341"/>
      <c r="E178" s="341"/>
      <c r="F178" s="341"/>
      <c r="G178" s="351"/>
      <c r="H178" s="340"/>
      <c r="I178" s="63"/>
      <c r="J178" s="334"/>
      <c r="K178" s="330"/>
      <c r="L178" s="330"/>
      <c r="M178" s="330"/>
      <c r="N178" s="330"/>
      <c r="O178" s="330"/>
      <c r="P178" s="330"/>
    </row>
    <row r="179" spans="1:16" ht="18.75" customHeight="1">
      <c r="A179" s="221"/>
      <c r="B179" s="350"/>
      <c r="C179" s="351"/>
      <c r="D179" s="339"/>
      <c r="E179" s="339"/>
      <c r="F179" s="339"/>
      <c r="G179" s="351"/>
      <c r="H179" s="340"/>
      <c r="I179" s="328"/>
      <c r="J179" s="329"/>
      <c r="K179" s="330"/>
      <c r="L179" s="330"/>
      <c r="M179" s="330"/>
      <c r="N179" s="330"/>
      <c r="O179" s="330"/>
      <c r="P179" s="330"/>
    </row>
    <row r="180" spans="1:16" ht="18.75" customHeight="1">
      <c r="A180" s="221"/>
      <c r="B180" s="351"/>
      <c r="C180" s="351"/>
      <c r="D180" s="341"/>
      <c r="E180" s="341"/>
      <c r="F180" s="341"/>
      <c r="G180" s="351"/>
      <c r="H180" s="340"/>
      <c r="I180" s="63"/>
      <c r="J180" s="334"/>
      <c r="K180" s="330"/>
      <c r="L180" s="330"/>
      <c r="M180" s="330"/>
      <c r="N180" s="330"/>
      <c r="O180" s="330"/>
      <c r="P180" s="330"/>
    </row>
    <row r="181" spans="1:16" ht="18.75" customHeight="1">
      <c r="A181" s="221"/>
      <c r="B181" s="350"/>
      <c r="C181" s="351"/>
      <c r="D181" s="339"/>
      <c r="E181" s="339"/>
      <c r="F181" s="339"/>
      <c r="G181" s="351"/>
      <c r="H181" s="340"/>
      <c r="I181" s="328"/>
      <c r="J181" s="329"/>
      <c r="K181" s="330"/>
      <c r="L181" s="330"/>
      <c r="M181" s="330"/>
      <c r="N181" s="330"/>
      <c r="O181" s="330"/>
      <c r="P181" s="330"/>
    </row>
    <row r="182" spans="1:16" ht="18.75" customHeight="1">
      <c r="A182" s="221"/>
      <c r="B182" s="351"/>
      <c r="C182" s="351"/>
      <c r="D182" s="341"/>
      <c r="E182" s="341"/>
      <c r="F182" s="341"/>
      <c r="G182" s="351"/>
      <c r="H182" s="340"/>
      <c r="I182" s="63"/>
      <c r="J182" s="334"/>
      <c r="K182" s="330"/>
      <c r="L182" s="330"/>
      <c r="M182" s="330"/>
      <c r="N182" s="330"/>
      <c r="O182" s="330"/>
      <c r="P182" s="330"/>
    </row>
    <row r="183" spans="1:16" ht="18.75" customHeight="1">
      <c r="A183" s="221"/>
      <c r="B183" s="350"/>
      <c r="C183" s="351"/>
      <c r="D183" s="339"/>
      <c r="E183" s="339"/>
      <c r="F183" s="339"/>
      <c r="G183" s="351"/>
      <c r="H183" s="340"/>
      <c r="I183" s="328"/>
      <c r="J183" s="329"/>
      <c r="K183" s="330"/>
      <c r="L183" s="330"/>
      <c r="M183" s="330"/>
      <c r="N183" s="330"/>
      <c r="O183" s="330"/>
      <c r="P183" s="330"/>
    </row>
    <row r="184" spans="1:16" ht="18.75" customHeight="1">
      <c r="A184" s="221"/>
      <c r="B184" s="351"/>
      <c r="C184" s="351"/>
      <c r="D184" s="341"/>
      <c r="E184" s="341"/>
      <c r="F184" s="341"/>
      <c r="G184" s="351"/>
      <c r="H184" s="340"/>
      <c r="I184" s="63"/>
      <c r="J184" s="334"/>
      <c r="K184" s="330"/>
      <c r="L184" s="330"/>
      <c r="M184" s="330"/>
      <c r="N184" s="330"/>
      <c r="O184" s="330"/>
      <c r="P184" s="330"/>
    </row>
    <row r="185" spans="1:16" ht="18.75" customHeight="1">
      <c r="A185" s="221"/>
      <c r="B185" s="350"/>
      <c r="C185" s="351"/>
      <c r="D185" s="339"/>
      <c r="E185" s="339"/>
      <c r="F185" s="339"/>
      <c r="G185" s="351"/>
      <c r="H185" s="340"/>
      <c r="I185" s="328"/>
      <c r="J185" s="329"/>
      <c r="K185" s="330"/>
      <c r="L185" s="330"/>
      <c r="M185" s="330"/>
      <c r="N185" s="330"/>
      <c r="O185" s="330"/>
      <c r="P185" s="330"/>
    </row>
    <row r="186" spans="1:16" ht="18.75" customHeight="1">
      <c r="A186" s="221"/>
      <c r="B186" s="351"/>
      <c r="C186" s="351"/>
      <c r="D186" s="341"/>
      <c r="E186" s="341"/>
      <c r="F186" s="341"/>
      <c r="G186" s="351"/>
      <c r="H186" s="340"/>
      <c r="I186" s="63"/>
      <c r="J186" s="334"/>
      <c r="K186" s="330"/>
      <c r="L186" s="330"/>
      <c r="M186" s="330"/>
      <c r="N186" s="330"/>
      <c r="O186" s="330"/>
      <c r="P186" s="330"/>
    </row>
    <row r="187" spans="1:16" ht="18.75" customHeight="1">
      <c r="A187" s="221"/>
      <c r="B187" s="350"/>
      <c r="C187" s="351"/>
      <c r="D187" s="339"/>
      <c r="E187" s="339"/>
      <c r="F187" s="339"/>
      <c r="G187" s="351"/>
      <c r="H187" s="340"/>
      <c r="I187" s="328"/>
      <c r="J187" s="329"/>
      <c r="K187" s="330"/>
      <c r="L187" s="330"/>
      <c r="M187" s="330"/>
      <c r="N187" s="330"/>
      <c r="O187" s="330"/>
      <c r="P187" s="330"/>
    </row>
    <row r="188" spans="1:16" ht="18.75" customHeight="1">
      <c r="A188" s="221"/>
      <c r="B188" s="351"/>
      <c r="C188" s="351"/>
      <c r="D188" s="341"/>
      <c r="E188" s="341"/>
      <c r="F188" s="341"/>
      <c r="G188" s="351"/>
      <c r="H188" s="340"/>
      <c r="I188" s="63"/>
      <c r="J188" s="334"/>
      <c r="K188" s="330"/>
      <c r="L188" s="330"/>
      <c r="M188" s="330"/>
      <c r="N188" s="330"/>
      <c r="O188" s="330"/>
      <c r="P188" s="330"/>
    </row>
    <row r="189" spans="1:16" ht="18.75" customHeight="1">
      <c r="A189" s="221"/>
      <c r="B189" s="350"/>
      <c r="C189" s="351"/>
      <c r="D189" s="339"/>
      <c r="E189" s="339"/>
      <c r="F189" s="339"/>
      <c r="G189" s="351"/>
      <c r="H189" s="340"/>
      <c r="I189" s="328"/>
      <c r="J189" s="329"/>
      <c r="K189" s="330"/>
      <c r="L189" s="330"/>
      <c r="M189" s="330"/>
      <c r="N189" s="330"/>
      <c r="O189" s="330"/>
      <c r="P189" s="330"/>
    </row>
    <row r="190" spans="1:16" ht="18.75" customHeight="1">
      <c r="A190" s="221"/>
      <c r="B190" s="351"/>
      <c r="C190" s="351"/>
      <c r="D190" s="341"/>
      <c r="E190" s="341"/>
      <c r="F190" s="341"/>
      <c r="G190" s="351"/>
      <c r="H190" s="340"/>
      <c r="I190" s="63"/>
      <c r="J190" s="334"/>
      <c r="K190" s="330"/>
      <c r="L190" s="330"/>
      <c r="M190" s="330"/>
      <c r="N190" s="330"/>
      <c r="O190" s="330"/>
      <c r="P190" s="330"/>
    </row>
    <row r="191" spans="1:16" ht="18.75" customHeight="1">
      <c r="A191" s="221"/>
      <c r="B191" s="350"/>
      <c r="C191" s="351"/>
      <c r="D191" s="339"/>
      <c r="E191" s="339"/>
      <c r="F191" s="339"/>
      <c r="G191" s="351"/>
      <c r="H191" s="340"/>
      <c r="I191" s="328"/>
      <c r="J191" s="329"/>
      <c r="K191" s="330"/>
      <c r="L191" s="330"/>
      <c r="M191" s="330"/>
      <c r="N191" s="330"/>
      <c r="O191" s="330"/>
      <c r="P191" s="330"/>
    </row>
    <row r="192" spans="1:16" ht="18.75" customHeight="1">
      <c r="A192" s="221"/>
      <c r="B192" s="351"/>
      <c r="C192" s="351"/>
      <c r="D192" s="341"/>
      <c r="E192" s="341"/>
      <c r="F192" s="341"/>
      <c r="G192" s="351"/>
      <c r="H192" s="340"/>
      <c r="I192" s="63"/>
      <c r="J192" s="334"/>
      <c r="K192" s="330"/>
      <c r="L192" s="330"/>
      <c r="M192" s="330"/>
      <c r="N192" s="330"/>
      <c r="O192" s="330"/>
      <c r="P192" s="330"/>
    </row>
    <row r="193" spans="1:16" ht="18.75" customHeight="1">
      <c r="A193" s="221"/>
      <c r="B193" s="350"/>
      <c r="C193" s="351"/>
      <c r="D193" s="339"/>
      <c r="E193" s="339"/>
      <c r="F193" s="339"/>
      <c r="G193" s="351"/>
      <c r="H193" s="340"/>
      <c r="I193" s="328"/>
      <c r="J193" s="329"/>
      <c r="K193" s="330"/>
      <c r="L193" s="330"/>
      <c r="M193" s="330"/>
      <c r="N193" s="330"/>
      <c r="O193" s="330"/>
      <c r="P193" s="330"/>
    </row>
    <row r="194" spans="1:16" ht="18.75" customHeight="1">
      <c r="A194" s="221"/>
      <c r="B194" s="351"/>
      <c r="C194" s="351"/>
      <c r="D194" s="341"/>
      <c r="E194" s="341"/>
      <c r="F194" s="341"/>
      <c r="G194" s="351"/>
      <c r="H194" s="340"/>
      <c r="I194" s="63"/>
      <c r="J194" s="334"/>
      <c r="K194" s="330"/>
      <c r="L194" s="330"/>
      <c r="M194" s="330"/>
      <c r="N194" s="330"/>
      <c r="O194" s="330"/>
      <c r="P194" s="330"/>
    </row>
    <row r="195" spans="1:16" ht="18.75" customHeight="1">
      <c r="A195" s="221"/>
      <c r="B195" s="350"/>
      <c r="C195" s="351"/>
      <c r="D195" s="339"/>
      <c r="E195" s="339"/>
      <c r="F195" s="339"/>
      <c r="G195" s="351"/>
      <c r="H195" s="340"/>
      <c r="I195" s="328"/>
      <c r="J195" s="329"/>
      <c r="K195" s="330"/>
      <c r="L195" s="330"/>
      <c r="M195" s="330"/>
      <c r="N195" s="330"/>
      <c r="O195" s="330"/>
      <c r="P195" s="330"/>
    </row>
    <row r="196" spans="1:16" ht="18.75" customHeight="1">
      <c r="A196" s="221"/>
      <c r="B196" s="351"/>
      <c r="C196" s="351"/>
      <c r="D196" s="341"/>
      <c r="E196" s="341"/>
      <c r="F196" s="341"/>
      <c r="G196" s="351"/>
      <c r="H196" s="340"/>
      <c r="I196" s="63"/>
      <c r="J196" s="334"/>
      <c r="K196" s="330"/>
      <c r="L196" s="330"/>
      <c r="M196" s="330"/>
      <c r="N196" s="330"/>
      <c r="O196" s="330"/>
      <c r="P196" s="330"/>
    </row>
    <row r="197" spans="1:16" ht="18.75" customHeight="1">
      <c r="A197" s="221"/>
      <c r="B197" s="350"/>
      <c r="C197" s="351"/>
      <c r="D197" s="339"/>
      <c r="E197" s="339"/>
      <c r="F197" s="339"/>
      <c r="G197" s="351"/>
      <c r="H197" s="340"/>
      <c r="I197" s="328"/>
      <c r="J197" s="329"/>
      <c r="K197" s="330"/>
      <c r="L197" s="330"/>
      <c r="M197" s="330"/>
      <c r="N197" s="330"/>
      <c r="O197" s="330"/>
      <c r="P197" s="330"/>
    </row>
    <row r="198" spans="1:16" ht="18.75" customHeight="1">
      <c r="A198" s="221"/>
      <c r="B198" s="351"/>
      <c r="C198" s="351"/>
      <c r="D198" s="341"/>
      <c r="E198" s="341"/>
      <c r="F198" s="341"/>
      <c r="G198" s="351"/>
      <c r="H198" s="340"/>
      <c r="I198" s="63"/>
      <c r="J198" s="334"/>
      <c r="K198" s="330"/>
      <c r="L198" s="330"/>
      <c r="M198" s="330"/>
      <c r="N198" s="330"/>
      <c r="O198" s="330"/>
      <c r="P198" s="330"/>
    </row>
    <row r="199" spans="1:16" ht="18.75" customHeight="1">
      <c r="A199" s="221"/>
      <c r="B199" s="350"/>
      <c r="C199" s="351"/>
      <c r="D199" s="339"/>
      <c r="E199" s="339"/>
      <c r="F199" s="339"/>
      <c r="G199" s="351"/>
      <c r="H199" s="340"/>
      <c r="I199" s="328"/>
      <c r="J199" s="329"/>
      <c r="K199" s="330"/>
      <c r="L199" s="330"/>
      <c r="M199" s="330"/>
      <c r="N199" s="330"/>
      <c r="O199" s="330"/>
      <c r="P199" s="330"/>
    </row>
    <row r="200" spans="1:16" ht="18.75" customHeight="1">
      <c r="A200" s="221"/>
      <c r="B200" s="351"/>
      <c r="C200" s="351"/>
      <c r="D200" s="341"/>
      <c r="E200" s="341"/>
      <c r="F200" s="341"/>
      <c r="G200" s="351"/>
      <c r="H200" s="340"/>
      <c r="I200" s="63"/>
      <c r="J200" s="334"/>
      <c r="K200" s="330"/>
      <c r="L200" s="330"/>
      <c r="M200" s="330"/>
      <c r="N200" s="330"/>
      <c r="O200" s="330"/>
      <c r="P200" s="330"/>
    </row>
    <row r="201" spans="1:16" ht="18.75" customHeight="1">
      <c r="A201" s="221"/>
      <c r="B201" s="350"/>
      <c r="C201" s="351"/>
      <c r="D201" s="339"/>
      <c r="E201" s="339"/>
      <c r="F201" s="339"/>
      <c r="G201" s="351"/>
      <c r="H201" s="340"/>
      <c r="I201" s="328"/>
      <c r="J201" s="329"/>
      <c r="K201" s="330"/>
      <c r="L201" s="330"/>
      <c r="M201" s="330"/>
      <c r="N201" s="330"/>
      <c r="O201" s="330"/>
      <c r="P201" s="330"/>
    </row>
    <row r="202" spans="1:16" ht="18.75" customHeight="1">
      <c r="A202" s="221"/>
      <c r="B202" s="351"/>
      <c r="C202" s="351"/>
      <c r="D202" s="341"/>
      <c r="E202" s="341"/>
      <c r="F202" s="341"/>
      <c r="G202" s="351"/>
      <c r="H202" s="340"/>
      <c r="I202" s="63"/>
      <c r="J202" s="334"/>
      <c r="K202" s="330"/>
      <c r="L202" s="330"/>
      <c r="M202" s="330"/>
      <c r="N202" s="330"/>
      <c r="O202" s="330"/>
      <c r="P202" s="330"/>
    </row>
    <row r="203" spans="1:16" ht="18.75" customHeight="1">
      <c r="A203" s="221"/>
      <c r="B203" s="350"/>
      <c r="C203" s="351"/>
      <c r="D203" s="339"/>
      <c r="E203" s="339"/>
      <c r="F203" s="339"/>
      <c r="G203" s="351"/>
      <c r="H203" s="340"/>
      <c r="I203" s="328"/>
      <c r="J203" s="329"/>
      <c r="K203" s="330"/>
      <c r="L203" s="330"/>
      <c r="M203" s="330"/>
      <c r="N203" s="330"/>
      <c r="O203" s="330"/>
      <c r="P203" s="330"/>
    </row>
    <row r="204" spans="1:16" ht="18.75" customHeight="1">
      <c r="A204" s="221"/>
      <c r="B204" s="351"/>
      <c r="C204" s="351"/>
      <c r="D204" s="341"/>
      <c r="E204" s="341"/>
      <c r="F204" s="341"/>
      <c r="G204" s="351"/>
      <c r="H204" s="340"/>
      <c r="I204" s="63"/>
      <c r="J204" s="334"/>
      <c r="K204" s="330"/>
      <c r="L204" s="330"/>
      <c r="M204" s="330"/>
      <c r="N204" s="330"/>
      <c r="O204" s="330"/>
      <c r="P204" s="330"/>
    </row>
    <row r="205" spans="1:16" ht="18.75" customHeight="1">
      <c r="A205" s="221"/>
      <c r="B205" s="350"/>
      <c r="C205" s="351"/>
      <c r="D205" s="339"/>
      <c r="E205" s="339"/>
      <c r="F205" s="339"/>
      <c r="G205" s="351"/>
      <c r="H205" s="340"/>
      <c r="I205" s="328"/>
      <c r="J205" s="329"/>
      <c r="K205" s="330"/>
      <c r="L205" s="330"/>
      <c r="M205" s="330"/>
      <c r="N205" s="330"/>
      <c r="O205" s="330"/>
      <c r="P205" s="330"/>
    </row>
    <row r="206" spans="1:16" ht="18.75" customHeight="1">
      <c r="A206" s="221"/>
      <c r="B206" s="351"/>
      <c r="C206" s="351"/>
      <c r="D206" s="341"/>
      <c r="E206" s="341"/>
      <c r="F206" s="341"/>
      <c r="G206" s="351"/>
      <c r="H206" s="340"/>
      <c r="I206" s="63"/>
      <c r="J206" s="334"/>
      <c r="K206" s="330"/>
      <c r="L206" s="330"/>
      <c r="M206" s="330"/>
      <c r="N206" s="330"/>
      <c r="O206" s="330"/>
      <c r="P206" s="330"/>
    </row>
    <row r="207" spans="1:16" ht="18.75" customHeight="1">
      <c r="A207" s="221"/>
      <c r="B207" s="350"/>
      <c r="C207" s="351"/>
      <c r="D207" s="339"/>
      <c r="E207" s="339"/>
      <c r="F207" s="339"/>
      <c r="G207" s="351"/>
      <c r="H207" s="340"/>
      <c r="I207" s="328"/>
      <c r="J207" s="329"/>
      <c r="K207" s="330"/>
      <c r="L207" s="330"/>
      <c r="M207" s="330"/>
      <c r="N207" s="330"/>
      <c r="O207" s="330"/>
      <c r="P207" s="330"/>
    </row>
    <row r="208" spans="1:16" ht="18.75" customHeight="1">
      <c r="A208" s="221"/>
      <c r="B208" s="351"/>
      <c r="C208" s="351"/>
      <c r="D208" s="341"/>
      <c r="E208" s="341"/>
      <c r="F208" s="341"/>
      <c r="G208" s="351"/>
      <c r="H208" s="340"/>
      <c r="I208" s="63"/>
      <c r="J208" s="334"/>
      <c r="K208" s="330"/>
      <c r="L208" s="330"/>
      <c r="M208" s="330"/>
      <c r="N208" s="330"/>
      <c r="O208" s="330"/>
      <c r="P208" s="330"/>
    </row>
    <row r="209" spans="1:16" ht="18.75" customHeight="1">
      <c r="A209" s="221"/>
      <c r="B209" s="350"/>
      <c r="C209" s="351"/>
      <c r="D209" s="339"/>
      <c r="E209" s="339"/>
      <c r="F209" s="339"/>
      <c r="G209" s="351"/>
      <c r="H209" s="340"/>
      <c r="I209" s="328"/>
      <c r="J209" s="329"/>
      <c r="K209" s="330"/>
      <c r="L209" s="330"/>
      <c r="M209" s="330"/>
      <c r="N209" s="330"/>
      <c r="O209" s="330"/>
      <c r="P209" s="330"/>
    </row>
    <row r="210" spans="1:16" ht="18.75" customHeight="1">
      <c r="A210" s="221"/>
      <c r="B210" s="351"/>
      <c r="C210" s="351"/>
      <c r="D210" s="341"/>
      <c r="E210" s="341"/>
      <c r="F210" s="341"/>
      <c r="G210" s="352"/>
      <c r="H210" s="340"/>
      <c r="I210" s="63"/>
      <c r="J210" s="334"/>
      <c r="K210" s="330"/>
      <c r="L210" s="330"/>
      <c r="M210" s="330"/>
      <c r="N210" s="330"/>
      <c r="O210" s="330"/>
      <c r="P210" s="330"/>
    </row>
    <row r="211" spans="1:16" ht="18.75" customHeight="1">
      <c r="A211" s="221"/>
      <c r="B211" s="350"/>
      <c r="C211" s="351"/>
      <c r="D211" s="339"/>
      <c r="E211" s="339"/>
      <c r="F211" s="339"/>
      <c r="G211" s="352"/>
      <c r="H211" s="340"/>
      <c r="I211" s="328"/>
      <c r="J211" s="329"/>
      <c r="K211" s="330"/>
      <c r="L211" s="330"/>
      <c r="M211" s="330"/>
      <c r="N211" s="330"/>
      <c r="O211" s="330"/>
      <c r="P211" s="330"/>
    </row>
    <row r="212" spans="1:16" ht="18.75" customHeight="1">
      <c r="A212" s="221"/>
      <c r="B212" s="351"/>
      <c r="C212" s="351"/>
      <c r="D212" s="341"/>
      <c r="E212" s="341"/>
      <c r="F212" s="341"/>
      <c r="G212" s="351"/>
      <c r="H212" s="340"/>
      <c r="I212" s="63"/>
      <c r="J212" s="334"/>
      <c r="K212" s="330"/>
      <c r="L212" s="330"/>
      <c r="M212" s="330"/>
      <c r="N212" s="330"/>
      <c r="O212" s="330"/>
      <c r="P212" s="330"/>
    </row>
    <row r="213" spans="1:16" ht="18.75" customHeight="1">
      <c r="A213" s="221"/>
      <c r="B213" s="350"/>
      <c r="C213" s="351"/>
      <c r="D213" s="339"/>
      <c r="E213" s="339"/>
      <c r="F213" s="339"/>
      <c r="G213" s="351"/>
      <c r="H213" s="340"/>
      <c r="I213" s="328"/>
      <c r="J213" s="329"/>
      <c r="K213" s="330"/>
      <c r="L213" s="330"/>
      <c r="M213" s="330"/>
      <c r="N213" s="330"/>
      <c r="O213" s="330"/>
      <c r="P213" s="330"/>
    </row>
    <row r="214" spans="1:16" ht="18.75" customHeight="1">
      <c r="A214" s="221"/>
      <c r="B214" s="351"/>
      <c r="C214" s="351"/>
      <c r="D214" s="341"/>
      <c r="E214" s="341"/>
      <c r="F214" s="341"/>
      <c r="G214" s="351"/>
      <c r="H214" s="340"/>
      <c r="I214" s="63"/>
      <c r="J214" s="334"/>
      <c r="K214" s="330"/>
      <c r="L214" s="330"/>
      <c r="M214" s="330"/>
      <c r="N214" s="330"/>
      <c r="O214" s="330"/>
      <c r="P214" s="330"/>
    </row>
    <row r="215" spans="1:16" ht="18.75" customHeight="1">
      <c r="A215" s="221"/>
      <c r="B215" s="350"/>
      <c r="C215" s="351"/>
      <c r="D215" s="339"/>
      <c r="E215" s="339"/>
      <c r="F215" s="339"/>
      <c r="G215" s="351"/>
      <c r="H215" s="340"/>
      <c r="I215" s="328"/>
      <c r="J215" s="329"/>
      <c r="K215" s="330"/>
      <c r="L215" s="330"/>
      <c r="M215" s="330"/>
      <c r="N215" s="330"/>
      <c r="O215" s="330"/>
      <c r="P215" s="330"/>
    </row>
    <row r="216" spans="1:16" ht="18.75" customHeight="1">
      <c r="A216" s="221"/>
      <c r="B216" s="351"/>
      <c r="C216" s="351"/>
      <c r="D216" s="341"/>
      <c r="E216" s="341"/>
      <c r="F216" s="341"/>
      <c r="G216" s="351"/>
      <c r="H216" s="340"/>
      <c r="I216" s="63"/>
      <c r="J216" s="334"/>
      <c r="K216" s="330"/>
      <c r="L216" s="330"/>
      <c r="M216" s="330"/>
      <c r="N216" s="330"/>
      <c r="O216" s="330"/>
      <c r="P216" s="330"/>
    </row>
    <row r="217" spans="1:16" ht="18.75" customHeight="1">
      <c r="A217" s="221"/>
      <c r="B217" s="350"/>
      <c r="C217" s="351"/>
      <c r="D217" s="339"/>
      <c r="E217" s="339"/>
      <c r="F217" s="339"/>
      <c r="G217" s="351"/>
      <c r="H217" s="340"/>
      <c r="I217" s="328"/>
      <c r="J217" s="329"/>
      <c r="K217" s="330"/>
      <c r="L217" s="330"/>
      <c r="M217" s="330"/>
      <c r="N217" s="330"/>
      <c r="O217" s="330"/>
      <c r="P217" s="330"/>
    </row>
    <row r="218" spans="1:16" ht="18.75" customHeight="1">
      <c r="A218" s="221"/>
      <c r="B218" s="351"/>
      <c r="C218" s="351"/>
      <c r="D218" s="341"/>
      <c r="E218" s="341"/>
      <c r="F218" s="341"/>
      <c r="G218" s="351"/>
      <c r="H218" s="340"/>
      <c r="I218" s="63"/>
      <c r="J218" s="334"/>
      <c r="K218" s="330"/>
      <c r="L218" s="330"/>
      <c r="M218" s="330"/>
      <c r="N218" s="330"/>
      <c r="O218" s="330"/>
      <c r="P218" s="330"/>
    </row>
    <row r="219" spans="1:16" ht="18.75" customHeight="1">
      <c r="A219" s="221"/>
      <c r="B219" s="350"/>
      <c r="C219" s="351"/>
      <c r="D219" s="339"/>
      <c r="E219" s="339"/>
      <c r="F219" s="339"/>
      <c r="G219" s="351"/>
      <c r="H219" s="340"/>
      <c r="I219" s="328"/>
      <c r="J219" s="329"/>
      <c r="K219" s="330"/>
      <c r="L219" s="330"/>
      <c r="M219" s="330"/>
      <c r="N219" s="330"/>
      <c r="O219" s="330"/>
      <c r="P219" s="330"/>
    </row>
    <row r="220" spans="1:16" ht="18.75" customHeight="1">
      <c r="A220" s="221"/>
      <c r="B220" s="351"/>
      <c r="C220" s="351"/>
      <c r="D220" s="341"/>
      <c r="E220" s="341"/>
      <c r="F220" s="341"/>
      <c r="G220" s="351"/>
      <c r="H220" s="340"/>
      <c r="I220" s="63"/>
      <c r="J220" s="334"/>
      <c r="K220" s="330"/>
      <c r="L220" s="330"/>
      <c r="M220" s="330"/>
      <c r="N220" s="330"/>
      <c r="O220" s="330"/>
      <c r="P220" s="330"/>
    </row>
    <row r="221" spans="1:16" ht="18.75" customHeight="1">
      <c r="A221" s="221"/>
      <c r="B221" s="350"/>
      <c r="C221" s="351"/>
      <c r="D221" s="339"/>
      <c r="E221" s="339"/>
      <c r="F221" s="339"/>
      <c r="G221" s="351"/>
      <c r="H221" s="340"/>
      <c r="I221" s="328"/>
      <c r="J221" s="329"/>
      <c r="K221" s="330"/>
      <c r="L221" s="330"/>
      <c r="M221" s="330"/>
      <c r="N221" s="330"/>
      <c r="O221" s="330"/>
      <c r="P221" s="330"/>
    </row>
    <row r="222" spans="1:16" ht="18.75" customHeight="1">
      <c r="A222" s="221"/>
      <c r="B222" s="351"/>
      <c r="C222" s="351"/>
      <c r="D222" s="341"/>
      <c r="E222" s="341"/>
      <c r="F222" s="341"/>
      <c r="G222" s="351"/>
      <c r="H222" s="340"/>
      <c r="I222" s="63"/>
      <c r="J222" s="334"/>
      <c r="K222" s="330"/>
      <c r="L222" s="330"/>
      <c r="M222" s="330"/>
      <c r="N222" s="330"/>
      <c r="O222" s="330"/>
      <c r="P222" s="330"/>
    </row>
    <row r="223" spans="1:16" ht="18.75" customHeight="1">
      <c r="A223" s="221"/>
      <c r="B223" s="350"/>
      <c r="C223" s="351"/>
      <c r="D223" s="339"/>
      <c r="E223" s="339"/>
      <c r="F223" s="339"/>
      <c r="G223" s="351"/>
      <c r="H223" s="340"/>
      <c r="I223" s="328"/>
      <c r="J223" s="329"/>
      <c r="K223" s="330"/>
      <c r="L223" s="330"/>
      <c r="M223" s="330"/>
      <c r="N223" s="330"/>
      <c r="O223" s="330"/>
      <c r="P223" s="330"/>
    </row>
    <row r="224" spans="1:16" ht="18.75" customHeight="1">
      <c r="A224" s="221"/>
      <c r="B224" s="351"/>
      <c r="C224" s="351"/>
      <c r="D224" s="341"/>
      <c r="E224" s="341"/>
      <c r="F224" s="341"/>
      <c r="G224" s="351"/>
      <c r="H224" s="340"/>
      <c r="I224" s="63"/>
      <c r="J224" s="353"/>
      <c r="K224" s="354"/>
      <c r="L224" s="354"/>
      <c r="M224" s="354"/>
      <c r="N224" s="354"/>
      <c r="O224" s="354"/>
      <c r="P224" s="354"/>
    </row>
    <row r="225" spans="1:16" ht="18.75" customHeight="1">
      <c r="A225" s="221"/>
      <c r="B225" s="350"/>
      <c r="C225" s="351"/>
      <c r="D225" s="339"/>
      <c r="E225" s="339"/>
      <c r="F225" s="339"/>
      <c r="G225" s="351"/>
      <c r="H225" s="340"/>
      <c r="I225" s="328"/>
      <c r="J225" s="355"/>
      <c r="K225" s="354"/>
      <c r="L225" s="354"/>
      <c r="M225" s="354"/>
      <c r="N225" s="354"/>
      <c r="O225" s="354"/>
      <c r="P225" s="354"/>
    </row>
    <row r="226" spans="1:16" ht="18.75" customHeight="1">
      <c r="A226" s="221"/>
      <c r="B226" s="351"/>
      <c r="C226" s="351"/>
      <c r="D226" s="341"/>
      <c r="E226" s="341"/>
      <c r="F226" s="341"/>
      <c r="G226" s="351"/>
      <c r="H226" s="340"/>
      <c r="I226" s="63"/>
      <c r="J226" s="353"/>
      <c r="K226" s="354"/>
      <c r="L226" s="354"/>
      <c r="M226" s="354"/>
      <c r="N226" s="354"/>
      <c r="O226" s="354"/>
      <c r="P226" s="354"/>
    </row>
    <row r="227" spans="1:16" ht="18.75" customHeight="1">
      <c r="A227" s="221"/>
      <c r="B227" s="350"/>
      <c r="C227" s="351"/>
      <c r="D227" s="339"/>
      <c r="E227" s="339"/>
      <c r="F227" s="339"/>
      <c r="G227" s="351"/>
      <c r="H227" s="340"/>
      <c r="I227" s="328"/>
      <c r="J227" s="355"/>
      <c r="K227" s="354"/>
      <c r="L227" s="354"/>
      <c r="M227" s="354"/>
      <c r="N227" s="354"/>
      <c r="O227" s="354"/>
      <c r="P227" s="354"/>
    </row>
    <row r="228" spans="1:16" ht="18.75" customHeight="1">
      <c r="A228" s="221"/>
      <c r="B228" s="351"/>
      <c r="C228" s="351"/>
      <c r="D228" s="341"/>
      <c r="E228" s="341"/>
      <c r="F228" s="341"/>
      <c r="G228" s="351"/>
      <c r="H228" s="340"/>
      <c r="I228" s="63"/>
      <c r="J228" s="353"/>
      <c r="K228" s="354"/>
      <c r="L228" s="354"/>
      <c r="M228" s="354"/>
      <c r="N228" s="354"/>
      <c r="O228" s="354"/>
      <c r="P228" s="354"/>
    </row>
    <row r="229" spans="1:16" ht="18.75" customHeight="1">
      <c r="A229" s="221"/>
      <c r="B229" s="350"/>
      <c r="C229" s="351"/>
      <c r="D229" s="339"/>
      <c r="E229" s="339"/>
      <c r="F229" s="339"/>
      <c r="G229" s="351"/>
      <c r="H229" s="340"/>
      <c r="I229" s="328"/>
      <c r="J229" s="355"/>
      <c r="K229" s="354"/>
      <c r="L229" s="354"/>
      <c r="M229" s="354"/>
      <c r="N229" s="354"/>
      <c r="O229" s="354"/>
      <c r="P229" s="354"/>
    </row>
    <row r="230" spans="1:16" ht="18.75" customHeight="1">
      <c r="A230" s="221"/>
      <c r="B230" s="351"/>
      <c r="C230" s="351"/>
      <c r="D230" s="341"/>
      <c r="E230" s="341"/>
      <c r="F230" s="341"/>
      <c r="G230" s="351"/>
      <c r="H230" s="340"/>
      <c r="I230" s="63"/>
      <c r="J230" s="353"/>
      <c r="K230" s="354"/>
      <c r="L230" s="354"/>
      <c r="M230" s="354"/>
      <c r="N230" s="354"/>
      <c r="O230" s="354"/>
      <c r="P230" s="354"/>
    </row>
    <row r="231" spans="1:16" ht="18.75" customHeight="1">
      <c r="A231" s="221"/>
      <c r="B231" s="350"/>
      <c r="C231" s="351"/>
      <c r="D231" s="339"/>
      <c r="E231" s="339"/>
      <c r="F231" s="339"/>
      <c r="G231" s="351"/>
      <c r="H231" s="340"/>
      <c r="I231" s="328"/>
      <c r="J231" s="355"/>
      <c r="K231" s="354"/>
      <c r="L231" s="354"/>
      <c r="M231" s="354"/>
      <c r="N231" s="354"/>
      <c r="O231" s="354"/>
      <c r="P231" s="354"/>
    </row>
    <row r="232" spans="1:16" ht="18.75" customHeight="1">
      <c r="A232" s="221"/>
      <c r="B232" s="351"/>
      <c r="C232" s="351"/>
      <c r="D232" s="341"/>
      <c r="E232" s="341"/>
      <c r="F232" s="341"/>
      <c r="G232" s="351"/>
      <c r="H232" s="340"/>
      <c r="I232" s="63"/>
      <c r="J232" s="353"/>
      <c r="K232" s="354"/>
      <c r="L232" s="354"/>
      <c r="M232" s="354"/>
      <c r="N232" s="354"/>
      <c r="O232" s="354"/>
      <c r="P232" s="354"/>
    </row>
    <row r="233" spans="1:16" ht="18.75" customHeight="1">
      <c r="A233" s="221"/>
      <c r="B233" s="350"/>
      <c r="C233" s="351"/>
      <c r="D233" s="339"/>
      <c r="E233" s="339"/>
      <c r="F233" s="339"/>
      <c r="G233" s="351"/>
      <c r="H233" s="340"/>
      <c r="I233" s="328"/>
      <c r="J233" s="355"/>
      <c r="K233" s="354"/>
      <c r="L233" s="354"/>
      <c r="M233" s="354"/>
      <c r="N233" s="354"/>
      <c r="O233" s="354"/>
      <c r="P233" s="354"/>
    </row>
    <row r="234" spans="1:16" ht="18.75" customHeight="1">
      <c r="A234" s="221"/>
      <c r="B234" s="351"/>
      <c r="C234" s="351"/>
      <c r="D234" s="341"/>
      <c r="E234" s="341"/>
      <c r="F234" s="341"/>
      <c r="G234" s="351"/>
      <c r="H234" s="340"/>
      <c r="I234" s="63"/>
      <c r="J234" s="353"/>
      <c r="K234" s="354"/>
      <c r="L234" s="354"/>
      <c r="M234" s="354"/>
      <c r="N234" s="354"/>
      <c r="O234" s="354"/>
      <c r="P234" s="354"/>
    </row>
    <row r="235" spans="1:16" ht="18.75" customHeight="1">
      <c r="A235" s="221"/>
      <c r="B235" s="350"/>
      <c r="C235" s="351"/>
      <c r="D235" s="339"/>
      <c r="E235" s="339"/>
      <c r="F235" s="339"/>
      <c r="G235" s="351"/>
      <c r="H235" s="340"/>
      <c r="I235" s="328"/>
      <c r="J235" s="355"/>
      <c r="K235" s="354"/>
      <c r="L235" s="354"/>
      <c r="M235" s="354"/>
      <c r="N235" s="354"/>
      <c r="O235" s="354"/>
      <c r="P235" s="354"/>
    </row>
    <row r="236" spans="1:16" ht="18.75" customHeight="1">
      <c r="A236" s="221"/>
      <c r="B236" s="351"/>
      <c r="C236" s="351"/>
      <c r="D236" s="341"/>
      <c r="E236" s="341"/>
      <c r="F236" s="341"/>
      <c r="G236" s="351"/>
      <c r="H236" s="340"/>
      <c r="I236" s="63"/>
      <c r="J236" s="353"/>
      <c r="K236" s="354"/>
      <c r="L236" s="354"/>
      <c r="M236" s="354"/>
      <c r="N236" s="354"/>
      <c r="O236" s="354"/>
      <c r="P236" s="354"/>
    </row>
    <row r="237" spans="1:16" ht="18.75" customHeight="1">
      <c r="A237" s="221"/>
      <c r="B237" s="350"/>
      <c r="C237" s="351"/>
      <c r="D237" s="339"/>
      <c r="E237" s="339"/>
      <c r="F237" s="339"/>
      <c r="G237" s="351"/>
      <c r="H237" s="340"/>
      <c r="I237" s="328"/>
      <c r="J237" s="355"/>
      <c r="K237" s="354"/>
      <c r="L237" s="354"/>
      <c r="M237" s="354"/>
      <c r="N237" s="354"/>
      <c r="O237" s="354"/>
      <c r="P237" s="354"/>
    </row>
    <row r="238" spans="1:16" ht="18.75" customHeight="1">
      <c r="A238" s="221"/>
      <c r="B238" s="351"/>
      <c r="C238" s="351"/>
      <c r="D238" s="341"/>
      <c r="E238" s="341"/>
      <c r="F238" s="341"/>
      <c r="G238" s="351"/>
      <c r="H238" s="340"/>
      <c r="I238" s="63"/>
      <c r="J238" s="353"/>
      <c r="K238" s="354"/>
      <c r="L238" s="354"/>
      <c r="M238" s="354"/>
      <c r="N238" s="354"/>
      <c r="O238" s="354"/>
      <c r="P238" s="354"/>
    </row>
    <row r="239" spans="1:16" ht="18.75" customHeight="1">
      <c r="A239" s="221"/>
      <c r="B239" s="350"/>
      <c r="C239" s="351"/>
      <c r="D239" s="339"/>
      <c r="E239" s="339"/>
      <c r="F239" s="339"/>
      <c r="G239" s="351"/>
      <c r="H239" s="340"/>
      <c r="I239" s="328"/>
      <c r="J239" s="355"/>
      <c r="K239" s="354"/>
      <c r="L239" s="354"/>
      <c r="M239" s="354"/>
      <c r="N239" s="354"/>
      <c r="O239" s="354"/>
      <c r="P239" s="354"/>
    </row>
    <row r="240" spans="1:16" ht="18.75" customHeight="1">
      <c r="A240" s="221"/>
      <c r="B240" s="351"/>
      <c r="C240" s="351"/>
      <c r="D240" s="341"/>
      <c r="E240" s="341"/>
      <c r="F240" s="341"/>
      <c r="G240" s="351"/>
      <c r="H240" s="340"/>
      <c r="I240" s="63"/>
      <c r="J240" s="353"/>
      <c r="K240" s="354"/>
      <c r="L240" s="354"/>
      <c r="M240" s="354"/>
      <c r="N240" s="354"/>
      <c r="O240" s="354"/>
      <c r="P240" s="354"/>
    </row>
    <row r="241" spans="1:16" ht="18.75" customHeight="1">
      <c r="A241" s="221"/>
      <c r="B241" s="350"/>
      <c r="C241" s="351"/>
      <c r="D241" s="339"/>
      <c r="E241" s="339"/>
      <c r="F241" s="339"/>
      <c r="G241" s="351"/>
      <c r="H241" s="340"/>
      <c r="I241" s="328"/>
      <c r="J241" s="355"/>
      <c r="K241" s="354"/>
      <c r="L241" s="354"/>
      <c r="M241" s="354"/>
      <c r="N241" s="354"/>
      <c r="O241" s="354"/>
      <c r="P241" s="354"/>
    </row>
    <row r="242" spans="1:16" ht="18.75" customHeight="1">
      <c r="A242" s="221"/>
      <c r="B242" s="351"/>
      <c r="C242" s="351"/>
      <c r="D242" s="341"/>
      <c r="E242" s="341"/>
      <c r="F242" s="341"/>
      <c r="G242" s="351"/>
      <c r="H242" s="340"/>
      <c r="I242" s="63"/>
      <c r="J242" s="353"/>
      <c r="K242" s="354"/>
      <c r="L242" s="354"/>
      <c r="M242" s="354"/>
      <c r="N242" s="354"/>
      <c r="O242" s="354"/>
      <c r="P242" s="354"/>
    </row>
    <row r="243" spans="1:16" ht="18.75" customHeight="1">
      <c r="A243" s="221"/>
      <c r="B243" s="350"/>
      <c r="C243" s="351"/>
      <c r="D243" s="339"/>
      <c r="E243" s="339"/>
      <c r="F243" s="339"/>
      <c r="G243" s="351"/>
      <c r="H243" s="340"/>
      <c r="I243" s="328"/>
      <c r="J243" s="355"/>
      <c r="K243" s="354"/>
      <c r="L243" s="354"/>
      <c r="M243" s="354"/>
      <c r="N243" s="354"/>
      <c r="O243" s="354"/>
      <c r="P243" s="354"/>
    </row>
    <row r="244" spans="1:16" ht="18.75" customHeight="1">
      <c r="A244" s="221"/>
      <c r="B244" s="351"/>
      <c r="C244" s="351"/>
      <c r="D244" s="341"/>
      <c r="E244" s="341"/>
      <c r="F244" s="341"/>
      <c r="G244" s="351"/>
      <c r="H244" s="340"/>
      <c r="I244" s="63"/>
      <c r="J244" s="353"/>
      <c r="K244" s="354"/>
      <c r="L244" s="354"/>
      <c r="M244" s="354"/>
      <c r="N244" s="354"/>
      <c r="O244" s="354"/>
      <c r="P244" s="354"/>
    </row>
    <row r="245" spans="1:16" ht="18.75" customHeight="1">
      <c r="A245" s="221"/>
      <c r="B245" s="350"/>
      <c r="C245" s="351"/>
      <c r="D245" s="339"/>
      <c r="E245" s="339"/>
      <c r="F245" s="339"/>
      <c r="G245" s="351"/>
      <c r="H245" s="340"/>
      <c r="I245" s="328"/>
      <c r="J245" s="355"/>
      <c r="K245" s="354"/>
      <c r="L245" s="354"/>
      <c r="M245" s="354"/>
      <c r="N245" s="354"/>
      <c r="O245" s="354"/>
      <c r="P245" s="354"/>
    </row>
    <row r="246" spans="1:16" ht="18.75" customHeight="1">
      <c r="A246" s="221"/>
      <c r="B246" s="351"/>
      <c r="C246" s="351"/>
      <c r="D246" s="341"/>
      <c r="E246" s="341"/>
      <c r="F246" s="341"/>
      <c r="G246" s="351"/>
      <c r="H246" s="340"/>
      <c r="I246" s="63"/>
      <c r="J246" s="353"/>
      <c r="K246" s="354"/>
      <c r="L246" s="354"/>
      <c r="M246" s="354"/>
      <c r="N246" s="354"/>
      <c r="O246" s="354"/>
      <c r="P246" s="354"/>
    </row>
    <row r="247" spans="1:16" ht="18.75" customHeight="1">
      <c r="A247" s="221"/>
      <c r="B247" s="350"/>
      <c r="C247" s="351"/>
      <c r="D247" s="339"/>
      <c r="E247" s="339"/>
      <c r="F247" s="339"/>
      <c r="G247" s="351"/>
      <c r="H247" s="340"/>
      <c r="I247" s="328"/>
      <c r="J247" s="355"/>
      <c r="K247" s="354"/>
      <c r="L247" s="354"/>
      <c r="M247" s="354"/>
      <c r="N247" s="354"/>
      <c r="O247" s="354"/>
      <c r="P247" s="354"/>
    </row>
    <row r="248" spans="1:16" ht="18.75" customHeight="1">
      <c r="A248" s="221"/>
      <c r="B248" s="351"/>
      <c r="C248" s="351"/>
      <c r="D248" s="341"/>
      <c r="E248" s="341"/>
      <c r="F248" s="341"/>
      <c r="G248" s="351"/>
      <c r="H248" s="340"/>
      <c r="I248" s="63"/>
      <c r="J248" s="353"/>
      <c r="K248" s="354"/>
      <c r="L248" s="354"/>
      <c r="M248" s="354"/>
      <c r="N248" s="354"/>
      <c r="O248" s="354"/>
      <c r="P248" s="354"/>
    </row>
    <row r="249" spans="1:16" ht="18.75" customHeight="1">
      <c r="A249" s="221"/>
      <c r="B249" s="350"/>
      <c r="C249" s="351"/>
      <c r="D249" s="339"/>
      <c r="E249" s="339"/>
      <c r="F249" s="339"/>
      <c r="G249" s="351"/>
      <c r="H249" s="340"/>
      <c r="I249" s="328"/>
      <c r="J249" s="355"/>
      <c r="K249" s="354"/>
      <c r="L249" s="354"/>
      <c r="M249" s="354"/>
      <c r="N249" s="354"/>
      <c r="O249" s="354"/>
      <c r="P249" s="354"/>
    </row>
    <row r="250" spans="1:16" ht="18.75" customHeight="1">
      <c r="A250" s="221"/>
      <c r="B250" s="351"/>
      <c r="C250" s="351"/>
      <c r="D250" s="341"/>
      <c r="E250" s="341"/>
      <c r="F250" s="341"/>
      <c r="G250" s="351"/>
      <c r="H250" s="340"/>
      <c r="I250" s="63"/>
      <c r="J250" s="353"/>
      <c r="K250" s="354"/>
      <c r="L250" s="354"/>
      <c r="M250" s="354"/>
      <c r="N250" s="354"/>
      <c r="O250" s="354"/>
      <c r="P250" s="354"/>
    </row>
    <row r="251" spans="1:16" ht="18.75" customHeight="1">
      <c r="A251" s="221"/>
      <c r="B251" s="350"/>
      <c r="C251" s="351"/>
      <c r="D251" s="339"/>
      <c r="E251" s="339"/>
      <c r="F251" s="339"/>
      <c r="G251" s="351"/>
      <c r="H251" s="340"/>
      <c r="I251" s="328"/>
      <c r="J251" s="355"/>
      <c r="K251" s="354"/>
      <c r="L251" s="354"/>
      <c r="M251" s="354"/>
      <c r="N251" s="354"/>
      <c r="O251" s="354"/>
      <c r="P251" s="354"/>
    </row>
    <row r="252" spans="1:16" ht="18.75" customHeight="1">
      <c r="A252" s="221"/>
      <c r="B252" s="351"/>
      <c r="C252" s="351"/>
      <c r="D252" s="341"/>
      <c r="E252" s="341"/>
      <c r="F252" s="341"/>
      <c r="G252" s="351"/>
      <c r="H252" s="340"/>
      <c r="I252" s="63"/>
      <c r="J252" s="353"/>
      <c r="K252" s="354"/>
      <c r="L252" s="354"/>
      <c r="M252" s="354"/>
      <c r="N252" s="354"/>
      <c r="O252" s="354"/>
      <c r="P252" s="354"/>
    </row>
    <row r="253" spans="1:16" ht="18.75" customHeight="1">
      <c r="A253" s="221"/>
      <c r="B253" s="350"/>
      <c r="C253" s="351"/>
      <c r="D253" s="339"/>
      <c r="E253" s="339"/>
      <c r="F253" s="339"/>
      <c r="G253" s="351"/>
      <c r="H253" s="340"/>
      <c r="I253" s="328"/>
      <c r="J253" s="355"/>
      <c r="K253" s="354"/>
      <c r="L253" s="354"/>
      <c r="M253" s="354"/>
      <c r="N253" s="354"/>
      <c r="O253" s="354"/>
      <c r="P253" s="354"/>
    </row>
    <row r="254" spans="1:16" ht="18.75" customHeight="1">
      <c r="A254" s="221"/>
      <c r="B254" s="351"/>
      <c r="C254" s="351"/>
      <c r="D254" s="341"/>
      <c r="E254" s="341"/>
      <c r="F254" s="341"/>
      <c r="G254" s="351"/>
      <c r="H254" s="340"/>
      <c r="I254" s="63"/>
      <c r="J254" s="353"/>
      <c r="K254" s="354"/>
      <c r="L254" s="354"/>
      <c r="M254" s="354"/>
      <c r="N254" s="354"/>
      <c r="O254" s="354"/>
      <c r="P254" s="354"/>
    </row>
    <row r="255" spans="1:16" ht="18.75" customHeight="1">
      <c r="A255" s="221"/>
      <c r="B255" s="350"/>
      <c r="C255" s="351"/>
      <c r="D255" s="339"/>
      <c r="E255" s="339"/>
      <c r="F255" s="339"/>
      <c r="G255" s="351"/>
      <c r="H255" s="340"/>
      <c r="I255" s="328"/>
      <c r="J255" s="355"/>
      <c r="K255" s="354"/>
      <c r="L255" s="354"/>
      <c r="M255" s="354"/>
      <c r="N255" s="354"/>
      <c r="O255" s="354"/>
      <c r="P255" s="354"/>
    </row>
    <row r="256" spans="1:16" ht="18.75" customHeight="1">
      <c r="A256" s="221"/>
      <c r="B256" s="351"/>
      <c r="C256" s="351"/>
      <c r="D256" s="341"/>
      <c r="E256" s="341"/>
      <c r="F256" s="341"/>
      <c r="G256" s="351"/>
      <c r="H256" s="340"/>
      <c r="I256" s="63"/>
      <c r="J256" s="353"/>
      <c r="K256" s="354"/>
      <c r="L256" s="354"/>
      <c r="M256" s="354"/>
      <c r="N256" s="354"/>
      <c r="O256" s="354"/>
      <c r="P256" s="354"/>
    </row>
    <row r="257" spans="1:16" ht="18.75" customHeight="1">
      <c r="A257" s="221"/>
      <c r="B257" s="350"/>
      <c r="C257" s="351"/>
      <c r="D257" s="339"/>
      <c r="E257" s="339"/>
      <c r="F257" s="339"/>
      <c r="G257" s="351"/>
      <c r="H257" s="340"/>
      <c r="I257" s="328"/>
      <c r="J257" s="355"/>
      <c r="K257" s="354"/>
      <c r="L257" s="354"/>
      <c r="M257" s="354"/>
      <c r="N257" s="354"/>
      <c r="O257" s="354"/>
      <c r="P257" s="354"/>
    </row>
    <row r="258" spans="1:16" ht="18.75" customHeight="1">
      <c r="A258" s="221"/>
      <c r="B258" s="351"/>
      <c r="C258" s="351"/>
      <c r="D258" s="341"/>
      <c r="E258" s="341"/>
      <c r="F258" s="341"/>
      <c r="G258" s="351"/>
      <c r="H258" s="340"/>
      <c r="I258" s="63"/>
      <c r="J258" s="353"/>
      <c r="K258" s="354"/>
      <c r="L258" s="354"/>
      <c r="M258" s="354"/>
      <c r="N258" s="354"/>
      <c r="O258" s="354"/>
      <c r="P258" s="354"/>
    </row>
    <row r="259" spans="1:16" ht="18.75" customHeight="1">
      <c r="A259" s="221"/>
      <c r="B259" s="350"/>
      <c r="C259" s="351"/>
      <c r="D259" s="339"/>
      <c r="E259" s="339"/>
      <c r="F259" s="339"/>
      <c r="G259" s="351"/>
      <c r="H259" s="340"/>
      <c r="I259" s="328"/>
      <c r="J259" s="355"/>
      <c r="K259" s="354"/>
      <c r="L259" s="354"/>
      <c r="M259" s="354"/>
      <c r="N259" s="354"/>
      <c r="O259" s="354"/>
      <c r="P259" s="354"/>
    </row>
    <row r="260" spans="1:16" ht="18.75" customHeight="1">
      <c r="A260" s="221"/>
      <c r="B260" s="351"/>
      <c r="C260" s="351"/>
      <c r="D260" s="341"/>
      <c r="E260" s="341"/>
      <c r="F260" s="341"/>
      <c r="G260" s="351"/>
      <c r="H260" s="340"/>
      <c r="I260" s="63"/>
      <c r="J260" s="353"/>
      <c r="K260" s="354"/>
      <c r="L260" s="354"/>
      <c r="M260" s="354"/>
      <c r="N260" s="354"/>
      <c r="O260" s="354"/>
      <c r="P260" s="354"/>
    </row>
    <row r="261" spans="1:16" ht="18.75" customHeight="1">
      <c r="A261" s="221"/>
      <c r="B261" s="350"/>
      <c r="C261" s="351"/>
      <c r="D261" s="339"/>
      <c r="E261" s="339"/>
      <c r="F261" s="339"/>
      <c r="G261" s="351"/>
      <c r="H261" s="340"/>
      <c r="I261" s="328"/>
      <c r="J261" s="355"/>
      <c r="K261" s="354"/>
      <c r="L261" s="354"/>
      <c r="M261" s="354"/>
      <c r="N261" s="354"/>
      <c r="O261" s="354"/>
      <c r="P261" s="354"/>
    </row>
    <row r="262" spans="1:16" ht="18.75" customHeight="1">
      <c r="A262" s="221"/>
      <c r="B262" s="351"/>
      <c r="C262" s="351"/>
      <c r="D262" s="341"/>
      <c r="E262" s="341"/>
      <c r="F262" s="341"/>
      <c r="G262" s="351"/>
      <c r="H262" s="340"/>
      <c r="I262" s="63"/>
      <c r="J262" s="353"/>
      <c r="K262" s="354"/>
      <c r="L262" s="354"/>
      <c r="M262" s="354"/>
      <c r="N262" s="354"/>
      <c r="O262" s="354"/>
      <c r="P262" s="354"/>
    </row>
    <row r="263" spans="1:16" ht="18.75" customHeight="1">
      <c r="A263" s="221"/>
      <c r="B263" s="350"/>
      <c r="C263" s="351"/>
      <c r="D263" s="339"/>
      <c r="E263" s="339"/>
      <c r="F263" s="339"/>
      <c r="G263" s="351"/>
      <c r="H263" s="340"/>
      <c r="I263" s="328"/>
      <c r="J263" s="355"/>
      <c r="K263" s="354"/>
      <c r="L263" s="354"/>
      <c r="M263" s="354"/>
      <c r="N263" s="354"/>
      <c r="O263" s="354"/>
      <c r="P263" s="354"/>
    </row>
    <row r="264" spans="1:16" ht="18.75" customHeight="1">
      <c r="A264" s="221"/>
      <c r="B264" s="351"/>
      <c r="C264" s="351"/>
      <c r="D264" s="341"/>
      <c r="E264" s="341"/>
      <c r="F264" s="341"/>
      <c r="G264" s="351"/>
      <c r="H264" s="340"/>
      <c r="I264" s="63"/>
      <c r="J264" s="353"/>
      <c r="K264" s="354"/>
      <c r="L264" s="354"/>
      <c r="M264" s="354"/>
      <c r="N264" s="354"/>
      <c r="O264" s="354"/>
      <c r="P264" s="354"/>
    </row>
    <row r="265" spans="1:16" ht="18.75" customHeight="1">
      <c r="A265" s="221"/>
      <c r="B265" s="350"/>
      <c r="C265" s="351"/>
      <c r="D265" s="339"/>
      <c r="E265" s="339"/>
      <c r="F265" s="339"/>
      <c r="G265" s="351"/>
      <c r="H265" s="340"/>
      <c r="I265" s="328"/>
      <c r="J265" s="355"/>
      <c r="K265" s="354"/>
      <c r="L265" s="354"/>
      <c r="M265" s="354"/>
      <c r="N265" s="354"/>
      <c r="O265" s="354"/>
      <c r="P265" s="354"/>
    </row>
    <row r="266" spans="1:16" ht="18.75" customHeight="1">
      <c r="A266" s="221"/>
      <c r="B266" s="351"/>
      <c r="C266" s="351"/>
      <c r="D266" s="341"/>
      <c r="E266" s="341"/>
      <c r="F266" s="341"/>
      <c r="G266" s="351"/>
      <c r="H266" s="340"/>
      <c r="I266" s="63"/>
      <c r="J266" s="353"/>
      <c r="K266" s="354"/>
      <c r="L266" s="354"/>
      <c r="M266" s="354"/>
      <c r="N266" s="354"/>
      <c r="O266" s="354"/>
      <c r="P266" s="354"/>
    </row>
    <row r="267" spans="1:16" ht="18.75" customHeight="1">
      <c r="A267" s="221"/>
      <c r="B267" s="350"/>
      <c r="C267" s="351"/>
      <c r="D267" s="339"/>
      <c r="E267" s="339"/>
      <c r="F267" s="339"/>
      <c r="G267" s="351"/>
      <c r="H267" s="340"/>
      <c r="I267" s="328"/>
      <c r="J267" s="355"/>
      <c r="K267" s="354"/>
      <c r="L267" s="354"/>
      <c r="M267" s="354"/>
      <c r="N267" s="354"/>
      <c r="O267" s="354"/>
      <c r="P267" s="354"/>
    </row>
    <row r="268" spans="1:16" ht="18.75" customHeight="1">
      <c r="A268" s="221"/>
      <c r="B268" s="351"/>
      <c r="C268" s="351"/>
      <c r="D268" s="341"/>
      <c r="E268" s="341"/>
      <c r="F268" s="341"/>
      <c r="G268" s="351"/>
      <c r="H268" s="340"/>
      <c r="I268" s="63"/>
      <c r="J268" s="353"/>
      <c r="K268" s="354"/>
      <c r="L268" s="354"/>
      <c r="M268" s="354"/>
      <c r="N268" s="354"/>
      <c r="O268" s="354"/>
      <c r="P268" s="354"/>
    </row>
    <row r="269" spans="1:16" ht="18.75" customHeight="1">
      <c r="A269" s="221"/>
      <c r="B269" s="350"/>
      <c r="C269" s="351"/>
      <c r="D269" s="339"/>
      <c r="E269" s="339"/>
      <c r="F269" s="339"/>
      <c r="G269" s="351"/>
      <c r="H269" s="340"/>
      <c r="I269" s="328"/>
      <c r="J269" s="355"/>
      <c r="K269" s="354"/>
      <c r="L269" s="354"/>
      <c r="M269" s="354"/>
      <c r="N269" s="354"/>
      <c r="O269" s="354"/>
      <c r="P269" s="354"/>
    </row>
    <row r="270" spans="1:16" ht="18.75" customHeight="1">
      <c r="A270" s="221"/>
      <c r="B270" s="351"/>
      <c r="C270" s="351"/>
      <c r="D270" s="341"/>
      <c r="E270" s="341"/>
      <c r="F270" s="341"/>
      <c r="G270" s="351"/>
      <c r="H270" s="340"/>
      <c r="I270" s="63"/>
      <c r="J270" s="353"/>
      <c r="K270" s="354"/>
      <c r="L270" s="354"/>
      <c r="M270" s="354"/>
      <c r="N270" s="354"/>
      <c r="O270" s="354"/>
      <c r="P270" s="354"/>
    </row>
    <row r="271" spans="1:16" ht="18.75" customHeight="1">
      <c r="A271" s="221"/>
      <c r="B271" s="350"/>
      <c r="C271" s="351"/>
      <c r="D271" s="339"/>
      <c r="E271" s="339"/>
      <c r="F271" s="339"/>
      <c r="G271" s="351"/>
      <c r="H271" s="340"/>
      <c r="I271" s="328"/>
      <c r="J271" s="355"/>
      <c r="K271" s="354"/>
      <c r="L271" s="354"/>
      <c r="M271" s="354"/>
      <c r="N271" s="354"/>
      <c r="O271" s="354"/>
      <c r="P271" s="354"/>
    </row>
    <row r="272" spans="1:16" ht="18.75" customHeight="1">
      <c r="A272" s="221"/>
      <c r="B272" s="351"/>
      <c r="C272" s="351"/>
      <c r="D272" s="341"/>
      <c r="E272" s="341"/>
      <c r="F272" s="341"/>
      <c r="G272" s="351"/>
      <c r="H272" s="340"/>
      <c r="I272" s="63"/>
      <c r="J272" s="353"/>
      <c r="K272" s="354"/>
      <c r="L272" s="354"/>
      <c r="M272" s="354"/>
      <c r="N272" s="354"/>
      <c r="O272" s="354"/>
      <c r="P272" s="354"/>
    </row>
    <row r="273" spans="1:16" ht="18.75" customHeight="1">
      <c r="A273" s="221"/>
      <c r="B273" s="350"/>
      <c r="C273" s="351"/>
      <c r="D273" s="339"/>
      <c r="E273" s="339"/>
      <c r="F273" s="339"/>
      <c r="G273" s="351"/>
      <c r="H273" s="340"/>
      <c r="I273" s="328"/>
      <c r="J273" s="355"/>
      <c r="K273" s="354"/>
      <c r="L273" s="354"/>
      <c r="M273" s="354"/>
      <c r="N273" s="354"/>
      <c r="O273" s="354"/>
      <c r="P273" s="354"/>
    </row>
    <row r="274" spans="1:16" ht="18.75" customHeight="1">
      <c r="A274" s="221"/>
      <c r="B274" s="351"/>
      <c r="C274" s="351"/>
      <c r="D274" s="341"/>
      <c r="E274" s="341"/>
      <c r="F274" s="341"/>
      <c r="G274" s="351"/>
      <c r="H274" s="340"/>
      <c r="I274" s="63"/>
      <c r="J274" s="353"/>
      <c r="K274" s="354"/>
      <c r="L274" s="354"/>
      <c r="M274" s="354"/>
      <c r="N274" s="354"/>
      <c r="O274" s="354"/>
      <c r="P274" s="354"/>
    </row>
    <row r="275" spans="1:16" ht="18.75" customHeight="1">
      <c r="A275" s="221"/>
      <c r="B275" s="350"/>
      <c r="C275" s="351"/>
      <c r="D275" s="339"/>
      <c r="E275" s="339"/>
      <c r="F275" s="339"/>
      <c r="G275" s="351"/>
      <c r="H275" s="340"/>
      <c r="I275" s="328"/>
      <c r="J275" s="355"/>
      <c r="K275" s="354"/>
      <c r="L275" s="354"/>
      <c r="M275" s="354"/>
      <c r="N275" s="354"/>
      <c r="O275" s="354"/>
      <c r="P275" s="354"/>
    </row>
    <row r="276" spans="1:16" ht="18.75" customHeight="1">
      <c r="A276" s="221"/>
      <c r="B276" s="351"/>
      <c r="C276" s="351"/>
      <c r="D276" s="341"/>
      <c r="E276" s="341"/>
      <c r="F276" s="341"/>
      <c r="G276" s="351"/>
      <c r="H276" s="340"/>
      <c r="I276" s="63"/>
      <c r="J276" s="353"/>
      <c r="K276" s="354"/>
      <c r="L276" s="354"/>
      <c r="M276" s="354"/>
      <c r="N276" s="354"/>
      <c r="O276" s="354"/>
      <c r="P276" s="354"/>
    </row>
    <row r="277" spans="1:16" ht="18.75" customHeight="1">
      <c r="A277" s="221"/>
      <c r="B277" s="350"/>
      <c r="C277" s="351"/>
      <c r="D277" s="339"/>
      <c r="E277" s="339"/>
      <c r="F277" s="339"/>
      <c r="G277" s="351"/>
      <c r="H277" s="340"/>
      <c r="I277" s="328"/>
      <c r="J277" s="355"/>
      <c r="K277" s="354"/>
      <c r="L277" s="354"/>
      <c r="M277" s="354"/>
      <c r="N277" s="354"/>
      <c r="O277" s="354"/>
      <c r="P277" s="354"/>
    </row>
    <row r="278" spans="1:16" ht="18.75" customHeight="1">
      <c r="A278" s="221"/>
      <c r="B278" s="351"/>
      <c r="C278" s="351"/>
      <c r="D278" s="341"/>
      <c r="E278" s="341"/>
      <c r="F278" s="341"/>
      <c r="G278" s="351"/>
      <c r="H278" s="340"/>
      <c r="I278" s="63"/>
      <c r="J278" s="353"/>
      <c r="K278" s="354"/>
      <c r="L278" s="354"/>
      <c r="M278" s="354"/>
      <c r="N278" s="354"/>
      <c r="O278" s="354"/>
      <c r="P278" s="354"/>
    </row>
    <row r="279" spans="1:16" ht="18.75" customHeight="1">
      <c r="A279" s="221"/>
      <c r="B279" s="350"/>
      <c r="C279" s="351"/>
      <c r="D279" s="339"/>
      <c r="E279" s="339"/>
      <c r="F279" s="339"/>
      <c r="G279" s="351"/>
      <c r="H279" s="340"/>
      <c r="I279" s="328"/>
      <c r="J279" s="355"/>
      <c r="K279" s="354"/>
      <c r="L279" s="354"/>
      <c r="M279" s="354"/>
      <c r="N279" s="354"/>
      <c r="O279" s="354"/>
      <c r="P279" s="354"/>
    </row>
    <row r="280" spans="1:16" ht="18.75" customHeight="1">
      <c r="A280" s="221"/>
      <c r="B280" s="351"/>
      <c r="C280" s="351"/>
      <c r="D280" s="341"/>
      <c r="E280" s="341"/>
      <c r="F280" s="341"/>
      <c r="G280" s="351"/>
      <c r="H280" s="340"/>
      <c r="I280" s="63"/>
      <c r="J280" s="353"/>
      <c r="K280" s="354"/>
      <c r="L280" s="354"/>
      <c r="M280" s="354"/>
      <c r="N280" s="354"/>
      <c r="O280" s="354"/>
      <c r="P280" s="354"/>
    </row>
    <row r="281" spans="1:16" ht="18.75" customHeight="1">
      <c r="A281" s="221"/>
      <c r="B281" s="350"/>
      <c r="C281" s="351"/>
      <c r="D281" s="339"/>
      <c r="E281" s="339"/>
      <c r="F281" s="339"/>
      <c r="G281" s="351"/>
      <c r="H281" s="340"/>
      <c r="I281" s="328"/>
      <c r="J281" s="355"/>
      <c r="K281" s="354"/>
      <c r="L281" s="354"/>
      <c r="M281" s="354"/>
      <c r="N281" s="354"/>
      <c r="O281" s="354"/>
      <c r="P281" s="354"/>
    </row>
    <row r="282" spans="1:16" ht="18.75" customHeight="1">
      <c r="A282" s="221"/>
      <c r="B282" s="351"/>
      <c r="C282" s="351"/>
      <c r="D282" s="341"/>
      <c r="E282" s="341"/>
      <c r="F282" s="341"/>
      <c r="G282" s="351"/>
      <c r="H282" s="340"/>
      <c r="I282" s="63"/>
      <c r="J282" s="353"/>
      <c r="K282" s="354"/>
      <c r="L282" s="354"/>
      <c r="M282" s="354"/>
      <c r="N282" s="354"/>
      <c r="O282" s="354"/>
      <c r="P282" s="354"/>
    </row>
    <row r="283" spans="1:16" ht="18.75" customHeight="1">
      <c r="A283" s="221"/>
      <c r="B283" s="350"/>
      <c r="C283" s="351"/>
      <c r="D283" s="339"/>
      <c r="E283" s="339"/>
      <c r="F283" s="339"/>
      <c r="G283" s="351"/>
      <c r="H283" s="340"/>
      <c r="I283" s="328"/>
      <c r="J283" s="355"/>
      <c r="K283" s="354"/>
      <c r="L283" s="354"/>
      <c r="M283" s="354"/>
      <c r="N283" s="354"/>
      <c r="O283" s="354"/>
      <c r="P283" s="354"/>
    </row>
    <row r="284" spans="1:16" ht="18.75" customHeight="1">
      <c r="A284" s="221"/>
      <c r="B284" s="351"/>
      <c r="C284" s="351"/>
      <c r="D284" s="341"/>
      <c r="E284" s="341"/>
      <c r="F284" s="341"/>
      <c r="G284" s="351"/>
      <c r="H284" s="340"/>
      <c r="I284" s="63"/>
      <c r="J284" s="353"/>
      <c r="K284" s="354"/>
      <c r="L284" s="354"/>
      <c r="M284" s="354"/>
      <c r="N284" s="354"/>
      <c r="O284" s="354"/>
      <c r="P284" s="354"/>
    </row>
    <row r="285" spans="1:16" ht="18.75" customHeight="1">
      <c r="A285" s="221"/>
      <c r="B285" s="350"/>
      <c r="C285" s="351"/>
      <c r="D285" s="339"/>
      <c r="E285" s="339"/>
      <c r="F285" s="339"/>
      <c r="G285" s="351"/>
      <c r="H285" s="340"/>
      <c r="I285" s="328"/>
      <c r="J285" s="355"/>
      <c r="K285" s="354"/>
      <c r="L285" s="354"/>
      <c r="M285" s="354"/>
      <c r="N285" s="354"/>
      <c r="O285" s="354"/>
      <c r="P285" s="354"/>
    </row>
    <row r="286" spans="1:16" ht="18.75" customHeight="1">
      <c r="A286" s="221"/>
      <c r="B286" s="351"/>
      <c r="C286" s="351"/>
      <c r="D286" s="341"/>
      <c r="E286" s="341"/>
      <c r="F286" s="341"/>
      <c r="G286" s="351"/>
      <c r="H286" s="340"/>
      <c r="I286" s="63"/>
      <c r="J286" s="353"/>
      <c r="K286" s="354"/>
      <c r="L286" s="354"/>
      <c r="M286" s="354"/>
      <c r="N286" s="354"/>
      <c r="O286" s="354"/>
      <c r="P286" s="354"/>
    </row>
    <row r="287" spans="1:16" ht="18.75" customHeight="1">
      <c r="A287" s="221"/>
      <c r="B287" s="350"/>
      <c r="C287" s="351"/>
      <c r="D287" s="339"/>
      <c r="E287" s="339"/>
      <c r="F287" s="339"/>
      <c r="G287" s="351"/>
      <c r="H287" s="340"/>
      <c r="I287" s="328"/>
      <c r="J287" s="355"/>
      <c r="K287" s="354"/>
      <c r="L287" s="354"/>
      <c r="M287" s="354"/>
      <c r="N287" s="354"/>
      <c r="O287" s="354"/>
      <c r="P287" s="354"/>
    </row>
    <row r="288" spans="1:16" ht="18.75" customHeight="1">
      <c r="A288" s="221"/>
      <c r="B288" s="351"/>
      <c r="C288" s="351"/>
      <c r="D288" s="341"/>
      <c r="E288" s="341"/>
      <c r="F288" s="341"/>
      <c r="G288" s="351"/>
      <c r="H288" s="340"/>
      <c r="I288" s="63"/>
      <c r="J288" s="353"/>
      <c r="K288" s="354"/>
      <c r="L288" s="354"/>
      <c r="M288" s="354"/>
      <c r="N288" s="354"/>
      <c r="O288" s="354"/>
      <c r="P288" s="354"/>
    </row>
    <row r="289" spans="1:16" ht="18.75" customHeight="1">
      <c r="A289" s="221"/>
      <c r="B289" s="350"/>
      <c r="C289" s="351"/>
      <c r="D289" s="339"/>
      <c r="E289" s="339"/>
      <c r="F289" s="339"/>
      <c r="G289" s="351"/>
      <c r="H289" s="340"/>
      <c r="I289" s="328"/>
      <c r="J289" s="355"/>
      <c r="K289" s="354"/>
      <c r="L289" s="354"/>
      <c r="M289" s="354"/>
      <c r="N289" s="354"/>
      <c r="O289" s="354"/>
      <c r="P289" s="354"/>
    </row>
    <row r="290" spans="1:16" ht="18.75" customHeight="1">
      <c r="A290" s="221"/>
      <c r="B290" s="351"/>
      <c r="C290" s="351"/>
      <c r="D290" s="341"/>
      <c r="E290" s="341"/>
      <c r="F290" s="341"/>
      <c r="G290" s="351"/>
      <c r="H290" s="340"/>
      <c r="I290" s="63"/>
      <c r="J290" s="353"/>
      <c r="K290" s="354"/>
      <c r="L290" s="354"/>
      <c r="M290" s="354"/>
      <c r="N290" s="354"/>
      <c r="O290" s="354"/>
      <c r="P290" s="354"/>
    </row>
    <row r="291" spans="1:16" ht="18.75" customHeight="1">
      <c r="A291" s="221"/>
      <c r="B291" s="350"/>
      <c r="C291" s="351"/>
      <c r="D291" s="339"/>
      <c r="E291" s="339"/>
      <c r="F291" s="339"/>
      <c r="G291" s="351"/>
      <c r="H291" s="340"/>
      <c r="I291" s="328"/>
      <c r="J291" s="355"/>
      <c r="K291" s="354"/>
      <c r="L291" s="354"/>
      <c r="M291" s="354"/>
      <c r="N291" s="354"/>
      <c r="O291" s="354"/>
      <c r="P291" s="354"/>
    </row>
    <row r="292" spans="1:16" ht="18.75" customHeight="1">
      <c r="A292" s="221"/>
      <c r="B292" s="351"/>
      <c r="C292" s="351"/>
      <c r="D292" s="341"/>
      <c r="E292" s="341"/>
      <c r="F292" s="341"/>
      <c r="G292" s="351"/>
      <c r="H292" s="340"/>
      <c r="I292" s="63"/>
      <c r="J292" s="353"/>
      <c r="K292" s="354"/>
      <c r="L292" s="354"/>
      <c r="M292" s="354"/>
      <c r="N292" s="354"/>
      <c r="O292" s="354"/>
      <c r="P292" s="354"/>
    </row>
    <row r="293" spans="1:16" ht="18.75" customHeight="1">
      <c r="A293" s="221"/>
      <c r="B293" s="350"/>
      <c r="C293" s="351"/>
      <c r="D293" s="339"/>
      <c r="E293" s="339"/>
      <c r="F293" s="339"/>
      <c r="G293" s="351"/>
      <c r="H293" s="340"/>
      <c r="I293" s="328"/>
      <c r="J293" s="355"/>
      <c r="K293" s="354"/>
      <c r="L293" s="354"/>
      <c r="M293" s="354"/>
      <c r="N293" s="354"/>
      <c r="O293" s="354"/>
      <c r="P293" s="354"/>
    </row>
    <row r="294" spans="1:16" ht="18.75" customHeight="1">
      <c r="A294" s="221"/>
      <c r="B294" s="351"/>
      <c r="C294" s="351"/>
      <c r="D294" s="341"/>
      <c r="E294" s="341"/>
      <c r="F294" s="341"/>
      <c r="G294" s="351"/>
      <c r="H294" s="340"/>
      <c r="I294" s="63"/>
      <c r="J294" s="353"/>
      <c r="K294" s="354"/>
      <c r="L294" s="354"/>
      <c r="M294" s="354"/>
      <c r="N294" s="354"/>
      <c r="O294" s="354"/>
      <c r="P294" s="354"/>
    </row>
    <row r="295" spans="1:16" ht="18.75" customHeight="1">
      <c r="A295" s="221"/>
      <c r="B295" s="350"/>
      <c r="C295" s="351"/>
      <c r="D295" s="339"/>
      <c r="E295" s="339"/>
      <c r="F295" s="339"/>
      <c r="G295" s="351"/>
      <c r="H295" s="340"/>
      <c r="I295" s="328"/>
      <c r="J295" s="355"/>
      <c r="K295" s="354"/>
      <c r="L295" s="354"/>
      <c r="M295" s="354"/>
      <c r="N295" s="354"/>
      <c r="O295" s="354"/>
      <c r="P295" s="354"/>
    </row>
    <row r="296" spans="1:16" ht="18.75" customHeight="1">
      <c r="A296" s="221"/>
      <c r="B296" s="351"/>
      <c r="C296" s="351"/>
      <c r="D296" s="341"/>
      <c r="E296" s="341"/>
      <c r="F296" s="341"/>
      <c r="G296" s="351"/>
      <c r="H296" s="340"/>
      <c r="I296" s="63"/>
      <c r="J296" s="353"/>
      <c r="K296" s="354"/>
      <c r="L296" s="354"/>
      <c r="M296" s="354"/>
      <c r="N296" s="354"/>
      <c r="O296" s="354"/>
      <c r="P296" s="354"/>
    </row>
    <row r="297" spans="1:16" ht="18.75" customHeight="1">
      <c r="A297" s="221"/>
      <c r="B297" s="350"/>
      <c r="C297" s="351"/>
      <c r="D297" s="339"/>
      <c r="E297" s="339"/>
      <c r="F297" s="339"/>
      <c r="G297" s="351"/>
      <c r="H297" s="340"/>
      <c r="I297" s="328"/>
      <c r="J297" s="355"/>
      <c r="K297" s="354"/>
      <c r="L297" s="354"/>
      <c r="M297" s="354"/>
      <c r="N297" s="354"/>
      <c r="O297" s="354"/>
      <c r="P297" s="354"/>
    </row>
    <row r="298" spans="1:16" ht="18.75" customHeight="1">
      <c r="A298" s="221"/>
      <c r="B298" s="351"/>
      <c r="C298" s="351"/>
      <c r="D298" s="341"/>
      <c r="E298" s="341"/>
      <c r="F298" s="341"/>
      <c r="G298" s="351"/>
      <c r="H298" s="340"/>
      <c r="I298" s="63"/>
      <c r="J298" s="353"/>
      <c r="K298" s="354"/>
      <c r="L298" s="354"/>
      <c r="M298" s="354"/>
      <c r="N298" s="354"/>
      <c r="O298" s="354"/>
      <c r="P298" s="354"/>
    </row>
    <row r="299" spans="1:16" ht="18.75" customHeight="1">
      <c r="A299" s="221"/>
      <c r="B299" s="350"/>
      <c r="C299" s="351"/>
      <c r="D299" s="339"/>
      <c r="E299" s="339"/>
      <c r="F299" s="339"/>
      <c r="G299" s="351"/>
      <c r="H299" s="340"/>
      <c r="I299" s="328"/>
      <c r="J299" s="355"/>
      <c r="K299" s="354"/>
      <c r="L299" s="354"/>
      <c r="M299" s="354"/>
      <c r="N299" s="354"/>
      <c r="O299" s="354"/>
      <c r="P299" s="354"/>
    </row>
    <row r="300" spans="1:16" ht="18.75" customHeight="1">
      <c r="A300" s="221"/>
      <c r="B300" s="342"/>
      <c r="C300" s="342"/>
      <c r="D300" s="344"/>
      <c r="E300" s="342"/>
      <c r="F300" s="325"/>
      <c r="G300" s="325"/>
      <c r="H300" s="47"/>
      <c r="I300" s="63"/>
      <c r="J300" s="353"/>
      <c r="K300" s="354"/>
      <c r="L300" s="354"/>
      <c r="M300" s="354"/>
      <c r="N300" s="354"/>
      <c r="O300" s="354"/>
      <c r="P300" s="354"/>
    </row>
    <row r="301" spans="1:16" ht="18.75" customHeight="1">
      <c r="A301" s="221"/>
      <c r="B301" s="345"/>
      <c r="C301" s="345"/>
      <c r="D301" s="349"/>
      <c r="E301" s="345"/>
      <c r="F301" s="347"/>
      <c r="G301" s="347"/>
      <c r="H301" s="348"/>
      <c r="I301" s="328"/>
      <c r="J301" s="355"/>
      <c r="K301" s="354"/>
      <c r="L301" s="354"/>
      <c r="M301" s="354"/>
      <c r="N301" s="354"/>
      <c r="O301" s="354"/>
      <c r="P301" s="354"/>
    </row>
    <row r="302" spans="1:16" ht="18.75" customHeight="1">
      <c r="A302" s="221"/>
      <c r="B302" s="342"/>
      <c r="C302" s="342"/>
      <c r="D302" s="344"/>
      <c r="E302" s="342"/>
      <c r="F302" s="325"/>
      <c r="G302" s="325"/>
      <c r="H302" s="47"/>
      <c r="I302" s="63"/>
      <c r="J302" s="353"/>
      <c r="K302" s="354"/>
      <c r="L302" s="354"/>
      <c r="M302" s="354"/>
      <c r="N302" s="354"/>
      <c r="O302" s="354"/>
      <c r="P302" s="354"/>
    </row>
    <row r="303" spans="1:16" ht="18.75" customHeight="1">
      <c r="A303" s="221"/>
      <c r="B303" s="345"/>
      <c r="C303" s="345"/>
      <c r="D303" s="349"/>
      <c r="E303" s="345"/>
      <c r="F303" s="347"/>
      <c r="G303" s="347"/>
      <c r="H303" s="348"/>
      <c r="I303" s="328"/>
      <c r="J303" s="355"/>
      <c r="K303" s="354"/>
      <c r="L303" s="354"/>
      <c r="M303" s="354"/>
      <c r="N303" s="354"/>
      <c r="O303" s="354"/>
      <c r="P303" s="354"/>
    </row>
    <row r="304" spans="1:16" ht="18.75" customHeight="1">
      <c r="A304" s="221"/>
      <c r="B304" s="342"/>
      <c r="C304" s="342"/>
      <c r="D304" s="344"/>
      <c r="E304" s="342"/>
      <c r="F304" s="325"/>
      <c r="G304" s="325"/>
      <c r="H304" s="47"/>
      <c r="I304" s="63"/>
      <c r="J304" s="353"/>
      <c r="K304" s="354"/>
      <c r="L304" s="354"/>
      <c r="M304" s="354"/>
      <c r="N304" s="354"/>
      <c r="O304" s="354"/>
      <c r="P304" s="354"/>
    </row>
    <row r="305" spans="1:16" ht="18.75" customHeight="1">
      <c r="A305" s="221"/>
      <c r="B305" s="345"/>
      <c r="C305" s="345"/>
      <c r="D305" s="349"/>
      <c r="E305" s="345"/>
      <c r="F305" s="347"/>
      <c r="G305" s="347"/>
      <c r="H305" s="348"/>
      <c r="I305" s="328"/>
      <c r="J305" s="355"/>
      <c r="K305" s="354"/>
      <c r="L305" s="354"/>
      <c r="M305" s="354"/>
      <c r="N305" s="354"/>
      <c r="O305" s="354"/>
      <c r="P305" s="354"/>
    </row>
    <row r="306" spans="1:16" ht="18.75" customHeight="1">
      <c r="A306" s="221"/>
      <c r="B306" s="342"/>
      <c r="C306" s="342"/>
      <c r="D306" s="344"/>
      <c r="E306" s="342"/>
      <c r="F306" s="325"/>
      <c r="G306" s="325"/>
      <c r="H306" s="47"/>
      <c r="I306" s="63"/>
      <c r="J306" s="353"/>
      <c r="K306" s="354"/>
      <c r="L306" s="354"/>
      <c r="M306" s="354"/>
      <c r="N306" s="354"/>
      <c r="O306" s="354"/>
      <c r="P306" s="354"/>
    </row>
    <row r="307" spans="1:16" ht="18.75" customHeight="1">
      <c r="A307" s="221"/>
      <c r="B307" s="345"/>
      <c r="C307" s="345"/>
      <c r="D307" s="349"/>
      <c r="E307" s="345"/>
      <c r="F307" s="347"/>
      <c r="G307" s="347"/>
      <c r="H307" s="348"/>
      <c r="I307" s="328"/>
      <c r="J307" s="355"/>
      <c r="K307" s="354"/>
      <c r="L307" s="354"/>
      <c r="M307" s="354"/>
      <c r="N307" s="354"/>
      <c r="O307" s="354"/>
      <c r="P307" s="354"/>
    </row>
    <row r="308" spans="1:16" ht="18.75" customHeight="1">
      <c r="A308" s="221"/>
      <c r="B308" s="342"/>
      <c r="C308" s="342"/>
      <c r="D308" s="344"/>
      <c r="E308" s="342"/>
      <c r="F308" s="325"/>
      <c r="G308" s="325"/>
      <c r="H308" s="47"/>
      <c r="I308" s="63"/>
      <c r="J308" s="353"/>
      <c r="K308" s="354"/>
      <c r="L308" s="354"/>
      <c r="M308" s="354"/>
      <c r="N308" s="354"/>
      <c r="O308" s="354"/>
      <c r="P308" s="354"/>
    </row>
    <row r="309" spans="1:16" ht="18.75" customHeight="1">
      <c r="A309" s="221"/>
      <c r="B309" s="345"/>
      <c r="C309" s="345"/>
      <c r="D309" s="349"/>
      <c r="E309" s="345"/>
      <c r="F309" s="347"/>
      <c r="G309" s="347"/>
      <c r="H309" s="348"/>
      <c r="I309" s="328"/>
      <c r="J309" s="355"/>
      <c r="K309" s="354"/>
      <c r="L309" s="354"/>
      <c r="M309" s="354"/>
      <c r="N309" s="354"/>
      <c r="O309" s="354"/>
      <c r="P309" s="354"/>
    </row>
    <row r="310" spans="1:16" ht="18.75" customHeight="1">
      <c r="A310" s="221"/>
      <c r="B310" s="342"/>
      <c r="C310" s="342"/>
      <c r="D310" s="344"/>
      <c r="E310" s="342"/>
      <c r="F310" s="325"/>
      <c r="G310" s="325"/>
      <c r="H310" s="47"/>
      <c r="I310" s="63"/>
      <c r="J310" s="353"/>
      <c r="K310" s="354"/>
      <c r="L310" s="354"/>
      <c r="M310" s="354"/>
      <c r="N310" s="354"/>
      <c r="O310" s="354"/>
      <c r="P310" s="354"/>
    </row>
    <row r="311" spans="1:16" ht="18.75" customHeight="1">
      <c r="A311" s="221"/>
      <c r="B311" s="345"/>
      <c r="C311" s="345"/>
      <c r="D311" s="349"/>
      <c r="E311" s="345"/>
      <c r="F311" s="347"/>
      <c r="G311" s="347"/>
      <c r="H311" s="348"/>
      <c r="I311" s="328"/>
      <c r="J311" s="355"/>
      <c r="K311" s="354"/>
      <c r="L311" s="354"/>
      <c r="M311" s="354"/>
      <c r="N311" s="354"/>
      <c r="O311" s="354"/>
      <c r="P311" s="354"/>
    </row>
    <row r="312" spans="1:16" ht="18.75" customHeight="1">
      <c r="A312" s="221"/>
      <c r="B312" s="342"/>
      <c r="C312" s="342"/>
      <c r="D312" s="344"/>
      <c r="E312" s="342"/>
      <c r="F312" s="325"/>
      <c r="G312" s="342"/>
      <c r="H312" s="47"/>
      <c r="I312" s="63"/>
      <c r="J312" s="353"/>
      <c r="K312" s="354"/>
      <c r="L312" s="354"/>
      <c r="M312" s="354"/>
      <c r="N312" s="354"/>
      <c r="O312" s="354"/>
      <c r="P312" s="354"/>
    </row>
    <row r="313" spans="1:16" ht="18.75" customHeight="1">
      <c r="A313" s="221"/>
      <c r="B313" s="345"/>
      <c r="C313" s="345"/>
      <c r="D313" s="349"/>
      <c r="E313" s="345"/>
      <c r="F313" s="347"/>
      <c r="G313" s="345"/>
      <c r="H313" s="348"/>
      <c r="I313" s="328"/>
      <c r="J313" s="355"/>
      <c r="K313" s="354"/>
      <c r="L313" s="354"/>
      <c r="M313" s="354"/>
      <c r="N313" s="354"/>
      <c r="O313" s="354"/>
      <c r="P313" s="354"/>
    </row>
    <row r="314" spans="1:16" ht="18.75" customHeight="1">
      <c r="A314" s="221"/>
      <c r="B314" s="342"/>
      <c r="C314" s="342"/>
      <c r="D314" s="344"/>
      <c r="E314" s="342"/>
      <c r="F314" s="325"/>
      <c r="G314" s="342"/>
      <c r="H314" s="47"/>
      <c r="I314" s="63"/>
      <c r="J314" s="353"/>
      <c r="K314" s="354"/>
      <c r="L314" s="354"/>
      <c r="M314" s="354"/>
      <c r="N314" s="354"/>
      <c r="O314" s="354"/>
      <c r="P314" s="354"/>
    </row>
    <row r="315" spans="1:16" ht="18.75" customHeight="1">
      <c r="A315" s="221"/>
      <c r="B315" s="345"/>
      <c r="C315" s="345"/>
      <c r="D315" s="349"/>
      <c r="E315" s="345"/>
      <c r="F315" s="347"/>
      <c r="G315" s="345"/>
      <c r="H315" s="348"/>
      <c r="I315" s="328"/>
      <c r="J315" s="355"/>
      <c r="K315" s="354"/>
      <c r="L315" s="354"/>
      <c r="M315" s="354"/>
      <c r="N315" s="354"/>
      <c r="O315" s="354"/>
      <c r="P315" s="354"/>
    </row>
    <row r="316" spans="1:16" ht="18.75" customHeight="1">
      <c r="A316" s="221"/>
      <c r="B316" s="342"/>
      <c r="C316" s="342"/>
      <c r="D316" s="344"/>
      <c r="E316" s="342"/>
      <c r="F316" s="325"/>
      <c r="G316" s="342"/>
      <c r="H316" s="47"/>
      <c r="I316" s="63"/>
      <c r="J316" s="353"/>
      <c r="K316" s="354"/>
      <c r="L316" s="354"/>
      <c r="M316" s="354"/>
      <c r="N316" s="354"/>
      <c r="O316" s="354"/>
      <c r="P316" s="354"/>
    </row>
    <row r="317" spans="1:16" ht="18.75" customHeight="1">
      <c r="A317" s="221"/>
      <c r="B317" s="345"/>
      <c r="C317" s="345"/>
      <c r="D317" s="349"/>
      <c r="E317" s="345"/>
      <c r="F317" s="347"/>
      <c r="G317" s="345"/>
      <c r="H317" s="348"/>
      <c r="I317" s="328"/>
      <c r="J317" s="355"/>
      <c r="K317" s="354"/>
      <c r="L317" s="354"/>
      <c r="M317" s="354"/>
      <c r="N317" s="354"/>
      <c r="O317" s="354"/>
      <c r="P317" s="354"/>
    </row>
    <row r="318" spans="1:16" ht="18.75" customHeight="1">
      <c r="A318" s="221"/>
      <c r="B318" s="342"/>
      <c r="C318" s="342"/>
      <c r="D318" s="344"/>
      <c r="E318" s="342"/>
      <c r="F318" s="325"/>
      <c r="G318" s="342"/>
      <c r="H318" s="47"/>
      <c r="I318" s="63"/>
      <c r="J318" s="353"/>
      <c r="K318" s="354"/>
      <c r="L318" s="354"/>
      <c r="M318" s="354"/>
      <c r="N318" s="354"/>
      <c r="O318" s="354"/>
      <c r="P318" s="354"/>
    </row>
    <row r="319" spans="1:16" ht="18.75" customHeight="1">
      <c r="A319" s="221"/>
      <c r="B319" s="345"/>
      <c r="C319" s="345"/>
      <c r="D319" s="349"/>
      <c r="E319" s="345"/>
      <c r="F319" s="347"/>
      <c r="G319" s="345"/>
      <c r="H319" s="328"/>
      <c r="I319" s="328"/>
      <c r="J319" s="355"/>
      <c r="K319" s="354"/>
      <c r="L319" s="354"/>
      <c r="M319" s="354"/>
      <c r="N319" s="354"/>
      <c r="O319" s="354"/>
      <c r="P319" s="354"/>
    </row>
    <row r="320" spans="1:16" ht="18.75" customHeight="1">
      <c r="A320" s="221"/>
      <c r="B320" s="342"/>
      <c r="C320" s="342"/>
      <c r="D320" s="344"/>
      <c r="E320" s="342"/>
      <c r="F320" s="325"/>
      <c r="G320" s="343"/>
      <c r="H320" s="47"/>
      <c r="I320" s="63"/>
      <c r="J320" s="353"/>
      <c r="K320" s="354"/>
      <c r="L320" s="354"/>
      <c r="M320" s="354"/>
      <c r="N320" s="354"/>
      <c r="O320" s="354"/>
      <c r="P320" s="354"/>
    </row>
    <row r="321" spans="1:16" ht="18.75" customHeight="1">
      <c r="A321" s="221"/>
      <c r="B321" s="345"/>
      <c r="C321" s="345"/>
      <c r="D321" s="349"/>
      <c r="E321" s="345"/>
      <c r="F321" s="347"/>
      <c r="G321" s="346"/>
      <c r="H321" s="348"/>
      <c r="I321" s="328"/>
      <c r="J321" s="355"/>
      <c r="K321" s="354"/>
      <c r="L321" s="354"/>
      <c r="M321" s="354"/>
      <c r="N321" s="354"/>
      <c r="O321" s="354"/>
      <c r="P321" s="354"/>
    </row>
    <row r="322" spans="1:16" ht="18.75" customHeight="1">
      <c r="A322" s="221"/>
      <c r="B322" s="342"/>
      <c r="C322" s="342"/>
      <c r="D322" s="344"/>
      <c r="E322" s="342"/>
      <c r="F322" s="325"/>
      <c r="G322" s="343"/>
      <c r="H322" s="47"/>
      <c r="I322" s="63"/>
      <c r="J322" s="353"/>
      <c r="K322" s="354"/>
      <c r="L322" s="354"/>
      <c r="M322" s="354"/>
      <c r="N322" s="354"/>
      <c r="O322" s="354"/>
      <c r="P322" s="354"/>
    </row>
    <row r="323" spans="1:16" ht="18.75" customHeight="1">
      <c r="A323" s="221"/>
      <c r="B323" s="345"/>
      <c r="C323" s="345"/>
      <c r="D323" s="349"/>
      <c r="E323" s="345"/>
      <c r="F323" s="347"/>
      <c r="G323" s="346"/>
      <c r="H323" s="348"/>
      <c r="I323" s="328"/>
      <c r="J323" s="355"/>
      <c r="K323" s="354"/>
      <c r="L323" s="354"/>
      <c r="M323" s="354"/>
      <c r="N323" s="354"/>
      <c r="O323" s="354"/>
      <c r="P323" s="354"/>
    </row>
    <row r="324" spans="1:16" ht="18.75" customHeight="1">
      <c r="A324" s="221"/>
      <c r="B324" s="342"/>
      <c r="C324" s="342"/>
      <c r="D324" s="344"/>
      <c r="E324" s="342"/>
      <c r="F324" s="325"/>
      <c r="G324" s="325"/>
      <c r="H324" s="63"/>
      <c r="I324" s="63"/>
      <c r="J324" s="353"/>
      <c r="K324" s="354"/>
      <c r="L324" s="354"/>
      <c r="M324" s="354"/>
      <c r="N324" s="354"/>
      <c r="O324" s="354"/>
      <c r="P324" s="354"/>
    </row>
    <row r="325" spans="1:16" ht="18.75" customHeight="1">
      <c r="A325" s="221"/>
      <c r="B325" s="345"/>
      <c r="C325" s="345"/>
      <c r="D325" s="349"/>
      <c r="E325" s="345"/>
      <c r="F325" s="347"/>
      <c r="G325" s="347"/>
      <c r="H325" s="348"/>
      <c r="I325" s="328"/>
      <c r="J325" s="355"/>
      <c r="K325" s="354"/>
      <c r="L325" s="354"/>
      <c r="M325" s="354"/>
      <c r="N325" s="354"/>
      <c r="O325" s="354"/>
      <c r="P325" s="354"/>
    </row>
    <row r="326" spans="1:16" ht="18.75" customHeight="1">
      <c r="A326" s="221"/>
      <c r="B326" s="342"/>
      <c r="C326" s="342"/>
      <c r="D326" s="344"/>
      <c r="E326" s="342"/>
      <c r="F326" s="325"/>
      <c r="G326" s="325"/>
      <c r="H326" s="47"/>
      <c r="I326" s="63"/>
      <c r="J326" s="353"/>
      <c r="K326" s="354"/>
      <c r="L326" s="354"/>
      <c r="M326" s="354"/>
      <c r="N326" s="354"/>
      <c r="O326" s="354"/>
      <c r="P326" s="354"/>
    </row>
    <row r="327" spans="1:16" ht="18.75" customHeight="1">
      <c r="A327" s="221"/>
      <c r="B327" s="345"/>
      <c r="C327" s="345"/>
      <c r="D327" s="349"/>
      <c r="E327" s="345"/>
      <c r="F327" s="347"/>
      <c r="G327" s="347"/>
      <c r="H327" s="348"/>
      <c r="I327" s="328"/>
      <c r="J327" s="355"/>
      <c r="K327" s="354"/>
      <c r="L327" s="354"/>
      <c r="M327" s="354"/>
      <c r="N327" s="354"/>
      <c r="O327" s="354"/>
      <c r="P327" s="354"/>
    </row>
    <row r="328" spans="1:16" ht="18.75" customHeight="1">
      <c r="A328" s="221"/>
      <c r="B328" s="342"/>
      <c r="C328" s="342"/>
      <c r="D328" s="344"/>
      <c r="E328" s="342"/>
      <c r="F328" s="325"/>
      <c r="G328" s="325"/>
      <c r="H328" s="47"/>
      <c r="I328" s="63"/>
      <c r="J328" s="353"/>
      <c r="K328" s="354"/>
      <c r="L328" s="354"/>
      <c r="M328" s="354"/>
      <c r="N328" s="354"/>
      <c r="O328" s="354"/>
      <c r="P328" s="354"/>
    </row>
    <row r="329" spans="1:16" ht="18.75" customHeight="1">
      <c r="A329" s="221"/>
      <c r="B329" s="345"/>
      <c r="C329" s="345"/>
      <c r="D329" s="349"/>
      <c r="E329" s="345"/>
      <c r="F329" s="347"/>
      <c r="G329" s="347"/>
      <c r="H329" s="348"/>
      <c r="I329" s="328"/>
      <c r="J329" s="355"/>
      <c r="K329" s="354"/>
      <c r="L329" s="354"/>
      <c r="M329" s="354"/>
      <c r="N329" s="354"/>
      <c r="O329" s="354"/>
      <c r="P329" s="354"/>
    </row>
    <row r="330" spans="1:16" ht="18.75" customHeight="1">
      <c r="A330" s="221"/>
      <c r="B330" s="342"/>
      <c r="C330" s="342"/>
      <c r="D330" s="344"/>
      <c r="E330" s="342"/>
      <c r="F330" s="325"/>
      <c r="G330" s="325"/>
      <c r="H330" s="47"/>
      <c r="I330" s="63"/>
      <c r="J330" s="353"/>
      <c r="K330" s="354"/>
      <c r="L330" s="354"/>
      <c r="M330" s="354"/>
      <c r="N330" s="354"/>
      <c r="O330" s="354"/>
      <c r="P330" s="354"/>
    </row>
    <row r="331" spans="1:16" ht="18.75" customHeight="1">
      <c r="A331" s="221"/>
      <c r="B331" s="345"/>
      <c r="C331" s="345"/>
      <c r="D331" s="349"/>
      <c r="E331" s="345"/>
      <c r="F331" s="347"/>
      <c r="G331" s="347"/>
      <c r="H331" s="348"/>
      <c r="I331" s="328"/>
      <c r="J331" s="355"/>
      <c r="K331" s="354"/>
      <c r="L331" s="354"/>
      <c r="M331" s="354"/>
      <c r="N331" s="354"/>
      <c r="O331" s="354"/>
      <c r="P331" s="354"/>
    </row>
    <row r="332" spans="1:16" ht="18.75" customHeight="1">
      <c r="A332" s="221"/>
      <c r="B332" s="342"/>
      <c r="C332" s="342"/>
      <c r="D332" s="344"/>
      <c r="E332" s="342"/>
      <c r="F332" s="325"/>
      <c r="G332" s="325"/>
      <c r="H332" s="47"/>
      <c r="I332" s="63"/>
      <c r="J332" s="353"/>
      <c r="K332" s="354"/>
      <c r="L332" s="354"/>
      <c r="M332" s="354"/>
      <c r="N332" s="354"/>
      <c r="O332" s="354"/>
      <c r="P332" s="354"/>
    </row>
    <row r="333" spans="1:16" ht="18.75" customHeight="1">
      <c r="A333" s="221"/>
      <c r="B333" s="345"/>
      <c r="C333" s="345"/>
      <c r="D333" s="349"/>
      <c r="E333" s="345"/>
      <c r="F333" s="347"/>
      <c r="G333" s="347"/>
      <c r="H333" s="348"/>
      <c r="I333" s="328"/>
      <c r="J333" s="355"/>
      <c r="K333" s="354"/>
      <c r="L333" s="354"/>
      <c r="M333" s="354"/>
      <c r="N333" s="354"/>
      <c r="O333" s="354"/>
      <c r="P333" s="354"/>
    </row>
    <row r="334" spans="1:16" ht="18.75" customHeight="1">
      <c r="A334" s="221"/>
      <c r="B334" s="342"/>
      <c r="C334" s="342"/>
      <c r="D334" s="344"/>
      <c r="E334" s="342"/>
      <c r="F334" s="325"/>
      <c r="G334" s="325"/>
      <c r="H334" s="47"/>
      <c r="I334" s="63"/>
      <c r="J334" s="353"/>
      <c r="K334" s="354"/>
      <c r="L334" s="354"/>
      <c r="M334" s="354"/>
      <c r="N334" s="354"/>
      <c r="O334" s="354"/>
      <c r="P334" s="354"/>
    </row>
    <row r="335" spans="1:16" ht="18.75" customHeight="1">
      <c r="A335" s="221"/>
      <c r="B335" s="345"/>
      <c r="C335" s="345"/>
      <c r="D335" s="349"/>
      <c r="E335" s="345"/>
      <c r="F335" s="347"/>
      <c r="G335" s="347"/>
      <c r="H335" s="348"/>
      <c r="I335" s="328"/>
      <c r="J335" s="355"/>
      <c r="K335" s="354"/>
      <c r="L335" s="354"/>
      <c r="M335" s="354"/>
      <c r="N335" s="354"/>
      <c r="O335" s="354"/>
      <c r="P335" s="354"/>
    </row>
    <row r="336" spans="1:16" ht="18.75" customHeight="1">
      <c r="A336" s="221"/>
      <c r="B336" s="342"/>
      <c r="C336" s="342"/>
      <c r="D336" s="344"/>
      <c r="E336" s="342"/>
      <c r="F336" s="325"/>
      <c r="G336" s="325"/>
      <c r="H336" s="47"/>
      <c r="I336" s="63"/>
      <c r="J336" s="353"/>
      <c r="K336" s="354"/>
      <c r="L336" s="354"/>
      <c r="M336" s="354"/>
      <c r="N336" s="354"/>
      <c r="O336" s="354"/>
      <c r="P336" s="354"/>
    </row>
    <row r="337" spans="1:16" ht="18.75" customHeight="1">
      <c r="A337" s="221"/>
      <c r="B337" s="345"/>
      <c r="C337" s="345"/>
      <c r="D337" s="349"/>
      <c r="E337" s="345"/>
      <c r="F337" s="347"/>
      <c r="G337" s="347"/>
      <c r="H337" s="348"/>
      <c r="I337" s="328"/>
      <c r="J337" s="355"/>
      <c r="K337" s="356"/>
      <c r="L337" s="356"/>
      <c r="M337" s="356"/>
      <c r="N337" s="356"/>
      <c r="O337" s="356"/>
      <c r="P337" s="356"/>
    </row>
    <row r="338" spans="1:16" ht="18.75" customHeight="1">
      <c r="A338" s="221"/>
      <c r="B338" s="342"/>
      <c r="C338" s="342"/>
      <c r="D338" s="344"/>
      <c r="E338" s="342"/>
      <c r="F338" s="325"/>
      <c r="G338" s="325"/>
      <c r="H338" s="47"/>
      <c r="I338" s="63"/>
      <c r="J338" s="353"/>
      <c r="K338" s="356"/>
      <c r="L338" s="356"/>
      <c r="M338" s="356"/>
      <c r="N338" s="356"/>
      <c r="O338" s="356"/>
      <c r="P338" s="356"/>
    </row>
    <row r="339" spans="1:16" ht="18.75" customHeight="1">
      <c r="A339" s="221"/>
      <c r="B339" s="345"/>
      <c r="C339" s="345"/>
      <c r="D339" s="349"/>
      <c r="E339" s="345"/>
      <c r="F339" s="347"/>
      <c r="G339" s="347"/>
      <c r="H339" s="348"/>
      <c r="I339" s="328"/>
      <c r="J339" s="355"/>
      <c r="K339" s="356"/>
      <c r="L339" s="356"/>
      <c r="M339" s="356"/>
      <c r="N339" s="356"/>
      <c r="O339" s="356"/>
      <c r="P339" s="356"/>
    </row>
    <row r="340" spans="1:16" ht="18.75" customHeight="1">
      <c r="A340" s="221"/>
      <c r="B340" s="342"/>
      <c r="C340" s="342"/>
      <c r="D340" s="344"/>
      <c r="E340" s="342"/>
      <c r="F340" s="325"/>
      <c r="G340" s="325"/>
      <c r="H340" s="47"/>
      <c r="I340" s="63"/>
      <c r="J340" s="353"/>
      <c r="K340" s="356"/>
      <c r="L340" s="356"/>
      <c r="M340" s="356"/>
      <c r="N340" s="356"/>
      <c r="O340" s="356"/>
      <c r="P340" s="356"/>
    </row>
    <row r="341" spans="1:16" ht="18.75" customHeight="1">
      <c r="A341" s="221"/>
      <c r="B341" s="345"/>
      <c r="C341" s="345"/>
      <c r="D341" s="349"/>
      <c r="E341" s="345"/>
      <c r="F341" s="347"/>
      <c r="G341" s="347"/>
      <c r="H341" s="348"/>
      <c r="I341" s="328"/>
      <c r="J341" s="355"/>
      <c r="K341" s="356"/>
      <c r="L341" s="356"/>
      <c r="M341" s="356"/>
      <c r="N341" s="356"/>
      <c r="O341" s="356"/>
      <c r="P341" s="356"/>
    </row>
    <row r="342" spans="1:16" ht="18.75" customHeight="1">
      <c r="A342" s="221"/>
      <c r="B342" s="342"/>
      <c r="C342" s="342"/>
      <c r="D342" s="344"/>
      <c r="E342" s="342"/>
      <c r="F342" s="325"/>
      <c r="G342" s="325"/>
      <c r="H342" s="47"/>
      <c r="I342" s="63"/>
      <c r="J342" s="353"/>
      <c r="K342" s="356"/>
      <c r="L342" s="356"/>
      <c r="M342" s="356"/>
      <c r="N342" s="356"/>
      <c r="O342" s="356"/>
      <c r="P342" s="356"/>
    </row>
    <row r="343" spans="1:16" ht="18.75" customHeight="1">
      <c r="A343" s="221"/>
      <c r="B343" s="345"/>
      <c r="C343" s="345"/>
      <c r="D343" s="349"/>
      <c r="E343" s="345"/>
      <c r="F343" s="347"/>
      <c r="G343" s="347"/>
      <c r="H343" s="348"/>
      <c r="I343" s="328"/>
      <c r="J343" s="355"/>
      <c r="K343" s="356"/>
      <c r="L343" s="356"/>
      <c r="M343" s="356"/>
      <c r="N343" s="356"/>
      <c r="O343" s="356"/>
      <c r="P343" s="356"/>
    </row>
    <row r="344" spans="1:16" ht="18.75" customHeight="1">
      <c r="A344" s="221"/>
      <c r="B344" s="342"/>
      <c r="C344" s="342"/>
      <c r="D344" s="344"/>
      <c r="E344" s="342"/>
      <c r="F344" s="325"/>
      <c r="G344" s="325"/>
      <c r="H344" s="47"/>
      <c r="I344" s="63"/>
      <c r="J344" s="353"/>
      <c r="K344" s="356"/>
      <c r="L344" s="356"/>
      <c r="M344" s="356"/>
      <c r="N344" s="356"/>
      <c r="O344" s="356"/>
      <c r="P344" s="356"/>
    </row>
    <row r="345" spans="1:16" ht="18.75" customHeight="1">
      <c r="A345" s="221"/>
      <c r="B345" s="345"/>
      <c r="C345" s="345"/>
      <c r="D345" s="349"/>
      <c r="E345" s="345"/>
      <c r="F345" s="347"/>
      <c r="G345" s="347"/>
      <c r="H345" s="348"/>
      <c r="I345" s="328"/>
      <c r="J345" s="355"/>
      <c r="K345" s="356"/>
      <c r="L345" s="356"/>
      <c r="M345" s="356"/>
      <c r="N345" s="356"/>
      <c r="O345" s="356"/>
      <c r="P345" s="356"/>
    </row>
    <row r="346" spans="1:16" ht="18.75" customHeight="1">
      <c r="A346" s="221"/>
      <c r="B346" s="342"/>
      <c r="C346" s="342"/>
      <c r="D346" s="344"/>
      <c r="E346" s="342"/>
      <c r="F346" s="325"/>
      <c r="G346" s="325"/>
      <c r="H346" s="47"/>
      <c r="I346" s="63"/>
      <c r="J346" s="353"/>
      <c r="K346" s="356"/>
      <c r="L346" s="356"/>
      <c r="M346" s="356"/>
      <c r="N346" s="356"/>
      <c r="O346" s="356"/>
      <c r="P346" s="356"/>
    </row>
    <row r="347" spans="1:16" ht="18.75" customHeight="1">
      <c r="A347" s="221"/>
      <c r="B347" s="345"/>
      <c r="C347" s="345"/>
      <c r="D347" s="349"/>
      <c r="E347" s="345"/>
      <c r="F347" s="347"/>
      <c r="G347" s="347"/>
      <c r="H347" s="348"/>
      <c r="I347" s="328"/>
      <c r="J347" s="355"/>
      <c r="K347" s="356"/>
      <c r="L347" s="356"/>
      <c r="M347" s="356"/>
      <c r="N347" s="356"/>
      <c r="O347" s="356"/>
      <c r="P347" s="356"/>
    </row>
    <row r="348" spans="1:16" ht="18.75" customHeight="1">
      <c r="A348" s="221"/>
      <c r="B348" s="342"/>
      <c r="C348" s="342"/>
      <c r="D348" s="344"/>
      <c r="E348" s="342"/>
      <c r="F348" s="325"/>
      <c r="G348" s="325"/>
      <c r="H348" s="47"/>
      <c r="I348" s="63"/>
      <c r="J348" s="353"/>
      <c r="K348" s="356"/>
      <c r="L348" s="356"/>
      <c r="M348" s="356"/>
      <c r="N348" s="356"/>
      <c r="O348" s="356"/>
      <c r="P348" s="356"/>
    </row>
    <row r="349" spans="1:16" ht="18.75" customHeight="1">
      <c r="A349" s="221"/>
      <c r="B349" s="345"/>
      <c r="C349" s="345"/>
      <c r="D349" s="349"/>
      <c r="E349" s="345"/>
      <c r="F349" s="347"/>
      <c r="G349" s="347"/>
      <c r="H349" s="348"/>
      <c r="I349" s="328"/>
      <c r="J349" s="355"/>
      <c r="K349" s="356"/>
      <c r="L349" s="356"/>
      <c r="M349" s="356"/>
      <c r="N349" s="356"/>
      <c r="O349" s="356"/>
      <c r="P349" s="356"/>
    </row>
    <row r="350" spans="1:16" ht="18.75" customHeight="1">
      <c r="A350" s="221"/>
      <c r="B350" s="342"/>
      <c r="C350" s="342"/>
      <c r="D350" s="344"/>
      <c r="E350" s="342"/>
      <c r="F350" s="325"/>
      <c r="G350" s="325"/>
      <c r="H350" s="63"/>
      <c r="I350" s="63"/>
      <c r="J350" s="353"/>
      <c r="K350" s="356"/>
      <c r="L350" s="356"/>
      <c r="M350" s="356"/>
      <c r="N350" s="356"/>
      <c r="O350" s="356"/>
      <c r="P350" s="356"/>
    </row>
    <row r="351" spans="1:16" ht="18.75" customHeight="1">
      <c r="A351" s="221"/>
      <c r="B351" s="345"/>
      <c r="C351" s="345"/>
      <c r="D351" s="349"/>
      <c r="E351" s="345"/>
      <c r="F351" s="347"/>
      <c r="G351" s="347"/>
      <c r="H351" s="328"/>
      <c r="I351" s="328"/>
      <c r="J351" s="355"/>
      <c r="K351" s="356"/>
      <c r="L351" s="356"/>
      <c r="M351" s="356"/>
      <c r="N351" s="356"/>
      <c r="O351" s="356"/>
      <c r="P351" s="356"/>
    </row>
    <row r="352" spans="1:16" ht="18.75" customHeight="1">
      <c r="A352" s="221"/>
      <c r="B352" s="342"/>
      <c r="C352" s="342"/>
      <c r="D352" s="344"/>
      <c r="E352" s="342"/>
      <c r="F352" s="325"/>
      <c r="G352" s="325"/>
      <c r="H352" s="47"/>
      <c r="I352" s="63"/>
      <c r="J352" s="353"/>
      <c r="K352" s="356"/>
      <c r="L352" s="356"/>
      <c r="M352" s="356"/>
      <c r="N352" s="356"/>
      <c r="O352" s="356"/>
      <c r="P352" s="356"/>
    </row>
    <row r="353" spans="1:16" ht="18.75" customHeight="1">
      <c r="A353" s="221"/>
      <c r="B353" s="345"/>
      <c r="C353" s="345"/>
      <c r="D353" s="349"/>
      <c r="E353" s="345"/>
      <c r="F353" s="347"/>
      <c r="G353" s="347"/>
      <c r="H353" s="348"/>
      <c r="I353" s="328"/>
      <c r="J353" s="355"/>
      <c r="K353" s="356"/>
      <c r="L353" s="356"/>
      <c r="M353" s="356"/>
      <c r="N353" s="356"/>
      <c r="O353" s="356"/>
      <c r="P353" s="356"/>
    </row>
    <row r="354" spans="1:16" ht="18.75" customHeight="1">
      <c r="A354" s="221"/>
      <c r="B354" s="342"/>
      <c r="C354" s="342"/>
      <c r="D354" s="344"/>
      <c r="E354" s="342"/>
      <c r="F354" s="325"/>
      <c r="G354" s="325"/>
      <c r="H354" s="47"/>
      <c r="I354" s="63"/>
      <c r="J354" s="353"/>
      <c r="K354" s="356"/>
      <c r="L354" s="356"/>
      <c r="M354" s="356"/>
      <c r="N354" s="356"/>
      <c r="O354" s="356"/>
      <c r="P354" s="356"/>
    </row>
    <row r="355" spans="1:16" ht="18.75" customHeight="1">
      <c r="A355" s="221"/>
      <c r="B355" s="345"/>
      <c r="C355" s="345"/>
      <c r="D355" s="349"/>
      <c r="E355" s="345"/>
      <c r="F355" s="347"/>
      <c r="G355" s="347"/>
      <c r="H355" s="348"/>
      <c r="I355" s="328"/>
      <c r="J355" s="355"/>
      <c r="K355" s="356"/>
      <c r="L355" s="356"/>
      <c r="M355" s="356"/>
      <c r="N355" s="356"/>
      <c r="O355" s="356"/>
      <c r="P355" s="356"/>
    </row>
    <row r="356" spans="1:16" ht="18.75" customHeight="1">
      <c r="A356" s="221"/>
      <c r="B356" s="342"/>
      <c r="C356" s="342"/>
      <c r="D356" s="344"/>
      <c r="E356" s="342"/>
      <c r="F356" s="325"/>
      <c r="G356" s="325"/>
      <c r="H356" s="47"/>
      <c r="I356" s="63"/>
      <c r="J356" s="353"/>
      <c r="K356" s="356"/>
      <c r="L356" s="356"/>
      <c r="M356" s="356"/>
      <c r="N356" s="356"/>
      <c r="O356" s="356"/>
      <c r="P356" s="356"/>
    </row>
    <row r="357" spans="1:16" ht="18.75" customHeight="1">
      <c r="A357" s="221"/>
      <c r="B357" s="345"/>
      <c r="C357" s="345"/>
      <c r="D357" s="349"/>
      <c r="E357" s="345"/>
      <c r="F357" s="347"/>
      <c r="G357" s="347"/>
      <c r="H357" s="328"/>
      <c r="I357" s="328"/>
      <c r="J357" s="355"/>
      <c r="K357" s="356"/>
      <c r="L357" s="356"/>
      <c r="M357" s="356"/>
      <c r="N357" s="356"/>
      <c r="O357" s="356"/>
      <c r="P357" s="356"/>
    </row>
    <row r="358" spans="1:16" ht="18.75" customHeight="1">
      <c r="A358" s="221"/>
      <c r="B358" s="342"/>
      <c r="C358" s="342"/>
      <c r="D358" s="344"/>
      <c r="E358" s="342"/>
      <c r="F358" s="325"/>
      <c r="G358" s="325"/>
      <c r="H358" s="63"/>
      <c r="I358" s="63"/>
      <c r="J358" s="353"/>
      <c r="K358" s="356"/>
      <c r="L358" s="356"/>
      <c r="M358" s="356"/>
      <c r="N358" s="356"/>
      <c r="O358" s="356"/>
      <c r="P358" s="356"/>
    </row>
    <row r="359" spans="1:16" ht="18.75" customHeight="1">
      <c r="A359" s="221"/>
      <c r="B359" s="345"/>
      <c r="C359" s="345"/>
      <c r="D359" s="349"/>
      <c r="E359" s="345"/>
      <c r="F359" s="347"/>
      <c r="G359" s="347"/>
      <c r="H359" s="348"/>
      <c r="I359" s="328"/>
      <c r="J359" s="355"/>
      <c r="K359" s="356"/>
      <c r="L359" s="356"/>
      <c r="M359" s="356"/>
      <c r="N359" s="356"/>
      <c r="O359" s="356"/>
      <c r="P359" s="356"/>
    </row>
    <row r="360" spans="1:16" ht="18.75" customHeight="1">
      <c r="A360" s="221"/>
      <c r="B360" s="342"/>
      <c r="C360" s="342"/>
      <c r="D360" s="344"/>
      <c r="E360" s="342"/>
      <c r="F360" s="325"/>
      <c r="G360" s="325"/>
      <c r="H360" s="47"/>
      <c r="I360" s="63"/>
      <c r="J360" s="353"/>
      <c r="K360" s="356"/>
      <c r="L360" s="356"/>
      <c r="M360" s="356"/>
      <c r="N360" s="356"/>
      <c r="O360" s="356"/>
      <c r="P360" s="356"/>
    </row>
    <row r="361" spans="1:16" ht="18.75" customHeight="1">
      <c r="A361" s="221"/>
      <c r="B361" s="345"/>
      <c r="C361" s="345"/>
      <c r="D361" s="349"/>
      <c r="E361" s="345"/>
      <c r="F361" s="347"/>
      <c r="G361" s="347"/>
      <c r="H361" s="348"/>
      <c r="I361" s="328"/>
      <c r="J361" s="355"/>
      <c r="K361" s="356"/>
      <c r="L361" s="356"/>
      <c r="M361" s="356"/>
      <c r="N361" s="356"/>
      <c r="O361" s="356"/>
      <c r="P361" s="356"/>
    </row>
    <row r="362" spans="1:16" ht="18.75" customHeight="1">
      <c r="A362" s="221"/>
      <c r="B362" s="342"/>
      <c r="C362" s="342"/>
      <c r="D362" s="344"/>
      <c r="E362" s="342"/>
      <c r="F362" s="325"/>
      <c r="G362" s="325"/>
      <c r="H362" s="47"/>
      <c r="I362" s="63"/>
      <c r="J362" s="353"/>
      <c r="K362" s="356"/>
      <c r="L362" s="356"/>
      <c r="M362" s="356"/>
      <c r="N362" s="356"/>
      <c r="O362" s="356"/>
      <c r="P362" s="356"/>
    </row>
    <row r="363" spans="1:16" ht="18.75" customHeight="1">
      <c r="A363" s="221"/>
      <c r="B363" s="345"/>
      <c r="C363" s="345"/>
      <c r="D363" s="349"/>
      <c r="E363" s="345"/>
      <c r="F363" s="347"/>
      <c r="G363" s="347"/>
      <c r="H363" s="348"/>
      <c r="I363" s="328"/>
      <c r="J363" s="355"/>
      <c r="K363" s="356"/>
      <c r="L363" s="356"/>
      <c r="M363" s="356"/>
      <c r="N363" s="356"/>
      <c r="O363" s="356"/>
      <c r="P363" s="356"/>
    </row>
    <row r="364" spans="1:16" ht="18.75" customHeight="1">
      <c r="A364" s="221"/>
      <c r="B364" s="342"/>
      <c r="C364" s="342"/>
      <c r="D364" s="344"/>
      <c r="E364" s="342"/>
      <c r="F364" s="325"/>
      <c r="G364" s="325"/>
      <c r="H364" s="47"/>
      <c r="I364" s="63"/>
      <c r="J364" s="353"/>
      <c r="K364" s="356"/>
      <c r="L364" s="356"/>
      <c r="M364" s="356"/>
      <c r="N364" s="356"/>
      <c r="O364" s="356"/>
      <c r="P364" s="356"/>
    </row>
    <row r="365" spans="1:16" ht="18.75" customHeight="1">
      <c r="A365" s="221"/>
      <c r="B365" s="345"/>
      <c r="C365" s="345"/>
      <c r="D365" s="349"/>
      <c r="E365" s="345"/>
      <c r="F365" s="347"/>
      <c r="G365" s="347"/>
      <c r="H365" s="348"/>
      <c r="I365" s="328"/>
      <c r="J365" s="355"/>
      <c r="K365" s="356"/>
      <c r="L365" s="356"/>
      <c r="M365" s="356"/>
      <c r="N365" s="356"/>
      <c r="O365" s="356"/>
      <c r="P365" s="356"/>
    </row>
    <row r="366" spans="1:16" ht="18.75" customHeight="1">
      <c r="A366" s="221"/>
      <c r="B366" s="342"/>
      <c r="C366" s="342"/>
      <c r="D366" s="344"/>
      <c r="E366" s="342"/>
      <c r="F366" s="325"/>
      <c r="G366" s="325"/>
      <c r="H366" s="47"/>
      <c r="I366" s="63"/>
      <c r="J366" s="353"/>
      <c r="K366" s="356"/>
      <c r="L366" s="356"/>
      <c r="M366" s="356"/>
      <c r="N366" s="356"/>
      <c r="O366" s="356"/>
      <c r="P366" s="356"/>
    </row>
    <row r="367" spans="1:16" ht="18.75" customHeight="1">
      <c r="A367" s="221"/>
      <c r="B367" s="345"/>
      <c r="C367" s="345"/>
      <c r="D367" s="349"/>
      <c r="E367" s="345"/>
      <c r="F367" s="347"/>
      <c r="G367" s="347"/>
      <c r="H367" s="348"/>
      <c r="I367" s="328"/>
      <c r="J367" s="355"/>
      <c r="K367" s="356"/>
      <c r="L367" s="356"/>
      <c r="M367" s="356"/>
      <c r="N367" s="356"/>
      <c r="O367" s="356"/>
      <c r="P367" s="356"/>
    </row>
    <row r="368" spans="1:16" ht="18.75" customHeight="1">
      <c r="A368" s="221"/>
      <c r="B368" s="342"/>
      <c r="C368" s="342"/>
      <c r="D368" s="344"/>
      <c r="E368" s="342"/>
      <c r="F368" s="325"/>
      <c r="G368" s="341"/>
      <c r="H368" s="47"/>
      <c r="I368" s="63"/>
      <c r="J368" s="353"/>
      <c r="K368" s="356"/>
      <c r="L368" s="356"/>
      <c r="M368" s="356"/>
      <c r="N368" s="356"/>
      <c r="O368" s="356"/>
      <c r="P368" s="356"/>
    </row>
    <row r="369" spans="1:16" ht="18.75" customHeight="1">
      <c r="A369" s="221"/>
      <c r="B369" s="345"/>
      <c r="C369" s="345"/>
      <c r="D369" s="349"/>
      <c r="E369" s="345"/>
      <c r="F369" s="347"/>
      <c r="G369" s="339"/>
      <c r="H369" s="348"/>
      <c r="I369" s="328"/>
      <c r="J369" s="355"/>
      <c r="K369" s="356"/>
      <c r="L369" s="356"/>
      <c r="M369" s="356"/>
      <c r="N369" s="356"/>
      <c r="O369" s="356"/>
      <c r="P369" s="356"/>
    </row>
    <row r="370" spans="1:16" ht="18.75" customHeight="1">
      <c r="A370" s="221"/>
      <c r="B370" s="342"/>
      <c r="C370" s="342"/>
      <c r="D370" s="344"/>
      <c r="E370" s="342"/>
      <c r="F370" s="325"/>
      <c r="G370" s="341"/>
      <c r="H370" s="47"/>
      <c r="I370" s="63"/>
      <c r="J370" s="353"/>
      <c r="K370" s="356"/>
      <c r="L370" s="356"/>
      <c r="M370" s="356"/>
      <c r="N370" s="356"/>
      <c r="O370" s="356"/>
      <c r="P370" s="356"/>
    </row>
    <row r="371" spans="1:16" ht="18.75" customHeight="1">
      <c r="A371" s="221"/>
      <c r="B371" s="345"/>
      <c r="C371" s="345"/>
      <c r="D371" s="349"/>
      <c r="E371" s="345"/>
      <c r="F371" s="347"/>
      <c r="G371" s="339"/>
      <c r="H371" s="348"/>
      <c r="I371" s="328"/>
      <c r="J371" s="355"/>
      <c r="K371" s="356"/>
      <c r="L371" s="356"/>
      <c r="M371" s="356"/>
      <c r="N371" s="356"/>
      <c r="O371" s="356"/>
      <c r="P371" s="356"/>
    </row>
    <row r="372" spans="1:16" ht="18.75" customHeight="1">
      <c r="A372" s="221"/>
      <c r="B372" s="342"/>
      <c r="C372" s="342"/>
      <c r="D372" s="344"/>
      <c r="E372" s="342"/>
      <c r="F372" s="325"/>
      <c r="G372" s="341"/>
      <c r="H372" s="47"/>
      <c r="I372" s="63"/>
      <c r="J372" s="353"/>
      <c r="K372" s="356"/>
      <c r="L372" s="356"/>
      <c r="M372" s="356"/>
      <c r="N372" s="356"/>
      <c r="O372" s="356"/>
      <c r="P372" s="356"/>
    </row>
    <row r="373" spans="1:16" ht="18.75" customHeight="1">
      <c r="A373" s="221"/>
      <c r="B373" s="349"/>
      <c r="C373" s="345"/>
      <c r="D373" s="345"/>
      <c r="E373" s="345"/>
      <c r="F373" s="347"/>
      <c r="G373" s="345"/>
      <c r="H373" s="328"/>
      <c r="I373" s="328"/>
      <c r="J373" s="355"/>
      <c r="K373" s="356"/>
      <c r="L373" s="356"/>
      <c r="M373" s="356"/>
      <c r="N373" s="356"/>
      <c r="O373" s="356"/>
      <c r="P373" s="356"/>
    </row>
    <row r="374" spans="1:16" ht="18.75" customHeight="1">
      <c r="A374" s="221"/>
      <c r="B374" s="344"/>
      <c r="C374" s="342"/>
      <c r="D374" s="342"/>
      <c r="E374" s="342"/>
      <c r="F374" s="325"/>
      <c r="G374" s="342"/>
      <c r="H374" s="63"/>
      <c r="I374" s="63"/>
      <c r="J374" s="353"/>
      <c r="K374" s="356"/>
      <c r="L374" s="356"/>
      <c r="M374" s="356"/>
      <c r="N374" s="356"/>
      <c r="O374" s="356"/>
      <c r="P374" s="356"/>
    </row>
    <row r="375" spans="1:16" ht="18.75" customHeight="1">
      <c r="A375" s="221"/>
      <c r="B375" s="349"/>
      <c r="C375" s="347"/>
      <c r="D375" s="345"/>
      <c r="E375" s="345"/>
      <c r="F375" s="345"/>
      <c r="G375" s="345"/>
      <c r="H375" s="328"/>
      <c r="I375" s="328"/>
      <c r="J375" s="355"/>
      <c r="K375" s="356"/>
      <c r="L375" s="356"/>
      <c r="M375" s="356"/>
      <c r="N375" s="356"/>
      <c r="O375" s="356"/>
      <c r="P375" s="356"/>
    </row>
    <row r="376" spans="1:16" ht="18.75" customHeight="1">
      <c r="A376" s="221"/>
      <c r="B376" s="344"/>
      <c r="C376" s="342"/>
      <c r="D376" s="342"/>
      <c r="E376" s="342"/>
      <c r="F376" s="342"/>
      <c r="G376" s="342"/>
      <c r="H376" s="63"/>
      <c r="I376" s="63"/>
      <c r="J376" s="353"/>
      <c r="K376" s="356"/>
      <c r="L376" s="356"/>
      <c r="M376" s="356"/>
      <c r="N376" s="356"/>
      <c r="O376" s="356"/>
      <c r="P376" s="356"/>
    </row>
    <row r="377" spans="1:16" ht="18.75" customHeight="1">
      <c r="A377" s="221"/>
      <c r="B377" s="349"/>
      <c r="C377" s="345"/>
      <c r="D377" s="345"/>
      <c r="E377" s="345"/>
      <c r="F377" s="345"/>
      <c r="G377" s="345"/>
      <c r="H377" s="328"/>
      <c r="I377" s="328"/>
      <c r="J377" s="355"/>
      <c r="K377" s="356"/>
      <c r="L377" s="356"/>
      <c r="M377" s="356"/>
      <c r="N377" s="356"/>
      <c r="O377" s="356"/>
      <c r="P377" s="356"/>
    </row>
    <row r="378" spans="1:16" ht="18.75" customHeight="1">
      <c r="A378" s="221"/>
      <c r="B378" s="344"/>
      <c r="C378" s="342"/>
      <c r="D378" s="342"/>
      <c r="E378" s="342"/>
      <c r="F378" s="342"/>
      <c r="G378" s="342"/>
      <c r="H378" s="63"/>
      <c r="I378" s="63"/>
      <c r="J378" s="353"/>
      <c r="K378" s="356"/>
      <c r="L378" s="356"/>
      <c r="M378" s="356"/>
      <c r="N378" s="356"/>
      <c r="O378" s="356"/>
      <c r="P378" s="356"/>
    </row>
    <row r="379" spans="1:16" ht="18.75" customHeight="1">
      <c r="A379" s="221"/>
      <c r="B379" s="349"/>
      <c r="C379" s="347"/>
      <c r="D379" s="345"/>
      <c r="E379" s="345"/>
      <c r="F379" s="345"/>
      <c r="G379" s="345"/>
      <c r="H379" s="328"/>
      <c r="I379" s="328"/>
      <c r="J379" s="355"/>
      <c r="K379" s="356"/>
      <c r="L379" s="356"/>
      <c r="M379" s="356"/>
      <c r="N379" s="356"/>
      <c r="O379" s="356"/>
      <c r="P379" s="356"/>
    </row>
    <row r="380" spans="1:16" ht="18.75" customHeight="1">
      <c r="A380" s="221"/>
      <c r="B380" s="344"/>
      <c r="C380" s="325"/>
      <c r="D380" s="342"/>
      <c r="E380" s="342"/>
      <c r="F380" s="342"/>
      <c r="G380" s="342"/>
      <c r="H380" s="63"/>
      <c r="I380" s="63"/>
      <c r="J380" s="353"/>
      <c r="K380" s="356"/>
      <c r="L380" s="356"/>
      <c r="M380" s="356"/>
      <c r="N380" s="356"/>
      <c r="O380" s="356"/>
      <c r="P380" s="356"/>
    </row>
    <row r="381" spans="1:16" ht="18.75" customHeight="1">
      <c r="A381" s="221"/>
      <c r="B381" s="349"/>
      <c r="C381" s="347"/>
      <c r="D381" s="345"/>
      <c r="E381" s="345"/>
      <c r="F381" s="345"/>
      <c r="G381" s="345"/>
      <c r="H381" s="328"/>
      <c r="I381" s="328"/>
      <c r="J381" s="355"/>
      <c r="K381" s="356"/>
      <c r="L381" s="356"/>
      <c r="M381" s="356"/>
      <c r="N381" s="356"/>
      <c r="O381" s="356"/>
      <c r="P381" s="356"/>
    </row>
    <row r="382" spans="1:16" ht="18.75" customHeight="1">
      <c r="A382" s="221"/>
      <c r="B382" s="344"/>
      <c r="C382" s="325"/>
      <c r="D382" s="342"/>
      <c r="E382" s="342"/>
      <c r="F382" s="342"/>
      <c r="G382" s="342"/>
      <c r="H382" s="63"/>
      <c r="I382" s="63"/>
      <c r="J382" s="353"/>
      <c r="K382" s="356"/>
      <c r="L382" s="356"/>
      <c r="M382" s="356"/>
      <c r="N382" s="356"/>
      <c r="O382" s="356"/>
      <c r="P382" s="356"/>
    </row>
    <row r="383" spans="1:16" ht="18.75" customHeight="1">
      <c r="A383" s="221"/>
      <c r="B383" s="349"/>
      <c r="C383" s="345"/>
      <c r="D383" s="345"/>
      <c r="E383" s="345"/>
      <c r="F383" s="345"/>
      <c r="G383" s="345"/>
      <c r="H383" s="328"/>
      <c r="I383" s="328"/>
      <c r="J383" s="355"/>
      <c r="K383" s="356"/>
      <c r="L383" s="356"/>
      <c r="M383" s="356"/>
      <c r="N383" s="356"/>
      <c r="O383" s="356"/>
      <c r="P383" s="356"/>
    </row>
    <row r="384" spans="1:16" ht="18.75" customHeight="1">
      <c r="A384" s="221"/>
      <c r="B384" s="344"/>
      <c r="C384" s="342"/>
      <c r="D384" s="342"/>
      <c r="E384" s="342"/>
      <c r="F384" s="342"/>
      <c r="G384" s="342"/>
      <c r="H384" s="63"/>
      <c r="I384" s="63"/>
      <c r="J384" s="353"/>
      <c r="K384" s="356"/>
      <c r="L384" s="356"/>
      <c r="M384" s="356"/>
      <c r="N384" s="356"/>
      <c r="O384" s="356"/>
      <c r="P384" s="356"/>
    </row>
    <row r="385" spans="1:16" ht="18.75" customHeight="1">
      <c r="A385" s="221"/>
      <c r="B385" s="349"/>
      <c r="C385" s="345"/>
      <c r="D385" s="345"/>
      <c r="E385" s="345"/>
      <c r="F385" s="345"/>
      <c r="G385" s="345"/>
      <c r="H385" s="328"/>
      <c r="I385" s="328"/>
      <c r="J385" s="355"/>
      <c r="K385" s="356"/>
      <c r="L385" s="356"/>
      <c r="M385" s="356"/>
      <c r="N385" s="356"/>
      <c r="O385" s="356"/>
      <c r="P385" s="356"/>
    </row>
    <row r="386" spans="1:16" ht="18.75" customHeight="1">
      <c r="A386" s="221"/>
      <c r="B386" s="344"/>
      <c r="C386" s="325"/>
      <c r="D386" s="342"/>
      <c r="E386" s="342"/>
      <c r="F386" s="342"/>
      <c r="G386" s="342"/>
      <c r="H386" s="63"/>
      <c r="I386" s="63"/>
      <c r="J386" s="353"/>
      <c r="K386" s="356"/>
      <c r="L386" s="356"/>
      <c r="M386" s="356"/>
      <c r="N386" s="356"/>
      <c r="O386" s="356"/>
      <c r="P386" s="356"/>
    </row>
    <row r="387" spans="1:16" ht="18.75" customHeight="1">
      <c r="A387" s="221"/>
      <c r="B387" s="349"/>
      <c r="C387" s="347"/>
      <c r="D387" s="345"/>
      <c r="E387" s="345"/>
      <c r="F387" s="345"/>
      <c r="G387" s="345"/>
      <c r="H387" s="328"/>
      <c r="I387" s="328"/>
      <c r="J387" s="355"/>
      <c r="K387" s="356"/>
      <c r="L387" s="356"/>
      <c r="M387" s="356"/>
      <c r="N387" s="356"/>
      <c r="O387" s="356"/>
      <c r="P387" s="356"/>
    </row>
    <row r="388" spans="1:16" ht="18.75" customHeight="1">
      <c r="A388" s="221"/>
      <c r="B388" s="344"/>
      <c r="C388" s="325"/>
      <c r="D388" s="342"/>
      <c r="E388" s="342"/>
      <c r="F388" s="342"/>
      <c r="G388" s="342"/>
      <c r="H388" s="63"/>
      <c r="I388" s="63"/>
      <c r="J388" s="353"/>
      <c r="K388" s="356"/>
      <c r="L388" s="356"/>
      <c r="M388" s="356"/>
      <c r="N388" s="356"/>
      <c r="O388" s="356"/>
      <c r="P388" s="356"/>
    </row>
    <row r="389" spans="1:16" ht="18.75" customHeight="1">
      <c r="A389" s="221"/>
      <c r="B389" s="349"/>
      <c r="C389" s="347"/>
      <c r="D389" s="345"/>
      <c r="E389" s="345"/>
      <c r="F389" s="345"/>
      <c r="G389" s="345"/>
      <c r="H389" s="328"/>
      <c r="I389" s="328"/>
      <c r="J389" s="355"/>
      <c r="K389" s="356"/>
      <c r="L389" s="356"/>
      <c r="M389" s="356"/>
      <c r="N389" s="356"/>
      <c r="O389" s="356"/>
      <c r="P389" s="356"/>
    </row>
    <row r="390" spans="1:16" ht="18.75" customHeight="1">
      <c r="A390" s="221"/>
      <c r="B390" s="344"/>
      <c r="C390" s="325"/>
      <c r="D390" s="342"/>
      <c r="E390" s="342"/>
      <c r="F390" s="342"/>
      <c r="G390" s="342"/>
      <c r="H390" s="63"/>
      <c r="I390" s="63"/>
      <c r="J390" s="353"/>
      <c r="K390" s="356"/>
      <c r="L390" s="356"/>
      <c r="M390" s="356"/>
      <c r="N390" s="356"/>
      <c r="O390" s="356"/>
      <c r="P390" s="356"/>
    </row>
    <row r="391" spans="1:16" ht="18.75" customHeight="1">
      <c r="A391" s="221"/>
      <c r="B391" s="345"/>
      <c r="C391" s="345"/>
      <c r="D391" s="345"/>
      <c r="E391" s="344"/>
      <c r="F391" s="344"/>
      <c r="G391" s="347"/>
      <c r="H391" s="63"/>
      <c r="I391" s="328"/>
      <c r="J391" s="355"/>
      <c r="K391" s="356"/>
      <c r="L391" s="356"/>
      <c r="M391" s="356"/>
      <c r="N391" s="356"/>
      <c r="O391" s="356"/>
      <c r="P391" s="356"/>
    </row>
    <row r="392" spans="1:16" ht="18.75" customHeight="1">
      <c r="A392" s="221"/>
      <c r="B392" s="342"/>
      <c r="C392" s="342"/>
      <c r="D392" s="342"/>
      <c r="E392" s="344"/>
      <c r="F392" s="344"/>
      <c r="G392" s="325"/>
      <c r="H392" s="63"/>
      <c r="I392" s="63"/>
      <c r="J392" s="353"/>
      <c r="K392" s="356"/>
      <c r="L392" s="356"/>
      <c r="M392" s="356"/>
      <c r="N392" s="356"/>
      <c r="O392" s="356"/>
      <c r="P392" s="356"/>
    </row>
    <row r="393" spans="1:16" ht="18.75" customHeight="1">
      <c r="A393" s="221"/>
      <c r="B393" s="345"/>
      <c r="C393" s="345"/>
      <c r="D393" s="345"/>
      <c r="E393" s="344"/>
      <c r="F393" s="344"/>
      <c r="G393" s="347"/>
      <c r="H393" s="63"/>
      <c r="I393" s="328"/>
      <c r="J393" s="355"/>
      <c r="K393" s="356"/>
      <c r="L393" s="356"/>
      <c r="M393" s="356"/>
      <c r="N393" s="356"/>
      <c r="O393" s="356"/>
      <c r="P393" s="356"/>
    </row>
    <row r="394" spans="1:16" ht="18.75" customHeight="1">
      <c r="A394" s="221"/>
      <c r="B394" s="342"/>
      <c r="C394" s="342"/>
      <c r="D394" s="342"/>
      <c r="E394" s="344"/>
      <c r="F394" s="344"/>
      <c r="G394" s="325"/>
      <c r="H394" s="63"/>
      <c r="I394" s="63"/>
      <c r="J394" s="353"/>
      <c r="K394" s="356"/>
      <c r="L394" s="356"/>
      <c r="M394" s="356"/>
      <c r="N394" s="356"/>
      <c r="O394" s="356"/>
      <c r="P394" s="356"/>
    </row>
    <row r="395" spans="1:16" ht="18.75" customHeight="1">
      <c r="A395" s="221"/>
      <c r="B395" s="345"/>
      <c r="C395" s="345"/>
      <c r="D395" s="345"/>
      <c r="E395" s="344"/>
      <c r="F395" s="344"/>
      <c r="G395" s="347"/>
      <c r="H395" s="63"/>
      <c r="I395" s="328"/>
      <c r="J395" s="355"/>
      <c r="K395" s="356"/>
      <c r="L395" s="356"/>
      <c r="M395" s="356"/>
      <c r="N395" s="356"/>
      <c r="O395" s="356"/>
      <c r="P395" s="356"/>
    </row>
    <row r="396" spans="1:16" ht="18.75" customHeight="1">
      <c r="A396" s="221"/>
      <c r="B396" s="342"/>
      <c r="C396" s="342"/>
      <c r="D396" s="342"/>
      <c r="E396" s="344"/>
      <c r="F396" s="344"/>
      <c r="G396" s="325"/>
      <c r="H396" s="63"/>
      <c r="I396" s="63"/>
      <c r="J396" s="353"/>
      <c r="K396" s="356"/>
      <c r="L396" s="356"/>
      <c r="M396" s="356"/>
      <c r="N396" s="356"/>
      <c r="O396" s="356"/>
      <c r="P396" s="356"/>
    </row>
    <row r="397" spans="1:16" ht="18.75" customHeight="1">
      <c r="A397" s="221"/>
      <c r="B397" s="345"/>
      <c r="C397" s="345"/>
      <c r="D397" s="345"/>
      <c r="E397" s="344"/>
      <c r="F397" s="344"/>
      <c r="G397" s="347"/>
      <c r="H397" s="63"/>
      <c r="I397" s="328"/>
      <c r="J397" s="355"/>
      <c r="K397" s="356"/>
      <c r="L397" s="356"/>
      <c r="M397" s="356"/>
      <c r="N397" s="356"/>
      <c r="O397" s="356"/>
      <c r="P397" s="356"/>
    </row>
    <row r="398" spans="1:16" ht="18.75" customHeight="1">
      <c r="A398" s="221"/>
      <c r="B398" s="342"/>
      <c r="C398" s="342"/>
      <c r="D398" s="342"/>
      <c r="E398" s="344"/>
      <c r="F398" s="344"/>
      <c r="G398" s="325"/>
      <c r="H398" s="63"/>
      <c r="I398" s="63"/>
      <c r="J398" s="353"/>
      <c r="K398" s="356"/>
      <c r="L398" s="356"/>
      <c r="M398" s="356"/>
      <c r="N398" s="356"/>
      <c r="O398" s="356"/>
      <c r="P398" s="356"/>
    </row>
    <row r="399" spans="1:16" ht="18.75" customHeight="1">
      <c r="A399" s="221"/>
      <c r="B399" s="345"/>
      <c r="C399" s="345"/>
      <c r="D399" s="345"/>
      <c r="E399" s="344"/>
      <c r="F399" s="344"/>
      <c r="G399" s="347"/>
      <c r="H399" s="63"/>
      <c r="I399" s="328"/>
      <c r="J399" s="355"/>
      <c r="K399" s="356"/>
      <c r="L399" s="356"/>
      <c r="M399" s="356"/>
      <c r="N399" s="356"/>
      <c r="O399" s="356"/>
      <c r="P399" s="356"/>
    </row>
    <row r="400" spans="1:16" ht="18.75" customHeight="1">
      <c r="A400" s="221"/>
      <c r="B400" s="342"/>
      <c r="C400" s="342"/>
      <c r="D400" s="342"/>
      <c r="E400" s="344"/>
      <c r="F400" s="344"/>
      <c r="G400" s="325"/>
      <c r="H400" s="63"/>
      <c r="I400" s="63"/>
      <c r="J400" s="353"/>
      <c r="K400" s="356"/>
      <c r="L400" s="356"/>
      <c r="M400" s="356"/>
      <c r="N400" s="356"/>
      <c r="O400" s="356"/>
      <c r="P400" s="356"/>
    </row>
    <row r="401" spans="1:16" ht="18.75" customHeight="1">
      <c r="A401" s="221"/>
      <c r="B401" s="345"/>
      <c r="C401" s="345"/>
      <c r="D401" s="345"/>
      <c r="E401" s="344"/>
      <c r="F401" s="344"/>
      <c r="G401" s="347"/>
      <c r="H401" s="63"/>
      <c r="I401" s="328"/>
      <c r="J401" s="355"/>
      <c r="K401" s="356"/>
      <c r="L401" s="356"/>
      <c r="M401" s="356"/>
      <c r="N401" s="356"/>
      <c r="O401" s="356"/>
      <c r="P401" s="356"/>
    </row>
    <row r="402" spans="1:16" ht="18.75" customHeight="1">
      <c r="A402" s="221"/>
      <c r="B402" s="342"/>
      <c r="C402" s="342"/>
      <c r="D402" s="342"/>
      <c r="E402" s="344"/>
      <c r="F402" s="344"/>
      <c r="G402" s="325"/>
      <c r="H402" s="63"/>
      <c r="I402" s="63"/>
      <c r="J402" s="353"/>
      <c r="K402" s="356"/>
      <c r="L402" s="356"/>
      <c r="M402" s="356"/>
      <c r="N402" s="356"/>
      <c r="O402" s="356"/>
      <c r="P402" s="356"/>
    </row>
    <row r="403" spans="1:16" ht="18.75" customHeight="1">
      <c r="A403" s="221"/>
      <c r="B403" s="345"/>
      <c r="C403" s="345"/>
      <c r="D403" s="345"/>
      <c r="E403" s="344"/>
      <c r="F403" s="344"/>
      <c r="G403" s="347"/>
      <c r="H403" s="63"/>
      <c r="I403" s="328"/>
      <c r="J403" s="355"/>
      <c r="K403" s="356"/>
      <c r="L403" s="356"/>
      <c r="M403" s="356"/>
      <c r="N403" s="356"/>
      <c r="O403" s="356"/>
      <c r="P403" s="356"/>
    </row>
    <row r="404" spans="1:16" ht="18.75" customHeight="1">
      <c r="A404" s="221"/>
      <c r="B404" s="342"/>
      <c r="C404" s="342"/>
      <c r="D404" s="342"/>
      <c r="E404" s="344"/>
      <c r="F404" s="344"/>
      <c r="G404" s="325"/>
      <c r="H404" s="63"/>
      <c r="I404" s="63"/>
      <c r="J404" s="353"/>
      <c r="K404" s="356"/>
      <c r="L404" s="356"/>
      <c r="M404" s="356"/>
      <c r="N404" s="356"/>
      <c r="O404" s="356"/>
      <c r="P404" s="356"/>
    </row>
    <row r="405" spans="1:16" ht="18.75" customHeight="1">
      <c r="A405" s="221"/>
      <c r="B405" s="345"/>
      <c r="C405" s="345"/>
      <c r="D405" s="345"/>
      <c r="E405" s="345"/>
      <c r="F405" s="345"/>
      <c r="G405" s="325"/>
      <c r="H405" s="348"/>
      <c r="I405" s="328"/>
      <c r="J405" s="355"/>
      <c r="K405" s="356"/>
      <c r="L405" s="356"/>
      <c r="M405" s="356"/>
      <c r="N405" s="356"/>
      <c r="O405" s="356"/>
      <c r="P405" s="356"/>
    </row>
    <row r="406" spans="1:16" ht="18.75" customHeight="1">
      <c r="A406" s="221"/>
      <c r="B406" s="342"/>
      <c r="C406" s="342"/>
      <c r="D406" s="342"/>
      <c r="E406" s="342"/>
      <c r="F406" s="342"/>
      <c r="G406" s="325"/>
      <c r="H406" s="47"/>
      <c r="I406" s="63"/>
      <c r="J406" s="353"/>
      <c r="K406" s="356"/>
      <c r="L406" s="356"/>
      <c r="M406" s="356"/>
      <c r="N406" s="356"/>
      <c r="O406" s="356"/>
      <c r="P406" s="356"/>
    </row>
    <row r="407" spans="1:16" ht="18.75" customHeight="1">
      <c r="A407" s="221"/>
      <c r="B407" s="345"/>
      <c r="C407" s="345"/>
      <c r="D407" s="345"/>
      <c r="E407" s="345"/>
      <c r="F407" s="345"/>
      <c r="G407" s="325"/>
      <c r="H407" s="348"/>
      <c r="I407" s="328"/>
      <c r="J407" s="355"/>
      <c r="K407" s="356"/>
      <c r="L407" s="356"/>
      <c r="M407" s="356"/>
      <c r="N407" s="356"/>
      <c r="O407" s="356"/>
      <c r="P407" s="356"/>
    </row>
    <row r="408" spans="1:16" ht="18.75" customHeight="1">
      <c r="A408" s="221"/>
      <c r="B408" s="342"/>
      <c r="C408" s="342"/>
      <c r="D408" s="342"/>
      <c r="E408" s="342"/>
      <c r="F408" s="342"/>
      <c r="G408" s="325"/>
      <c r="H408" s="47"/>
      <c r="I408" s="63"/>
      <c r="J408" s="353"/>
      <c r="K408" s="356"/>
      <c r="L408" s="356"/>
      <c r="M408" s="356"/>
      <c r="N408" s="356"/>
      <c r="O408" s="356"/>
      <c r="P408" s="356"/>
    </row>
    <row r="409" spans="1:16" ht="18.75" customHeight="1">
      <c r="A409" s="221"/>
      <c r="B409" s="345"/>
      <c r="C409" s="345"/>
      <c r="D409" s="345"/>
      <c r="E409" s="345"/>
      <c r="F409" s="345"/>
      <c r="G409" s="325"/>
      <c r="H409" s="348"/>
      <c r="I409" s="328"/>
      <c r="J409" s="355"/>
      <c r="K409" s="356"/>
      <c r="L409" s="356"/>
      <c r="M409" s="356"/>
      <c r="N409" s="356"/>
      <c r="O409" s="356"/>
      <c r="P409" s="356"/>
    </row>
    <row r="410" spans="1:16" ht="18.75" customHeight="1">
      <c r="A410" s="221"/>
      <c r="B410" s="342"/>
      <c r="C410" s="342"/>
      <c r="D410" s="342"/>
      <c r="E410" s="342"/>
      <c r="F410" s="342"/>
      <c r="G410" s="325"/>
      <c r="H410" s="47"/>
      <c r="I410" s="63"/>
      <c r="J410" s="353"/>
      <c r="K410" s="356"/>
      <c r="L410" s="356"/>
      <c r="M410" s="356"/>
      <c r="N410" s="356"/>
      <c r="O410" s="356"/>
      <c r="P410" s="356"/>
    </row>
    <row r="411" spans="1:16" ht="18.75" customHeight="1">
      <c r="A411" s="221"/>
      <c r="B411" s="345"/>
      <c r="C411" s="345"/>
      <c r="D411" s="345"/>
      <c r="E411" s="345"/>
      <c r="F411" s="345"/>
      <c r="G411" s="325"/>
      <c r="H411" s="348"/>
      <c r="I411" s="328"/>
      <c r="J411" s="355"/>
      <c r="K411" s="356"/>
      <c r="L411" s="356"/>
      <c r="M411" s="356"/>
      <c r="N411" s="356"/>
      <c r="O411" s="356"/>
      <c r="P411" s="356"/>
    </row>
    <row r="412" spans="1:16" ht="18.75" customHeight="1">
      <c r="A412" s="221"/>
      <c r="B412" s="342"/>
      <c r="C412" s="342"/>
      <c r="D412" s="342"/>
      <c r="E412" s="342"/>
      <c r="F412" s="342"/>
      <c r="G412" s="325"/>
      <c r="H412" s="47"/>
      <c r="I412" s="63"/>
      <c r="J412" s="353"/>
      <c r="K412" s="356"/>
      <c r="L412" s="356"/>
      <c r="M412" s="356"/>
      <c r="N412" s="356"/>
      <c r="O412" s="356"/>
      <c r="P412" s="356"/>
    </row>
    <row r="413" spans="1:16" ht="18.75" customHeight="1">
      <c r="A413" s="221"/>
      <c r="B413" s="345"/>
      <c r="C413" s="345"/>
      <c r="D413" s="345"/>
      <c r="E413" s="345"/>
      <c r="F413" s="345"/>
      <c r="G413" s="325"/>
      <c r="H413" s="348"/>
      <c r="I413" s="328"/>
      <c r="J413" s="355"/>
      <c r="K413" s="356"/>
      <c r="L413" s="356"/>
      <c r="M413" s="356"/>
      <c r="N413" s="356"/>
      <c r="O413" s="356"/>
      <c r="P413" s="356"/>
    </row>
    <row r="414" spans="1:16" ht="18.75" customHeight="1">
      <c r="A414" s="221"/>
      <c r="B414" s="342"/>
      <c r="C414" s="342"/>
      <c r="D414" s="342"/>
      <c r="E414" s="342"/>
      <c r="F414" s="342"/>
      <c r="G414" s="325"/>
      <c r="H414" s="47"/>
      <c r="I414" s="63"/>
      <c r="J414" s="353"/>
      <c r="K414" s="356"/>
      <c r="L414" s="356"/>
      <c r="M414" s="356"/>
      <c r="N414" s="356"/>
      <c r="O414" s="356"/>
      <c r="P414" s="356"/>
    </row>
    <row r="415" spans="1:16" ht="18.75" customHeight="1">
      <c r="A415" s="221"/>
      <c r="B415" s="345"/>
      <c r="C415" s="345"/>
      <c r="D415" s="345"/>
      <c r="E415" s="345"/>
      <c r="F415" s="345"/>
      <c r="G415" s="325"/>
      <c r="H415" s="348"/>
      <c r="I415" s="328"/>
      <c r="J415" s="355"/>
      <c r="K415" s="356"/>
      <c r="L415" s="356"/>
      <c r="M415" s="356"/>
      <c r="N415" s="356"/>
      <c r="O415" s="356"/>
      <c r="P415" s="356"/>
    </row>
    <row r="416" spans="1:16" ht="18.75" customHeight="1">
      <c r="A416" s="221"/>
      <c r="B416" s="342"/>
      <c r="C416" s="342"/>
      <c r="D416" s="342"/>
      <c r="E416" s="342"/>
      <c r="F416" s="342"/>
      <c r="G416" s="325"/>
      <c r="H416" s="47"/>
      <c r="I416" s="63"/>
      <c r="J416" s="353"/>
      <c r="K416" s="356"/>
      <c r="L416" s="356"/>
      <c r="M416" s="356"/>
      <c r="N416" s="356"/>
      <c r="O416" s="356"/>
      <c r="P416" s="356"/>
    </row>
    <row r="417" spans="1:16" ht="18.75" customHeight="1">
      <c r="A417" s="221"/>
      <c r="B417" s="345"/>
      <c r="C417" s="345"/>
      <c r="D417" s="345"/>
      <c r="E417" s="345"/>
      <c r="F417" s="345"/>
      <c r="G417" s="345"/>
      <c r="H417" s="348"/>
      <c r="I417" s="328"/>
      <c r="J417" s="355"/>
      <c r="K417" s="356"/>
      <c r="L417" s="356"/>
      <c r="M417" s="356"/>
      <c r="N417" s="356"/>
      <c r="O417" s="356"/>
      <c r="P417" s="356"/>
    </row>
    <row r="418" spans="1:16" ht="18.75" customHeight="1">
      <c r="A418" s="221"/>
      <c r="B418" s="342"/>
      <c r="C418" s="342"/>
      <c r="D418" s="342"/>
      <c r="E418" s="342"/>
      <c r="F418" s="342"/>
      <c r="G418" s="342"/>
      <c r="H418" s="47"/>
      <c r="I418" s="63"/>
      <c r="J418" s="353"/>
      <c r="K418" s="356"/>
      <c r="L418" s="356"/>
      <c r="M418" s="356"/>
      <c r="N418" s="356"/>
      <c r="O418" s="356"/>
      <c r="P418" s="356"/>
    </row>
    <row r="419" spans="1:16" ht="18.75" customHeight="1">
      <c r="A419" s="221"/>
      <c r="B419" s="345"/>
      <c r="C419" s="345"/>
      <c r="D419" s="345"/>
      <c r="E419" s="345"/>
      <c r="F419" s="345"/>
      <c r="G419" s="345"/>
      <c r="H419" s="348"/>
      <c r="I419" s="328"/>
      <c r="J419" s="355"/>
      <c r="K419" s="356"/>
      <c r="L419" s="356"/>
      <c r="M419" s="356"/>
      <c r="N419" s="356"/>
      <c r="O419" s="356"/>
      <c r="P419" s="356"/>
    </row>
    <row r="420" spans="1:16" ht="18.75" customHeight="1">
      <c r="A420" s="221"/>
      <c r="B420" s="342"/>
      <c r="C420" s="342"/>
      <c r="D420" s="342"/>
      <c r="E420" s="342"/>
      <c r="F420" s="342"/>
      <c r="G420" s="342"/>
      <c r="H420" s="47"/>
      <c r="I420" s="63"/>
      <c r="J420" s="353"/>
      <c r="K420" s="356"/>
      <c r="L420" s="356"/>
      <c r="M420" s="356"/>
      <c r="N420" s="356"/>
      <c r="O420" s="356"/>
      <c r="P420" s="356"/>
    </row>
    <row r="421" spans="1:16" ht="18.75" customHeight="1">
      <c r="A421" s="221"/>
      <c r="B421" s="345"/>
      <c r="C421" s="345"/>
      <c r="D421" s="345"/>
      <c r="E421" s="345"/>
      <c r="F421" s="345"/>
      <c r="G421" s="345"/>
      <c r="H421" s="348"/>
      <c r="I421" s="328"/>
      <c r="J421" s="355"/>
      <c r="K421" s="356"/>
      <c r="L421" s="356"/>
      <c r="M421" s="356"/>
      <c r="N421" s="356"/>
      <c r="O421" s="356"/>
      <c r="P421" s="356"/>
    </row>
    <row r="422" spans="1:16" ht="18.75" customHeight="1">
      <c r="A422" s="221"/>
      <c r="B422" s="342"/>
      <c r="C422" s="342"/>
      <c r="D422" s="342"/>
      <c r="E422" s="342"/>
      <c r="F422" s="342"/>
      <c r="G422" s="342"/>
      <c r="H422" s="47"/>
      <c r="I422" s="63"/>
      <c r="J422" s="353"/>
      <c r="K422" s="356"/>
      <c r="L422" s="356"/>
      <c r="M422" s="356"/>
      <c r="N422" s="356"/>
      <c r="O422" s="356"/>
      <c r="P422" s="356"/>
    </row>
    <row r="423" spans="1:16" ht="18.75" customHeight="1">
      <c r="A423" s="221"/>
      <c r="B423" s="345"/>
      <c r="C423" s="345"/>
      <c r="D423" s="345"/>
      <c r="E423" s="345"/>
      <c r="F423" s="345"/>
      <c r="G423" s="325"/>
      <c r="H423" s="348"/>
      <c r="I423" s="328"/>
      <c r="J423" s="355"/>
      <c r="K423" s="356"/>
      <c r="L423" s="356"/>
      <c r="M423" s="356"/>
      <c r="N423" s="356"/>
      <c r="O423" s="356"/>
      <c r="P423" s="356"/>
    </row>
    <row r="424" spans="1:16" ht="18.75" customHeight="1">
      <c r="A424" s="221"/>
      <c r="B424" s="342"/>
      <c r="C424" s="342"/>
      <c r="D424" s="342"/>
      <c r="E424" s="342"/>
      <c r="F424" s="342"/>
      <c r="G424" s="325"/>
      <c r="H424" s="47"/>
      <c r="I424" s="63"/>
      <c r="J424" s="353"/>
      <c r="K424" s="356"/>
      <c r="L424" s="356"/>
      <c r="M424" s="356"/>
      <c r="N424" s="356"/>
      <c r="O424" s="356"/>
      <c r="P424" s="356"/>
    </row>
    <row r="425" spans="1:16" ht="18.75" customHeight="1">
      <c r="A425" s="221"/>
      <c r="B425" s="345"/>
      <c r="C425" s="345"/>
      <c r="D425" s="345"/>
      <c r="E425" s="345"/>
      <c r="F425" s="345"/>
      <c r="G425" s="325"/>
      <c r="H425" s="348"/>
      <c r="I425" s="328"/>
      <c r="J425" s="355"/>
      <c r="K425" s="356"/>
      <c r="L425" s="356"/>
      <c r="M425" s="356"/>
      <c r="N425" s="356"/>
      <c r="O425" s="356"/>
      <c r="P425" s="356"/>
    </row>
    <row r="426" spans="1:16" ht="18.75" customHeight="1">
      <c r="A426" s="221"/>
      <c r="B426" s="342"/>
      <c r="C426" s="342"/>
      <c r="D426" s="342"/>
      <c r="E426" s="342"/>
      <c r="F426" s="342"/>
      <c r="G426" s="325"/>
      <c r="H426" s="47"/>
      <c r="I426" s="63"/>
      <c r="J426" s="353"/>
      <c r="K426" s="356"/>
      <c r="L426" s="356"/>
      <c r="M426" s="356"/>
      <c r="N426" s="356"/>
      <c r="O426" s="356"/>
      <c r="P426" s="356"/>
    </row>
    <row r="427" spans="1:16" ht="18.75" customHeight="1">
      <c r="A427" s="221"/>
      <c r="B427" s="345"/>
      <c r="C427" s="345"/>
      <c r="D427" s="345"/>
      <c r="E427" s="345"/>
      <c r="F427" s="345"/>
      <c r="G427" s="325"/>
      <c r="H427" s="348"/>
      <c r="I427" s="328"/>
      <c r="J427" s="355"/>
      <c r="K427" s="356"/>
      <c r="L427" s="356"/>
      <c r="M427" s="356"/>
      <c r="N427" s="356"/>
      <c r="O427" s="356"/>
      <c r="P427" s="356"/>
    </row>
    <row r="428" spans="1:16" ht="18.75" customHeight="1">
      <c r="A428" s="221"/>
      <c r="B428" s="342"/>
      <c r="C428" s="342"/>
      <c r="D428" s="342"/>
      <c r="E428" s="342"/>
      <c r="F428" s="342"/>
      <c r="G428" s="325"/>
      <c r="H428" s="47"/>
      <c r="I428" s="63"/>
      <c r="J428" s="353"/>
      <c r="K428" s="356"/>
      <c r="L428" s="356"/>
      <c r="M428" s="356"/>
      <c r="N428" s="356"/>
      <c r="O428" s="356"/>
      <c r="P428" s="356"/>
    </row>
    <row r="429" spans="1:16" ht="18.75" customHeight="1">
      <c r="A429" s="221"/>
      <c r="B429" s="345"/>
      <c r="C429" s="345"/>
      <c r="D429" s="345"/>
      <c r="E429" s="345"/>
      <c r="F429" s="345"/>
      <c r="G429" s="325"/>
      <c r="H429" s="348"/>
      <c r="I429" s="328"/>
      <c r="J429" s="355"/>
      <c r="K429" s="356"/>
      <c r="L429" s="356"/>
      <c r="M429" s="356"/>
      <c r="N429" s="356"/>
      <c r="O429" s="356"/>
      <c r="P429" s="356"/>
    </row>
    <row r="430" spans="1:16" ht="18.75" customHeight="1">
      <c r="A430" s="221"/>
      <c r="B430" s="342"/>
      <c r="C430" s="342"/>
      <c r="D430" s="342"/>
      <c r="E430" s="342"/>
      <c r="F430" s="342"/>
      <c r="G430" s="325"/>
      <c r="H430" s="47"/>
      <c r="I430" s="63"/>
      <c r="J430" s="353"/>
      <c r="K430" s="356"/>
      <c r="L430" s="356"/>
      <c r="M430" s="356"/>
      <c r="N430" s="356"/>
      <c r="O430" s="356"/>
      <c r="P430" s="356"/>
    </row>
    <row r="431" spans="1:16" ht="18.75" customHeight="1">
      <c r="A431" s="221"/>
      <c r="B431" s="345"/>
      <c r="C431" s="345"/>
      <c r="D431" s="345"/>
      <c r="E431" s="345"/>
      <c r="F431" s="345"/>
      <c r="G431" s="325"/>
      <c r="H431" s="348"/>
      <c r="I431" s="328"/>
      <c r="J431" s="355"/>
      <c r="K431" s="356"/>
      <c r="L431" s="356"/>
      <c r="M431" s="356"/>
      <c r="N431" s="356"/>
      <c r="O431" s="356"/>
      <c r="P431" s="356"/>
    </row>
    <row r="432" spans="1:16" ht="18.75" customHeight="1">
      <c r="A432" s="221"/>
      <c r="B432" s="342"/>
      <c r="C432" s="342"/>
      <c r="D432" s="342"/>
      <c r="E432" s="342"/>
      <c r="F432" s="342"/>
      <c r="G432" s="325"/>
      <c r="H432" s="47"/>
      <c r="I432" s="63"/>
      <c r="J432" s="353"/>
      <c r="K432" s="356"/>
      <c r="L432" s="356"/>
      <c r="M432" s="356"/>
      <c r="N432" s="356"/>
      <c r="O432" s="356"/>
      <c r="P432" s="356"/>
    </row>
    <row r="433" spans="1:16" ht="18.75" customHeight="1">
      <c r="A433" s="221"/>
      <c r="B433" s="345"/>
      <c r="C433" s="345"/>
      <c r="D433" s="345"/>
      <c r="E433" s="345"/>
      <c r="F433" s="345"/>
      <c r="G433" s="325"/>
      <c r="H433" s="348"/>
      <c r="I433" s="328"/>
      <c r="J433" s="355"/>
      <c r="K433" s="356"/>
      <c r="L433" s="356"/>
      <c r="M433" s="356"/>
      <c r="N433" s="356"/>
      <c r="O433" s="356"/>
      <c r="P433" s="356"/>
    </row>
    <row r="434" spans="1:16" ht="18.75" customHeight="1">
      <c r="A434" s="221"/>
      <c r="B434" s="342"/>
      <c r="C434" s="342"/>
      <c r="D434" s="342"/>
      <c r="E434" s="342"/>
      <c r="F434" s="342"/>
      <c r="G434" s="325"/>
      <c r="H434" s="47"/>
      <c r="I434" s="63"/>
      <c r="J434" s="353"/>
      <c r="K434" s="356"/>
      <c r="L434" s="356"/>
      <c r="M434" s="356"/>
      <c r="N434" s="356"/>
      <c r="O434" s="356"/>
      <c r="P434" s="356"/>
    </row>
    <row r="435" spans="1:16" ht="18.75" customHeight="1">
      <c r="A435" s="221"/>
      <c r="B435" s="345"/>
      <c r="C435" s="345"/>
      <c r="D435" s="345"/>
      <c r="E435" s="345"/>
      <c r="F435" s="345"/>
      <c r="G435" s="325"/>
      <c r="H435" s="348"/>
      <c r="I435" s="328"/>
      <c r="J435" s="355"/>
      <c r="K435" s="356"/>
      <c r="L435" s="356"/>
      <c r="M435" s="356"/>
      <c r="N435" s="356"/>
      <c r="O435" s="356"/>
      <c r="P435" s="356"/>
    </row>
    <row r="436" spans="1:16" ht="18.75" customHeight="1">
      <c r="A436" s="221"/>
      <c r="B436" s="342"/>
      <c r="C436" s="342"/>
      <c r="D436" s="342"/>
      <c r="E436" s="342"/>
      <c r="F436" s="342"/>
      <c r="G436" s="325"/>
      <c r="H436" s="47"/>
      <c r="I436" s="63"/>
      <c r="J436" s="353"/>
      <c r="K436" s="356"/>
      <c r="L436" s="356"/>
      <c r="M436" s="356"/>
      <c r="N436" s="356"/>
      <c r="O436" s="356"/>
      <c r="P436" s="356"/>
    </row>
    <row r="437" spans="1:16" ht="18.75" customHeight="1">
      <c r="A437" s="221"/>
      <c r="B437" s="345"/>
      <c r="C437" s="345"/>
      <c r="D437" s="345"/>
      <c r="E437" s="345"/>
      <c r="F437" s="345"/>
      <c r="G437" s="325"/>
      <c r="H437" s="348"/>
      <c r="I437" s="328"/>
      <c r="J437" s="355"/>
      <c r="K437" s="356"/>
      <c r="L437" s="356"/>
      <c r="M437" s="356"/>
      <c r="N437" s="356"/>
      <c r="O437" s="356"/>
      <c r="P437" s="356"/>
    </row>
    <row r="438" spans="1:16" ht="18.75" customHeight="1">
      <c r="A438" s="221"/>
      <c r="B438" s="342"/>
      <c r="C438" s="342"/>
      <c r="D438" s="342"/>
      <c r="E438" s="342"/>
      <c r="F438" s="342"/>
      <c r="G438" s="325"/>
      <c r="H438" s="47"/>
      <c r="I438" s="63"/>
      <c r="J438" s="353"/>
      <c r="K438" s="356"/>
      <c r="L438" s="356"/>
      <c r="M438" s="356"/>
      <c r="N438" s="356"/>
      <c r="O438" s="356"/>
      <c r="P438" s="356"/>
    </row>
    <row r="439" spans="1:16" ht="18.75" customHeight="1">
      <c r="A439" s="221"/>
      <c r="B439" s="345"/>
      <c r="C439" s="345"/>
      <c r="D439" s="345"/>
      <c r="E439" s="345"/>
      <c r="F439" s="345"/>
      <c r="G439" s="325"/>
      <c r="H439" s="348"/>
      <c r="I439" s="328"/>
      <c r="J439" s="355"/>
      <c r="K439" s="356"/>
      <c r="L439" s="356"/>
      <c r="M439" s="356"/>
      <c r="N439" s="356"/>
      <c r="O439" s="356"/>
      <c r="P439" s="356"/>
    </row>
    <row r="440" spans="1:16" ht="18.75" customHeight="1">
      <c r="A440" s="221"/>
      <c r="B440" s="342"/>
      <c r="C440" s="342"/>
      <c r="D440" s="342"/>
      <c r="E440" s="342"/>
      <c r="F440" s="342"/>
      <c r="G440" s="325"/>
      <c r="H440" s="47"/>
      <c r="I440" s="63"/>
      <c r="J440" s="353"/>
      <c r="K440" s="356"/>
      <c r="L440" s="356"/>
      <c r="M440" s="356"/>
      <c r="N440" s="356"/>
      <c r="O440" s="356"/>
      <c r="P440" s="356"/>
    </row>
    <row r="441" spans="1:16" ht="18.75" customHeight="1">
      <c r="A441" s="221"/>
      <c r="B441" s="345"/>
      <c r="C441" s="345"/>
      <c r="D441" s="345"/>
      <c r="E441" s="345"/>
      <c r="F441" s="345"/>
      <c r="G441" s="325"/>
      <c r="H441" s="348"/>
      <c r="I441" s="328"/>
      <c r="J441" s="355"/>
      <c r="K441" s="356"/>
      <c r="L441" s="356"/>
      <c r="M441" s="356"/>
      <c r="N441" s="356"/>
      <c r="O441" s="356"/>
      <c r="P441" s="356"/>
    </row>
    <row r="442" spans="1:16" ht="18.75" customHeight="1">
      <c r="A442" s="221"/>
      <c r="B442" s="342"/>
      <c r="C442" s="342"/>
      <c r="D442" s="342"/>
      <c r="E442" s="342"/>
      <c r="F442" s="342"/>
      <c r="G442" s="325"/>
      <c r="H442" s="47"/>
      <c r="I442" s="63"/>
      <c r="J442" s="353"/>
      <c r="K442" s="356"/>
      <c r="L442" s="356"/>
      <c r="M442" s="356"/>
      <c r="N442" s="356"/>
      <c r="O442" s="356"/>
      <c r="P442" s="356"/>
    </row>
    <row r="443" spans="1:16" ht="18.75" customHeight="1">
      <c r="A443" s="221"/>
      <c r="B443" s="345"/>
      <c r="C443" s="345"/>
      <c r="D443" s="345"/>
      <c r="E443" s="345"/>
      <c r="F443" s="345"/>
      <c r="G443" s="325"/>
      <c r="H443" s="348"/>
      <c r="I443" s="328"/>
      <c r="J443" s="355"/>
      <c r="K443" s="356"/>
      <c r="L443" s="356"/>
      <c r="M443" s="356"/>
      <c r="N443" s="356"/>
      <c r="O443" s="356"/>
      <c r="P443" s="356"/>
    </row>
    <row r="444" spans="1:16" ht="18.75" customHeight="1">
      <c r="A444" s="221"/>
      <c r="B444" s="342"/>
      <c r="C444" s="342"/>
      <c r="D444" s="342"/>
      <c r="E444" s="342"/>
      <c r="F444" s="342"/>
      <c r="G444" s="325"/>
      <c r="H444" s="47"/>
      <c r="I444" s="63"/>
      <c r="J444" s="353"/>
      <c r="K444" s="356"/>
      <c r="L444" s="356"/>
      <c r="M444" s="356"/>
      <c r="N444" s="356"/>
      <c r="O444" s="356"/>
      <c r="P444" s="356"/>
    </row>
    <row r="445" spans="1:16" ht="18.75" customHeight="1">
      <c r="A445" s="221"/>
      <c r="B445" s="345"/>
      <c r="C445" s="345"/>
      <c r="D445" s="345"/>
      <c r="E445" s="345"/>
      <c r="F445" s="345"/>
      <c r="G445" s="325"/>
      <c r="H445" s="348"/>
      <c r="I445" s="328"/>
      <c r="J445" s="355"/>
      <c r="K445" s="356"/>
      <c r="L445" s="356"/>
      <c r="M445" s="356"/>
      <c r="N445" s="356"/>
      <c r="O445" s="356"/>
      <c r="P445" s="356"/>
    </row>
    <row r="446" spans="1:16" ht="18.75" customHeight="1">
      <c r="A446" s="221"/>
      <c r="B446" s="342"/>
      <c r="C446" s="342"/>
      <c r="D446" s="342"/>
      <c r="E446" s="342"/>
      <c r="F446" s="342"/>
      <c r="G446" s="325"/>
      <c r="H446" s="47"/>
      <c r="I446" s="63"/>
      <c r="J446" s="353"/>
      <c r="K446" s="356"/>
      <c r="L446" s="356"/>
      <c r="M446" s="356"/>
      <c r="N446" s="356"/>
      <c r="O446" s="356"/>
      <c r="P446" s="356"/>
    </row>
    <row r="447" spans="1:16" ht="18.75" customHeight="1">
      <c r="A447" s="221"/>
      <c r="B447" s="345"/>
      <c r="C447" s="345"/>
      <c r="D447" s="345"/>
      <c r="E447" s="345"/>
      <c r="F447" s="345"/>
      <c r="G447" s="325"/>
      <c r="H447" s="348"/>
      <c r="I447" s="328"/>
      <c r="J447" s="355"/>
      <c r="K447" s="356"/>
      <c r="L447" s="356"/>
      <c r="M447" s="356"/>
      <c r="N447" s="356"/>
      <c r="O447" s="356"/>
      <c r="P447" s="356"/>
    </row>
    <row r="448" spans="1:16" ht="18.75" customHeight="1">
      <c r="A448" s="221"/>
      <c r="B448" s="342"/>
      <c r="C448" s="342"/>
      <c r="D448" s="342"/>
      <c r="E448" s="342"/>
      <c r="F448" s="342"/>
      <c r="G448" s="325"/>
      <c r="H448" s="47"/>
      <c r="I448" s="63"/>
      <c r="J448" s="353"/>
      <c r="K448" s="356"/>
      <c r="L448" s="356"/>
      <c r="M448" s="356"/>
      <c r="N448" s="356"/>
      <c r="O448" s="356"/>
      <c r="P448" s="356"/>
    </row>
    <row r="449" spans="1:16" ht="18.75" customHeight="1">
      <c r="A449" s="221"/>
      <c r="B449" s="345"/>
      <c r="C449" s="345"/>
      <c r="D449" s="345"/>
      <c r="E449" s="345"/>
      <c r="F449" s="345"/>
      <c r="G449" s="325"/>
      <c r="H449" s="348"/>
      <c r="I449" s="328"/>
      <c r="J449" s="355"/>
      <c r="K449" s="356"/>
      <c r="L449" s="356"/>
      <c r="M449" s="356"/>
      <c r="N449" s="356"/>
      <c r="O449" s="356"/>
      <c r="P449" s="356"/>
    </row>
    <row r="450" spans="1:16" ht="18.75" customHeight="1">
      <c r="A450" s="221"/>
      <c r="B450" s="342"/>
      <c r="C450" s="342"/>
      <c r="D450" s="342"/>
      <c r="E450" s="342"/>
      <c r="F450" s="342"/>
      <c r="G450" s="325"/>
      <c r="H450" s="47"/>
      <c r="I450" s="63"/>
      <c r="J450" s="353"/>
      <c r="K450" s="356"/>
      <c r="L450" s="356"/>
      <c r="M450" s="356"/>
      <c r="N450" s="356"/>
      <c r="O450" s="356"/>
      <c r="P450" s="356"/>
    </row>
    <row r="451" spans="1:16" ht="18.75" customHeight="1">
      <c r="A451" s="221"/>
      <c r="B451" s="345"/>
      <c r="C451" s="345"/>
      <c r="D451" s="345"/>
      <c r="E451" s="345"/>
      <c r="F451" s="345"/>
      <c r="G451" s="325"/>
      <c r="H451" s="348"/>
      <c r="I451" s="328"/>
      <c r="J451" s="355"/>
      <c r="K451" s="356"/>
      <c r="L451" s="356"/>
      <c r="M451" s="356"/>
      <c r="N451" s="356"/>
      <c r="O451" s="356"/>
      <c r="P451" s="356"/>
    </row>
    <row r="452" spans="1:16" ht="18.75" customHeight="1">
      <c r="A452" s="221"/>
      <c r="B452" s="342"/>
      <c r="C452" s="342"/>
      <c r="D452" s="342"/>
      <c r="E452" s="342"/>
      <c r="F452" s="342"/>
      <c r="G452" s="325"/>
      <c r="H452" s="47"/>
      <c r="I452" s="63"/>
      <c r="J452" s="353"/>
      <c r="K452" s="356"/>
      <c r="L452" s="356"/>
      <c r="M452" s="356"/>
      <c r="N452" s="356"/>
      <c r="O452" s="356"/>
      <c r="P452" s="356"/>
    </row>
    <row r="453" spans="1:16" ht="18.75" customHeight="1">
      <c r="A453" s="221"/>
      <c r="B453" s="345"/>
      <c r="C453" s="345"/>
      <c r="D453" s="345"/>
      <c r="E453" s="345"/>
      <c r="F453" s="345"/>
      <c r="G453" s="325"/>
      <c r="H453" s="348"/>
      <c r="I453" s="328"/>
      <c r="J453" s="355"/>
      <c r="K453" s="356"/>
      <c r="L453" s="356"/>
      <c r="M453" s="356"/>
      <c r="N453" s="356"/>
      <c r="O453" s="356"/>
      <c r="P453" s="356"/>
    </row>
    <row r="454" spans="1:16" ht="18.75" customHeight="1">
      <c r="A454" s="221"/>
      <c r="B454" s="342"/>
      <c r="C454" s="342"/>
      <c r="D454" s="342"/>
      <c r="E454" s="342"/>
      <c r="F454" s="342"/>
      <c r="G454" s="325"/>
      <c r="H454" s="47"/>
      <c r="I454" s="63"/>
      <c r="J454" s="353"/>
      <c r="K454" s="356"/>
      <c r="L454" s="356"/>
      <c r="M454" s="356"/>
      <c r="N454" s="356"/>
      <c r="O454" s="356"/>
      <c r="P454" s="356"/>
    </row>
    <row r="455" spans="1:16" ht="18.75" customHeight="1">
      <c r="A455" s="221"/>
      <c r="B455" s="345"/>
      <c r="C455" s="345"/>
      <c r="D455" s="345"/>
      <c r="E455" s="345"/>
      <c r="F455" s="345"/>
      <c r="G455" s="325"/>
      <c r="H455" s="348"/>
      <c r="I455" s="328"/>
      <c r="J455" s="355"/>
      <c r="K455" s="356"/>
      <c r="L455" s="356"/>
      <c r="M455" s="356"/>
      <c r="N455" s="356"/>
      <c r="O455" s="356"/>
      <c r="P455" s="356"/>
    </row>
    <row r="456" spans="1:16" ht="18.75" customHeight="1">
      <c r="A456" s="221"/>
      <c r="B456" s="342"/>
      <c r="C456" s="342"/>
      <c r="D456" s="342"/>
      <c r="E456" s="342"/>
      <c r="F456" s="342"/>
      <c r="G456" s="325"/>
      <c r="H456" s="47"/>
      <c r="I456" s="63"/>
      <c r="J456" s="353"/>
      <c r="K456" s="356"/>
      <c r="L456" s="356"/>
      <c r="M456" s="356"/>
      <c r="N456" s="356"/>
      <c r="O456" s="356"/>
      <c r="P456" s="356"/>
    </row>
    <row r="457" spans="1:16" ht="18.75" customHeight="1">
      <c r="A457" s="221"/>
      <c r="B457" s="345"/>
      <c r="C457" s="345"/>
      <c r="D457" s="345"/>
      <c r="E457" s="345"/>
      <c r="F457" s="345"/>
      <c r="G457" s="325"/>
      <c r="H457" s="348"/>
      <c r="I457" s="328"/>
      <c r="J457" s="355"/>
      <c r="K457" s="356"/>
      <c r="L457" s="356"/>
      <c r="M457" s="356"/>
      <c r="N457" s="356"/>
      <c r="O457" s="356"/>
      <c r="P457" s="356"/>
    </row>
    <row r="458" spans="1:16" ht="18.75" customHeight="1">
      <c r="A458" s="221"/>
      <c r="B458" s="342"/>
      <c r="C458" s="342"/>
      <c r="D458" s="342"/>
      <c r="E458" s="342"/>
      <c r="F458" s="342"/>
      <c r="G458" s="325"/>
      <c r="H458" s="47"/>
      <c r="I458" s="63"/>
      <c r="J458" s="353"/>
      <c r="K458" s="356"/>
      <c r="L458" s="356"/>
      <c r="M458" s="356"/>
      <c r="N458" s="356"/>
      <c r="O458" s="356"/>
      <c r="P458" s="356"/>
    </row>
    <row r="459" spans="1:16" ht="18.75" customHeight="1">
      <c r="A459" s="221"/>
      <c r="B459" s="345"/>
      <c r="C459" s="345"/>
      <c r="D459" s="345"/>
      <c r="E459" s="345"/>
      <c r="F459" s="345"/>
      <c r="G459" s="325"/>
      <c r="H459" s="348"/>
      <c r="I459" s="328"/>
      <c r="J459" s="355"/>
      <c r="K459" s="356"/>
      <c r="L459" s="356"/>
      <c r="M459" s="356"/>
      <c r="N459" s="356"/>
      <c r="O459" s="356"/>
      <c r="P459" s="356"/>
    </row>
    <row r="460" spans="1:16" ht="18.75" customHeight="1">
      <c r="A460" s="221"/>
      <c r="B460" s="342"/>
      <c r="C460" s="342"/>
      <c r="D460" s="342"/>
      <c r="E460" s="342"/>
      <c r="F460" s="342"/>
      <c r="G460" s="325"/>
      <c r="H460" s="47"/>
      <c r="I460" s="63"/>
      <c r="J460" s="353"/>
      <c r="K460" s="356"/>
      <c r="L460" s="356"/>
      <c r="M460" s="356"/>
      <c r="N460" s="356"/>
      <c r="O460" s="356"/>
      <c r="P460" s="356"/>
    </row>
    <row r="461" spans="1:16" ht="18.75" customHeight="1">
      <c r="A461" s="221"/>
      <c r="B461" s="345"/>
      <c r="C461" s="345"/>
      <c r="D461" s="345"/>
      <c r="E461" s="345"/>
      <c r="F461" s="345"/>
      <c r="G461" s="325"/>
      <c r="H461" s="348"/>
      <c r="I461" s="328"/>
      <c r="J461" s="355"/>
      <c r="K461" s="356"/>
      <c r="L461" s="356"/>
      <c r="M461" s="356"/>
      <c r="N461" s="356"/>
      <c r="O461" s="356"/>
      <c r="P461" s="356"/>
    </row>
    <row r="462" spans="1:16" ht="18.75" customHeight="1">
      <c r="A462" s="221"/>
      <c r="B462" s="342"/>
      <c r="C462" s="342"/>
      <c r="D462" s="342"/>
      <c r="E462" s="342"/>
      <c r="F462" s="342"/>
      <c r="G462" s="325"/>
      <c r="H462" s="47"/>
      <c r="I462" s="63"/>
      <c r="J462" s="353"/>
      <c r="K462" s="356"/>
      <c r="L462" s="356"/>
      <c r="M462" s="356"/>
      <c r="N462" s="356"/>
      <c r="O462" s="356"/>
      <c r="P462" s="356"/>
    </row>
    <row r="463" spans="1:16" ht="18.75" customHeight="1">
      <c r="A463" s="221"/>
      <c r="B463" s="345"/>
      <c r="C463" s="345"/>
      <c r="D463" s="345"/>
      <c r="E463" s="345"/>
      <c r="F463" s="345"/>
      <c r="G463" s="325"/>
      <c r="H463" s="348"/>
      <c r="I463" s="328"/>
      <c r="J463" s="355"/>
      <c r="K463" s="356"/>
      <c r="L463" s="356"/>
      <c r="M463" s="356"/>
      <c r="N463" s="356"/>
      <c r="O463" s="356"/>
      <c r="P463" s="356"/>
    </row>
    <row r="464" spans="1:16" ht="18.75" customHeight="1">
      <c r="A464" s="221"/>
      <c r="B464" s="342"/>
      <c r="C464" s="342"/>
      <c r="D464" s="342"/>
      <c r="E464" s="342"/>
      <c r="F464" s="342"/>
      <c r="G464" s="325"/>
      <c r="H464" s="47"/>
      <c r="I464" s="63"/>
      <c r="J464" s="353"/>
      <c r="K464" s="356"/>
      <c r="L464" s="356"/>
      <c r="M464" s="356"/>
      <c r="N464" s="356"/>
      <c r="O464" s="356"/>
      <c r="P464" s="356"/>
    </row>
    <row r="465" spans="1:16" ht="18.75" customHeight="1">
      <c r="A465" s="221"/>
      <c r="B465" s="345"/>
      <c r="C465" s="345"/>
      <c r="D465" s="345"/>
      <c r="E465" s="345"/>
      <c r="F465" s="345"/>
      <c r="G465" s="325"/>
      <c r="H465" s="348"/>
      <c r="I465" s="328"/>
      <c r="J465" s="355"/>
      <c r="K465" s="356"/>
      <c r="L465" s="356"/>
      <c r="M465" s="356"/>
      <c r="N465" s="356"/>
      <c r="O465" s="356"/>
      <c r="P465" s="356"/>
    </row>
    <row r="466" spans="1:16" ht="18.75" customHeight="1">
      <c r="A466" s="221"/>
      <c r="B466" s="342"/>
      <c r="C466" s="342"/>
      <c r="D466" s="342"/>
      <c r="E466" s="342"/>
      <c r="F466" s="342"/>
      <c r="G466" s="325"/>
      <c r="H466" s="47"/>
      <c r="I466" s="63"/>
      <c r="J466" s="353"/>
      <c r="K466" s="356"/>
      <c r="L466" s="356"/>
      <c r="M466" s="356"/>
      <c r="N466" s="356"/>
      <c r="O466" s="356"/>
      <c r="P466" s="356"/>
    </row>
    <row r="467" spans="1:16" ht="18.75" customHeight="1">
      <c r="A467" s="221"/>
      <c r="B467" s="345"/>
      <c r="C467" s="345"/>
      <c r="D467" s="345"/>
      <c r="E467" s="345"/>
      <c r="F467" s="345"/>
      <c r="G467" s="325"/>
      <c r="H467" s="348"/>
      <c r="I467" s="328"/>
      <c r="J467" s="355"/>
      <c r="K467" s="356"/>
      <c r="L467" s="356"/>
      <c r="M467" s="356"/>
      <c r="N467" s="356"/>
      <c r="O467" s="356"/>
      <c r="P467" s="356"/>
    </row>
    <row r="468" spans="1:16" ht="18.75" customHeight="1">
      <c r="A468" s="221"/>
      <c r="B468" s="342"/>
      <c r="C468" s="342"/>
      <c r="D468" s="342"/>
      <c r="E468" s="342"/>
      <c r="F468" s="342"/>
      <c r="G468" s="325"/>
      <c r="H468" s="47"/>
      <c r="I468" s="63"/>
      <c r="J468" s="353"/>
      <c r="K468" s="356"/>
      <c r="L468" s="356"/>
      <c r="M468" s="356"/>
      <c r="N468" s="356"/>
      <c r="O468" s="356"/>
      <c r="P468" s="356"/>
    </row>
    <row r="469" spans="1:16" ht="18.75" customHeight="1">
      <c r="A469" s="221"/>
      <c r="B469" s="345"/>
      <c r="C469" s="345"/>
      <c r="D469" s="345"/>
      <c r="E469" s="345"/>
      <c r="F469" s="345"/>
      <c r="G469" s="325"/>
      <c r="H469" s="348"/>
      <c r="I469" s="328"/>
      <c r="J469" s="355"/>
      <c r="K469" s="356"/>
      <c r="L469" s="356"/>
      <c r="M469" s="356"/>
      <c r="N469" s="356"/>
      <c r="O469" s="356"/>
      <c r="P469" s="356"/>
    </row>
    <row r="470" spans="1:16" ht="18.75" customHeight="1">
      <c r="A470" s="221"/>
      <c r="B470" s="342"/>
      <c r="C470" s="342"/>
      <c r="D470" s="342"/>
      <c r="E470" s="342"/>
      <c r="F470" s="342"/>
      <c r="G470" s="325"/>
      <c r="H470" s="47"/>
      <c r="I470" s="63"/>
      <c r="J470" s="353"/>
      <c r="K470" s="356"/>
      <c r="L470" s="356"/>
      <c r="M470" s="356"/>
      <c r="N470" s="356"/>
      <c r="O470" s="356"/>
      <c r="P470" s="356"/>
    </row>
    <row r="471" spans="1:16" ht="18.75" customHeight="1">
      <c r="A471" s="221"/>
      <c r="B471" s="345"/>
      <c r="C471" s="345"/>
      <c r="D471" s="345"/>
      <c r="E471" s="345"/>
      <c r="F471" s="345"/>
      <c r="G471" s="325"/>
      <c r="H471" s="348"/>
      <c r="I471" s="328"/>
      <c r="J471" s="355"/>
      <c r="K471" s="356"/>
      <c r="L471" s="356"/>
      <c r="M471" s="356"/>
      <c r="N471" s="356"/>
      <c r="O471" s="356"/>
      <c r="P471" s="356"/>
    </row>
    <row r="472" spans="1:16" ht="18.75" customHeight="1">
      <c r="A472" s="221"/>
      <c r="B472" s="342"/>
      <c r="C472" s="342"/>
      <c r="D472" s="342"/>
      <c r="E472" s="342"/>
      <c r="F472" s="342"/>
      <c r="G472" s="325"/>
      <c r="H472" s="47"/>
      <c r="I472" s="63"/>
      <c r="J472" s="353"/>
      <c r="K472" s="356"/>
      <c r="L472" s="356"/>
      <c r="M472" s="356"/>
      <c r="N472" s="356"/>
      <c r="O472" s="356"/>
      <c r="P472" s="356"/>
    </row>
    <row r="473" spans="1:16" ht="18.75" customHeight="1">
      <c r="A473" s="221"/>
      <c r="B473" s="345"/>
      <c r="C473" s="345"/>
      <c r="D473" s="345"/>
      <c r="E473" s="345"/>
      <c r="F473" s="345"/>
      <c r="G473" s="325"/>
      <c r="H473" s="348"/>
      <c r="I473" s="328"/>
      <c r="J473" s="355"/>
      <c r="K473" s="356"/>
      <c r="L473" s="356"/>
      <c r="M473" s="356"/>
      <c r="N473" s="356"/>
      <c r="O473" s="356"/>
      <c r="P473" s="356"/>
    </row>
    <row r="474" spans="1:16" ht="18.75" customHeight="1">
      <c r="A474" s="221"/>
      <c r="B474" s="342"/>
      <c r="C474" s="342"/>
      <c r="D474" s="342"/>
      <c r="E474" s="342"/>
      <c r="F474" s="342"/>
      <c r="G474" s="325"/>
      <c r="H474" s="47"/>
      <c r="I474" s="63"/>
      <c r="J474" s="353"/>
      <c r="K474" s="356"/>
      <c r="L474" s="356"/>
      <c r="M474" s="356"/>
      <c r="N474" s="356"/>
      <c r="O474" s="356"/>
      <c r="P474" s="356"/>
    </row>
    <row r="475" spans="1:16" ht="18.75" customHeight="1">
      <c r="A475" s="221"/>
      <c r="B475" s="345"/>
      <c r="C475" s="345"/>
      <c r="D475" s="345"/>
      <c r="E475" s="345"/>
      <c r="F475" s="345"/>
      <c r="G475" s="325"/>
      <c r="H475" s="348"/>
      <c r="I475" s="328"/>
      <c r="J475" s="355"/>
      <c r="K475" s="356"/>
      <c r="L475" s="356"/>
      <c r="M475" s="356"/>
      <c r="N475" s="356"/>
      <c r="O475" s="356"/>
      <c r="P475" s="356"/>
    </row>
    <row r="476" spans="1:16" ht="18.75" customHeight="1">
      <c r="A476" s="221"/>
      <c r="B476" s="342"/>
      <c r="C476" s="342"/>
      <c r="D476" s="342"/>
      <c r="E476" s="342"/>
      <c r="F476" s="342"/>
      <c r="G476" s="325"/>
      <c r="H476" s="47"/>
      <c r="I476" s="63"/>
      <c r="J476" s="353"/>
      <c r="K476" s="356"/>
      <c r="L476" s="356"/>
      <c r="M476" s="356"/>
      <c r="N476" s="356"/>
      <c r="O476" s="356"/>
      <c r="P476" s="356"/>
    </row>
    <row r="477" spans="1:16" ht="18.75" customHeight="1">
      <c r="A477" s="221"/>
      <c r="B477" s="345"/>
      <c r="C477" s="345"/>
      <c r="D477" s="345"/>
      <c r="E477" s="345"/>
      <c r="F477" s="345"/>
      <c r="G477" s="325"/>
      <c r="H477" s="348"/>
      <c r="I477" s="328"/>
      <c r="J477" s="355"/>
      <c r="K477" s="356"/>
      <c r="L477" s="356"/>
      <c r="M477" s="356"/>
      <c r="N477" s="356"/>
      <c r="O477" s="356"/>
      <c r="P477" s="356"/>
    </row>
    <row r="478" spans="1:16" ht="18.75" customHeight="1">
      <c r="A478" s="221"/>
      <c r="B478" s="342"/>
      <c r="C478" s="342"/>
      <c r="D478" s="342"/>
      <c r="E478" s="342"/>
      <c r="F478" s="342"/>
      <c r="G478" s="325"/>
      <c r="H478" s="47"/>
      <c r="I478" s="63"/>
      <c r="J478" s="353"/>
      <c r="K478" s="356"/>
      <c r="L478" s="356"/>
      <c r="M478" s="356"/>
      <c r="N478" s="356"/>
      <c r="O478" s="356"/>
      <c r="P478" s="356"/>
    </row>
    <row r="479" spans="1:16" ht="18.75" customHeight="1">
      <c r="A479" s="221"/>
      <c r="B479" s="345"/>
      <c r="C479" s="345"/>
      <c r="D479" s="345"/>
      <c r="E479" s="345"/>
      <c r="F479" s="345"/>
      <c r="G479" s="325"/>
      <c r="H479" s="348"/>
      <c r="I479" s="328"/>
      <c r="J479" s="355"/>
      <c r="K479" s="356"/>
      <c r="L479" s="356"/>
      <c r="M479" s="356"/>
      <c r="N479" s="356"/>
      <c r="O479" s="356"/>
      <c r="P479" s="356"/>
    </row>
    <row r="480" spans="1:16" ht="18.75" customHeight="1">
      <c r="A480" s="221"/>
      <c r="B480" s="342"/>
      <c r="C480" s="342"/>
      <c r="D480" s="342"/>
      <c r="E480" s="342"/>
      <c r="F480" s="342"/>
      <c r="G480" s="325"/>
      <c r="H480" s="47"/>
      <c r="I480" s="63"/>
      <c r="J480" s="353"/>
      <c r="K480" s="356"/>
      <c r="L480" s="356"/>
      <c r="M480" s="356"/>
      <c r="N480" s="356"/>
      <c r="O480" s="356"/>
      <c r="P480" s="356"/>
    </row>
    <row r="481" spans="1:16" ht="18.75" customHeight="1">
      <c r="A481" s="221"/>
      <c r="B481" s="345"/>
      <c r="C481" s="345"/>
      <c r="D481" s="345"/>
      <c r="E481" s="345"/>
      <c r="F481" s="345"/>
      <c r="G481" s="325"/>
      <c r="H481" s="348"/>
      <c r="I481" s="328"/>
      <c r="J481" s="355"/>
      <c r="K481" s="356"/>
      <c r="L481" s="356"/>
      <c r="M481" s="356"/>
      <c r="N481" s="356"/>
      <c r="O481" s="356"/>
      <c r="P481" s="356"/>
    </row>
    <row r="482" spans="1:16" ht="18.75" customHeight="1">
      <c r="A482" s="221"/>
      <c r="B482" s="342"/>
      <c r="C482" s="342"/>
      <c r="D482" s="342"/>
      <c r="E482" s="342"/>
      <c r="F482" s="342"/>
      <c r="G482" s="325"/>
      <c r="H482" s="47"/>
      <c r="I482" s="63"/>
      <c r="J482" s="353"/>
      <c r="K482" s="356"/>
      <c r="L482" s="356"/>
      <c r="M482" s="356"/>
      <c r="N482" s="356"/>
      <c r="O482" s="356"/>
      <c r="P482" s="356"/>
    </row>
    <row r="483" spans="1:16" ht="18.75" customHeight="1">
      <c r="A483" s="221"/>
      <c r="B483" s="345"/>
      <c r="C483" s="345"/>
      <c r="D483" s="345"/>
      <c r="E483" s="345"/>
      <c r="F483" s="345"/>
      <c r="G483" s="325"/>
      <c r="H483" s="348"/>
      <c r="I483" s="328"/>
      <c r="J483" s="355"/>
      <c r="K483" s="356"/>
      <c r="L483" s="356"/>
      <c r="M483" s="356"/>
      <c r="N483" s="356"/>
      <c r="O483" s="356"/>
      <c r="P483" s="356"/>
    </row>
    <row r="484" spans="1:16" ht="18.75" customHeight="1">
      <c r="A484" s="221"/>
      <c r="B484" s="342"/>
      <c r="C484" s="342"/>
      <c r="D484" s="342"/>
      <c r="E484" s="342"/>
      <c r="F484" s="342"/>
      <c r="G484" s="325"/>
      <c r="H484" s="47"/>
      <c r="I484" s="63"/>
      <c r="J484" s="353"/>
      <c r="K484" s="356"/>
      <c r="L484" s="356"/>
      <c r="M484" s="356"/>
      <c r="N484" s="356"/>
      <c r="O484" s="356"/>
      <c r="P484" s="356"/>
    </row>
    <row r="485" spans="1:16" ht="18.75" customHeight="1">
      <c r="A485" s="221"/>
      <c r="B485" s="345"/>
      <c r="C485" s="345"/>
      <c r="D485" s="345"/>
      <c r="E485" s="345"/>
      <c r="F485" s="345"/>
      <c r="G485" s="325"/>
      <c r="H485" s="348"/>
      <c r="I485" s="328"/>
      <c r="J485" s="355"/>
      <c r="K485" s="356"/>
      <c r="L485" s="356"/>
      <c r="M485" s="356"/>
      <c r="N485" s="356"/>
      <c r="O485" s="356"/>
      <c r="P485" s="356"/>
    </row>
    <row r="486" spans="1:16" ht="18.75" customHeight="1">
      <c r="A486" s="221"/>
      <c r="B486" s="342"/>
      <c r="C486" s="342"/>
      <c r="D486" s="342"/>
      <c r="E486" s="342"/>
      <c r="F486" s="342"/>
      <c r="G486" s="325"/>
      <c r="H486" s="47"/>
      <c r="I486" s="63"/>
      <c r="J486" s="353"/>
      <c r="K486" s="356"/>
      <c r="L486" s="356"/>
      <c r="M486" s="356"/>
      <c r="N486" s="356"/>
      <c r="O486" s="356"/>
      <c r="P486" s="356"/>
    </row>
    <row r="487" spans="1:16" ht="18.75" customHeight="1">
      <c r="A487" s="221"/>
      <c r="B487" s="345"/>
      <c r="C487" s="345"/>
      <c r="D487" s="345"/>
      <c r="E487" s="345"/>
      <c r="F487" s="345"/>
      <c r="G487" s="325"/>
      <c r="H487" s="348"/>
      <c r="I487" s="328"/>
      <c r="J487" s="355"/>
      <c r="K487" s="356"/>
      <c r="L487" s="356"/>
      <c r="M487" s="356"/>
      <c r="N487" s="356"/>
      <c r="O487" s="356"/>
      <c r="P487" s="356"/>
    </row>
    <row r="488" spans="1:16" ht="18.75" customHeight="1">
      <c r="A488" s="221"/>
      <c r="B488" s="342"/>
      <c r="C488" s="342"/>
      <c r="D488" s="342"/>
      <c r="E488" s="342"/>
      <c r="F488" s="342"/>
      <c r="G488" s="325"/>
      <c r="H488" s="47"/>
      <c r="I488" s="63"/>
      <c r="J488" s="353"/>
      <c r="K488" s="356"/>
      <c r="L488" s="356"/>
      <c r="M488" s="356"/>
      <c r="N488" s="356"/>
      <c r="O488" s="356"/>
      <c r="P488" s="356"/>
    </row>
    <row r="489" spans="1:16" ht="18.75" customHeight="1">
      <c r="A489" s="221"/>
      <c r="B489" s="345"/>
      <c r="C489" s="345"/>
      <c r="D489" s="345"/>
      <c r="E489" s="345"/>
      <c r="F489" s="345"/>
      <c r="G489" s="325"/>
      <c r="H489" s="348"/>
      <c r="I489" s="328"/>
      <c r="J489" s="355"/>
      <c r="K489" s="356"/>
      <c r="L489" s="356"/>
      <c r="M489" s="356"/>
      <c r="N489" s="356"/>
      <c r="O489" s="356"/>
      <c r="P489" s="356"/>
    </row>
    <row r="490" spans="1:16" ht="18.75" customHeight="1">
      <c r="A490" s="221"/>
      <c r="B490" s="342"/>
      <c r="C490" s="342"/>
      <c r="D490" s="342"/>
      <c r="E490" s="342"/>
      <c r="F490" s="342"/>
      <c r="G490" s="325"/>
      <c r="H490" s="47"/>
      <c r="I490" s="63"/>
      <c r="J490" s="353"/>
      <c r="K490" s="356"/>
      <c r="L490" s="356"/>
      <c r="M490" s="356"/>
      <c r="N490" s="356"/>
      <c r="O490" s="356"/>
      <c r="P490" s="356"/>
    </row>
    <row r="491" spans="1:16" ht="18.75" customHeight="1">
      <c r="A491" s="221"/>
      <c r="B491" s="345"/>
      <c r="C491" s="345"/>
      <c r="D491" s="345"/>
      <c r="E491" s="345"/>
      <c r="F491" s="345"/>
      <c r="G491" s="325"/>
      <c r="H491" s="348"/>
      <c r="I491" s="328"/>
      <c r="J491" s="355"/>
      <c r="K491" s="356"/>
      <c r="L491" s="356"/>
      <c r="M491" s="356"/>
      <c r="N491" s="356"/>
      <c r="O491" s="356"/>
      <c r="P491" s="356"/>
    </row>
    <row r="492" spans="1:16" ht="18.75" customHeight="1">
      <c r="A492" s="221"/>
      <c r="B492" s="342"/>
      <c r="C492" s="342"/>
      <c r="D492" s="342"/>
      <c r="E492" s="342"/>
      <c r="F492" s="342"/>
      <c r="G492" s="325"/>
      <c r="H492" s="47"/>
      <c r="I492" s="63"/>
      <c r="J492" s="353"/>
      <c r="K492" s="356"/>
      <c r="L492" s="356"/>
      <c r="M492" s="356"/>
      <c r="N492" s="356"/>
      <c r="O492" s="356"/>
      <c r="P492" s="356"/>
    </row>
    <row r="493" spans="1:16" ht="18.75" customHeight="1">
      <c r="A493" s="221"/>
      <c r="B493" s="345"/>
      <c r="C493" s="345"/>
      <c r="D493" s="345"/>
      <c r="E493" s="345"/>
      <c r="F493" s="345"/>
      <c r="G493" s="325"/>
      <c r="H493" s="348"/>
      <c r="I493" s="328"/>
      <c r="J493" s="355"/>
      <c r="K493" s="356"/>
      <c r="L493" s="356"/>
      <c r="M493" s="356"/>
      <c r="N493" s="356"/>
      <c r="O493" s="356"/>
      <c r="P493" s="356"/>
    </row>
    <row r="494" spans="1:16" ht="18.75" customHeight="1">
      <c r="A494" s="221"/>
      <c r="B494" s="342"/>
      <c r="C494" s="342"/>
      <c r="D494" s="342"/>
      <c r="E494" s="342"/>
      <c r="F494" s="342"/>
      <c r="G494" s="325"/>
      <c r="H494" s="47"/>
      <c r="I494" s="63"/>
      <c r="J494" s="353"/>
      <c r="K494" s="356"/>
      <c r="L494" s="356"/>
      <c r="M494" s="356"/>
      <c r="N494" s="356"/>
      <c r="O494" s="356"/>
      <c r="P494" s="356"/>
    </row>
    <row r="495" spans="1:16" ht="18.75" customHeight="1">
      <c r="A495" s="221"/>
      <c r="B495" s="345"/>
      <c r="C495" s="345"/>
      <c r="D495" s="345"/>
      <c r="E495" s="345"/>
      <c r="F495" s="345"/>
      <c r="G495" s="325"/>
      <c r="H495" s="348"/>
      <c r="I495" s="328"/>
      <c r="J495" s="355"/>
      <c r="K495" s="356"/>
      <c r="L495" s="356"/>
      <c r="M495" s="356"/>
      <c r="N495" s="356"/>
      <c r="O495" s="356"/>
      <c r="P495" s="356"/>
    </row>
    <row r="496" spans="1:16" ht="18.75" customHeight="1">
      <c r="A496" s="221"/>
      <c r="B496" s="342"/>
      <c r="C496" s="342"/>
      <c r="D496" s="342"/>
      <c r="E496" s="342"/>
      <c r="F496" s="342"/>
      <c r="G496" s="325"/>
      <c r="H496" s="47"/>
      <c r="I496" s="63"/>
      <c r="J496" s="353"/>
      <c r="K496" s="356"/>
      <c r="L496" s="356"/>
      <c r="M496" s="356"/>
      <c r="N496" s="356"/>
      <c r="O496" s="356"/>
      <c r="P496" s="356"/>
    </row>
    <row r="497" spans="1:16" ht="18.75" customHeight="1">
      <c r="A497" s="221"/>
      <c r="B497" s="345"/>
      <c r="C497" s="345"/>
      <c r="D497" s="345"/>
      <c r="E497" s="345"/>
      <c r="F497" s="345"/>
      <c r="G497" s="325"/>
      <c r="H497" s="348"/>
      <c r="I497" s="328"/>
      <c r="J497" s="355"/>
      <c r="K497" s="356"/>
      <c r="L497" s="356"/>
      <c r="M497" s="356"/>
      <c r="N497" s="356"/>
      <c r="O497" s="356"/>
      <c r="P497" s="356"/>
    </row>
    <row r="498" spans="1:16" ht="18.75" customHeight="1">
      <c r="A498" s="221"/>
      <c r="B498" s="342"/>
      <c r="C498" s="342"/>
      <c r="D498" s="342"/>
      <c r="E498" s="342"/>
      <c r="F498" s="342"/>
      <c r="G498" s="325"/>
      <c r="H498" s="47"/>
      <c r="I498" s="63"/>
      <c r="J498" s="353"/>
      <c r="K498" s="356"/>
      <c r="L498" s="356"/>
      <c r="M498" s="356"/>
      <c r="N498" s="356"/>
      <c r="O498" s="356"/>
      <c r="P498" s="356"/>
    </row>
    <row r="499" spans="1:16" ht="18.75" customHeight="1">
      <c r="A499" s="221"/>
      <c r="B499" s="345"/>
      <c r="C499" s="345"/>
      <c r="D499" s="345"/>
      <c r="E499" s="345"/>
      <c r="F499" s="345"/>
      <c r="G499" s="325"/>
      <c r="H499" s="348"/>
      <c r="I499" s="328"/>
      <c r="J499" s="355"/>
      <c r="K499" s="356"/>
      <c r="L499" s="356"/>
      <c r="M499" s="356"/>
      <c r="N499" s="356"/>
      <c r="O499" s="356"/>
      <c r="P499" s="356"/>
    </row>
    <row r="500" spans="1:16" ht="18.75" customHeight="1">
      <c r="A500" s="221"/>
      <c r="B500" s="342"/>
      <c r="C500" s="342"/>
      <c r="D500" s="342"/>
      <c r="E500" s="342"/>
      <c r="F500" s="342"/>
      <c r="G500" s="325"/>
      <c r="H500" s="47"/>
      <c r="I500" s="63"/>
      <c r="J500" s="353"/>
      <c r="K500" s="356"/>
      <c r="L500" s="356"/>
      <c r="M500" s="356"/>
      <c r="N500" s="356"/>
      <c r="O500" s="356"/>
      <c r="P500" s="356"/>
    </row>
    <row r="501" spans="1:16" ht="18.75" customHeight="1">
      <c r="A501" s="221"/>
      <c r="B501" s="345"/>
      <c r="C501" s="342"/>
      <c r="D501" s="345"/>
      <c r="E501" s="345"/>
      <c r="F501" s="342"/>
      <c r="G501" s="347"/>
      <c r="H501" s="348"/>
      <c r="I501" s="328"/>
      <c r="J501" s="355"/>
      <c r="K501" s="356"/>
      <c r="L501" s="356"/>
      <c r="M501" s="356"/>
      <c r="N501" s="356"/>
      <c r="O501" s="356"/>
      <c r="P501" s="356"/>
    </row>
    <row r="502" spans="1:16" ht="18.75" customHeight="1">
      <c r="A502" s="221"/>
      <c r="B502" s="342"/>
      <c r="C502" s="342"/>
      <c r="D502" s="342"/>
      <c r="E502" s="342"/>
      <c r="F502" s="342"/>
      <c r="G502" s="325"/>
      <c r="H502" s="47"/>
      <c r="I502" s="63"/>
      <c r="J502" s="353"/>
      <c r="K502" s="356"/>
      <c r="L502" s="356"/>
      <c r="M502" s="356"/>
      <c r="N502" s="356"/>
      <c r="O502" s="356"/>
      <c r="P502" s="356"/>
    </row>
    <row r="503" spans="1:16" ht="18.75" customHeight="1">
      <c r="A503" s="221"/>
      <c r="B503" s="345"/>
      <c r="C503" s="342"/>
      <c r="D503" s="345"/>
      <c r="E503" s="345"/>
      <c r="F503" s="342"/>
      <c r="G503" s="347"/>
      <c r="H503" s="348"/>
      <c r="I503" s="328"/>
      <c r="J503" s="355"/>
      <c r="K503" s="356"/>
      <c r="L503" s="356"/>
      <c r="M503" s="356"/>
      <c r="N503" s="356"/>
      <c r="O503" s="356"/>
      <c r="P503" s="356"/>
    </row>
    <row r="504" spans="1:16" ht="18.75" customHeight="1">
      <c r="A504" s="221"/>
      <c r="B504" s="342"/>
      <c r="C504" s="342"/>
      <c r="D504" s="342"/>
      <c r="E504" s="342"/>
      <c r="F504" s="342"/>
      <c r="G504" s="325"/>
      <c r="H504" s="47"/>
      <c r="I504" s="63"/>
      <c r="J504" s="353"/>
      <c r="K504" s="356"/>
      <c r="L504" s="356"/>
      <c r="M504" s="356"/>
      <c r="N504" s="356"/>
      <c r="O504" s="356"/>
      <c r="P504" s="356"/>
    </row>
    <row r="505" spans="1:16" ht="18.75" customHeight="1">
      <c r="A505" s="221"/>
      <c r="B505" s="345"/>
      <c r="C505" s="342"/>
      <c r="D505" s="345"/>
      <c r="E505" s="345"/>
      <c r="F505" s="342"/>
      <c r="G505" s="347"/>
      <c r="H505" s="348"/>
      <c r="I505" s="328"/>
      <c r="J505" s="355"/>
      <c r="K505" s="356"/>
      <c r="L505" s="356"/>
      <c r="M505" s="356"/>
      <c r="N505" s="356"/>
      <c r="O505" s="356"/>
      <c r="P505" s="356"/>
    </row>
    <row r="506" spans="1:16" ht="18.75" customHeight="1">
      <c r="A506" s="221"/>
      <c r="B506" s="342"/>
      <c r="C506" s="342"/>
      <c r="D506" s="342"/>
      <c r="E506" s="342"/>
      <c r="F506" s="342"/>
      <c r="G506" s="325"/>
      <c r="H506" s="47"/>
      <c r="I506" s="63"/>
      <c r="J506" s="353"/>
      <c r="K506" s="356"/>
      <c r="L506" s="356"/>
      <c r="M506" s="356"/>
      <c r="N506" s="356"/>
      <c r="O506" s="356"/>
      <c r="P506" s="356"/>
    </row>
    <row r="507" spans="1:16" ht="18.75" customHeight="1">
      <c r="A507" s="221"/>
      <c r="B507" s="345"/>
      <c r="C507" s="342"/>
      <c r="D507" s="345"/>
      <c r="E507" s="345"/>
      <c r="F507" s="342"/>
      <c r="G507" s="347"/>
      <c r="H507" s="348"/>
      <c r="I507" s="328"/>
      <c r="J507" s="355"/>
      <c r="K507" s="356"/>
      <c r="L507" s="356"/>
      <c r="M507" s="356"/>
      <c r="N507" s="356"/>
      <c r="O507" s="356"/>
      <c r="P507" s="356"/>
    </row>
    <row r="508" spans="1:16" ht="18.75" customHeight="1">
      <c r="A508" s="221"/>
      <c r="B508" s="342"/>
      <c r="C508" s="342"/>
      <c r="D508" s="342"/>
      <c r="E508" s="342"/>
      <c r="F508" s="342"/>
      <c r="G508" s="325"/>
      <c r="H508" s="47"/>
      <c r="I508" s="63"/>
      <c r="J508" s="353"/>
      <c r="K508" s="356"/>
      <c r="L508" s="356"/>
      <c r="M508" s="356"/>
      <c r="N508" s="356"/>
      <c r="O508" s="356"/>
      <c r="P508" s="356"/>
    </row>
    <row r="509" spans="1:16" ht="18.75" customHeight="1">
      <c r="A509" s="221"/>
      <c r="B509" s="345"/>
      <c r="C509" s="342"/>
      <c r="D509" s="345"/>
      <c r="E509" s="345"/>
      <c r="F509" s="342"/>
      <c r="G509" s="347"/>
      <c r="H509" s="348"/>
      <c r="I509" s="328"/>
      <c r="J509" s="355"/>
      <c r="K509" s="356"/>
      <c r="L509" s="356"/>
      <c r="M509" s="356"/>
      <c r="N509" s="356"/>
      <c r="O509" s="356"/>
      <c r="P509" s="356"/>
    </row>
    <row r="510" spans="1:16" ht="18.75" customHeight="1">
      <c r="A510" s="221"/>
      <c r="B510" s="342"/>
      <c r="C510" s="342"/>
      <c r="D510" s="342"/>
      <c r="E510" s="342"/>
      <c r="F510" s="342"/>
      <c r="G510" s="325"/>
      <c r="H510" s="47"/>
      <c r="I510" s="63"/>
      <c r="J510" s="353"/>
      <c r="K510" s="356"/>
      <c r="L510" s="356"/>
      <c r="M510" s="356"/>
      <c r="N510" s="356"/>
      <c r="O510" s="356"/>
      <c r="P510" s="356"/>
    </row>
    <row r="511" spans="1:16" ht="18.75" customHeight="1">
      <c r="A511" s="221"/>
      <c r="B511" s="345"/>
      <c r="C511" s="342"/>
      <c r="D511" s="345"/>
      <c r="E511" s="345"/>
      <c r="F511" s="342"/>
      <c r="G511" s="347"/>
      <c r="H511" s="47"/>
      <c r="I511" s="328"/>
      <c r="J511" s="355"/>
      <c r="K511" s="356"/>
      <c r="L511" s="356"/>
      <c r="M511" s="356"/>
      <c r="N511" s="356"/>
      <c r="O511" s="356"/>
      <c r="P511" s="356"/>
    </row>
    <row r="512" spans="1:16" ht="18.75" customHeight="1">
      <c r="A512" s="221"/>
      <c r="B512" s="342"/>
      <c r="C512" s="342"/>
      <c r="D512" s="342"/>
      <c r="E512" s="342"/>
      <c r="F512" s="342"/>
      <c r="G512" s="325"/>
      <c r="H512" s="47"/>
      <c r="I512" s="63"/>
      <c r="J512" s="353"/>
      <c r="K512" s="356"/>
      <c r="L512" s="356"/>
      <c r="M512" s="356"/>
      <c r="N512" s="356"/>
      <c r="O512" s="356"/>
      <c r="P512" s="356"/>
    </row>
    <row r="513" spans="1:16" ht="18.75" customHeight="1">
      <c r="A513" s="221"/>
      <c r="B513" s="345"/>
      <c r="C513" s="342"/>
      <c r="D513" s="345"/>
      <c r="E513" s="345"/>
      <c r="F513" s="342"/>
      <c r="G513" s="347"/>
      <c r="H513" s="348"/>
      <c r="I513" s="328"/>
      <c r="J513" s="355"/>
      <c r="K513" s="356"/>
      <c r="L513" s="356"/>
      <c r="M513" s="356"/>
      <c r="N513" s="356"/>
      <c r="O513" s="356"/>
      <c r="P513" s="356"/>
    </row>
    <row r="514" spans="1:16" ht="18.75" customHeight="1">
      <c r="A514" s="221"/>
      <c r="B514" s="342"/>
      <c r="C514" s="342"/>
      <c r="D514" s="342"/>
      <c r="E514" s="342"/>
      <c r="F514" s="342"/>
      <c r="G514" s="325"/>
      <c r="H514" s="47"/>
      <c r="I514" s="63"/>
      <c r="J514" s="353"/>
      <c r="K514" s="356"/>
      <c r="L514" s="356"/>
      <c r="M514" s="356"/>
      <c r="N514" s="356"/>
      <c r="O514" s="356"/>
      <c r="P514" s="356"/>
    </row>
    <row r="515" spans="1:16" ht="18.75" customHeight="1">
      <c r="A515" s="221"/>
      <c r="B515" s="345"/>
      <c r="C515" s="342"/>
      <c r="D515" s="345"/>
      <c r="E515" s="345"/>
      <c r="F515" s="342"/>
      <c r="G515" s="347"/>
      <c r="H515" s="348"/>
      <c r="I515" s="328"/>
      <c r="J515" s="355"/>
      <c r="K515" s="356"/>
      <c r="L515" s="356"/>
      <c r="M515" s="356"/>
      <c r="N515" s="356"/>
      <c r="O515" s="356"/>
      <c r="P515" s="356"/>
    </row>
    <row r="516" spans="1:16" ht="18.75" customHeight="1">
      <c r="A516" s="221"/>
      <c r="B516" s="342"/>
      <c r="C516" s="342"/>
      <c r="D516" s="342"/>
      <c r="E516" s="342"/>
      <c r="F516" s="342"/>
      <c r="G516" s="325"/>
      <c r="H516" s="47"/>
      <c r="I516" s="63"/>
      <c r="J516" s="353"/>
      <c r="K516" s="356"/>
      <c r="L516" s="356"/>
      <c r="M516" s="356"/>
      <c r="N516" s="356"/>
      <c r="O516" s="356"/>
      <c r="P516" s="356"/>
    </row>
    <row r="517" spans="1:16" ht="18.75" customHeight="1">
      <c r="A517" s="221"/>
      <c r="B517" s="345"/>
      <c r="C517" s="342"/>
      <c r="D517" s="345"/>
      <c r="E517" s="345"/>
      <c r="F517" s="342"/>
      <c r="G517" s="347"/>
      <c r="H517" s="348"/>
      <c r="I517" s="328"/>
      <c r="J517" s="355"/>
      <c r="K517" s="356"/>
      <c r="L517" s="356"/>
      <c r="M517" s="356"/>
      <c r="N517" s="356"/>
      <c r="O517" s="356"/>
      <c r="P517" s="356"/>
    </row>
    <row r="518" spans="1:16" ht="18.75" customHeight="1">
      <c r="A518" s="221"/>
      <c r="B518" s="342"/>
      <c r="C518" s="342"/>
      <c r="D518" s="342"/>
      <c r="E518" s="342"/>
      <c r="F518" s="342"/>
      <c r="G518" s="325"/>
      <c r="H518" s="47"/>
      <c r="I518" s="63"/>
      <c r="J518" s="353"/>
      <c r="K518" s="356"/>
      <c r="L518" s="356"/>
      <c r="M518" s="356"/>
      <c r="N518" s="356"/>
      <c r="O518" s="356"/>
      <c r="P518" s="356"/>
    </row>
    <row r="519" spans="1:16" ht="18.75" customHeight="1">
      <c r="A519" s="221"/>
      <c r="B519" s="345"/>
      <c r="C519" s="342"/>
      <c r="D519" s="345"/>
      <c r="E519" s="345"/>
      <c r="F519" s="342"/>
      <c r="G519" s="347"/>
      <c r="H519" s="47"/>
      <c r="I519" s="328"/>
      <c r="J519" s="355"/>
      <c r="K519" s="356"/>
      <c r="L519" s="356"/>
      <c r="M519" s="356"/>
      <c r="N519" s="356"/>
      <c r="O519" s="356"/>
      <c r="P519" s="356"/>
    </row>
    <row r="520" spans="1:16" ht="18.75" customHeight="1">
      <c r="A520" s="221"/>
      <c r="B520" s="342"/>
      <c r="C520" s="342"/>
      <c r="D520" s="342"/>
      <c r="E520" s="342"/>
      <c r="F520" s="342"/>
      <c r="G520" s="325"/>
      <c r="H520" s="47"/>
      <c r="I520" s="63"/>
      <c r="J520" s="353"/>
      <c r="K520" s="356"/>
      <c r="L520" s="356"/>
      <c r="M520" s="356"/>
      <c r="N520" s="356"/>
      <c r="O520" s="356"/>
      <c r="P520" s="356"/>
    </row>
    <row r="521" spans="1:16" ht="18.75" customHeight="1">
      <c r="A521" s="221"/>
      <c r="B521" s="345"/>
      <c r="C521" s="342"/>
      <c r="D521" s="345"/>
      <c r="E521" s="345"/>
      <c r="F521" s="342"/>
      <c r="G521" s="347"/>
      <c r="H521" s="348"/>
      <c r="I521" s="328"/>
      <c r="J521" s="355"/>
      <c r="K521" s="356"/>
      <c r="L521" s="356"/>
      <c r="M521" s="356"/>
      <c r="N521" s="356"/>
      <c r="O521" s="356"/>
      <c r="P521" s="356"/>
    </row>
    <row r="522" spans="1:16" ht="18.75" customHeight="1">
      <c r="A522" s="221"/>
      <c r="B522" s="342"/>
      <c r="C522" s="342"/>
      <c r="D522" s="342"/>
      <c r="E522" s="342"/>
      <c r="F522" s="342"/>
      <c r="G522" s="325"/>
      <c r="H522" s="47"/>
      <c r="I522" s="63"/>
      <c r="J522" s="353"/>
      <c r="K522" s="356"/>
      <c r="L522" s="356"/>
      <c r="M522" s="356"/>
      <c r="N522" s="356"/>
      <c r="O522" s="356"/>
      <c r="P522" s="356"/>
    </row>
    <row r="523" spans="1:16" ht="18.75" customHeight="1">
      <c r="A523" s="221"/>
      <c r="B523" s="345"/>
      <c r="C523" s="342"/>
      <c r="D523" s="345"/>
      <c r="E523" s="345"/>
      <c r="F523" s="342"/>
      <c r="G523" s="325"/>
      <c r="H523" s="47"/>
      <c r="I523" s="328"/>
      <c r="J523" s="355"/>
      <c r="K523" s="356"/>
      <c r="L523" s="356"/>
      <c r="M523" s="356"/>
      <c r="N523" s="356"/>
      <c r="O523" s="356"/>
      <c r="P523" s="356"/>
    </row>
    <row r="524" spans="1:16" ht="18.75" customHeight="1">
      <c r="A524" s="221"/>
      <c r="B524" s="342"/>
      <c r="C524" s="342"/>
      <c r="D524" s="342"/>
      <c r="E524" s="342"/>
      <c r="F524" s="342"/>
      <c r="G524" s="325"/>
      <c r="H524" s="47"/>
      <c r="I524" s="63"/>
      <c r="J524" s="353"/>
      <c r="K524" s="356"/>
      <c r="L524" s="356"/>
      <c r="M524" s="356"/>
      <c r="N524" s="356"/>
      <c r="O524" s="356"/>
      <c r="P524" s="356"/>
    </row>
    <row r="525" spans="1:16" ht="18.75" customHeight="1">
      <c r="A525" s="221"/>
      <c r="B525" s="345"/>
      <c r="C525" s="342"/>
      <c r="D525" s="345"/>
      <c r="E525" s="345"/>
      <c r="F525" s="342"/>
      <c r="G525" s="325"/>
      <c r="H525" s="47"/>
      <c r="I525" s="328"/>
      <c r="J525" s="355"/>
      <c r="K525" s="356"/>
      <c r="L525" s="356"/>
      <c r="M525" s="356"/>
      <c r="N525" s="356"/>
      <c r="O525" s="356"/>
      <c r="P525" s="356"/>
    </row>
    <row r="526" spans="1:16" ht="18.75" customHeight="1">
      <c r="A526" s="221"/>
      <c r="B526" s="342"/>
      <c r="C526" s="342"/>
      <c r="D526" s="342"/>
      <c r="E526" s="342"/>
      <c r="F526" s="342"/>
      <c r="G526" s="325"/>
      <c r="H526" s="47"/>
      <c r="I526" s="63"/>
      <c r="J526" s="353"/>
      <c r="K526" s="356"/>
      <c r="L526" s="356"/>
      <c r="M526" s="356"/>
      <c r="N526" s="356"/>
      <c r="O526" s="356"/>
      <c r="P526" s="356"/>
    </row>
    <row r="527" spans="1:16" ht="18.75" customHeight="1">
      <c r="A527" s="221"/>
      <c r="B527" s="345"/>
      <c r="C527" s="342"/>
      <c r="D527" s="345"/>
      <c r="E527" s="345"/>
      <c r="F527" s="345"/>
      <c r="G527" s="345"/>
      <c r="H527" s="47"/>
      <c r="I527" s="328"/>
      <c r="J527" s="355"/>
      <c r="K527" s="356"/>
      <c r="L527" s="356"/>
      <c r="M527" s="356"/>
      <c r="N527" s="356"/>
      <c r="O527" s="356"/>
      <c r="P527" s="356"/>
    </row>
    <row r="528" spans="1:16" ht="18.75" customHeight="1">
      <c r="A528" s="221"/>
      <c r="B528" s="342"/>
      <c r="C528" s="342"/>
      <c r="D528" s="342"/>
      <c r="E528" s="342"/>
      <c r="F528" s="342"/>
      <c r="G528" s="342"/>
      <c r="H528" s="47"/>
      <c r="I528" s="63"/>
      <c r="J528" s="353"/>
      <c r="K528" s="356"/>
      <c r="L528" s="356"/>
      <c r="M528" s="356"/>
      <c r="N528" s="356"/>
      <c r="O528" s="356"/>
      <c r="P528" s="356"/>
    </row>
    <row r="529" spans="1:16" ht="18.75" customHeight="1">
      <c r="A529" s="221"/>
      <c r="B529" s="345"/>
      <c r="C529" s="342"/>
      <c r="D529" s="345"/>
      <c r="E529" s="345"/>
      <c r="F529" s="345"/>
      <c r="G529" s="345"/>
      <c r="H529" s="47"/>
      <c r="I529" s="328"/>
      <c r="J529" s="355"/>
      <c r="K529" s="356"/>
      <c r="L529" s="356"/>
      <c r="M529" s="356"/>
      <c r="N529" s="356"/>
      <c r="O529" s="356"/>
      <c r="P529" s="356"/>
    </row>
    <row r="530" spans="1:16" ht="18.75" customHeight="1">
      <c r="A530" s="221"/>
      <c r="B530" s="342"/>
      <c r="C530" s="342"/>
      <c r="D530" s="342"/>
      <c r="E530" s="342"/>
      <c r="F530" s="342"/>
      <c r="G530" s="342"/>
      <c r="H530" s="47"/>
      <c r="I530" s="63"/>
      <c r="J530" s="353"/>
      <c r="K530" s="356"/>
      <c r="L530" s="356"/>
      <c r="M530" s="356"/>
      <c r="N530" s="356"/>
      <c r="O530" s="356"/>
      <c r="P530" s="356"/>
    </row>
    <row r="531" spans="1:16" ht="18.75" customHeight="1">
      <c r="A531" s="221"/>
      <c r="B531" s="345"/>
      <c r="C531" s="342"/>
      <c r="D531" s="345"/>
      <c r="E531" s="345"/>
      <c r="F531" s="345"/>
      <c r="G531" s="345"/>
      <c r="H531" s="47"/>
      <c r="I531" s="328"/>
      <c r="J531" s="355"/>
      <c r="K531" s="356"/>
      <c r="L531" s="356"/>
      <c r="M531" s="356"/>
      <c r="N531" s="356"/>
      <c r="O531" s="356"/>
      <c r="P531" s="356"/>
    </row>
    <row r="532" spans="1:16" ht="18.75" customHeight="1">
      <c r="A532" s="221"/>
      <c r="B532" s="342"/>
      <c r="C532" s="342"/>
      <c r="D532" s="342"/>
      <c r="E532" s="342"/>
      <c r="F532" s="342"/>
      <c r="G532" s="342"/>
      <c r="H532" s="47"/>
      <c r="I532" s="63"/>
      <c r="J532" s="353"/>
      <c r="K532" s="356"/>
      <c r="L532" s="356"/>
      <c r="M532" s="356"/>
      <c r="N532" s="356"/>
      <c r="O532" s="356"/>
      <c r="P532" s="356"/>
    </row>
    <row r="533" spans="1:16" ht="18.75" customHeight="1">
      <c r="A533" s="221"/>
      <c r="B533" s="345"/>
      <c r="C533" s="342"/>
      <c r="D533" s="345"/>
      <c r="E533" s="345"/>
      <c r="F533" s="345"/>
      <c r="G533" s="345"/>
      <c r="H533" s="47"/>
      <c r="I533" s="328"/>
      <c r="J533" s="355"/>
      <c r="K533" s="356"/>
      <c r="L533" s="356"/>
      <c r="M533" s="356"/>
      <c r="N533" s="356"/>
      <c r="O533" s="356"/>
      <c r="P533" s="356"/>
    </row>
    <row r="534" spans="1:16" ht="18.75" customHeight="1">
      <c r="A534" s="221"/>
      <c r="B534" s="342"/>
      <c r="C534" s="342"/>
      <c r="D534" s="342"/>
      <c r="E534" s="342"/>
      <c r="F534" s="342"/>
      <c r="G534" s="342"/>
      <c r="H534" s="47"/>
      <c r="I534" s="63"/>
      <c r="J534" s="353"/>
      <c r="K534" s="356"/>
      <c r="L534" s="356"/>
      <c r="M534" s="356"/>
      <c r="N534" s="356"/>
      <c r="O534" s="356"/>
      <c r="P534" s="356"/>
    </row>
    <row r="535" spans="1:16" ht="18.75" customHeight="1">
      <c r="A535" s="221"/>
      <c r="B535" s="345"/>
      <c r="C535" s="342"/>
      <c r="D535" s="345"/>
      <c r="E535" s="345"/>
      <c r="F535" s="345"/>
      <c r="G535" s="345"/>
      <c r="H535" s="47"/>
      <c r="I535" s="328"/>
      <c r="J535" s="355"/>
      <c r="K535" s="356"/>
      <c r="L535" s="356"/>
      <c r="M535" s="356"/>
      <c r="N535" s="356"/>
      <c r="O535" s="356"/>
      <c r="P535" s="356"/>
    </row>
    <row r="536" spans="1:16" ht="18.75" customHeight="1">
      <c r="A536" s="221"/>
      <c r="B536" s="342"/>
      <c r="C536" s="342"/>
      <c r="D536" s="342"/>
      <c r="E536" s="342"/>
      <c r="F536" s="342"/>
      <c r="G536" s="342"/>
      <c r="H536" s="47"/>
      <c r="I536" s="63"/>
      <c r="J536" s="353"/>
      <c r="K536" s="356"/>
      <c r="L536" s="356"/>
      <c r="M536" s="356"/>
      <c r="N536" s="356"/>
      <c r="O536" s="356"/>
      <c r="P536" s="356"/>
    </row>
    <row r="537" spans="1:16" ht="18.75" customHeight="1">
      <c r="A537" s="221"/>
      <c r="B537" s="345"/>
      <c r="C537" s="342"/>
      <c r="D537" s="345"/>
      <c r="E537" s="345"/>
      <c r="F537" s="345"/>
      <c r="G537" s="345"/>
      <c r="H537" s="47"/>
      <c r="I537" s="328"/>
      <c r="J537" s="355"/>
      <c r="K537" s="356"/>
      <c r="L537" s="356"/>
      <c r="M537" s="356"/>
      <c r="N537" s="356"/>
      <c r="O537" s="356"/>
      <c r="P537" s="356"/>
    </row>
    <row r="538" spans="1:16" ht="18.75" customHeight="1">
      <c r="A538" s="221"/>
      <c r="B538" s="342"/>
      <c r="C538" s="342"/>
      <c r="D538" s="342"/>
      <c r="E538" s="342"/>
      <c r="F538" s="342"/>
      <c r="G538" s="342"/>
      <c r="H538" s="47"/>
      <c r="I538" s="63"/>
      <c r="J538" s="353"/>
      <c r="K538" s="356"/>
      <c r="L538" s="356"/>
      <c r="M538" s="356"/>
      <c r="N538" s="356"/>
      <c r="O538" s="356"/>
      <c r="P538" s="356"/>
    </row>
    <row r="539" spans="1:16" ht="18.75" customHeight="1">
      <c r="A539" s="221"/>
      <c r="B539" s="345"/>
      <c r="C539" s="342"/>
      <c r="D539" s="345"/>
      <c r="E539" s="345"/>
      <c r="F539" s="345"/>
      <c r="G539" s="345"/>
      <c r="H539" s="47"/>
      <c r="I539" s="328"/>
      <c r="J539" s="355"/>
      <c r="K539" s="356"/>
      <c r="L539" s="356"/>
      <c r="M539" s="356"/>
      <c r="N539" s="356"/>
      <c r="O539" s="356"/>
      <c r="P539" s="356"/>
    </row>
    <row r="540" spans="1:16" ht="18.75" customHeight="1">
      <c r="A540" s="221"/>
      <c r="B540" s="342"/>
      <c r="C540" s="342"/>
      <c r="D540" s="342"/>
      <c r="E540" s="342"/>
      <c r="F540" s="342"/>
      <c r="G540" s="342"/>
      <c r="H540" s="47"/>
      <c r="I540" s="63"/>
      <c r="J540" s="353"/>
      <c r="K540" s="356"/>
      <c r="L540" s="356"/>
      <c r="M540" s="356"/>
      <c r="N540" s="356"/>
      <c r="O540" s="356"/>
      <c r="P540" s="356"/>
    </row>
    <row r="541" spans="1:16" ht="18.75" customHeight="1">
      <c r="A541" s="221"/>
      <c r="B541" s="345"/>
      <c r="C541" s="342"/>
      <c r="D541" s="345"/>
      <c r="E541" s="345"/>
      <c r="F541" s="345"/>
      <c r="G541" s="345"/>
      <c r="H541" s="47"/>
      <c r="I541" s="328"/>
      <c r="J541" s="355"/>
      <c r="K541" s="356"/>
      <c r="L541" s="356"/>
      <c r="M541" s="356"/>
      <c r="N541" s="356"/>
      <c r="O541" s="356"/>
      <c r="P541" s="356"/>
    </row>
    <row r="542" spans="1:16" ht="18.75" customHeight="1">
      <c r="A542" s="221"/>
      <c r="B542" s="342"/>
      <c r="C542" s="342"/>
      <c r="D542" s="342"/>
      <c r="E542" s="342"/>
      <c r="F542" s="342"/>
      <c r="G542" s="342"/>
      <c r="H542" s="47"/>
      <c r="I542" s="63"/>
      <c r="J542" s="353"/>
      <c r="K542" s="356"/>
      <c r="L542" s="356"/>
      <c r="M542" s="356"/>
      <c r="N542" s="356"/>
      <c r="O542" s="356"/>
      <c r="P542" s="356"/>
    </row>
    <row r="543" spans="1:16" ht="18.75" customHeight="1">
      <c r="A543" s="221"/>
      <c r="B543" s="345"/>
      <c r="C543" s="342"/>
      <c r="D543" s="345"/>
      <c r="E543" s="345"/>
      <c r="F543" s="345"/>
      <c r="G543" s="345"/>
      <c r="H543" s="47"/>
      <c r="I543" s="328"/>
      <c r="J543" s="355"/>
      <c r="K543" s="356"/>
      <c r="L543" s="356"/>
      <c r="M543" s="356"/>
      <c r="N543" s="356"/>
      <c r="O543" s="356"/>
      <c r="P543" s="356"/>
    </row>
    <row r="544" spans="1:16" ht="18.75" customHeight="1">
      <c r="A544" s="221"/>
      <c r="B544" s="342"/>
      <c r="C544" s="342"/>
      <c r="D544" s="342"/>
      <c r="E544" s="342"/>
      <c r="F544" s="342"/>
      <c r="G544" s="342"/>
      <c r="H544" s="47"/>
      <c r="I544" s="63"/>
      <c r="J544" s="353"/>
      <c r="K544" s="356"/>
      <c r="L544" s="356"/>
      <c r="M544" s="356"/>
      <c r="N544" s="356"/>
      <c r="O544" s="356"/>
      <c r="P544" s="356"/>
    </row>
    <row r="545" spans="1:16" ht="18.75" customHeight="1">
      <c r="A545" s="221"/>
      <c r="B545" s="345"/>
      <c r="C545" s="342"/>
      <c r="D545" s="345"/>
      <c r="E545" s="345"/>
      <c r="F545" s="345"/>
      <c r="G545" s="345"/>
      <c r="H545" s="47"/>
      <c r="I545" s="328"/>
      <c r="J545" s="355"/>
      <c r="K545" s="356"/>
      <c r="L545" s="356"/>
      <c r="M545" s="356"/>
      <c r="N545" s="356"/>
      <c r="O545" s="356"/>
      <c r="P545" s="356"/>
    </row>
    <row r="546" spans="1:16" ht="18.75" customHeight="1">
      <c r="A546" s="221"/>
      <c r="B546" s="342"/>
      <c r="C546" s="342"/>
      <c r="D546" s="342"/>
      <c r="E546" s="342"/>
      <c r="F546" s="342"/>
      <c r="G546" s="342"/>
      <c r="H546" s="47"/>
      <c r="I546" s="63"/>
      <c r="J546" s="353"/>
      <c r="K546" s="356"/>
      <c r="L546" s="356"/>
      <c r="M546" s="356"/>
      <c r="N546" s="356"/>
      <c r="O546" s="356"/>
      <c r="P546" s="356"/>
    </row>
    <row r="547" spans="1:16" ht="18.75" customHeight="1">
      <c r="A547" s="221"/>
      <c r="B547" s="345"/>
      <c r="C547" s="342"/>
      <c r="D547" s="345"/>
      <c r="E547" s="345"/>
      <c r="F547" s="345"/>
      <c r="G547" s="345"/>
      <c r="H547" s="47"/>
      <c r="I547" s="328"/>
      <c r="J547" s="355"/>
      <c r="K547" s="356"/>
      <c r="L547" s="356"/>
      <c r="M547" s="356"/>
      <c r="N547" s="356"/>
      <c r="O547" s="356"/>
      <c r="P547" s="356"/>
    </row>
    <row r="548" spans="1:16" ht="18.75" customHeight="1">
      <c r="A548" s="221"/>
      <c r="B548" s="342"/>
      <c r="C548" s="342"/>
      <c r="D548" s="342"/>
      <c r="E548" s="342"/>
      <c r="F548" s="342"/>
      <c r="G548" s="342"/>
      <c r="H548" s="47"/>
      <c r="I548" s="63"/>
      <c r="J548" s="353"/>
      <c r="K548" s="356"/>
      <c r="L548" s="356"/>
      <c r="M548" s="356"/>
      <c r="N548" s="356"/>
      <c r="O548" s="356"/>
      <c r="P548" s="356"/>
    </row>
    <row r="549" spans="1:16" ht="18.75" customHeight="1">
      <c r="A549" s="221"/>
      <c r="B549" s="345"/>
      <c r="C549" s="342"/>
      <c r="D549" s="345"/>
      <c r="E549" s="345"/>
      <c r="F549" s="345"/>
      <c r="G549" s="345"/>
      <c r="H549" s="47"/>
      <c r="I549" s="328"/>
      <c r="J549" s="355"/>
      <c r="K549" s="356"/>
      <c r="L549" s="356"/>
      <c r="M549" s="356"/>
      <c r="N549" s="356"/>
      <c r="O549" s="356"/>
      <c r="P549" s="356"/>
    </row>
    <row r="550" spans="1:16" ht="18.75" customHeight="1">
      <c r="A550" s="221"/>
      <c r="B550" s="342"/>
      <c r="C550" s="342"/>
      <c r="D550" s="342"/>
      <c r="E550" s="342"/>
      <c r="F550" s="342"/>
      <c r="G550" s="342"/>
      <c r="H550" s="47"/>
      <c r="I550" s="63"/>
      <c r="J550" s="353"/>
      <c r="K550" s="356"/>
      <c r="L550" s="356"/>
      <c r="M550" s="356"/>
      <c r="N550" s="356"/>
      <c r="O550" s="356"/>
      <c r="P550" s="356"/>
    </row>
    <row r="551" spans="1:16" ht="18.75" customHeight="1">
      <c r="A551" s="221"/>
      <c r="B551" s="345"/>
      <c r="C551" s="342"/>
      <c r="D551" s="345"/>
      <c r="E551" s="345"/>
      <c r="F551" s="345"/>
      <c r="G551" s="345"/>
      <c r="H551" s="47"/>
      <c r="I551" s="328"/>
      <c r="J551" s="355"/>
      <c r="K551" s="356"/>
      <c r="L551" s="356"/>
      <c r="M551" s="356"/>
      <c r="N551" s="356"/>
      <c r="O551" s="356"/>
      <c r="P551" s="356"/>
    </row>
    <row r="552" spans="1:16" ht="18.75" customHeight="1">
      <c r="A552" s="221"/>
      <c r="B552" s="342"/>
      <c r="C552" s="342"/>
      <c r="D552" s="342"/>
      <c r="E552" s="342"/>
      <c r="F552" s="342"/>
      <c r="G552" s="342"/>
      <c r="H552" s="47"/>
      <c r="I552" s="63"/>
      <c r="J552" s="353"/>
      <c r="K552" s="356"/>
      <c r="L552" s="356"/>
      <c r="M552" s="356"/>
      <c r="N552" s="356"/>
      <c r="O552" s="356"/>
      <c r="P552" s="356"/>
    </row>
    <row r="553" spans="1:16" ht="18.75" customHeight="1">
      <c r="A553" s="221"/>
      <c r="B553" s="345"/>
      <c r="C553" s="342"/>
      <c r="D553" s="345"/>
      <c r="E553" s="345"/>
      <c r="F553" s="345"/>
      <c r="G553" s="345"/>
      <c r="H553" s="47"/>
      <c r="I553" s="328"/>
      <c r="J553" s="355"/>
      <c r="K553" s="356"/>
      <c r="L553" s="356"/>
      <c r="M553" s="356"/>
      <c r="N553" s="356"/>
      <c r="O553" s="356"/>
      <c r="P553" s="356"/>
    </row>
    <row r="554" spans="1:16" ht="18.75" customHeight="1">
      <c r="A554" s="221"/>
      <c r="B554" s="342"/>
      <c r="C554" s="342"/>
      <c r="D554" s="342"/>
      <c r="E554" s="342"/>
      <c r="F554" s="342"/>
      <c r="G554" s="342"/>
      <c r="H554" s="47"/>
      <c r="I554" s="63"/>
      <c r="J554" s="353"/>
      <c r="K554" s="356"/>
      <c r="L554" s="356"/>
      <c r="M554" s="356"/>
      <c r="N554" s="356"/>
      <c r="O554" s="356"/>
      <c r="P554" s="356"/>
    </row>
    <row r="555" spans="1:16" ht="18.75" customHeight="1">
      <c r="A555" s="221"/>
      <c r="B555" s="345"/>
      <c r="C555" s="342"/>
      <c r="D555" s="345"/>
      <c r="E555" s="345"/>
      <c r="F555" s="345"/>
      <c r="G555" s="345"/>
      <c r="H555" s="47"/>
      <c r="I555" s="328"/>
      <c r="J555" s="355"/>
      <c r="K555" s="356"/>
      <c r="L555" s="356"/>
      <c r="M555" s="356"/>
      <c r="N555" s="356"/>
      <c r="O555" s="356"/>
      <c r="P555" s="356"/>
    </row>
    <row r="556" spans="1:16" ht="18.75" customHeight="1">
      <c r="A556" s="221"/>
      <c r="B556" s="342"/>
      <c r="C556" s="342"/>
      <c r="D556" s="342"/>
      <c r="E556" s="342"/>
      <c r="F556" s="342"/>
      <c r="G556" s="342"/>
      <c r="H556" s="47"/>
      <c r="I556" s="63"/>
      <c r="J556" s="353"/>
      <c r="K556" s="356"/>
      <c r="L556" s="356"/>
      <c r="M556" s="356"/>
      <c r="N556" s="356"/>
      <c r="O556" s="356"/>
      <c r="P556" s="356"/>
    </row>
    <row r="557" spans="1:16" ht="18.75" customHeight="1">
      <c r="A557" s="221"/>
      <c r="B557" s="345"/>
      <c r="C557" s="342"/>
      <c r="D557" s="345"/>
      <c r="E557" s="345"/>
      <c r="F557" s="345"/>
      <c r="G557" s="345"/>
      <c r="H557" s="47"/>
      <c r="I557" s="328"/>
      <c r="J557" s="355"/>
      <c r="K557" s="356"/>
      <c r="L557" s="356"/>
      <c r="M557" s="356"/>
      <c r="N557" s="356"/>
      <c r="O557" s="356"/>
      <c r="P557" s="356"/>
    </row>
    <row r="558" spans="1:16" ht="18.75" customHeight="1">
      <c r="A558" s="221"/>
      <c r="B558" s="342"/>
      <c r="C558" s="342"/>
      <c r="D558" s="342"/>
      <c r="E558" s="342"/>
      <c r="F558" s="342"/>
      <c r="G558" s="342"/>
      <c r="H558" s="47"/>
      <c r="I558" s="63"/>
      <c r="J558" s="353"/>
      <c r="K558" s="356"/>
      <c r="L558" s="356"/>
      <c r="M558" s="356"/>
      <c r="N558" s="356"/>
      <c r="O558" s="356"/>
      <c r="P558" s="356"/>
    </row>
    <row r="559" spans="1:16" ht="18.75" customHeight="1">
      <c r="A559" s="221"/>
      <c r="B559" s="345"/>
      <c r="C559" s="342"/>
      <c r="D559" s="345"/>
      <c r="E559" s="345"/>
      <c r="F559" s="345"/>
      <c r="G559" s="345"/>
      <c r="H559" s="47"/>
      <c r="I559" s="328"/>
      <c r="J559" s="355"/>
      <c r="K559" s="356"/>
      <c r="L559" s="356"/>
      <c r="M559" s="356"/>
      <c r="N559" s="356"/>
      <c r="O559" s="356"/>
      <c r="P559" s="356"/>
    </row>
    <row r="560" spans="1:16" ht="18.75" customHeight="1">
      <c r="A560" s="221"/>
      <c r="B560" s="342"/>
      <c r="C560" s="342"/>
      <c r="D560" s="342"/>
      <c r="E560" s="342"/>
      <c r="F560" s="342"/>
      <c r="G560" s="342"/>
      <c r="H560" s="47"/>
      <c r="I560" s="63"/>
      <c r="J560" s="353"/>
      <c r="K560" s="356"/>
      <c r="L560" s="356"/>
      <c r="M560" s="356"/>
      <c r="N560" s="356"/>
      <c r="O560" s="356"/>
      <c r="P560" s="356"/>
    </row>
    <row r="561" spans="1:16" ht="18.75" customHeight="1">
      <c r="A561" s="221"/>
      <c r="B561" s="345"/>
      <c r="C561" s="342"/>
      <c r="D561" s="345"/>
      <c r="E561" s="345"/>
      <c r="F561" s="345"/>
      <c r="G561" s="345"/>
      <c r="H561" s="47"/>
      <c r="I561" s="328"/>
      <c r="J561" s="355"/>
      <c r="K561" s="356"/>
      <c r="L561" s="356"/>
      <c r="M561" s="356"/>
      <c r="N561" s="356"/>
      <c r="O561" s="356"/>
      <c r="P561" s="356"/>
    </row>
    <row r="562" spans="1:16" ht="18.75" customHeight="1">
      <c r="A562" s="221"/>
      <c r="B562" s="342"/>
      <c r="C562" s="342"/>
      <c r="D562" s="342"/>
      <c r="E562" s="342"/>
      <c r="F562" s="342"/>
      <c r="G562" s="342"/>
      <c r="H562" s="47"/>
      <c r="I562" s="63"/>
      <c r="J562" s="353"/>
      <c r="K562" s="356"/>
      <c r="L562" s="356"/>
      <c r="M562" s="356"/>
      <c r="N562" s="356"/>
      <c r="O562" s="356"/>
      <c r="P562" s="356"/>
    </row>
    <row r="563" spans="1:16" ht="18.75" customHeight="1">
      <c r="A563" s="221"/>
      <c r="B563" s="345"/>
      <c r="C563" s="342"/>
      <c r="D563" s="345"/>
      <c r="E563" s="345"/>
      <c r="F563" s="345"/>
      <c r="G563" s="345"/>
      <c r="H563" s="47"/>
      <c r="I563" s="328"/>
      <c r="J563" s="355"/>
      <c r="K563" s="356"/>
      <c r="L563" s="356"/>
      <c r="M563" s="356"/>
      <c r="N563" s="356"/>
      <c r="O563" s="356"/>
      <c r="P563" s="356"/>
    </row>
    <row r="564" spans="1:16" ht="18.75" customHeight="1">
      <c r="A564" s="221"/>
      <c r="B564" s="342"/>
      <c r="C564" s="342"/>
      <c r="D564" s="342"/>
      <c r="E564" s="342"/>
      <c r="F564" s="342"/>
      <c r="G564" s="342"/>
      <c r="H564" s="47"/>
      <c r="I564" s="63"/>
      <c r="J564" s="353"/>
      <c r="K564" s="356"/>
      <c r="L564" s="356"/>
      <c r="M564" s="356"/>
      <c r="N564" s="356"/>
      <c r="O564" s="356"/>
      <c r="P564" s="356"/>
    </row>
    <row r="565" spans="1:16" ht="18.75" customHeight="1">
      <c r="A565" s="221"/>
      <c r="B565" s="345"/>
      <c r="C565" s="345"/>
      <c r="D565" s="325"/>
      <c r="E565" s="325"/>
      <c r="F565" s="325"/>
      <c r="G565" s="347"/>
      <c r="H565" s="328"/>
      <c r="I565" s="328"/>
      <c r="J565" s="355"/>
      <c r="K565" s="356"/>
      <c r="L565" s="356"/>
      <c r="M565" s="356"/>
      <c r="N565" s="356"/>
      <c r="O565" s="356"/>
      <c r="P565" s="356"/>
    </row>
    <row r="566" spans="1:16" ht="18.75" customHeight="1">
      <c r="A566" s="221"/>
      <c r="B566" s="342"/>
      <c r="C566" s="342"/>
      <c r="D566" s="325"/>
      <c r="E566" s="325"/>
      <c r="F566" s="325"/>
      <c r="G566" s="325"/>
      <c r="H566" s="63"/>
      <c r="I566" s="63"/>
      <c r="J566" s="353"/>
      <c r="K566" s="356"/>
      <c r="L566" s="356"/>
      <c r="M566" s="356"/>
      <c r="N566" s="356"/>
      <c r="O566" s="356"/>
      <c r="P566" s="356"/>
    </row>
    <row r="567" spans="1:16" ht="18.75" customHeight="1">
      <c r="A567" s="221"/>
      <c r="B567" s="345"/>
      <c r="C567" s="345"/>
      <c r="D567" s="325"/>
      <c r="E567" s="325"/>
      <c r="F567" s="325"/>
      <c r="G567" s="347"/>
      <c r="H567" s="328"/>
      <c r="I567" s="328"/>
      <c r="J567" s="355"/>
      <c r="K567" s="356"/>
      <c r="L567" s="356"/>
      <c r="M567" s="356"/>
      <c r="N567" s="356"/>
      <c r="O567" s="356"/>
      <c r="P567" s="356"/>
    </row>
    <row r="568" spans="1:16" ht="18.75" customHeight="1">
      <c r="A568" s="221"/>
      <c r="B568" s="342"/>
      <c r="C568" s="342"/>
      <c r="D568" s="325"/>
      <c r="E568" s="325"/>
      <c r="F568" s="325"/>
      <c r="G568" s="325"/>
      <c r="H568" s="63"/>
      <c r="I568" s="63"/>
      <c r="J568" s="353"/>
      <c r="K568" s="356"/>
      <c r="L568" s="356"/>
      <c r="M568" s="356"/>
      <c r="N568" s="356"/>
      <c r="O568" s="356"/>
      <c r="P568" s="356"/>
    </row>
    <row r="569" spans="1:16" ht="18.75" customHeight="1">
      <c r="A569" s="221"/>
      <c r="B569" s="345"/>
      <c r="C569" s="345"/>
      <c r="D569" s="325"/>
      <c r="E569" s="325"/>
      <c r="F569" s="325"/>
      <c r="G569" s="347"/>
      <c r="H569" s="328"/>
      <c r="I569" s="328"/>
      <c r="J569" s="355"/>
      <c r="K569" s="356"/>
      <c r="L569" s="356"/>
      <c r="M569" s="356"/>
      <c r="N569" s="356"/>
      <c r="O569" s="356"/>
      <c r="P569" s="356"/>
    </row>
    <row r="570" spans="1:16" ht="18.75" customHeight="1">
      <c r="A570" s="221"/>
      <c r="B570" s="342"/>
      <c r="C570" s="342"/>
      <c r="D570" s="325"/>
      <c r="E570" s="325"/>
      <c r="F570" s="325"/>
      <c r="G570" s="325"/>
      <c r="H570" s="47"/>
      <c r="I570" s="63"/>
      <c r="J570" s="353"/>
      <c r="K570" s="356"/>
      <c r="L570" s="356"/>
      <c r="M570" s="356"/>
      <c r="N570" s="356"/>
      <c r="O570" s="356"/>
      <c r="P570" s="356"/>
    </row>
    <row r="571" spans="1:16" ht="18.75" customHeight="1">
      <c r="A571" s="221"/>
      <c r="B571" s="345"/>
      <c r="C571" s="345"/>
      <c r="D571" s="325"/>
      <c r="E571" s="325"/>
      <c r="F571" s="325"/>
      <c r="G571" s="347"/>
      <c r="H571" s="328"/>
      <c r="I571" s="328"/>
      <c r="J571" s="355"/>
      <c r="K571" s="356"/>
      <c r="L571" s="356"/>
      <c r="M571" s="356"/>
      <c r="N571" s="356"/>
      <c r="O571" s="356"/>
      <c r="P571" s="356"/>
    </row>
    <row r="572" spans="1:16" ht="18.75" customHeight="1">
      <c r="A572" s="221"/>
      <c r="B572" s="342"/>
      <c r="C572" s="342"/>
      <c r="D572" s="325"/>
      <c r="E572" s="325"/>
      <c r="F572" s="325"/>
      <c r="G572" s="325"/>
      <c r="H572" s="63"/>
      <c r="I572" s="63"/>
      <c r="J572" s="353"/>
      <c r="K572" s="356"/>
      <c r="L572" s="356"/>
      <c r="M572" s="356"/>
      <c r="N572" s="356"/>
      <c r="O572" s="356"/>
      <c r="P572" s="356"/>
    </row>
    <row r="573" spans="1:16" ht="18.75" customHeight="1">
      <c r="A573" s="221"/>
      <c r="B573" s="345"/>
      <c r="C573" s="345"/>
      <c r="D573" s="325"/>
      <c r="E573" s="325"/>
      <c r="F573" s="325"/>
      <c r="G573" s="347"/>
      <c r="H573" s="328"/>
      <c r="I573" s="328"/>
      <c r="J573" s="355"/>
      <c r="K573" s="356"/>
      <c r="L573" s="356"/>
      <c r="M573" s="356"/>
      <c r="N573" s="356"/>
      <c r="O573" s="356"/>
      <c r="P573" s="356"/>
    </row>
    <row r="574" spans="1:16" ht="18.75" customHeight="1">
      <c r="A574" s="221"/>
      <c r="B574" s="342"/>
      <c r="C574" s="342"/>
      <c r="D574" s="325"/>
      <c r="E574" s="325"/>
      <c r="F574" s="325"/>
      <c r="G574" s="325"/>
      <c r="H574" s="63"/>
      <c r="I574" s="63"/>
      <c r="J574" s="353"/>
      <c r="K574" s="356"/>
      <c r="L574" s="356"/>
      <c r="M574" s="356"/>
      <c r="N574" s="356"/>
      <c r="O574" s="356"/>
      <c r="P574" s="356"/>
    </row>
    <row r="575" spans="1:16" ht="18.75" customHeight="1">
      <c r="A575" s="221"/>
      <c r="B575" s="345"/>
      <c r="C575" s="345"/>
      <c r="D575" s="325"/>
      <c r="E575" s="325"/>
      <c r="F575" s="325"/>
      <c r="G575" s="347"/>
      <c r="H575" s="328"/>
      <c r="I575" s="328"/>
      <c r="J575" s="355"/>
      <c r="K575" s="356"/>
      <c r="L575" s="356"/>
      <c r="M575" s="356"/>
      <c r="N575" s="356"/>
      <c r="O575" s="356"/>
      <c r="P575" s="356"/>
    </row>
    <row r="576" spans="1:16" ht="18.75" customHeight="1">
      <c r="A576" s="221"/>
      <c r="B576" s="342"/>
      <c r="C576" s="342"/>
      <c r="D576" s="325"/>
      <c r="E576" s="325"/>
      <c r="F576" s="325"/>
      <c r="G576" s="325"/>
      <c r="H576" s="63"/>
      <c r="I576" s="63"/>
      <c r="J576" s="353"/>
      <c r="K576" s="356"/>
      <c r="L576" s="356"/>
      <c r="M576" s="356"/>
      <c r="N576" s="356"/>
      <c r="O576" s="356"/>
      <c r="P576" s="356"/>
    </row>
    <row r="577" spans="1:16" ht="18.75" customHeight="1">
      <c r="A577" s="221"/>
      <c r="B577" s="345"/>
      <c r="C577" s="345"/>
      <c r="D577" s="325"/>
      <c r="E577" s="325"/>
      <c r="F577" s="325"/>
      <c r="G577" s="347"/>
      <c r="H577" s="328"/>
      <c r="I577" s="328"/>
      <c r="J577" s="355"/>
      <c r="K577" s="356"/>
      <c r="L577" s="356"/>
      <c r="M577" s="356"/>
      <c r="N577" s="356"/>
      <c r="O577" s="356"/>
      <c r="P577" s="356"/>
    </row>
    <row r="578" spans="1:16" ht="18.75" customHeight="1">
      <c r="A578" s="221"/>
      <c r="B578" s="342"/>
      <c r="C578" s="342"/>
      <c r="D578" s="325"/>
      <c r="E578" s="325"/>
      <c r="F578" s="325"/>
      <c r="G578" s="325"/>
      <c r="H578" s="63"/>
      <c r="I578" s="63"/>
      <c r="J578" s="353"/>
      <c r="K578" s="356"/>
      <c r="L578" s="356"/>
      <c r="M578" s="356"/>
      <c r="N578" s="356"/>
      <c r="O578" s="356"/>
      <c r="P578" s="356"/>
    </row>
    <row r="579" spans="1:16" ht="18.75" customHeight="1">
      <c r="A579" s="221"/>
      <c r="B579" s="345"/>
      <c r="C579" s="345"/>
      <c r="D579" s="325"/>
      <c r="E579" s="325"/>
      <c r="F579" s="325"/>
      <c r="G579" s="347"/>
      <c r="H579" s="348"/>
      <c r="I579" s="328"/>
      <c r="J579" s="355"/>
      <c r="K579" s="356"/>
      <c r="L579" s="356"/>
      <c r="M579" s="356"/>
      <c r="N579" s="356"/>
      <c r="O579" s="356"/>
      <c r="P579" s="356"/>
    </row>
    <row r="580" spans="1:16" ht="18.75" customHeight="1">
      <c r="A580" s="221"/>
      <c r="B580" s="342"/>
      <c r="C580" s="342"/>
      <c r="D580" s="325"/>
      <c r="E580" s="325"/>
      <c r="F580" s="325"/>
      <c r="G580" s="325"/>
      <c r="H580" s="47"/>
      <c r="I580" s="63"/>
      <c r="J580" s="353"/>
      <c r="K580" s="356"/>
      <c r="L580" s="356"/>
      <c r="M580" s="356"/>
      <c r="N580" s="356"/>
      <c r="O580" s="356"/>
      <c r="P580" s="356"/>
    </row>
    <row r="581" spans="1:16" ht="18.75" customHeight="1">
      <c r="A581" s="221"/>
      <c r="B581" s="345"/>
      <c r="C581" s="345"/>
      <c r="D581" s="325"/>
      <c r="E581" s="325"/>
      <c r="F581" s="325"/>
      <c r="G581" s="347"/>
      <c r="H581" s="328"/>
      <c r="I581" s="328"/>
      <c r="J581" s="355"/>
      <c r="K581" s="356"/>
      <c r="L581" s="356"/>
      <c r="M581" s="356"/>
      <c r="N581" s="356"/>
      <c r="O581" s="356"/>
      <c r="P581" s="356"/>
    </row>
    <row r="582" spans="1:16" ht="18.75" customHeight="1">
      <c r="A582" s="221"/>
      <c r="B582" s="342"/>
      <c r="C582" s="342"/>
      <c r="D582" s="325"/>
      <c r="E582" s="325"/>
      <c r="F582" s="325"/>
      <c r="G582" s="325"/>
      <c r="H582" s="63"/>
      <c r="I582" s="63"/>
      <c r="J582" s="353"/>
      <c r="K582" s="356"/>
      <c r="L582" s="356"/>
      <c r="M582" s="356"/>
      <c r="N582" s="356"/>
      <c r="O582" s="356"/>
      <c r="P582" s="356"/>
    </row>
    <row r="583" spans="1:16" ht="18.75" customHeight="1">
      <c r="A583" s="221"/>
      <c r="B583" s="345"/>
      <c r="C583" s="345"/>
      <c r="D583" s="325"/>
      <c r="E583" s="325"/>
      <c r="F583" s="325"/>
      <c r="G583" s="347"/>
      <c r="H583" s="328"/>
      <c r="I583" s="328"/>
      <c r="J583" s="355"/>
      <c r="K583" s="356"/>
      <c r="L583" s="356"/>
      <c r="M583" s="356"/>
      <c r="N583" s="356"/>
      <c r="O583" s="356"/>
      <c r="P583" s="356"/>
    </row>
    <row r="584" spans="1:16" ht="18.75" customHeight="1">
      <c r="A584" s="221"/>
      <c r="B584" s="342"/>
      <c r="C584" s="342"/>
      <c r="D584" s="325"/>
      <c r="E584" s="325"/>
      <c r="F584" s="325"/>
      <c r="G584" s="325"/>
      <c r="H584" s="63"/>
      <c r="I584" s="63"/>
      <c r="J584" s="353"/>
      <c r="K584" s="356"/>
      <c r="L584" s="356"/>
      <c r="M584" s="356"/>
      <c r="N584" s="356"/>
      <c r="O584" s="356"/>
      <c r="P584" s="356"/>
    </row>
    <row r="585" spans="1:16" ht="18.75" customHeight="1">
      <c r="A585" s="221"/>
      <c r="B585" s="345"/>
      <c r="C585" s="345"/>
      <c r="D585" s="325"/>
      <c r="E585" s="325"/>
      <c r="F585" s="325"/>
      <c r="G585" s="347"/>
      <c r="H585" s="328"/>
      <c r="I585" s="328"/>
      <c r="J585" s="355"/>
      <c r="K585" s="356"/>
      <c r="L585" s="356"/>
      <c r="M585" s="356"/>
      <c r="N585" s="356"/>
      <c r="O585" s="356"/>
      <c r="P585" s="356"/>
    </row>
    <row r="586" spans="1:16" ht="18.75" customHeight="1">
      <c r="A586" s="221"/>
      <c r="B586" s="342"/>
      <c r="C586" s="342"/>
      <c r="D586" s="343"/>
      <c r="E586" s="344"/>
      <c r="F586" s="344"/>
      <c r="G586" s="344"/>
      <c r="H586" s="47"/>
      <c r="I586" s="63"/>
      <c r="J586" s="353"/>
      <c r="K586" s="356"/>
      <c r="L586" s="356"/>
      <c r="M586" s="356"/>
      <c r="N586" s="356"/>
      <c r="O586" s="356"/>
      <c r="P586" s="356"/>
    </row>
    <row r="587" spans="1:16" ht="18.75" customHeight="1">
      <c r="A587" s="221"/>
      <c r="B587" s="342"/>
      <c r="C587" s="342"/>
      <c r="D587" s="343"/>
      <c r="E587" s="344"/>
      <c r="F587" s="344"/>
      <c r="G587" s="344"/>
      <c r="H587" s="47"/>
      <c r="I587" s="328"/>
      <c r="J587" s="355"/>
      <c r="K587" s="356"/>
      <c r="L587" s="356"/>
      <c r="M587" s="356"/>
      <c r="N587" s="356"/>
      <c r="O587" s="356"/>
      <c r="P587" s="356"/>
    </row>
    <row r="588" spans="1:16" ht="18.75" customHeight="1">
      <c r="A588" s="221"/>
      <c r="B588" s="342"/>
      <c r="C588" s="342"/>
      <c r="D588" s="343"/>
      <c r="E588" s="344"/>
      <c r="F588" s="344"/>
      <c r="G588" s="344"/>
      <c r="H588" s="47"/>
      <c r="I588" s="63"/>
      <c r="J588" s="353"/>
      <c r="K588" s="356"/>
      <c r="L588" s="356"/>
      <c r="M588" s="356"/>
      <c r="N588" s="356"/>
      <c r="O588" s="356"/>
      <c r="P588" s="356"/>
    </row>
    <row r="589" spans="1:16" ht="18.75" customHeight="1">
      <c r="A589" s="221"/>
      <c r="B589" s="342"/>
      <c r="C589" s="342"/>
      <c r="D589" s="343"/>
      <c r="E589" s="344"/>
      <c r="F589" s="344"/>
      <c r="G589" s="344"/>
      <c r="H589" s="47"/>
      <c r="I589" s="328"/>
      <c r="J589" s="355"/>
      <c r="K589" s="356"/>
      <c r="L589" s="356"/>
      <c r="M589" s="356"/>
      <c r="N589" s="356"/>
      <c r="O589" s="356"/>
      <c r="P589" s="356"/>
    </row>
    <row r="590" spans="1:16" ht="18.75" customHeight="1">
      <c r="A590" s="221"/>
      <c r="B590" s="342"/>
      <c r="C590" s="342"/>
      <c r="D590" s="343"/>
      <c r="E590" s="344"/>
      <c r="F590" s="344"/>
      <c r="G590" s="344"/>
      <c r="H590" s="47"/>
      <c r="I590" s="63"/>
      <c r="J590" s="353"/>
      <c r="K590" s="356"/>
      <c r="L590" s="356"/>
      <c r="M590" s="356"/>
      <c r="N590" s="356"/>
      <c r="O590" s="356"/>
      <c r="P590" s="356"/>
    </row>
    <row r="591" spans="1:16" ht="18.75" customHeight="1">
      <c r="A591" s="221"/>
      <c r="B591" s="342"/>
      <c r="C591" s="342"/>
      <c r="D591" s="343"/>
      <c r="E591" s="344"/>
      <c r="F591" s="344"/>
      <c r="G591" s="344"/>
      <c r="H591" s="47"/>
      <c r="I591" s="328"/>
      <c r="J591" s="355"/>
      <c r="K591" s="356"/>
      <c r="L591" s="356"/>
      <c r="M591" s="356"/>
      <c r="N591" s="356"/>
      <c r="O591" s="356"/>
      <c r="P591" s="356"/>
    </row>
    <row r="592" spans="1:16" ht="18.75" customHeight="1">
      <c r="A592" s="221"/>
      <c r="B592" s="342"/>
      <c r="C592" s="342"/>
      <c r="D592" s="343"/>
      <c r="E592" s="344"/>
      <c r="F592" s="344"/>
      <c r="G592" s="344"/>
      <c r="H592" s="47"/>
      <c r="I592" s="63"/>
      <c r="J592" s="353"/>
      <c r="K592" s="356"/>
      <c r="L592" s="356"/>
      <c r="M592" s="356"/>
      <c r="N592" s="356"/>
      <c r="O592" s="356"/>
      <c r="P592" s="356"/>
    </row>
    <row r="593" spans="1:16" ht="18.75" customHeight="1">
      <c r="A593" s="221"/>
      <c r="B593" s="342"/>
      <c r="C593" s="342"/>
      <c r="D593" s="343"/>
      <c r="E593" s="344"/>
      <c r="F593" s="344"/>
      <c r="G593" s="344"/>
      <c r="H593" s="47"/>
      <c r="I593" s="328"/>
      <c r="J593" s="355"/>
      <c r="K593" s="356"/>
      <c r="L593" s="356"/>
      <c r="M593" s="356"/>
      <c r="N593" s="356"/>
      <c r="O593" s="356"/>
      <c r="P593" s="356"/>
    </row>
    <row r="594" spans="1:16" ht="18.75" customHeight="1">
      <c r="A594" s="221"/>
      <c r="B594" s="342"/>
      <c r="C594" s="342"/>
      <c r="D594" s="343"/>
      <c r="E594" s="344"/>
      <c r="F594" s="344"/>
      <c r="G594" s="344"/>
      <c r="H594" s="47"/>
      <c r="I594" s="63"/>
      <c r="J594" s="353"/>
      <c r="K594" s="356"/>
      <c r="L594" s="356"/>
      <c r="M594" s="356"/>
      <c r="N594" s="356"/>
      <c r="O594" s="356"/>
      <c r="P594" s="356"/>
    </row>
    <row r="595" spans="1:16" ht="18.75" customHeight="1">
      <c r="A595" s="221"/>
      <c r="B595" s="342"/>
      <c r="C595" s="342"/>
      <c r="D595" s="343"/>
      <c r="E595" s="344"/>
      <c r="F595" s="344"/>
      <c r="G595" s="344"/>
      <c r="H595" s="47"/>
      <c r="I595" s="328"/>
      <c r="J595" s="355"/>
      <c r="K595" s="356"/>
      <c r="L595" s="356"/>
      <c r="M595" s="356"/>
      <c r="N595" s="356"/>
      <c r="O595" s="356"/>
      <c r="P595" s="356"/>
    </row>
    <row r="596" spans="1:16" ht="18.75" customHeight="1">
      <c r="A596" s="221"/>
      <c r="B596" s="342"/>
      <c r="C596" s="342"/>
      <c r="D596" s="343"/>
      <c r="E596" s="344"/>
      <c r="F596" s="344"/>
      <c r="G596" s="344"/>
      <c r="H596" s="47"/>
      <c r="I596" s="63"/>
      <c r="J596" s="353"/>
      <c r="K596" s="356"/>
      <c r="L596" s="356"/>
      <c r="M596" s="356"/>
      <c r="N596" s="356"/>
      <c r="O596" s="356"/>
      <c r="P596" s="356"/>
    </row>
    <row r="597" spans="1:16" ht="18.75" customHeight="1">
      <c r="A597" s="221"/>
      <c r="B597" s="342"/>
      <c r="C597" s="342"/>
      <c r="D597" s="343"/>
      <c r="E597" s="344"/>
      <c r="F597" s="344"/>
      <c r="G597" s="344"/>
      <c r="H597" s="47"/>
      <c r="I597" s="328"/>
      <c r="J597" s="355"/>
      <c r="K597" s="356"/>
      <c r="L597" s="356"/>
      <c r="M597" s="356"/>
      <c r="N597" s="356"/>
      <c r="O597" s="356"/>
      <c r="P597" s="356"/>
    </row>
    <row r="598" spans="1:16" ht="18.75" customHeight="1">
      <c r="A598" s="221"/>
      <c r="B598" s="342"/>
      <c r="C598" s="342"/>
      <c r="D598" s="343"/>
      <c r="E598" s="344"/>
      <c r="F598" s="344"/>
      <c r="G598" s="344"/>
      <c r="H598" s="47"/>
      <c r="I598" s="63"/>
      <c r="J598" s="353"/>
      <c r="K598" s="356"/>
      <c r="L598" s="356"/>
      <c r="M598" s="356"/>
      <c r="N598" s="356"/>
      <c r="O598" s="356"/>
      <c r="P598" s="356"/>
    </row>
    <row r="599" spans="1:16" ht="18.75" customHeight="1">
      <c r="A599" s="221"/>
      <c r="B599" s="342"/>
      <c r="C599" s="342"/>
      <c r="D599" s="343"/>
      <c r="E599" s="344"/>
      <c r="F599" s="344"/>
      <c r="G599" s="344"/>
      <c r="H599" s="47"/>
      <c r="I599" s="328"/>
      <c r="J599" s="355"/>
      <c r="K599" s="356"/>
      <c r="L599" s="356"/>
      <c r="M599" s="356"/>
      <c r="N599" s="356"/>
      <c r="O599" s="356"/>
      <c r="P599" s="356"/>
    </row>
    <row r="600" spans="1:16" ht="18.75" customHeight="1">
      <c r="A600" s="221"/>
      <c r="B600" s="342"/>
      <c r="C600" s="342"/>
      <c r="D600" s="343"/>
      <c r="E600" s="344"/>
      <c r="F600" s="344"/>
      <c r="G600" s="344"/>
      <c r="H600" s="47"/>
      <c r="I600" s="63"/>
      <c r="J600" s="353"/>
      <c r="K600" s="356"/>
      <c r="L600" s="356"/>
      <c r="M600" s="356"/>
      <c r="N600" s="356"/>
      <c r="O600" s="356"/>
      <c r="P600" s="356"/>
    </row>
    <row r="601" spans="1:16" ht="18.75" customHeight="1">
      <c r="A601" s="221"/>
      <c r="B601" s="342"/>
      <c r="C601" s="342"/>
      <c r="D601" s="343"/>
      <c r="E601" s="344"/>
      <c r="F601" s="344"/>
      <c r="G601" s="344"/>
      <c r="H601" s="47"/>
      <c r="I601" s="328"/>
      <c r="J601" s="355"/>
      <c r="K601" s="356"/>
      <c r="L601" s="356"/>
      <c r="M601" s="356"/>
      <c r="N601" s="356"/>
      <c r="O601" s="356"/>
      <c r="P601" s="356"/>
    </row>
    <row r="602" spans="1:16" ht="18.75" customHeight="1">
      <c r="A602" s="221"/>
      <c r="B602" s="342"/>
      <c r="C602" s="342"/>
      <c r="D602" s="343"/>
      <c r="E602" s="344"/>
      <c r="F602" s="344"/>
      <c r="G602" s="344"/>
      <c r="H602" s="47"/>
      <c r="I602" s="63"/>
      <c r="J602" s="353"/>
      <c r="K602" s="356"/>
      <c r="L602" s="356"/>
      <c r="M602" s="356"/>
      <c r="N602" s="356"/>
      <c r="O602" s="356"/>
      <c r="P602" s="356"/>
    </row>
    <row r="603" spans="1:16" ht="18.75" customHeight="1">
      <c r="A603" s="221"/>
      <c r="B603" s="342"/>
      <c r="C603" s="342"/>
      <c r="D603" s="343"/>
      <c r="E603" s="344"/>
      <c r="F603" s="344"/>
      <c r="G603" s="344"/>
      <c r="H603" s="47"/>
      <c r="I603" s="328"/>
      <c r="J603" s="355"/>
      <c r="K603" s="356"/>
      <c r="L603" s="356"/>
      <c r="M603" s="356"/>
      <c r="N603" s="356"/>
      <c r="O603" s="356"/>
      <c r="P603" s="356"/>
    </row>
    <row r="604" spans="1:16" ht="18.75" customHeight="1">
      <c r="A604" s="221"/>
      <c r="B604" s="342"/>
      <c r="C604" s="342"/>
      <c r="D604" s="343"/>
      <c r="E604" s="344"/>
      <c r="F604" s="344"/>
      <c r="G604" s="344"/>
      <c r="H604" s="47"/>
      <c r="I604" s="63"/>
      <c r="J604" s="353"/>
      <c r="K604" s="356"/>
      <c r="L604" s="356"/>
      <c r="M604" s="356"/>
      <c r="N604" s="356"/>
      <c r="O604" s="356"/>
      <c r="P604" s="356"/>
    </row>
    <row r="605" spans="1:16" ht="18.75" customHeight="1">
      <c r="A605" s="221"/>
      <c r="B605" s="342"/>
      <c r="C605" s="342"/>
      <c r="D605" s="343"/>
      <c r="E605" s="344"/>
      <c r="F605" s="344"/>
      <c r="G605" s="344"/>
      <c r="H605" s="47"/>
      <c r="I605" s="328"/>
      <c r="J605" s="355"/>
      <c r="K605" s="356"/>
      <c r="L605" s="356"/>
      <c r="M605" s="356"/>
      <c r="N605" s="356"/>
      <c r="O605" s="356"/>
      <c r="P605" s="356"/>
    </row>
    <row r="606" spans="1:16" ht="18.75" customHeight="1">
      <c r="A606" s="221"/>
      <c r="B606" s="342"/>
      <c r="C606" s="342"/>
      <c r="D606" s="343"/>
      <c r="E606" s="344"/>
      <c r="F606" s="344"/>
      <c r="G606" s="344"/>
      <c r="H606" s="47"/>
      <c r="I606" s="63"/>
      <c r="J606" s="353"/>
      <c r="K606" s="356"/>
      <c r="L606" s="356"/>
      <c r="M606" s="356"/>
      <c r="N606" s="356"/>
      <c r="O606" s="356"/>
      <c r="P606" s="356"/>
    </row>
    <row r="607" spans="1:16" ht="18.75" customHeight="1">
      <c r="A607" s="221"/>
      <c r="B607" s="342"/>
      <c r="C607" s="342"/>
      <c r="D607" s="343"/>
      <c r="E607" s="344"/>
      <c r="F607" s="344"/>
      <c r="G607" s="344"/>
      <c r="H607" s="47"/>
      <c r="I607" s="328"/>
      <c r="J607" s="355"/>
      <c r="K607" s="356"/>
      <c r="L607" s="356"/>
      <c r="M607" s="356"/>
      <c r="N607" s="356"/>
      <c r="O607" s="356"/>
      <c r="P607" s="356"/>
    </row>
    <row r="608" spans="1:16" ht="18.75" customHeight="1">
      <c r="A608" s="221"/>
      <c r="B608" s="342"/>
      <c r="C608" s="342"/>
      <c r="D608" s="343"/>
      <c r="E608" s="344"/>
      <c r="F608" s="344"/>
      <c r="G608" s="344"/>
      <c r="H608" s="47"/>
      <c r="I608" s="63"/>
      <c r="J608" s="353"/>
      <c r="K608" s="356"/>
      <c r="L608" s="356"/>
      <c r="M608" s="356"/>
      <c r="N608" s="356"/>
      <c r="O608" s="356"/>
      <c r="P608" s="356"/>
    </row>
    <row r="609" spans="1:16" ht="18.75" customHeight="1">
      <c r="A609" s="221"/>
      <c r="B609" s="342"/>
      <c r="C609" s="342"/>
      <c r="D609" s="343"/>
      <c r="E609" s="344"/>
      <c r="F609" s="344"/>
      <c r="G609" s="344"/>
      <c r="H609" s="47"/>
      <c r="I609" s="328"/>
      <c r="J609" s="355"/>
      <c r="K609" s="356"/>
      <c r="L609" s="356"/>
      <c r="M609" s="356"/>
      <c r="N609" s="356"/>
      <c r="O609" s="356"/>
      <c r="P609" s="356"/>
    </row>
    <row r="610" spans="1:16" ht="18.75" customHeight="1">
      <c r="A610" s="221"/>
      <c r="B610" s="342"/>
      <c r="C610" s="342"/>
      <c r="D610" s="342"/>
      <c r="E610" s="342"/>
      <c r="F610" s="325"/>
      <c r="G610" s="342"/>
      <c r="H610" s="47"/>
      <c r="I610" s="63"/>
      <c r="J610" s="353"/>
      <c r="K610" s="356"/>
      <c r="L610" s="356"/>
      <c r="M610" s="356"/>
      <c r="N610" s="356"/>
      <c r="O610" s="356"/>
      <c r="P610" s="356"/>
    </row>
    <row r="611" spans="1:16" ht="18.75" customHeight="1">
      <c r="A611" s="221"/>
      <c r="B611" s="345"/>
      <c r="C611" s="342"/>
      <c r="D611" s="345"/>
      <c r="E611" s="345"/>
      <c r="F611" s="347"/>
      <c r="G611" s="345"/>
      <c r="H611" s="47"/>
      <c r="I611" s="328"/>
      <c r="J611" s="355"/>
      <c r="K611" s="356"/>
      <c r="L611" s="356"/>
      <c r="M611" s="356"/>
      <c r="N611" s="356"/>
      <c r="O611" s="356"/>
      <c r="P611" s="356"/>
    </row>
    <row r="612" spans="1:16" ht="18.75" customHeight="1">
      <c r="A612" s="221"/>
      <c r="B612" s="342"/>
      <c r="C612" s="342"/>
      <c r="D612" s="342"/>
      <c r="E612" s="342"/>
      <c r="F612" s="325"/>
      <c r="G612" s="342"/>
      <c r="H612" s="47"/>
      <c r="I612" s="63"/>
      <c r="J612" s="353"/>
      <c r="K612" s="356"/>
      <c r="L612" s="356"/>
      <c r="M612" s="356"/>
      <c r="N612" s="356"/>
      <c r="O612" s="356"/>
      <c r="P612" s="356"/>
    </row>
    <row r="613" spans="1:16" ht="18.75" customHeight="1">
      <c r="A613" s="221"/>
      <c r="B613" s="345"/>
      <c r="C613" s="342"/>
      <c r="D613" s="345"/>
      <c r="E613" s="345"/>
      <c r="F613" s="347"/>
      <c r="G613" s="345"/>
      <c r="H613" s="47"/>
      <c r="I613" s="328"/>
      <c r="J613" s="355"/>
      <c r="K613" s="356"/>
      <c r="L613" s="356"/>
      <c r="M613" s="356"/>
      <c r="N613" s="356"/>
      <c r="O613" s="356"/>
      <c r="P613" s="356"/>
    </row>
    <row r="614" spans="1:16" ht="18.75" customHeight="1">
      <c r="A614" s="221"/>
      <c r="B614" s="342"/>
      <c r="C614" s="342"/>
      <c r="D614" s="342"/>
      <c r="E614" s="342"/>
      <c r="F614" s="325"/>
      <c r="G614" s="342"/>
      <c r="H614" s="47"/>
      <c r="I614" s="63"/>
      <c r="J614" s="353"/>
      <c r="K614" s="356"/>
      <c r="L614" s="356"/>
      <c r="M614" s="356"/>
      <c r="N614" s="356"/>
      <c r="O614" s="356"/>
      <c r="P614" s="356"/>
    </row>
    <row r="615" spans="1:16" ht="18.75" customHeight="1">
      <c r="A615" s="221"/>
      <c r="B615" s="345"/>
      <c r="C615" s="342"/>
      <c r="D615" s="345"/>
      <c r="E615" s="345"/>
      <c r="F615" s="347"/>
      <c r="G615" s="345"/>
      <c r="H615" s="47"/>
      <c r="I615" s="328"/>
      <c r="J615" s="355"/>
      <c r="K615" s="356"/>
      <c r="L615" s="356"/>
      <c r="M615" s="356"/>
      <c r="N615" s="356"/>
      <c r="O615" s="356"/>
      <c r="P615" s="356"/>
    </row>
    <row r="616" spans="1:16" ht="18.75" customHeight="1">
      <c r="A616" s="221"/>
      <c r="B616" s="342"/>
      <c r="C616" s="342"/>
      <c r="D616" s="342"/>
      <c r="E616" s="342"/>
      <c r="F616" s="325"/>
      <c r="G616" s="344"/>
      <c r="H616" s="47"/>
      <c r="I616" s="63"/>
      <c r="J616" s="353"/>
      <c r="K616" s="356"/>
      <c r="L616" s="356"/>
      <c r="M616" s="356"/>
      <c r="N616" s="356"/>
      <c r="O616" s="356"/>
      <c r="P616" s="356"/>
    </row>
    <row r="617" spans="1:16" ht="18.75" customHeight="1">
      <c r="A617" s="221"/>
      <c r="B617" s="345"/>
      <c r="C617" s="342"/>
      <c r="D617" s="345"/>
      <c r="E617" s="345"/>
      <c r="F617" s="347"/>
      <c r="G617" s="349"/>
      <c r="H617" s="47"/>
      <c r="I617" s="328"/>
      <c r="J617" s="355"/>
      <c r="K617" s="356"/>
      <c r="L617" s="356"/>
      <c r="M617" s="356"/>
      <c r="N617" s="356"/>
      <c r="O617" s="356"/>
      <c r="P617" s="356"/>
    </row>
    <row r="618" spans="1:16" ht="18.75" customHeight="1">
      <c r="A618" s="221"/>
      <c r="B618" s="342"/>
      <c r="C618" s="342"/>
      <c r="D618" s="342"/>
      <c r="E618" s="342"/>
      <c r="F618" s="325"/>
      <c r="G618" s="344"/>
      <c r="H618" s="47"/>
      <c r="I618" s="63"/>
      <c r="J618" s="353"/>
      <c r="K618" s="356"/>
      <c r="L618" s="356"/>
      <c r="M618" s="356"/>
      <c r="N618" s="356"/>
      <c r="O618" s="356"/>
      <c r="P618" s="356"/>
    </row>
    <row r="619" spans="1:16" ht="18.75" customHeight="1">
      <c r="A619" s="221"/>
      <c r="B619" s="345"/>
      <c r="C619" s="342"/>
      <c r="D619" s="345"/>
      <c r="E619" s="345"/>
      <c r="F619" s="347"/>
      <c r="G619" s="349"/>
      <c r="H619" s="47"/>
      <c r="I619" s="328"/>
      <c r="J619" s="355"/>
      <c r="K619" s="356"/>
      <c r="L619" s="356"/>
      <c r="M619" s="356"/>
      <c r="N619" s="356"/>
      <c r="O619" s="356"/>
      <c r="P619" s="356"/>
    </row>
    <row r="620" spans="1:16" ht="18.75" customHeight="1">
      <c r="A620" s="221"/>
      <c r="B620" s="342"/>
      <c r="C620" s="342"/>
      <c r="D620" s="342"/>
      <c r="E620" s="342"/>
      <c r="F620" s="325"/>
      <c r="G620" s="344"/>
      <c r="H620" s="47"/>
      <c r="I620" s="63"/>
      <c r="J620" s="353"/>
      <c r="K620" s="356"/>
      <c r="L620" s="356"/>
      <c r="M620" s="356"/>
      <c r="N620" s="356"/>
      <c r="O620" s="356"/>
      <c r="P620" s="356"/>
    </row>
    <row r="621" spans="1:16" ht="18.75" customHeight="1">
      <c r="A621" s="221"/>
      <c r="B621" s="345"/>
      <c r="C621" s="342"/>
      <c r="D621" s="345"/>
      <c r="E621" s="345"/>
      <c r="F621" s="347"/>
      <c r="G621" s="345"/>
      <c r="H621" s="47"/>
      <c r="I621" s="328"/>
      <c r="J621" s="355"/>
      <c r="K621" s="356"/>
      <c r="L621" s="356"/>
      <c r="M621" s="356"/>
      <c r="N621" s="356"/>
      <c r="O621" s="356"/>
      <c r="P621" s="356"/>
    </row>
    <row r="622" spans="1:16" ht="18.75" customHeight="1">
      <c r="A622" s="221"/>
      <c r="B622" s="342"/>
      <c r="C622" s="342"/>
      <c r="D622" s="342"/>
      <c r="E622" s="342"/>
      <c r="F622" s="325"/>
      <c r="G622" s="342"/>
      <c r="H622" s="47"/>
      <c r="I622" s="63"/>
      <c r="J622" s="353"/>
      <c r="K622" s="356"/>
      <c r="L622" s="356"/>
      <c r="M622" s="356"/>
      <c r="N622" s="356"/>
      <c r="O622" s="356"/>
      <c r="P622" s="356"/>
    </row>
    <row r="623" spans="1:16" ht="18.75" customHeight="1">
      <c r="A623" s="221"/>
      <c r="B623" s="345"/>
      <c r="C623" s="342"/>
      <c r="D623" s="345"/>
      <c r="E623" s="345"/>
      <c r="F623" s="342"/>
      <c r="G623" s="347"/>
      <c r="H623" s="47"/>
      <c r="I623" s="328"/>
      <c r="J623" s="355"/>
      <c r="K623" s="356"/>
      <c r="L623" s="356"/>
      <c r="M623" s="356"/>
      <c r="N623" s="356"/>
      <c r="O623" s="356"/>
      <c r="P623" s="356"/>
    </row>
    <row r="624" spans="1:16" ht="18.75" customHeight="1">
      <c r="A624" s="366"/>
      <c r="B624" s="367"/>
      <c r="C624" s="367"/>
      <c r="D624" s="367"/>
      <c r="E624" s="367"/>
      <c r="F624" s="367"/>
      <c r="G624" s="159"/>
      <c r="H624" s="368"/>
      <c r="I624" s="369"/>
      <c r="J624" s="353"/>
      <c r="K624" s="356"/>
      <c r="L624" s="356"/>
      <c r="M624" s="356"/>
      <c r="N624" s="356"/>
      <c r="O624" s="356"/>
      <c r="P624" s="356"/>
    </row>
    <row r="625" spans="1:16" ht="18.75" customHeight="1">
      <c r="A625" s="366"/>
      <c r="B625" s="367"/>
      <c r="C625" s="367"/>
      <c r="D625" s="367"/>
      <c r="E625" s="370"/>
      <c r="F625" s="367"/>
      <c r="G625" s="156"/>
      <c r="H625" s="371"/>
      <c r="I625" s="372"/>
      <c r="J625" s="355"/>
      <c r="K625" s="356"/>
      <c r="L625" s="356"/>
      <c r="M625" s="356"/>
      <c r="N625" s="356"/>
      <c r="O625" s="356"/>
      <c r="P625" s="356"/>
    </row>
    <row r="626" spans="1:16" ht="18.75" customHeight="1">
      <c r="A626" s="366"/>
      <c r="B626" s="367"/>
      <c r="C626" s="367"/>
      <c r="D626" s="367"/>
      <c r="E626" s="367"/>
      <c r="F626" s="367"/>
      <c r="G626" s="159"/>
      <c r="H626" s="368"/>
      <c r="I626" s="369"/>
      <c r="J626" s="353"/>
      <c r="K626" s="356"/>
      <c r="L626" s="356"/>
      <c r="M626" s="356"/>
      <c r="N626" s="356"/>
      <c r="O626" s="356"/>
      <c r="P626" s="356"/>
    </row>
    <row r="627" spans="1:16" ht="18.75" customHeight="1">
      <c r="A627" s="366"/>
      <c r="B627" s="367"/>
      <c r="C627" s="367"/>
      <c r="D627" s="367"/>
      <c r="E627" s="370"/>
      <c r="F627" s="367"/>
      <c r="G627" s="156"/>
      <c r="H627" s="371"/>
      <c r="I627" s="372"/>
      <c r="J627" s="355"/>
      <c r="K627" s="356"/>
      <c r="L627" s="356"/>
      <c r="M627" s="356"/>
      <c r="N627" s="356"/>
      <c r="O627" s="356"/>
      <c r="P627" s="356"/>
    </row>
    <row r="628" spans="1:16" ht="18.75" customHeight="1">
      <c r="A628" s="366"/>
      <c r="B628" s="367"/>
      <c r="C628" s="367"/>
      <c r="D628" s="367"/>
      <c r="E628" s="367"/>
      <c r="F628" s="367"/>
      <c r="G628" s="159"/>
      <c r="H628" s="368"/>
      <c r="I628" s="369"/>
      <c r="J628" s="353"/>
      <c r="K628" s="356"/>
      <c r="L628" s="356"/>
      <c r="M628" s="356"/>
      <c r="N628" s="356"/>
      <c r="O628" s="356"/>
      <c r="P628" s="356"/>
    </row>
    <row r="629" spans="1:16" ht="18.75" customHeight="1">
      <c r="A629" s="366"/>
      <c r="B629" s="367"/>
      <c r="C629" s="367"/>
      <c r="D629" s="367"/>
      <c r="E629" s="370"/>
      <c r="F629" s="367"/>
      <c r="G629" s="156"/>
      <c r="H629" s="371"/>
      <c r="I629" s="372"/>
      <c r="J629" s="355"/>
      <c r="K629" s="356"/>
      <c r="L629" s="356"/>
      <c r="M629" s="356"/>
      <c r="N629" s="356"/>
      <c r="O629" s="356"/>
      <c r="P629" s="356"/>
    </row>
    <row r="630" spans="1:16" ht="18.75" customHeight="1">
      <c r="A630" s="366"/>
      <c r="B630" s="367"/>
      <c r="C630" s="367"/>
      <c r="D630" s="367"/>
      <c r="E630" s="367"/>
      <c r="F630" s="367"/>
      <c r="G630" s="159"/>
      <c r="H630" s="368"/>
      <c r="I630" s="369"/>
      <c r="J630" s="353"/>
      <c r="K630" s="356"/>
      <c r="L630" s="356"/>
      <c r="M630" s="356"/>
      <c r="N630" s="356"/>
      <c r="O630" s="356"/>
      <c r="P630" s="356"/>
    </row>
    <row r="631" spans="1:16" ht="18.75" customHeight="1">
      <c r="A631" s="366"/>
      <c r="B631" s="367"/>
      <c r="C631" s="367"/>
      <c r="D631" s="367"/>
      <c r="E631" s="370"/>
      <c r="F631" s="367"/>
      <c r="G631" s="156"/>
      <c r="H631" s="371"/>
      <c r="I631" s="372"/>
      <c r="J631" s="355"/>
      <c r="K631" s="356"/>
      <c r="L631" s="356"/>
      <c r="M631" s="356"/>
      <c r="N631" s="356"/>
      <c r="O631" s="356"/>
      <c r="P631" s="356"/>
    </row>
    <row r="632" spans="1:16" ht="18.75" customHeight="1">
      <c r="A632" s="366"/>
      <c r="B632" s="367"/>
      <c r="C632" s="367"/>
      <c r="D632" s="367"/>
      <c r="E632" s="367"/>
      <c r="F632" s="367"/>
      <c r="G632" s="159"/>
      <c r="H632" s="368"/>
      <c r="I632" s="369"/>
      <c r="J632" s="353"/>
      <c r="K632" s="356"/>
      <c r="L632" s="356"/>
      <c r="M632" s="356"/>
      <c r="N632" s="356"/>
      <c r="O632" s="356"/>
      <c r="P632" s="356"/>
    </row>
    <row r="633" spans="1:16" ht="18.75" customHeight="1">
      <c r="A633" s="366"/>
      <c r="B633" s="367"/>
      <c r="C633" s="367"/>
      <c r="D633" s="367"/>
      <c r="E633" s="370"/>
      <c r="F633" s="367"/>
      <c r="G633" s="156"/>
      <c r="H633" s="371"/>
      <c r="I633" s="372"/>
      <c r="J633" s="355"/>
      <c r="K633" s="356"/>
      <c r="L633" s="356"/>
      <c r="M633" s="356"/>
      <c r="N633" s="356"/>
      <c r="O633" s="356"/>
      <c r="P633" s="356"/>
    </row>
    <row r="634" spans="1:16" ht="18.75" customHeight="1">
      <c r="A634" s="366"/>
      <c r="B634" s="367"/>
      <c r="C634" s="367"/>
      <c r="D634" s="367"/>
      <c r="E634" s="367"/>
      <c r="F634" s="367"/>
      <c r="G634" s="159"/>
      <c r="H634" s="368"/>
      <c r="I634" s="369"/>
      <c r="J634" s="353"/>
      <c r="K634" s="356"/>
      <c r="L634" s="356"/>
      <c r="M634" s="356"/>
      <c r="N634" s="356"/>
      <c r="O634" s="356"/>
      <c r="P634" s="356"/>
    </row>
    <row r="635" spans="1:16" ht="18.75" customHeight="1">
      <c r="A635" s="366"/>
      <c r="B635" s="367"/>
      <c r="C635" s="367"/>
      <c r="D635" s="367"/>
      <c r="E635" s="370"/>
      <c r="F635" s="367"/>
      <c r="G635" s="156"/>
      <c r="H635" s="371"/>
      <c r="I635" s="372"/>
      <c r="J635" s="355"/>
      <c r="K635" s="356"/>
      <c r="L635" s="356"/>
      <c r="M635" s="356"/>
      <c r="N635" s="356"/>
      <c r="O635" s="356"/>
      <c r="P635" s="356"/>
    </row>
    <row r="636" spans="1:16" ht="18.75" customHeight="1">
      <c r="A636" s="366"/>
      <c r="B636" s="367"/>
      <c r="C636" s="367"/>
      <c r="D636" s="367"/>
      <c r="E636" s="367"/>
      <c r="F636" s="367"/>
      <c r="G636" s="159"/>
      <c r="H636" s="368"/>
      <c r="I636" s="369"/>
      <c r="J636" s="353"/>
      <c r="K636" s="356"/>
      <c r="L636" s="356"/>
      <c r="M636" s="356"/>
      <c r="N636" s="356"/>
      <c r="O636" s="356"/>
      <c r="P636" s="356"/>
    </row>
    <row r="637" spans="1:16" ht="18.75" customHeight="1">
      <c r="A637" s="366"/>
      <c r="B637" s="367"/>
      <c r="C637" s="367"/>
      <c r="D637" s="367"/>
      <c r="E637" s="370"/>
      <c r="F637" s="367"/>
      <c r="G637" s="156"/>
      <c r="H637" s="371"/>
      <c r="I637" s="372"/>
      <c r="J637" s="355"/>
      <c r="K637" s="356"/>
      <c r="L637" s="356"/>
      <c r="M637" s="356"/>
      <c r="N637" s="356"/>
      <c r="O637" s="356"/>
      <c r="P637" s="356"/>
    </row>
    <row r="638" spans="1:16" ht="18.75" customHeight="1">
      <c r="A638" s="366"/>
      <c r="B638" s="367"/>
      <c r="C638" s="367"/>
      <c r="D638" s="367"/>
      <c r="E638" s="367"/>
      <c r="F638" s="367"/>
      <c r="G638" s="159"/>
      <c r="H638" s="368"/>
      <c r="I638" s="369"/>
      <c r="J638" s="353"/>
      <c r="K638" s="356"/>
      <c r="L638" s="356"/>
      <c r="M638" s="356"/>
      <c r="N638" s="356"/>
      <c r="O638" s="356"/>
      <c r="P638" s="356"/>
    </row>
    <row r="639" spans="1:16" ht="18.75" customHeight="1">
      <c r="A639" s="366"/>
      <c r="B639" s="367"/>
      <c r="C639" s="367"/>
      <c r="D639" s="367"/>
      <c r="E639" s="370"/>
      <c r="F639" s="367"/>
      <c r="G639" s="156"/>
      <c r="H639" s="371"/>
      <c r="I639" s="372"/>
      <c r="J639" s="355"/>
      <c r="K639" s="356"/>
      <c r="L639" s="356"/>
      <c r="M639" s="356"/>
      <c r="N639" s="356"/>
      <c r="O639" s="356"/>
      <c r="P639" s="356"/>
    </row>
    <row r="640" spans="1:16" ht="18.75" customHeight="1">
      <c r="A640" s="366"/>
      <c r="B640" s="367"/>
      <c r="C640" s="367"/>
      <c r="D640" s="367"/>
      <c r="E640" s="367"/>
      <c r="F640" s="367"/>
      <c r="G640" s="159"/>
      <c r="H640" s="368"/>
      <c r="I640" s="369"/>
      <c r="J640" s="353"/>
      <c r="K640" s="356"/>
      <c r="L640" s="356"/>
      <c r="M640" s="356"/>
      <c r="N640" s="356"/>
      <c r="O640" s="356"/>
      <c r="P640" s="356"/>
    </row>
    <row r="641" spans="1:16" ht="18.75" customHeight="1">
      <c r="A641" s="366"/>
      <c r="B641" s="367"/>
      <c r="C641" s="367"/>
      <c r="D641" s="367"/>
      <c r="E641" s="370"/>
      <c r="F641" s="367"/>
      <c r="G641" s="156"/>
      <c r="H641" s="371"/>
      <c r="I641" s="372"/>
      <c r="J641" s="355"/>
      <c r="K641" s="356"/>
      <c r="L641" s="356"/>
      <c r="M641" s="356"/>
      <c r="N641" s="356"/>
      <c r="O641" s="356"/>
      <c r="P641" s="356"/>
    </row>
    <row r="642" spans="1:16" ht="18.75" customHeight="1">
      <c r="A642" s="366"/>
      <c r="B642" s="367"/>
      <c r="C642" s="367"/>
      <c r="D642" s="367"/>
      <c r="E642" s="367"/>
      <c r="F642" s="367"/>
      <c r="G642" s="159"/>
      <c r="H642" s="368"/>
      <c r="I642" s="369"/>
      <c r="J642" s="353"/>
      <c r="K642" s="356"/>
      <c r="L642" s="356"/>
      <c r="M642" s="356"/>
      <c r="N642" s="356"/>
      <c r="O642" s="356"/>
      <c r="P642" s="356"/>
    </row>
    <row r="643" spans="1:16" ht="18.75" customHeight="1">
      <c r="A643" s="366"/>
      <c r="B643" s="367"/>
      <c r="C643" s="367"/>
      <c r="D643" s="367"/>
      <c r="E643" s="370"/>
      <c r="F643" s="367"/>
      <c r="G643" s="156"/>
      <c r="H643" s="371"/>
      <c r="I643" s="372"/>
      <c r="J643" s="355"/>
      <c r="K643" s="356"/>
      <c r="L643" s="356"/>
      <c r="M643" s="356"/>
      <c r="N643" s="356"/>
      <c r="O643" s="356"/>
      <c r="P643" s="356"/>
    </row>
    <row r="644" spans="1:16" ht="18.75" customHeight="1">
      <c r="A644" s="366"/>
      <c r="B644" s="367"/>
      <c r="C644" s="367"/>
      <c r="D644" s="367"/>
      <c r="E644" s="367"/>
      <c r="F644" s="367"/>
      <c r="G644" s="159"/>
      <c r="H644" s="368"/>
      <c r="I644" s="369"/>
      <c r="J644" s="353"/>
      <c r="K644" s="356"/>
      <c r="L644" s="356"/>
      <c r="M644" s="356"/>
      <c r="N644" s="356"/>
      <c r="O644" s="356"/>
      <c r="P644" s="356"/>
    </row>
    <row r="645" spans="1:16" ht="18.75" customHeight="1">
      <c r="A645" s="366"/>
      <c r="B645" s="367"/>
      <c r="C645" s="367"/>
      <c r="D645" s="367"/>
      <c r="E645" s="370"/>
      <c r="F645" s="367"/>
      <c r="G645" s="156"/>
      <c r="H645" s="371"/>
      <c r="I645" s="372"/>
      <c r="J645" s="355"/>
      <c r="K645" s="356"/>
      <c r="L645" s="356"/>
      <c r="M645" s="356"/>
      <c r="N645" s="356"/>
      <c r="O645" s="356"/>
      <c r="P645" s="356"/>
    </row>
    <row r="646" spans="1:16" ht="18.75" customHeight="1">
      <c r="A646" s="366"/>
      <c r="B646" s="367"/>
      <c r="C646" s="367"/>
      <c r="D646" s="367"/>
      <c r="E646" s="367"/>
      <c r="F646" s="367"/>
      <c r="G646" s="159"/>
      <c r="H646" s="368"/>
      <c r="I646" s="369"/>
      <c r="J646" s="353"/>
      <c r="K646" s="356"/>
      <c r="L646" s="356"/>
      <c r="M646" s="356"/>
      <c r="N646" s="356"/>
      <c r="O646" s="356"/>
      <c r="P646" s="356"/>
    </row>
    <row r="647" spans="1:16" ht="18.75" customHeight="1">
      <c r="A647" s="366"/>
      <c r="B647" s="367"/>
      <c r="C647" s="367"/>
      <c r="D647" s="367"/>
      <c r="E647" s="370"/>
      <c r="F647" s="367"/>
      <c r="G647" s="156"/>
      <c r="H647" s="371"/>
      <c r="I647" s="372"/>
      <c r="J647" s="355"/>
      <c r="K647" s="356"/>
      <c r="L647" s="356"/>
      <c r="M647" s="356"/>
      <c r="N647" s="356"/>
      <c r="O647" s="356"/>
      <c r="P647" s="356"/>
    </row>
    <row r="648" spans="1:16" ht="18.75" customHeight="1">
      <c r="A648" s="366"/>
      <c r="B648" s="367"/>
      <c r="C648" s="367"/>
      <c r="D648" s="367"/>
      <c r="E648" s="367"/>
      <c r="F648" s="367"/>
      <c r="G648" s="159"/>
      <c r="H648" s="368"/>
      <c r="I648" s="369"/>
      <c r="J648" s="353"/>
      <c r="K648" s="356"/>
      <c r="L648" s="356"/>
      <c r="M648" s="356"/>
      <c r="N648" s="356"/>
      <c r="O648" s="356"/>
      <c r="P648" s="356"/>
    </row>
    <row r="649" spans="1:16" ht="18.75" customHeight="1">
      <c r="A649" s="366"/>
      <c r="B649" s="367"/>
      <c r="C649" s="367"/>
      <c r="D649" s="367"/>
      <c r="E649" s="370"/>
      <c r="F649" s="367"/>
      <c r="G649" s="156"/>
      <c r="H649" s="371"/>
      <c r="I649" s="372"/>
      <c r="J649" s="355"/>
      <c r="K649" s="356"/>
      <c r="L649" s="356"/>
      <c r="M649" s="356"/>
      <c r="N649" s="356"/>
      <c r="O649" s="356"/>
      <c r="P649" s="356"/>
    </row>
    <row r="650" spans="1:16" ht="18.75" customHeight="1">
      <c r="A650" s="366"/>
      <c r="B650" s="367"/>
      <c r="C650" s="367"/>
      <c r="D650" s="367"/>
      <c r="E650" s="367"/>
      <c r="F650" s="367"/>
      <c r="G650" s="159"/>
      <c r="H650" s="368"/>
      <c r="I650" s="369"/>
      <c r="J650" s="353"/>
      <c r="K650" s="356"/>
      <c r="L650" s="356"/>
      <c r="M650" s="356"/>
      <c r="N650" s="356"/>
      <c r="O650" s="356"/>
      <c r="P650" s="356"/>
    </row>
    <row r="651" spans="1:16" ht="18.75" customHeight="1">
      <c r="A651" s="366"/>
      <c r="B651" s="367"/>
      <c r="C651" s="367"/>
      <c r="D651" s="367"/>
      <c r="E651" s="370"/>
      <c r="F651" s="367"/>
      <c r="G651" s="156"/>
      <c r="H651" s="371"/>
      <c r="I651" s="372"/>
      <c r="J651" s="355"/>
      <c r="K651" s="356"/>
      <c r="L651" s="356"/>
      <c r="M651" s="356"/>
      <c r="N651" s="356"/>
      <c r="O651" s="356"/>
      <c r="P651" s="356"/>
    </row>
    <row r="652" spans="1:16" ht="18.75" customHeight="1">
      <c r="A652" s="366"/>
      <c r="B652" s="367"/>
      <c r="C652" s="367"/>
      <c r="D652" s="367"/>
      <c r="E652" s="367"/>
      <c r="F652" s="367"/>
      <c r="G652" s="159"/>
      <c r="H652" s="368"/>
      <c r="I652" s="369"/>
      <c r="J652" s="353"/>
      <c r="K652" s="356"/>
      <c r="L652" s="356"/>
      <c r="M652" s="356"/>
      <c r="N652" s="356"/>
      <c r="O652" s="356"/>
      <c r="P652" s="356"/>
    </row>
    <row r="653" spans="1:16" ht="18.75" customHeight="1">
      <c r="A653" s="366"/>
      <c r="B653" s="367"/>
      <c r="C653" s="367"/>
      <c r="D653" s="367"/>
      <c r="E653" s="370"/>
      <c r="F653" s="367"/>
      <c r="G653" s="156"/>
      <c r="H653" s="371"/>
      <c r="I653" s="372"/>
      <c r="J653" s="355"/>
      <c r="K653" s="356"/>
      <c r="L653" s="356"/>
      <c r="M653" s="356"/>
      <c r="N653" s="356"/>
      <c r="O653" s="356"/>
      <c r="P653" s="356"/>
    </row>
    <row r="654" spans="1:16" ht="18.75" customHeight="1">
      <c r="A654" s="366"/>
      <c r="B654" s="367"/>
      <c r="C654" s="367"/>
      <c r="D654" s="367"/>
      <c r="E654" s="367"/>
      <c r="F654" s="367"/>
      <c r="G654" s="159"/>
      <c r="H654" s="368"/>
      <c r="I654" s="369"/>
      <c r="J654" s="353"/>
      <c r="K654" s="356"/>
      <c r="L654" s="356"/>
      <c r="M654" s="356"/>
      <c r="N654" s="356"/>
      <c r="O654" s="356"/>
      <c r="P654" s="356"/>
    </row>
    <row r="655" spans="1:16" ht="18.75" customHeight="1">
      <c r="A655" s="366"/>
      <c r="B655" s="367"/>
      <c r="C655" s="367"/>
      <c r="D655" s="367"/>
      <c r="E655" s="370"/>
      <c r="F655" s="367"/>
      <c r="G655" s="156"/>
      <c r="H655" s="371"/>
      <c r="I655" s="372"/>
      <c r="J655" s="355"/>
      <c r="K655" s="356"/>
      <c r="L655" s="356"/>
      <c r="M655" s="356"/>
      <c r="N655" s="356"/>
      <c r="O655" s="356"/>
      <c r="P655" s="356"/>
    </row>
    <row r="656" spans="1:16" ht="18.75" customHeight="1">
      <c r="A656" s="366"/>
      <c r="B656" s="367"/>
      <c r="C656" s="367"/>
      <c r="D656" s="367"/>
      <c r="E656" s="367"/>
      <c r="F656" s="367"/>
      <c r="G656" s="159"/>
      <c r="H656" s="368"/>
      <c r="I656" s="369"/>
      <c r="J656" s="353"/>
      <c r="K656" s="356"/>
      <c r="L656" s="356"/>
      <c r="M656" s="356"/>
      <c r="N656" s="356"/>
      <c r="O656" s="356"/>
      <c r="P656" s="356"/>
    </row>
    <row r="657" spans="1:16" ht="18.75" customHeight="1">
      <c r="A657" s="366"/>
      <c r="B657" s="367"/>
      <c r="C657" s="367"/>
      <c r="D657" s="367"/>
      <c r="E657" s="370"/>
      <c r="F657" s="367"/>
      <c r="G657" s="156"/>
      <c r="H657" s="371"/>
      <c r="I657" s="372"/>
      <c r="J657" s="355"/>
      <c r="K657" s="356"/>
      <c r="L657" s="356"/>
      <c r="M657" s="356"/>
      <c r="N657" s="356"/>
      <c r="O657" s="356"/>
      <c r="P657" s="356"/>
    </row>
    <row r="658" spans="1:16" ht="18.75" customHeight="1">
      <c r="A658" s="366"/>
      <c r="B658" s="367"/>
      <c r="C658" s="367"/>
      <c r="D658" s="367"/>
      <c r="E658" s="367"/>
      <c r="F658" s="367"/>
      <c r="G658" s="159"/>
      <c r="H658" s="368"/>
      <c r="I658" s="369"/>
      <c r="J658" s="353"/>
      <c r="K658" s="356"/>
      <c r="L658" s="356"/>
      <c r="M658" s="356"/>
      <c r="N658" s="356"/>
      <c r="O658" s="356"/>
      <c r="P658" s="356"/>
    </row>
    <row r="659" spans="1:16" ht="18.75" customHeight="1">
      <c r="A659" s="366"/>
      <c r="B659" s="367"/>
      <c r="C659" s="367"/>
      <c r="D659" s="367"/>
      <c r="E659" s="370"/>
      <c r="F659" s="367"/>
      <c r="G659" s="156"/>
      <c r="H659" s="371"/>
      <c r="I659" s="372"/>
      <c r="J659" s="355"/>
      <c r="K659" s="356"/>
      <c r="L659" s="356"/>
      <c r="M659" s="356"/>
      <c r="N659" s="356"/>
      <c r="O659" s="356"/>
      <c r="P659" s="356"/>
    </row>
    <row r="660" spans="1:16" ht="18.75" customHeight="1">
      <c r="A660" s="366"/>
      <c r="B660" s="367"/>
      <c r="C660" s="367"/>
      <c r="D660" s="367"/>
      <c r="E660" s="367"/>
      <c r="F660" s="367"/>
      <c r="G660" s="159"/>
      <c r="H660" s="368"/>
      <c r="I660" s="369"/>
      <c r="J660" s="353"/>
      <c r="K660" s="356"/>
      <c r="L660" s="356"/>
      <c r="M660" s="356"/>
      <c r="N660" s="356"/>
      <c r="O660" s="356"/>
      <c r="P660" s="356"/>
    </row>
    <row r="661" spans="1:16" ht="18.75" customHeight="1">
      <c r="A661" s="366"/>
      <c r="B661" s="367"/>
      <c r="C661" s="367"/>
      <c r="D661" s="367"/>
      <c r="E661" s="370"/>
      <c r="F661" s="367"/>
      <c r="G661" s="156"/>
      <c r="H661" s="371"/>
      <c r="I661" s="372"/>
      <c r="J661" s="355"/>
      <c r="K661" s="356"/>
      <c r="L661" s="356"/>
      <c r="M661" s="356"/>
      <c r="N661" s="356"/>
      <c r="O661" s="356"/>
      <c r="P661" s="356"/>
    </row>
    <row r="662" spans="1:16" ht="18.75" customHeight="1">
      <c r="A662" s="366"/>
      <c r="B662" s="367"/>
      <c r="C662" s="367"/>
      <c r="D662" s="367"/>
      <c r="E662" s="367"/>
      <c r="F662" s="367"/>
      <c r="G662" s="159"/>
      <c r="H662" s="368"/>
      <c r="I662" s="369"/>
      <c r="J662" s="353"/>
      <c r="K662" s="356"/>
      <c r="L662" s="356"/>
      <c r="M662" s="356"/>
      <c r="N662" s="356"/>
      <c r="O662" s="356"/>
      <c r="P662" s="356"/>
    </row>
    <row r="663" spans="1:16" ht="18.75" customHeight="1">
      <c r="A663" s="366"/>
      <c r="B663" s="367"/>
      <c r="C663" s="367"/>
      <c r="D663" s="367"/>
      <c r="E663" s="370"/>
      <c r="F663" s="367"/>
      <c r="G663" s="156"/>
      <c r="H663" s="371"/>
      <c r="I663" s="372"/>
      <c r="J663" s="355"/>
      <c r="K663" s="356"/>
      <c r="L663" s="356"/>
      <c r="M663" s="356"/>
      <c r="N663" s="356"/>
      <c r="O663" s="356"/>
      <c r="P663" s="356"/>
    </row>
    <row r="664" spans="1:16" ht="18.75" customHeight="1">
      <c r="A664" s="366"/>
      <c r="B664" s="367"/>
      <c r="C664" s="367"/>
      <c r="D664" s="367"/>
      <c r="E664" s="367"/>
      <c r="F664" s="367"/>
      <c r="G664" s="159"/>
      <c r="H664" s="368"/>
      <c r="I664" s="369"/>
      <c r="J664" s="353"/>
      <c r="K664" s="356"/>
      <c r="L664" s="356"/>
      <c r="M664" s="356"/>
      <c r="N664" s="356"/>
      <c r="O664" s="356"/>
      <c r="P664" s="356"/>
    </row>
    <row r="665" spans="1:16" ht="18.75" customHeight="1">
      <c r="A665" s="366"/>
      <c r="B665" s="367"/>
      <c r="C665" s="367"/>
      <c r="D665" s="367"/>
      <c r="E665" s="370"/>
      <c r="F665" s="367"/>
      <c r="G665" s="156"/>
      <c r="H665" s="371"/>
      <c r="I665" s="372"/>
      <c r="J665" s="355"/>
      <c r="K665" s="356"/>
      <c r="L665" s="356"/>
      <c r="M665" s="356"/>
      <c r="N665" s="356"/>
      <c r="O665" s="356"/>
      <c r="P665" s="356"/>
    </row>
    <row r="666" spans="1:16" ht="18.75" customHeight="1">
      <c r="A666" s="366"/>
      <c r="B666" s="367"/>
      <c r="C666" s="367"/>
      <c r="D666" s="367"/>
      <c r="E666" s="367"/>
      <c r="F666" s="367"/>
      <c r="G666" s="159"/>
      <c r="H666" s="368"/>
      <c r="I666" s="369"/>
      <c r="J666" s="353"/>
      <c r="K666" s="356"/>
      <c r="L666" s="356"/>
      <c r="M666" s="356"/>
      <c r="N666" s="356"/>
      <c r="O666" s="356"/>
      <c r="P666" s="356"/>
    </row>
    <row r="667" spans="1:16" ht="18.75" customHeight="1">
      <c r="A667" s="366"/>
      <c r="B667" s="367"/>
      <c r="C667" s="367"/>
      <c r="D667" s="367"/>
      <c r="E667" s="370"/>
      <c r="F667" s="367"/>
      <c r="G667" s="156"/>
      <c r="H667" s="371"/>
      <c r="I667" s="372"/>
      <c r="J667" s="355"/>
      <c r="K667" s="356"/>
      <c r="L667" s="356"/>
      <c r="M667" s="356"/>
      <c r="N667" s="356"/>
      <c r="O667" s="356"/>
      <c r="P667" s="356"/>
    </row>
    <row r="668" spans="1:16" ht="18.75" customHeight="1">
      <c r="A668" s="366"/>
      <c r="B668" s="367"/>
      <c r="C668" s="367"/>
      <c r="D668" s="367"/>
      <c r="E668" s="367"/>
      <c r="F668" s="367"/>
      <c r="G668" s="159"/>
      <c r="H668" s="368"/>
      <c r="I668" s="369"/>
      <c r="J668" s="353"/>
      <c r="K668" s="356"/>
      <c r="L668" s="356"/>
      <c r="M668" s="356"/>
      <c r="N668" s="356"/>
      <c r="O668" s="356"/>
      <c r="P668" s="356"/>
    </row>
    <row r="669" spans="1:16" ht="18.75" customHeight="1">
      <c r="A669" s="366"/>
      <c r="B669" s="367"/>
      <c r="C669" s="367"/>
      <c r="D669" s="367"/>
      <c r="E669" s="370"/>
      <c r="F669" s="367"/>
      <c r="G669" s="156"/>
      <c r="H669" s="371"/>
      <c r="I669" s="372"/>
      <c r="J669" s="355"/>
      <c r="K669" s="356"/>
      <c r="L669" s="356"/>
      <c r="M669" s="356"/>
      <c r="N669" s="356"/>
      <c r="O669" s="356"/>
      <c r="P669" s="356"/>
    </row>
    <row r="670" spans="1:16" ht="18.75" customHeight="1">
      <c r="A670" s="366"/>
      <c r="B670" s="367"/>
      <c r="C670" s="367"/>
      <c r="D670" s="367"/>
      <c r="E670" s="367"/>
      <c r="F670" s="367"/>
      <c r="G670" s="159"/>
      <c r="H670" s="368"/>
      <c r="I670" s="369"/>
      <c r="J670" s="353"/>
      <c r="K670" s="356"/>
      <c r="L670" s="356"/>
      <c r="M670" s="356"/>
      <c r="N670" s="356"/>
      <c r="O670" s="356"/>
      <c r="P670" s="356"/>
    </row>
    <row r="671" spans="1:16" ht="18.75" customHeight="1">
      <c r="A671" s="366"/>
      <c r="B671" s="367"/>
      <c r="C671" s="367"/>
      <c r="D671" s="367"/>
      <c r="E671" s="370"/>
      <c r="F671" s="367"/>
      <c r="G671" s="156"/>
      <c r="H671" s="371"/>
      <c r="I671" s="372"/>
      <c r="J671" s="355"/>
      <c r="K671" s="356"/>
      <c r="L671" s="356"/>
      <c r="M671" s="356"/>
      <c r="N671" s="356"/>
      <c r="O671" s="356"/>
      <c r="P671" s="356"/>
    </row>
    <row r="672" spans="1:16" ht="18.75" customHeight="1">
      <c r="A672" s="366"/>
      <c r="B672" s="367"/>
      <c r="C672" s="367"/>
      <c r="D672" s="367"/>
      <c r="E672" s="367"/>
      <c r="F672" s="367"/>
      <c r="G672" s="159"/>
      <c r="H672" s="368"/>
      <c r="I672" s="369"/>
      <c r="J672" s="353"/>
      <c r="K672" s="356"/>
      <c r="L672" s="356"/>
      <c r="M672" s="356"/>
      <c r="N672" s="356"/>
      <c r="O672" s="356"/>
      <c r="P672" s="356"/>
    </row>
    <row r="673" spans="1:16" ht="18.75" customHeight="1">
      <c r="A673" s="366"/>
      <c r="B673" s="367"/>
      <c r="C673" s="367"/>
      <c r="D673" s="367"/>
      <c r="E673" s="370"/>
      <c r="F673" s="367"/>
      <c r="G673" s="156"/>
      <c r="H673" s="371"/>
      <c r="I673" s="372"/>
      <c r="J673" s="355"/>
      <c r="K673" s="356"/>
      <c r="L673" s="356"/>
      <c r="M673" s="356"/>
      <c r="N673" s="356"/>
      <c r="O673" s="356"/>
      <c r="P673" s="356"/>
    </row>
    <row r="674" spans="1:16" ht="18.75" customHeight="1">
      <c r="A674" s="366"/>
      <c r="B674" s="367"/>
      <c r="C674" s="367"/>
      <c r="D674" s="367"/>
      <c r="E674" s="367"/>
      <c r="F674" s="367"/>
      <c r="G674" s="159"/>
      <c r="H674" s="368"/>
      <c r="I674" s="369"/>
      <c r="J674" s="353"/>
      <c r="K674" s="356"/>
      <c r="L674" s="356"/>
      <c r="M674" s="356"/>
      <c r="N674" s="356"/>
      <c r="O674" s="356"/>
      <c r="P674" s="356"/>
    </row>
    <row r="675" spans="1:16" ht="18.75" customHeight="1">
      <c r="A675" s="366"/>
      <c r="B675" s="367"/>
      <c r="C675" s="367"/>
      <c r="D675" s="367"/>
      <c r="E675" s="370"/>
      <c r="F675" s="367"/>
      <c r="G675" s="156"/>
      <c r="H675" s="371"/>
      <c r="I675" s="372"/>
      <c r="J675" s="355"/>
      <c r="K675" s="356"/>
      <c r="L675" s="356"/>
      <c r="M675" s="356"/>
      <c r="N675" s="356"/>
      <c r="O675" s="356"/>
      <c r="P675" s="356"/>
    </row>
    <row r="676" spans="1:16" ht="18.75" customHeight="1">
      <c r="A676" s="366"/>
      <c r="B676" s="367"/>
      <c r="C676" s="367"/>
      <c r="D676" s="367"/>
      <c r="E676" s="367"/>
      <c r="F676" s="367"/>
      <c r="G676" s="159"/>
      <c r="H676" s="368"/>
      <c r="I676" s="369"/>
      <c r="J676" s="353"/>
      <c r="K676" s="356"/>
      <c r="L676" s="356"/>
      <c r="M676" s="356"/>
      <c r="N676" s="356"/>
      <c r="O676" s="356"/>
      <c r="P676" s="356"/>
    </row>
    <row r="677" spans="1:16" ht="18.75" customHeight="1">
      <c r="A677" s="366"/>
      <c r="B677" s="367"/>
      <c r="C677" s="367"/>
      <c r="D677" s="367"/>
      <c r="E677" s="370"/>
      <c r="F677" s="367"/>
      <c r="G677" s="156"/>
      <c r="H677" s="371"/>
      <c r="I677" s="372"/>
      <c r="J677" s="355"/>
      <c r="K677" s="356"/>
      <c r="L677" s="356"/>
      <c r="M677" s="356"/>
      <c r="N677" s="356"/>
      <c r="O677" s="356"/>
      <c r="P677" s="356"/>
    </row>
    <row r="678" spans="1:16" ht="18.75" customHeight="1">
      <c r="A678" s="366"/>
      <c r="B678" s="367"/>
      <c r="C678" s="367"/>
      <c r="D678" s="367"/>
      <c r="E678" s="367"/>
      <c r="F678" s="367"/>
      <c r="G678" s="159"/>
      <c r="H678" s="368"/>
      <c r="I678" s="369"/>
      <c r="J678" s="353"/>
      <c r="K678" s="356"/>
      <c r="L678" s="356"/>
      <c r="M678" s="356"/>
      <c r="N678" s="356"/>
      <c r="O678" s="356"/>
      <c r="P678" s="356"/>
    </row>
    <row r="679" spans="1:16" ht="18.75" customHeight="1">
      <c r="A679" s="366"/>
      <c r="B679" s="367"/>
      <c r="C679" s="367"/>
      <c r="D679" s="367"/>
      <c r="E679" s="370"/>
      <c r="F679" s="367"/>
      <c r="G679" s="156"/>
      <c r="H679" s="371"/>
      <c r="I679" s="372"/>
      <c r="J679" s="355"/>
      <c r="K679" s="356"/>
      <c r="L679" s="356"/>
      <c r="M679" s="356"/>
      <c r="N679" s="356"/>
      <c r="O679" s="356"/>
      <c r="P679" s="356"/>
    </row>
    <row r="680" spans="1:16" ht="18.75" customHeight="1">
      <c r="A680" s="366"/>
      <c r="B680" s="367"/>
      <c r="C680" s="367"/>
      <c r="D680" s="367"/>
      <c r="E680" s="367"/>
      <c r="F680" s="367"/>
      <c r="G680" s="159"/>
      <c r="H680" s="368"/>
      <c r="I680" s="369"/>
      <c r="J680" s="353"/>
      <c r="K680" s="356"/>
      <c r="L680" s="356"/>
      <c r="M680" s="356"/>
      <c r="N680" s="356"/>
      <c r="O680" s="356"/>
      <c r="P680" s="356"/>
    </row>
    <row r="681" spans="1:16" ht="18.75" customHeight="1">
      <c r="A681" s="366"/>
      <c r="B681" s="367"/>
      <c r="C681" s="367"/>
      <c r="D681" s="367"/>
      <c r="E681" s="370"/>
      <c r="F681" s="367"/>
      <c r="G681" s="156"/>
      <c r="H681" s="371"/>
      <c r="I681" s="372"/>
      <c r="J681" s="355"/>
      <c r="K681" s="356"/>
      <c r="L681" s="356"/>
      <c r="M681" s="356"/>
      <c r="N681" s="356"/>
      <c r="O681" s="356"/>
      <c r="P681" s="356"/>
    </row>
    <row r="682" spans="1:16" ht="18.75" customHeight="1">
      <c r="A682" s="366"/>
      <c r="B682" s="367"/>
      <c r="C682" s="367"/>
      <c r="D682" s="367"/>
      <c r="E682" s="367"/>
      <c r="F682" s="367"/>
      <c r="G682" s="159"/>
      <c r="H682" s="368"/>
      <c r="I682" s="369"/>
      <c r="J682" s="353"/>
      <c r="K682" s="356"/>
      <c r="L682" s="356"/>
      <c r="M682" s="356"/>
      <c r="N682" s="356"/>
      <c r="O682" s="356"/>
      <c r="P682" s="356"/>
    </row>
    <row r="683" spans="1:16" ht="18.75" customHeight="1">
      <c r="A683" s="366"/>
      <c r="B683" s="367"/>
      <c r="C683" s="367"/>
      <c r="D683" s="367"/>
      <c r="E683" s="370"/>
      <c r="F683" s="367"/>
      <c r="G683" s="156"/>
      <c r="H683" s="371"/>
      <c r="I683" s="372"/>
      <c r="J683" s="355"/>
      <c r="K683" s="356"/>
      <c r="L683" s="356"/>
      <c r="M683" s="356"/>
      <c r="N683" s="356"/>
      <c r="O683" s="356"/>
      <c r="P683" s="356"/>
    </row>
    <row r="684" spans="1:16" ht="18.75" customHeight="1">
      <c r="A684" s="366"/>
      <c r="B684" s="367"/>
      <c r="C684" s="367"/>
      <c r="D684" s="367"/>
      <c r="E684" s="367"/>
      <c r="F684" s="367"/>
      <c r="G684" s="159"/>
      <c r="H684" s="368"/>
      <c r="I684" s="369"/>
      <c r="J684" s="353"/>
      <c r="K684" s="356"/>
      <c r="L684" s="356"/>
      <c r="M684" s="356"/>
      <c r="N684" s="356"/>
      <c r="O684" s="356"/>
      <c r="P684" s="356"/>
    </row>
    <row r="685" spans="1:16" ht="18.75" customHeight="1">
      <c r="A685" s="366"/>
      <c r="B685" s="367"/>
      <c r="C685" s="367"/>
      <c r="D685" s="367"/>
      <c r="E685" s="370"/>
      <c r="F685" s="367"/>
      <c r="G685" s="156"/>
      <c r="H685" s="371"/>
      <c r="I685" s="372"/>
      <c r="J685" s="355"/>
      <c r="K685" s="356"/>
      <c r="L685" s="356"/>
      <c r="M685" s="356"/>
      <c r="N685" s="356"/>
      <c r="O685" s="356"/>
      <c r="P685" s="356"/>
    </row>
    <row r="686" spans="1:16" ht="18.75" customHeight="1">
      <c r="A686" s="366"/>
      <c r="B686" s="367"/>
      <c r="C686" s="367"/>
      <c r="D686" s="367"/>
      <c r="E686" s="367"/>
      <c r="F686" s="367"/>
      <c r="G686" s="159"/>
      <c r="H686" s="368"/>
      <c r="I686" s="369"/>
      <c r="J686" s="353"/>
      <c r="K686" s="356"/>
      <c r="L686" s="356"/>
      <c r="M686" s="356"/>
      <c r="N686" s="356"/>
      <c r="O686" s="356"/>
      <c r="P686" s="356"/>
    </row>
    <row r="687" spans="1:16" ht="18.75" customHeight="1">
      <c r="A687" s="366"/>
      <c r="B687" s="367"/>
      <c r="C687" s="367"/>
      <c r="D687" s="367"/>
      <c r="E687" s="370"/>
      <c r="F687" s="367"/>
      <c r="G687" s="156"/>
      <c r="H687" s="371"/>
      <c r="I687" s="372"/>
      <c r="J687" s="355"/>
      <c r="K687" s="356"/>
      <c r="L687" s="356"/>
      <c r="M687" s="356"/>
      <c r="N687" s="356"/>
      <c r="O687" s="356"/>
      <c r="P687" s="356"/>
    </row>
    <row r="688" spans="1:16" ht="18.75" customHeight="1">
      <c r="A688" s="366"/>
      <c r="B688" s="367"/>
      <c r="C688" s="367"/>
      <c r="D688" s="367"/>
      <c r="E688" s="367"/>
      <c r="F688" s="367"/>
      <c r="G688" s="159"/>
      <c r="H688" s="368"/>
      <c r="I688" s="369"/>
      <c r="J688" s="353"/>
      <c r="K688" s="356"/>
      <c r="L688" s="356"/>
      <c r="M688" s="356"/>
      <c r="N688" s="356"/>
      <c r="O688" s="356"/>
      <c r="P688" s="356"/>
    </row>
    <row r="689" spans="1:16" ht="18.75" customHeight="1">
      <c r="A689" s="366"/>
      <c r="B689" s="367"/>
      <c r="C689" s="367"/>
      <c r="D689" s="367"/>
      <c r="E689" s="370"/>
      <c r="F689" s="367"/>
      <c r="G689" s="156"/>
      <c r="H689" s="371"/>
      <c r="I689" s="372"/>
      <c r="J689" s="355"/>
      <c r="K689" s="356"/>
      <c r="L689" s="356"/>
      <c r="M689" s="356"/>
      <c r="N689" s="356"/>
      <c r="O689" s="356"/>
      <c r="P689" s="356"/>
    </row>
    <row r="690" spans="1:16" ht="18.75" customHeight="1">
      <c r="A690" s="366"/>
      <c r="B690" s="367"/>
      <c r="C690" s="367"/>
      <c r="D690" s="367"/>
      <c r="E690" s="367"/>
      <c r="F690" s="367"/>
      <c r="G690" s="159"/>
      <c r="H690" s="368"/>
      <c r="I690" s="369"/>
      <c r="J690" s="353"/>
      <c r="K690" s="356"/>
      <c r="L690" s="356"/>
      <c r="M690" s="356"/>
      <c r="N690" s="356"/>
      <c r="O690" s="356"/>
      <c r="P690" s="356"/>
    </row>
    <row r="691" spans="1:16" ht="18.75" customHeight="1">
      <c r="A691" s="366"/>
      <c r="B691" s="367"/>
      <c r="C691" s="367"/>
      <c r="D691" s="367"/>
      <c r="E691" s="370"/>
      <c r="F691" s="367"/>
      <c r="G691" s="156"/>
      <c r="H691" s="371"/>
      <c r="I691" s="372"/>
      <c r="J691" s="355"/>
      <c r="K691" s="356"/>
      <c r="L691" s="356"/>
      <c r="M691" s="356"/>
      <c r="N691" s="356"/>
      <c r="O691" s="356"/>
      <c r="P691" s="356"/>
    </row>
    <row r="692" spans="1:16" ht="18.75" customHeight="1">
      <c r="A692" s="366"/>
      <c r="B692" s="367"/>
      <c r="C692" s="367"/>
      <c r="D692" s="367"/>
      <c r="E692" s="367"/>
      <c r="F692" s="367"/>
      <c r="G692" s="159"/>
      <c r="H692" s="368"/>
      <c r="I692" s="369"/>
      <c r="J692" s="353"/>
      <c r="K692" s="356"/>
      <c r="L692" s="356"/>
      <c r="M692" s="356"/>
      <c r="N692" s="356"/>
      <c r="O692" s="356"/>
      <c r="P692" s="356"/>
    </row>
    <row r="693" spans="1:16" ht="18.75" customHeight="1">
      <c r="A693" s="366"/>
      <c r="B693" s="367"/>
      <c r="C693" s="367"/>
      <c r="D693" s="367"/>
      <c r="E693" s="370"/>
      <c r="F693" s="367"/>
      <c r="G693" s="156"/>
      <c r="H693" s="371"/>
      <c r="I693" s="372"/>
      <c r="J693" s="355"/>
      <c r="K693" s="356"/>
      <c r="L693" s="356"/>
      <c r="M693" s="356"/>
      <c r="N693" s="356"/>
      <c r="O693" s="356"/>
      <c r="P693" s="356"/>
    </row>
    <row r="694" spans="1:16" ht="18.75" customHeight="1">
      <c r="A694" s="366"/>
      <c r="B694" s="367"/>
      <c r="C694" s="367"/>
      <c r="D694" s="367"/>
      <c r="E694" s="367"/>
      <c r="F694" s="367"/>
      <c r="G694" s="159"/>
      <c r="H694" s="368"/>
      <c r="I694" s="369"/>
      <c r="J694" s="353"/>
      <c r="K694" s="356"/>
      <c r="L694" s="356"/>
      <c r="M694" s="356"/>
      <c r="N694" s="356"/>
      <c r="O694" s="356"/>
      <c r="P694" s="356"/>
    </row>
    <row r="695" spans="1:16" ht="18.75" customHeight="1">
      <c r="A695" s="366"/>
      <c r="B695" s="367"/>
      <c r="C695" s="367"/>
      <c r="D695" s="367"/>
      <c r="E695" s="370"/>
      <c r="F695" s="367"/>
      <c r="G695" s="156"/>
      <c r="H695" s="371"/>
      <c r="I695" s="372"/>
      <c r="J695" s="355"/>
      <c r="K695" s="356"/>
      <c r="L695" s="356"/>
      <c r="M695" s="356"/>
      <c r="N695" s="356"/>
      <c r="O695" s="356"/>
      <c r="P695" s="356"/>
    </row>
    <row r="696" spans="1:16" ht="18.75" customHeight="1">
      <c r="A696" s="366"/>
      <c r="B696" s="367"/>
      <c r="C696" s="367"/>
      <c r="D696" s="367"/>
      <c r="E696" s="367"/>
      <c r="F696" s="367"/>
      <c r="G696" s="159"/>
      <c r="H696" s="368"/>
      <c r="I696" s="369"/>
      <c r="J696" s="353"/>
      <c r="K696" s="356"/>
      <c r="L696" s="356"/>
      <c r="M696" s="356"/>
      <c r="N696" s="356"/>
      <c r="O696" s="356"/>
      <c r="P696" s="356"/>
    </row>
    <row r="697" spans="1:16" ht="18.75" customHeight="1">
      <c r="A697" s="366"/>
      <c r="B697" s="367"/>
      <c r="C697" s="367"/>
      <c r="D697" s="367"/>
      <c r="E697" s="370"/>
      <c r="F697" s="367"/>
      <c r="G697" s="156"/>
      <c r="H697" s="371"/>
      <c r="I697" s="372"/>
      <c r="J697" s="355"/>
      <c r="K697" s="356"/>
      <c r="L697" s="356"/>
      <c r="M697" s="356"/>
      <c r="N697" s="356"/>
      <c r="O697" s="356"/>
      <c r="P697" s="356"/>
    </row>
    <row r="698" spans="1:16" ht="18.75" customHeight="1">
      <c r="A698" s="366"/>
      <c r="B698" s="367"/>
      <c r="C698" s="367"/>
      <c r="D698" s="367"/>
      <c r="E698" s="367"/>
      <c r="F698" s="367"/>
      <c r="G698" s="159"/>
      <c r="H698" s="368"/>
      <c r="I698" s="369"/>
      <c r="J698" s="353"/>
      <c r="K698" s="356"/>
      <c r="L698" s="356"/>
      <c r="M698" s="356"/>
      <c r="N698" s="356"/>
      <c r="O698" s="356"/>
      <c r="P698" s="356"/>
    </row>
    <row r="699" spans="1:16" ht="18.75" customHeight="1">
      <c r="A699" s="366"/>
      <c r="B699" s="367"/>
      <c r="C699" s="367"/>
      <c r="D699" s="367"/>
      <c r="E699" s="370"/>
      <c r="F699" s="367"/>
      <c r="G699" s="156"/>
      <c r="H699" s="371"/>
      <c r="I699" s="372"/>
      <c r="J699" s="355"/>
      <c r="K699" s="356"/>
      <c r="L699" s="356"/>
      <c r="M699" s="356"/>
      <c r="N699" s="356"/>
      <c r="O699" s="356"/>
      <c r="P699" s="356"/>
    </row>
    <row r="700" spans="1:16" ht="18.75" customHeight="1">
      <c r="A700" s="366"/>
      <c r="B700" s="367"/>
      <c r="C700" s="367"/>
      <c r="D700" s="367"/>
      <c r="E700" s="367"/>
      <c r="F700" s="367"/>
      <c r="G700" s="159"/>
      <c r="H700" s="368"/>
      <c r="I700" s="369"/>
      <c r="J700" s="353"/>
      <c r="K700" s="356"/>
      <c r="L700" s="356"/>
      <c r="M700" s="356"/>
      <c r="N700" s="356"/>
      <c r="O700" s="356"/>
      <c r="P700" s="356"/>
    </row>
    <row r="701" spans="1:16" ht="18.75" customHeight="1">
      <c r="A701" s="366"/>
      <c r="B701" s="367"/>
      <c r="C701" s="367"/>
      <c r="D701" s="367"/>
      <c r="E701" s="370"/>
      <c r="F701" s="367"/>
      <c r="G701" s="156"/>
      <c r="H701" s="371"/>
      <c r="I701" s="372"/>
      <c r="J701" s="355"/>
      <c r="K701" s="356"/>
      <c r="L701" s="356"/>
      <c r="M701" s="356"/>
      <c r="N701" s="356"/>
      <c r="O701" s="356"/>
      <c r="P701" s="356"/>
    </row>
    <row r="702" spans="1:16" ht="18.75" customHeight="1">
      <c r="A702" s="366"/>
      <c r="B702" s="367"/>
      <c r="C702" s="367"/>
      <c r="D702" s="367"/>
      <c r="E702" s="367"/>
      <c r="F702" s="367"/>
      <c r="G702" s="159"/>
      <c r="H702" s="368"/>
      <c r="I702" s="369"/>
      <c r="J702" s="353"/>
      <c r="K702" s="356"/>
      <c r="L702" s="356"/>
      <c r="M702" s="356"/>
      <c r="N702" s="356"/>
      <c r="O702" s="356"/>
      <c r="P702" s="356"/>
    </row>
    <row r="703" spans="1:16" ht="18.75" customHeight="1">
      <c r="A703" s="366"/>
      <c r="B703" s="367"/>
      <c r="C703" s="367"/>
      <c r="D703" s="367"/>
      <c r="E703" s="370"/>
      <c r="F703" s="367"/>
      <c r="G703" s="156"/>
      <c r="H703" s="371"/>
      <c r="I703" s="372"/>
      <c r="J703" s="355"/>
      <c r="K703" s="356"/>
      <c r="L703" s="356"/>
      <c r="M703" s="356"/>
      <c r="N703" s="356"/>
      <c r="O703" s="356"/>
      <c r="P703" s="356"/>
    </row>
    <row r="704" spans="1:16" ht="18.75" customHeight="1">
      <c r="A704" s="366"/>
      <c r="B704" s="367"/>
      <c r="C704" s="367"/>
      <c r="D704" s="367"/>
      <c r="E704" s="367"/>
      <c r="F704" s="367"/>
      <c r="G704" s="159"/>
      <c r="H704" s="368"/>
      <c r="I704" s="369"/>
      <c r="J704" s="353"/>
      <c r="K704" s="356"/>
      <c r="L704" s="356"/>
      <c r="M704" s="356"/>
      <c r="N704" s="356"/>
      <c r="O704" s="356"/>
      <c r="P704" s="356"/>
    </row>
    <row r="705" spans="1:16" ht="18.75" customHeight="1">
      <c r="A705" s="366"/>
      <c r="B705" s="367"/>
      <c r="C705" s="367"/>
      <c r="D705" s="367"/>
      <c r="E705" s="370"/>
      <c r="F705" s="367"/>
      <c r="G705" s="156"/>
      <c r="H705" s="371"/>
      <c r="I705" s="372"/>
      <c r="J705" s="355"/>
      <c r="K705" s="356"/>
      <c r="L705" s="356"/>
      <c r="M705" s="356"/>
      <c r="N705" s="356"/>
      <c r="O705" s="356"/>
      <c r="P705" s="356"/>
    </row>
    <row r="706" spans="1:16" ht="18.75" customHeight="1">
      <c r="A706" s="366"/>
      <c r="B706" s="367"/>
      <c r="C706" s="367"/>
      <c r="D706" s="367"/>
      <c r="E706" s="367"/>
      <c r="F706" s="367"/>
      <c r="G706" s="159"/>
      <c r="H706" s="368"/>
      <c r="I706" s="369"/>
      <c r="J706" s="353"/>
      <c r="K706" s="356"/>
      <c r="L706" s="356"/>
      <c r="M706" s="356"/>
      <c r="N706" s="356"/>
      <c r="O706" s="356"/>
      <c r="P706" s="356"/>
    </row>
    <row r="707" spans="1:16" ht="18.75" customHeight="1">
      <c r="A707" s="366"/>
      <c r="B707" s="367"/>
      <c r="C707" s="367"/>
      <c r="D707" s="367"/>
      <c r="E707" s="370"/>
      <c r="F707" s="367"/>
      <c r="G707" s="156"/>
      <c r="H707" s="371"/>
      <c r="I707" s="372"/>
      <c r="J707" s="355"/>
      <c r="K707" s="356"/>
      <c r="L707" s="356"/>
      <c r="M707" s="356"/>
      <c r="N707" s="356"/>
      <c r="O707" s="356"/>
      <c r="P707" s="356"/>
    </row>
    <row r="708" spans="1:16" ht="18.75" customHeight="1">
      <c r="A708" s="366"/>
      <c r="B708" s="367"/>
      <c r="C708" s="367"/>
      <c r="D708" s="367"/>
      <c r="E708" s="367"/>
      <c r="F708" s="367"/>
      <c r="G708" s="159"/>
      <c r="H708" s="368"/>
      <c r="I708" s="369"/>
      <c r="J708" s="353"/>
      <c r="K708" s="356"/>
      <c r="L708" s="356"/>
      <c r="M708" s="356"/>
      <c r="N708" s="356"/>
      <c r="O708" s="356"/>
      <c r="P708" s="356"/>
    </row>
    <row r="709" spans="1:16" ht="18.75" customHeight="1">
      <c r="A709" s="366"/>
      <c r="B709" s="367"/>
      <c r="C709" s="367"/>
      <c r="D709" s="367"/>
      <c r="E709" s="370"/>
      <c r="F709" s="367"/>
      <c r="G709" s="156"/>
      <c r="H709" s="371"/>
      <c r="I709" s="372"/>
      <c r="J709" s="355"/>
      <c r="K709" s="356"/>
      <c r="L709" s="356"/>
      <c r="M709" s="356"/>
      <c r="N709" s="356"/>
      <c r="O709" s="356"/>
      <c r="P709" s="356"/>
    </row>
    <row r="710" spans="1:16" ht="18.75" customHeight="1">
      <c r="A710" s="366"/>
      <c r="B710" s="367"/>
      <c r="C710" s="367"/>
      <c r="D710" s="367"/>
      <c r="E710" s="367"/>
      <c r="F710" s="367"/>
      <c r="G710" s="159"/>
      <c r="H710" s="368"/>
      <c r="I710" s="369"/>
      <c r="J710" s="353"/>
      <c r="K710" s="356"/>
      <c r="L710" s="356"/>
      <c r="M710" s="356"/>
      <c r="N710" s="356"/>
      <c r="O710" s="356"/>
      <c r="P710" s="356"/>
    </row>
    <row r="711" spans="1:16" ht="18.75" customHeight="1">
      <c r="A711" s="366"/>
      <c r="B711" s="367"/>
      <c r="C711" s="367"/>
      <c r="D711" s="367"/>
      <c r="E711" s="370"/>
      <c r="F711" s="367"/>
      <c r="G711" s="156"/>
      <c r="H711" s="371"/>
      <c r="I711" s="372"/>
      <c r="J711" s="355"/>
      <c r="K711" s="356"/>
      <c r="L711" s="356"/>
      <c r="M711" s="356"/>
      <c r="N711" s="356"/>
      <c r="O711" s="356"/>
      <c r="P711" s="356"/>
    </row>
    <row r="712" spans="1:16" ht="18.75" customHeight="1">
      <c r="A712" s="366"/>
      <c r="B712" s="367"/>
      <c r="C712" s="367"/>
      <c r="D712" s="367"/>
      <c r="E712" s="367"/>
      <c r="F712" s="367"/>
      <c r="G712" s="159"/>
      <c r="H712" s="368"/>
      <c r="I712" s="369"/>
      <c r="J712" s="353"/>
      <c r="K712" s="356"/>
      <c r="L712" s="356"/>
      <c r="M712" s="356"/>
      <c r="N712" s="356"/>
      <c r="O712" s="356"/>
      <c r="P712" s="356"/>
    </row>
    <row r="713" spans="1:16" ht="18.75" customHeight="1">
      <c r="A713" s="366"/>
      <c r="B713" s="367"/>
      <c r="C713" s="367"/>
      <c r="D713" s="367"/>
      <c r="E713" s="370"/>
      <c r="F713" s="367"/>
      <c r="G713" s="156"/>
      <c r="H713" s="371"/>
      <c r="I713" s="372"/>
      <c r="J713" s="355"/>
      <c r="K713" s="356"/>
      <c r="L713" s="356"/>
      <c r="M713" s="356"/>
      <c r="N713" s="356"/>
      <c r="O713" s="356"/>
      <c r="P713" s="356"/>
    </row>
    <row r="714" spans="1:16" ht="18.75" customHeight="1">
      <c r="A714" s="366"/>
      <c r="B714" s="367"/>
      <c r="C714" s="367"/>
      <c r="D714" s="367"/>
      <c r="E714" s="367"/>
      <c r="F714" s="367"/>
      <c r="G714" s="159"/>
      <c r="H714" s="368"/>
      <c r="I714" s="369"/>
      <c r="J714" s="353"/>
      <c r="K714" s="356"/>
      <c r="L714" s="356"/>
      <c r="M714" s="356"/>
      <c r="N714" s="356"/>
      <c r="O714" s="356"/>
      <c r="P714" s="356"/>
    </row>
    <row r="715" spans="1:16" ht="18.75" customHeight="1">
      <c r="A715" s="366"/>
      <c r="B715" s="367"/>
      <c r="C715" s="367"/>
      <c r="D715" s="367"/>
      <c r="E715" s="370"/>
      <c r="F715" s="367"/>
      <c r="G715" s="156"/>
      <c r="H715" s="371"/>
      <c r="I715" s="372"/>
      <c r="J715" s="355"/>
      <c r="K715" s="356"/>
      <c r="L715" s="356"/>
      <c r="M715" s="356"/>
      <c r="N715" s="356"/>
      <c r="O715" s="356"/>
      <c r="P715" s="356"/>
    </row>
    <row r="716" spans="1:16" ht="18.75" customHeight="1">
      <c r="A716" s="366"/>
      <c r="B716" s="367"/>
      <c r="C716" s="367"/>
      <c r="D716" s="367"/>
      <c r="E716" s="367"/>
      <c r="F716" s="367"/>
      <c r="G716" s="159"/>
      <c r="H716" s="368"/>
      <c r="I716" s="369"/>
      <c r="J716" s="353"/>
      <c r="K716" s="356"/>
      <c r="L716" s="356"/>
      <c r="M716" s="356"/>
      <c r="N716" s="356"/>
      <c r="O716" s="356"/>
      <c r="P716" s="356"/>
    </row>
    <row r="717" spans="1:16" ht="18.75" customHeight="1">
      <c r="A717" s="366"/>
      <c r="B717" s="367"/>
      <c r="C717" s="367"/>
      <c r="D717" s="367"/>
      <c r="E717" s="370"/>
      <c r="F717" s="367"/>
      <c r="G717" s="156"/>
      <c r="H717" s="371"/>
      <c r="I717" s="372"/>
      <c r="J717" s="355"/>
      <c r="K717" s="356"/>
      <c r="L717" s="356"/>
      <c r="M717" s="356"/>
      <c r="N717" s="356"/>
      <c r="O717" s="356"/>
      <c r="P717" s="356"/>
    </row>
    <row r="718" spans="1:16" ht="18.75" customHeight="1">
      <c r="A718" s="366"/>
      <c r="B718" s="367"/>
      <c r="C718" s="367"/>
      <c r="D718" s="367"/>
      <c r="E718" s="367"/>
      <c r="F718" s="367"/>
      <c r="G718" s="159"/>
      <c r="H718" s="368"/>
      <c r="I718" s="369"/>
      <c r="J718" s="353"/>
      <c r="K718" s="356"/>
      <c r="L718" s="356"/>
      <c r="M718" s="356"/>
      <c r="N718" s="356"/>
      <c r="O718" s="356"/>
      <c r="P718" s="356"/>
    </row>
    <row r="719" spans="1:16" ht="18.75" customHeight="1">
      <c r="A719" s="366"/>
      <c r="B719" s="367"/>
      <c r="C719" s="367"/>
      <c r="D719" s="367"/>
      <c r="E719" s="370"/>
      <c r="F719" s="367"/>
      <c r="G719" s="156"/>
      <c r="H719" s="371"/>
      <c r="I719" s="372"/>
      <c r="J719" s="355"/>
      <c r="K719" s="356"/>
      <c r="L719" s="356"/>
      <c r="M719" s="356"/>
      <c r="N719" s="356"/>
      <c r="O719" s="356"/>
      <c r="P719" s="356"/>
    </row>
    <row r="720" spans="1:16" ht="18.75" customHeight="1">
      <c r="A720" s="366"/>
      <c r="B720" s="367"/>
      <c r="C720" s="367"/>
      <c r="D720" s="367"/>
      <c r="E720" s="367"/>
      <c r="F720" s="367"/>
      <c r="G720" s="159"/>
      <c r="H720" s="368"/>
      <c r="I720" s="369"/>
      <c r="J720" s="353"/>
      <c r="K720" s="356"/>
      <c r="L720" s="356"/>
      <c r="M720" s="356"/>
      <c r="N720" s="356"/>
      <c r="O720" s="356"/>
      <c r="P720" s="356"/>
    </row>
    <row r="721" spans="1:16" ht="18.75" customHeight="1">
      <c r="A721" s="366"/>
      <c r="B721" s="367"/>
      <c r="C721" s="367"/>
      <c r="D721" s="367"/>
      <c r="E721" s="370"/>
      <c r="F721" s="367"/>
      <c r="G721" s="156"/>
      <c r="H721" s="371"/>
      <c r="I721" s="372"/>
      <c r="J721" s="355"/>
      <c r="K721" s="356"/>
      <c r="L721" s="356"/>
      <c r="M721" s="356"/>
      <c r="N721" s="356"/>
      <c r="O721" s="356"/>
      <c r="P721" s="356"/>
    </row>
    <row r="722" spans="1:16" ht="18.75" customHeight="1">
      <c r="A722" s="366"/>
      <c r="B722" s="367"/>
      <c r="C722" s="367"/>
      <c r="D722" s="367"/>
      <c r="E722" s="367"/>
      <c r="F722" s="367"/>
      <c r="G722" s="159"/>
      <c r="H722" s="368"/>
      <c r="I722" s="369"/>
      <c r="J722" s="353"/>
      <c r="K722" s="356"/>
      <c r="L722" s="356"/>
      <c r="M722" s="356"/>
      <c r="N722" s="356"/>
      <c r="O722" s="356"/>
      <c r="P722" s="356"/>
    </row>
    <row r="723" spans="1:16" ht="18.75" customHeight="1">
      <c r="A723" s="366"/>
      <c r="B723" s="367"/>
      <c r="C723" s="367"/>
      <c r="D723" s="367"/>
      <c r="E723" s="370"/>
      <c r="F723" s="367"/>
      <c r="G723" s="156"/>
      <c r="H723" s="371"/>
      <c r="I723" s="372"/>
      <c r="J723" s="355"/>
      <c r="K723" s="356"/>
      <c r="L723" s="356"/>
      <c r="M723" s="356"/>
      <c r="N723" s="356"/>
      <c r="O723" s="356"/>
      <c r="P723" s="356"/>
    </row>
    <row r="724" spans="1:16" ht="18.75" customHeight="1">
      <c r="A724" s="366"/>
      <c r="B724" s="367"/>
      <c r="C724" s="367"/>
      <c r="D724" s="367"/>
      <c r="E724" s="367"/>
      <c r="F724" s="367"/>
      <c r="G724" s="159"/>
      <c r="H724" s="368"/>
      <c r="I724" s="369"/>
      <c r="J724" s="353"/>
      <c r="K724" s="356"/>
      <c r="L724" s="356"/>
      <c r="M724" s="356"/>
      <c r="N724" s="356"/>
      <c r="O724" s="356"/>
      <c r="P724" s="356"/>
    </row>
    <row r="725" spans="1:16" ht="18.75" customHeight="1">
      <c r="A725" s="366"/>
      <c r="B725" s="367"/>
      <c r="C725" s="367"/>
      <c r="D725" s="367"/>
      <c r="E725" s="370"/>
      <c r="F725" s="367"/>
      <c r="G725" s="156"/>
      <c r="H725" s="371"/>
      <c r="I725" s="372"/>
      <c r="J725" s="355"/>
      <c r="K725" s="356"/>
      <c r="L725" s="356"/>
      <c r="M725" s="356"/>
      <c r="N725" s="356"/>
      <c r="O725" s="356"/>
      <c r="P725" s="356"/>
    </row>
    <row r="726" spans="1:16" ht="18.75" customHeight="1">
      <c r="A726" s="366"/>
      <c r="B726" s="367"/>
      <c r="C726" s="367"/>
      <c r="D726" s="367"/>
      <c r="E726" s="367"/>
      <c r="F726" s="367"/>
      <c r="G726" s="159"/>
      <c r="H726" s="368"/>
      <c r="I726" s="369"/>
      <c r="J726" s="353"/>
      <c r="K726" s="356"/>
      <c r="L726" s="356"/>
      <c r="M726" s="356"/>
      <c r="N726" s="356"/>
      <c r="O726" s="356"/>
      <c r="P726" s="356"/>
    </row>
    <row r="727" spans="1:16" ht="18.75" customHeight="1">
      <c r="A727" s="366"/>
      <c r="B727" s="367"/>
      <c r="C727" s="367"/>
      <c r="D727" s="367"/>
      <c r="E727" s="370"/>
      <c r="F727" s="367"/>
      <c r="G727" s="156"/>
      <c r="H727" s="371"/>
      <c r="I727" s="372"/>
      <c r="J727" s="355"/>
      <c r="K727" s="356"/>
      <c r="L727" s="356"/>
      <c r="M727" s="356"/>
      <c r="N727" s="356"/>
      <c r="O727" s="356"/>
      <c r="P727" s="356"/>
    </row>
    <row r="728" spans="1:16" ht="18.75" customHeight="1">
      <c r="A728" s="366"/>
      <c r="B728" s="367"/>
      <c r="C728" s="367"/>
      <c r="D728" s="367"/>
      <c r="E728" s="367"/>
      <c r="F728" s="367"/>
      <c r="G728" s="159"/>
      <c r="H728" s="368"/>
      <c r="I728" s="369"/>
      <c r="J728" s="353"/>
      <c r="K728" s="356"/>
      <c r="L728" s="356"/>
      <c r="M728" s="356"/>
      <c r="N728" s="356"/>
      <c r="O728" s="356"/>
      <c r="P728" s="356"/>
    </row>
    <row r="729" spans="1:16" ht="18.75" customHeight="1">
      <c r="A729" s="366"/>
      <c r="B729" s="367"/>
      <c r="C729" s="367"/>
      <c r="D729" s="367"/>
      <c r="E729" s="370"/>
      <c r="F729" s="367"/>
      <c r="G729" s="156"/>
      <c r="H729" s="371"/>
      <c r="I729" s="372"/>
      <c r="J729" s="355"/>
      <c r="K729" s="356"/>
      <c r="L729" s="356"/>
      <c r="M729" s="356"/>
      <c r="N729" s="356"/>
      <c r="O729" s="356"/>
      <c r="P729" s="356"/>
    </row>
    <row r="730" spans="1:16" ht="18.75" customHeight="1">
      <c r="A730" s="366"/>
      <c r="B730" s="367"/>
      <c r="C730" s="367"/>
      <c r="D730" s="367"/>
      <c r="E730" s="367"/>
      <c r="F730" s="367"/>
      <c r="G730" s="159"/>
      <c r="H730" s="368"/>
      <c r="I730" s="369"/>
      <c r="J730" s="353"/>
      <c r="K730" s="356"/>
      <c r="L730" s="356"/>
      <c r="M730" s="356"/>
      <c r="N730" s="356"/>
      <c r="O730" s="356"/>
      <c r="P730" s="356"/>
    </row>
    <row r="731" spans="1:16" ht="18.75" customHeight="1">
      <c r="A731" s="366"/>
      <c r="B731" s="367"/>
      <c r="C731" s="367"/>
      <c r="D731" s="367"/>
      <c r="E731" s="370"/>
      <c r="F731" s="367"/>
      <c r="G731" s="156"/>
      <c r="H731" s="371"/>
      <c r="I731" s="372"/>
      <c r="J731" s="355"/>
      <c r="K731" s="356"/>
      <c r="L731" s="356"/>
      <c r="M731" s="356"/>
      <c r="N731" s="356"/>
      <c r="O731" s="356"/>
      <c r="P731" s="356"/>
    </row>
    <row r="732" spans="1:16" ht="18.75" customHeight="1">
      <c r="A732" s="366"/>
      <c r="B732" s="367"/>
      <c r="C732" s="367"/>
      <c r="D732" s="367"/>
      <c r="E732" s="367"/>
      <c r="F732" s="367"/>
      <c r="G732" s="159"/>
      <c r="H732" s="368"/>
      <c r="I732" s="369"/>
      <c r="J732" s="353"/>
      <c r="K732" s="356"/>
      <c r="L732" s="356"/>
      <c r="M732" s="356"/>
      <c r="N732" s="356"/>
      <c r="O732" s="356"/>
      <c r="P732" s="356"/>
    </row>
    <row r="733" spans="1:16" ht="18.75" customHeight="1">
      <c r="A733" s="366"/>
      <c r="B733" s="367"/>
      <c r="C733" s="367"/>
      <c r="D733" s="367"/>
      <c r="E733" s="370"/>
      <c r="F733" s="367"/>
      <c r="G733" s="156"/>
      <c r="H733" s="371"/>
      <c r="I733" s="372"/>
      <c r="J733" s="355"/>
      <c r="K733" s="356"/>
      <c r="L733" s="356"/>
      <c r="M733" s="356"/>
      <c r="N733" s="356"/>
      <c r="O733" s="356"/>
      <c r="P733" s="356"/>
    </row>
    <row r="734" spans="1:16" ht="18.75" customHeight="1">
      <c r="A734" s="366"/>
      <c r="B734" s="367"/>
      <c r="C734" s="367"/>
      <c r="D734" s="367"/>
      <c r="E734" s="367"/>
      <c r="F734" s="367"/>
      <c r="G734" s="159"/>
      <c r="H734" s="368"/>
      <c r="I734" s="369"/>
      <c r="J734" s="353"/>
      <c r="K734" s="356"/>
      <c r="L734" s="356"/>
      <c r="M734" s="356"/>
      <c r="N734" s="356"/>
      <c r="O734" s="356"/>
      <c r="P734" s="356"/>
    </row>
    <row r="735" spans="1:16" ht="18.75" customHeight="1">
      <c r="A735" s="366"/>
      <c r="B735" s="367"/>
      <c r="C735" s="367"/>
      <c r="D735" s="367"/>
      <c r="E735" s="370"/>
      <c r="F735" s="367"/>
      <c r="G735" s="156"/>
      <c r="H735" s="371"/>
      <c r="I735" s="372"/>
      <c r="J735" s="355"/>
      <c r="K735" s="356"/>
      <c r="L735" s="356"/>
      <c r="M735" s="356"/>
      <c r="N735" s="356"/>
      <c r="O735" s="356"/>
      <c r="P735" s="356"/>
    </row>
    <row r="736" spans="1:16" ht="18.75" customHeight="1">
      <c r="A736" s="366"/>
      <c r="B736" s="367"/>
      <c r="C736" s="367"/>
      <c r="D736" s="367"/>
      <c r="E736" s="367"/>
      <c r="F736" s="367"/>
      <c r="G736" s="159"/>
      <c r="H736" s="368"/>
      <c r="I736" s="369"/>
      <c r="J736" s="353"/>
      <c r="K736" s="356"/>
      <c r="L736" s="356"/>
      <c r="M736" s="356"/>
      <c r="N736" s="356"/>
      <c r="O736" s="356"/>
      <c r="P736" s="356"/>
    </row>
    <row r="737" spans="1:16" ht="18.75" customHeight="1">
      <c r="A737" s="366"/>
      <c r="B737" s="367"/>
      <c r="C737" s="367"/>
      <c r="D737" s="367"/>
      <c r="E737" s="370"/>
      <c r="F737" s="367"/>
      <c r="G737" s="156"/>
      <c r="H737" s="371"/>
      <c r="I737" s="372"/>
      <c r="J737" s="355"/>
      <c r="K737" s="356"/>
      <c r="L737" s="356"/>
      <c r="M737" s="356"/>
      <c r="N737" s="356"/>
      <c r="O737" s="356"/>
      <c r="P737" s="356"/>
    </row>
    <row r="738" spans="1:16" ht="18.75" customHeight="1">
      <c r="A738" s="366"/>
      <c r="B738" s="367"/>
      <c r="C738" s="367"/>
      <c r="D738" s="367"/>
      <c r="E738" s="367"/>
      <c r="F738" s="367"/>
      <c r="G738" s="159"/>
      <c r="H738" s="368"/>
      <c r="I738" s="369"/>
      <c r="J738" s="353"/>
      <c r="K738" s="356"/>
      <c r="L738" s="356"/>
      <c r="M738" s="356"/>
      <c r="N738" s="356"/>
      <c r="O738" s="356"/>
      <c r="P738" s="356"/>
    </row>
    <row r="739" spans="1:16" ht="18.75" customHeight="1">
      <c r="A739" s="366"/>
      <c r="B739" s="367"/>
      <c r="C739" s="367"/>
      <c r="D739" s="367"/>
      <c r="E739" s="370"/>
      <c r="F739" s="367"/>
      <c r="G739" s="156"/>
      <c r="H739" s="371"/>
      <c r="I739" s="372"/>
      <c r="J739" s="355"/>
      <c r="K739" s="356"/>
      <c r="L739" s="356"/>
      <c r="M739" s="356"/>
      <c r="N739" s="356"/>
      <c r="O739" s="356"/>
      <c r="P739" s="356"/>
    </row>
    <row r="740" spans="1:16" ht="18.75" customHeight="1">
      <c r="A740" s="366"/>
      <c r="B740" s="367"/>
      <c r="C740" s="367"/>
      <c r="D740" s="367"/>
      <c r="E740" s="367"/>
      <c r="F740" s="367"/>
      <c r="G740" s="159"/>
      <c r="H740" s="368"/>
      <c r="I740" s="369"/>
      <c r="J740" s="353"/>
      <c r="K740" s="356"/>
      <c r="L740" s="356"/>
      <c r="M740" s="356"/>
      <c r="N740" s="356"/>
      <c r="O740" s="356"/>
      <c r="P740" s="356"/>
    </row>
    <row r="741" spans="1:16" ht="18.75" customHeight="1">
      <c r="A741" s="366"/>
      <c r="B741" s="367"/>
      <c r="C741" s="367"/>
      <c r="D741" s="367"/>
      <c r="E741" s="370"/>
      <c r="F741" s="367"/>
      <c r="G741" s="156"/>
      <c r="H741" s="371"/>
      <c r="I741" s="372"/>
      <c r="J741" s="355"/>
      <c r="K741" s="356"/>
      <c r="L741" s="356"/>
      <c r="M741" s="356"/>
      <c r="N741" s="356"/>
      <c r="O741" s="356"/>
      <c r="P741" s="356"/>
    </row>
    <row r="742" spans="1:16" ht="18.75" customHeight="1">
      <c r="A742" s="366"/>
      <c r="B742" s="367"/>
      <c r="C742" s="367"/>
      <c r="D742" s="367"/>
      <c r="E742" s="367"/>
      <c r="F742" s="367"/>
      <c r="G742" s="159"/>
      <c r="H742" s="368"/>
      <c r="I742" s="369"/>
      <c r="J742" s="353"/>
      <c r="K742" s="356"/>
      <c r="L742" s="356"/>
      <c r="M742" s="356"/>
      <c r="N742" s="356"/>
      <c r="O742" s="356"/>
      <c r="P742" s="356"/>
    </row>
    <row r="743" spans="1:16" ht="18.75" customHeight="1">
      <c r="A743" s="366"/>
      <c r="B743" s="367"/>
      <c r="C743" s="367"/>
      <c r="D743" s="367"/>
      <c r="E743" s="370"/>
      <c r="F743" s="367"/>
      <c r="G743" s="156"/>
      <c r="H743" s="371"/>
      <c r="I743" s="372"/>
      <c r="J743" s="355"/>
      <c r="K743" s="356"/>
      <c r="L743" s="356"/>
      <c r="M743" s="356"/>
      <c r="N743" s="356"/>
      <c r="O743" s="356"/>
      <c r="P743" s="356"/>
    </row>
    <row r="744" spans="1:16" ht="18.75" customHeight="1">
      <c r="A744" s="366"/>
      <c r="B744" s="367"/>
      <c r="C744" s="367"/>
      <c r="D744" s="367"/>
      <c r="E744" s="367"/>
      <c r="F744" s="367"/>
      <c r="G744" s="159"/>
      <c r="H744" s="368"/>
      <c r="I744" s="369"/>
      <c r="J744" s="353"/>
      <c r="K744" s="356"/>
      <c r="L744" s="356"/>
      <c r="M744" s="356"/>
      <c r="N744" s="356"/>
      <c r="O744" s="356"/>
      <c r="P744" s="356"/>
    </row>
    <row r="745" spans="1:16" ht="18.75" customHeight="1">
      <c r="A745" s="366"/>
      <c r="B745" s="367"/>
      <c r="C745" s="367"/>
      <c r="D745" s="367"/>
      <c r="E745" s="370"/>
      <c r="F745" s="367"/>
      <c r="G745" s="156"/>
      <c r="H745" s="371"/>
      <c r="I745" s="372"/>
      <c r="J745" s="355"/>
      <c r="K745" s="356"/>
      <c r="L745" s="356"/>
      <c r="M745" s="356"/>
      <c r="N745" s="356"/>
      <c r="O745" s="356"/>
      <c r="P745" s="356"/>
    </row>
    <row r="746" spans="1:16" ht="18.75" customHeight="1">
      <c r="A746" s="366"/>
      <c r="B746" s="367"/>
      <c r="C746" s="367"/>
      <c r="D746" s="367"/>
      <c r="E746" s="367"/>
      <c r="F746" s="367"/>
      <c r="G746" s="159"/>
      <c r="H746" s="368"/>
      <c r="I746" s="369"/>
      <c r="J746" s="353"/>
      <c r="K746" s="356"/>
      <c r="L746" s="356"/>
      <c r="M746" s="356"/>
      <c r="N746" s="356"/>
      <c r="O746" s="356"/>
      <c r="P746" s="356"/>
    </row>
    <row r="747" spans="1:16" ht="18.75" customHeight="1">
      <c r="A747" s="366"/>
      <c r="B747" s="367"/>
      <c r="C747" s="367"/>
      <c r="D747" s="367"/>
      <c r="E747" s="370"/>
      <c r="F747" s="367"/>
      <c r="G747" s="156"/>
      <c r="H747" s="371"/>
      <c r="I747" s="372"/>
      <c r="J747" s="355"/>
      <c r="K747" s="356"/>
      <c r="L747" s="356"/>
      <c r="M747" s="356"/>
      <c r="N747" s="356"/>
      <c r="O747" s="356"/>
      <c r="P747" s="356"/>
    </row>
    <row r="748" spans="1:16" ht="18.75" customHeight="1">
      <c r="A748" s="366"/>
      <c r="B748" s="367"/>
      <c r="C748" s="367"/>
      <c r="D748" s="367"/>
      <c r="E748" s="367"/>
      <c r="F748" s="367"/>
      <c r="G748" s="159"/>
      <c r="H748" s="368"/>
      <c r="I748" s="369"/>
      <c r="J748" s="353"/>
      <c r="K748" s="356"/>
      <c r="L748" s="356"/>
      <c r="M748" s="356"/>
      <c r="N748" s="356"/>
      <c r="O748" s="356"/>
      <c r="P748" s="356"/>
    </row>
    <row r="749" spans="1:16" ht="18.75" customHeight="1">
      <c r="A749" s="366"/>
      <c r="B749" s="367"/>
      <c r="C749" s="367"/>
      <c r="D749" s="367"/>
      <c r="E749" s="370"/>
      <c r="F749" s="367"/>
      <c r="G749" s="156"/>
      <c r="H749" s="371"/>
      <c r="I749" s="372"/>
      <c r="J749" s="355"/>
      <c r="K749" s="356"/>
      <c r="L749" s="356"/>
      <c r="M749" s="356"/>
      <c r="N749" s="356"/>
      <c r="O749" s="356"/>
      <c r="P749" s="356"/>
    </row>
    <row r="750" spans="1:16" ht="18.75" customHeight="1">
      <c r="A750" s="366"/>
      <c r="B750" s="367"/>
      <c r="C750" s="367"/>
      <c r="D750" s="367"/>
      <c r="E750" s="367"/>
      <c r="F750" s="367"/>
      <c r="G750" s="159"/>
      <c r="H750" s="368"/>
      <c r="I750" s="369"/>
      <c r="J750" s="353"/>
      <c r="K750" s="356"/>
      <c r="L750" s="356"/>
      <c r="M750" s="356"/>
      <c r="N750" s="356"/>
      <c r="O750" s="356"/>
      <c r="P750" s="356"/>
    </row>
    <row r="751" spans="1:16" ht="18.75" customHeight="1">
      <c r="A751" s="366"/>
      <c r="B751" s="367"/>
      <c r="C751" s="367"/>
      <c r="D751" s="367"/>
      <c r="E751" s="370"/>
      <c r="F751" s="367"/>
      <c r="G751" s="156"/>
      <c r="H751" s="371"/>
      <c r="I751" s="372"/>
      <c r="J751" s="355"/>
      <c r="K751" s="356"/>
      <c r="L751" s="356"/>
      <c r="M751" s="356"/>
      <c r="N751" s="356"/>
      <c r="O751" s="356"/>
      <c r="P751" s="356"/>
    </row>
    <row r="752" spans="1:16" ht="18.75" customHeight="1">
      <c r="A752" s="366"/>
      <c r="B752" s="367"/>
      <c r="C752" s="367"/>
      <c r="D752" s="367"/>
      <c r="E752" s="367"/>
      <c r="F752" s="367"/>
      <c r="G752" s="159"/>
      <c r="H752" s="368"/>
      <c r="I752" s="369"/>
      <c r="J752" s="353"/>
      <c r="K752" s="356"/>
      <c r="L752" s="356"/>
      <c r="M752" s="356"/>
      <c r="N752" s="356"/>
      <c r="O752" s="356"/>
      <c r="P752" s="356"/>
    </row>
    <row r="753" spans="1:16" ht="18.75" customHeight="1">
      <c r="A753" s="366"/>
      <c r="B753" s="367"/>
      <c r="C753" s="367"/>
      <c r="D753" s="367"/>
      <c r="E753" s="370"/>
      <c r="F753" s="367"/>
      <c r="G753" s="156"/>
      <c r="H753" s="371"/>
      <c r="I753" s="372"/>
      <c r="J753" s="355"/>
      <c r="K753" s="356"/>
      <c r="L753" s="356"/>
      <c r="M753" s="356"/>
      <c r="N753" s="356"/>
      <c r="O753" s="356"/>
      <c r="P753" s="356"/>
    </row>
    <row r="754" spans="1:16" ht="18.75" customHeight="1">
      <c r="A754" s="366"/>
      <c r="B754" s="367"/>
      <c r="C754" s="367"/>
      <c r="D754" s="367"/>
      <c r="E754" s="367"/>
      <c r="F754" s="367"/>
      <c r="G754" s="159"/>
      <c r="H754" s="368"/>
      <c r="I754" s="369"/>
      <c r="J754" s="353"/>
      <c r="K754" s="356"/>
      <c r="L754" s="356"/>
      <c r="M754" s="356"/>
      <c r="N754" s="356"/>
      <c r="O754" s="356"/>
      <c r="P754" s="356"/>
    </row>
    <row r="755" spans="1:16" ht="18.75" customHeight="1">
      <c r="A755" s="366"/>
      <c r="B755" s="367"/>
      <c r="C755" s="367"/>
      <c r="D755" s="367"/>
      <c r="E755" s="370"/>
      <c r="F755" s="367"/>
      <c r="G755" s="156"/>
      <c r="H755" s="371"/>
      <c r="I755" s="372"/>
      <c r="J755" s="355"/>
      <c r="K755" s="356"/>
      <c r="L755" s="356"/>
      <c r="M755" s="356"/>
      <c r="N755" s="356"/>
      <c r="O755" s="356"/>
      <c r="P755" s="356"/>
    </row>
    <row r="756" spans="1:16" ht="18.75" customHeight="1">
      <c r="A756" s="366"/>
      <c r="B756" s="367"/>
      <c r="C756" s="367"/>
      <c r="D756" s="367"/>
      <c r="E756" s="367"/>
      <c r="F756" s="367"/>
      <c r="G756" s="159"/>
      <c r="H756" s="368"/>
      <c r="I756" s="369"/>
      <c r="J756" s="353"/>
      <c r="K756" s="356"/>
      <c r="L756" s="356"/>
      <c r="M756" s="356"/>
      <c r="N756" s="356"/>
      <c r="O756" s="356"/>
      <c r="P756" s="356"/>
    </row>
    <row r="757" spans="1:16" ht="18.75" customHeight="1">
      <c r="A757" s="366"/>
      <c r="B757" s="367"/>
      <c r="C757" s="367"/>
      <c r="D757" s="367"/>
      <c r="E757" s="370"/>
      <c r="F757" s="367"/>
      <c r="G757" s="156"/>
      <c r="H757" s="371"/>
      <c r="I757" s="372"/>
      <c r="J757" s="355"/>
      <c r="K757" s="356"/>
      <c r="L757" s="356"/>
      <c r="M757" s="356"/>
      <c r="N757" s="356"/>
      <c r="O757" s="356"/>
      <c r="P757" s="356"/>
    </row>
    <row r="758" spans="1:16" ht="18.75" customHeight="1">
      <c r="A758" s="366"/>
      <c r="B758" s="367"/>
      <c r="C758" s="367"/>
      <c r="D758" s="367"/>
      <c r="E758" s="367"/>
      <c r="F758" s="367"/>
      <c r="G758" s="159"/>
      <c r="H758" s="368"/>
      <c r="I758" s="369"/>
      <c r="J758" s="353"/>
      <c r="K758" s="356"/>
      <c r="L758" s="356"/>
      <c r="M758" s="356"/>
      <c r="N758" s="356"/>
      <c r="O758" s="356"/>
      <c r="P758" s="356"/>
    </row>
    <row r="759" spans="1:16" ht="18.75" customHeight="1">
      <c r="A759" s="366"/>
      <c r="B759" s="367"/>
      <c r="C759" s="367"/>
      <c r="D759" s="367"/>
      <c r="E759" s="370"/>
      <c r="F759" s="367"/>
      <c r="G759" s="156"/>
      <c r="H759" s="371"/>
      <c r="I759" s="372"/>
      <c r="J759" s="355"/>
      <c r="K759" s="356"/>
      <c r="L759" s="356"/>
      <c r="M759" s="356"/>
      <c r="N759" s="356"/>
      <c r="O759" s="356"/>
      <c r="P759" s="356"/>
    </row>
    <row r="760" spans="1:16" ht="18.75" customHeight="1">
      <c r="A760" s="366"/>
      <c r="B760" s="367"/>
      <c r="C760" s="367"/>
      <c r="D760" s="367"/>
      <c r="E760" s="367"/>
      <c r="F760" s="367"/>
      <c r="G760" s="159"/>
      <c r="H760" s="368"/>
      <c r="I760" s="369"/>
      <c r="J760" s="353"/>
      <c r="K760" s="356"/>
      <c r="L760" s="356"/>
      <c r="M760" s="356"/>
      <c r="N760" s="356"/>
      <c r="O760" s="356"/>
      <c r="P760" s="356"/>
    </row>
    <row r="761" spans="1:16" ht="18.75" customHeight="1">
      <c r="A761" s="366"/>
      <c r="B761" s="367"/>
      <c r="C761" s="367"/>
      <c r="D761" s="367"/>
      <c r="E761" s="370"/>
      <c r="F761" s="367"/>
      <c r="G761" s="156"/>
      <c r="H761" s="371"/>
      <c r="I761" s="372"/>
      <c r="J761" s="355"/>
      <c r="K761" s="356"/>
      <c r="L761" s="356"/>
      <c r="M761" s="356"/>
      <c r="N761" s="356"/>
      <c r="O761" s="356"/>
      <c r="P761" s="356"/>
    </row>
    <row r="762" spans="1:16" ht="18.75" customHeight="1">
      <c r="A762" s="366"/>
      <c r="B762" s="367"/>
      <c r="C762" s="367"/>
      <c r="D762" s="367"/>
      <c r="E762" s="367"/>
      <c r="F762" s="367"/>
      <c r="G762" s="159"/>
      <c r="H762" s="368"/>
      <c r="I762" s="369"/>
      <c r="J762" s="353"/>
      <c r="K762" s="356"/>
      <c r="L762" s="356"/>
      <c r="M762" s="356"/>
      <c r="N762" s="356"/>
      <c r="O762" s="356"/>
      <c r="P762" s="356"/>
    </row>
    <row r="763" spans="1:16" ht="18.75" customHeight="1">
      <c r="A763" s="366"/>
      <c r="B763" s="367"/>
      <c r="C763" s="367"/>
      <c r="D763" s="367"/>
      <c r="E763" s="370"/>
      <c r="F763" s="367"/>
      <c r="G763" s="156"/>
      <c r="H763" s="371"/>
      <c r="I763" s="372"/>
      <c r="J763" s="355"/>
      <c r="K763" s="356"/>
      <c r="L763" s="356"/>
      <c r="M763" s="356"/>
      <c r="N763" s="356"/>
      <c r="O763" s="356"/>
      <c r="P763" s="356"/>
    </row>
    <row r="764" spans="1:16" ht="18.75" customHeight="1">
      <c r="A764" s="366"/>
      <c r="B764" s="367"/>
      <c r="C764" s="367"/>
      <c r="D764" s="367"/>
      <c r="E764" s="367"/>
      <c r="F764" s="367"/>
      <c r="G764" s="159"/>
      <c r="H764" s="368"/>
      <c r="I764" s="369"/>
      <c r="J764" s="353"/>
      <c r="K764" s="356"/>
      <c r="L764" s="356"/>
      <c r="M764" s="356"/>
      <c r="N764" s="356"/>
      <c r="O764" s="356"/>
      <c r="P764" s="356"/>
    </row>
    <row r="765" spans="1:16" ht="18.75" customHeight="1">
      <c r="A765" s="366"/>
      <c r="B765" s="367"/>
      <c r="C765" s="367"/>
      <c r="D765" s="367"/>
      <c r="E765" s="370"/>
      <c r="F765" s="367"/>
      <c r="G765" s="156"/>
      <c r="H765" s="371"/>
      <c r="I765" s="372"/>
      <c r="J765" s="355"/>
      <c r="K765" s="356"/>
      <c r="L765" s="356"/>
      <c r="M765" s="356"/>
      <c r="N765" s="356"/>
      <c r="O765" s="356"/>
      <c r="P765" s="356"/>
    </row>
    <row r="766" spans="1:16" ht="18.75" customHeight="1">
      <c r="A766" s="366"/>
      <c r="B766" s="367"/>
      <c r="C766" s="367"/>
      <c r="D766" s="367"/>
      <c r="E766" s="367"/>
      <c r="F766" s="367"/>
      <c r="G766" s="159"/>
      <c r="H766" s="368"/>
      <c r="I766" s="369"/>
      <c r="J766" s="353"/>
      <c r="K766" s="356"/>
      <c r="L766" s="356"/>
      <c r="M766" s="356"/>
      <c r="N766" s="356"/>
      <c r="O766" s="356"/>
      <c r="P766" s="356"/>
    </row>
    <row r="767" spans="1:16" ht="18.75" customHeight="1">
      <c r="A767" s="366"/>
      <c r="B767" s="367"/>
      <c r="C767" s="367"/>
      <c r="D767" s="367"/>
      <c r="E767" s="370"/>
      <c r="F767" s="367"/>
      <c r="G767" s="156"/>
      <c r="H767" s="371"/>
      <c r="I767" s="372"/>
      <c r="J767" s="355"/>
      <c r="K767" s="356"/>
      <c r="L767" s="356"/>
      <c r="M767" s="356"/>
      <c r="N767" s="356"/>
      <c r="O767" s="356"/>
      <c r="P767" s="356"/>
    </row>
    <row r="768" spans="1:16" ht="18.75" customHeight="1">
      <c r="A768" s="366"/>
      <c r="B768" s="367"/>
      <c r="C768" s="367"/>
      <c r="D768" s="367"/>
      <c r="E768" s="367"/>
      <c r="F768" s="367"/>
      <c r="G768" s="159"/>
      <c r="H768" s="368"/>
      <c r="I768" s="369"/>
      <c r="J768" s="353"/>
      <c r="K768" s="356"/>
      <c r="L768" s="356"/>
      <c r="M768" s="356"/>
      <c r="N768" s="356"/>
      <c r="O768" s="356"/>
      <c r="P768" s="356"/>
    </row>
    <row r="769" spans="1:16" ht="18.75" customHeight="1">
      <c r="A769" s="366"/>
      <c r="B769" s="367"/>
      <c r="C769" s="367"/>
      <c r="D769" s="367"/>
      <c r="E769" s="370"/>
      <c r="F769" s="367"/>
      <c r="G769" s="156"/>
      <c r="H769" s="371"/>
      <c r="I769" s="372"/>
      <c r="J769" s="355"/>
      <c r="K769" s="356"/>
      <c r="L769" s="356"/>
      <c r="M769" s="356"/>
      <c r="N769" s="356"/>
      <c r="O769" s="356"/>
      <c r="P769" s="356"/>
    </row>
    <row r="770" spans="1:16" ht="18.75" customHeight="1">
      <c r="A770" s="366"/>
      <c r="B770" s="367"/>
      <c r="C770" s="367"/>
      <c r="D770" s="367"/>
      <c r="E770" s="367"/>
      <c r="F770" s="367"/>
      <c r="G770" s="159"/>
      <c r="H770" s="368"/>
      <c r="I770" s="369"/>
      <c r="J770" s="353"/>
      <c r="K770" s="356"/>
      <c r="L770" s="356"/>
      <c r="M770" s="356"/>
      <c r="N770" s="356"/>
      <c r="O770" s="356"/>
      <c r="P770" s="356"/>
    </row>
    <row r="771" spans="1:16" ht="18.75" customHeight="1">
      <c r="A771" s="366"/>
      <c r="B771" s="367"/>
      <c r="C771" s="367"/>
      <c r="D771" s="367"/>
      <c r="E771" s="370"/>
      <c r="F771" s="367"/>
      <c r="G771" s="156"/>
      <c r="H771" s="371"/>
      <c r="I771" s="372"/>
      <c r="J771" s="355"/>
      <c r="K771" s="356"/>
      <c r="L771" s="356"/>
      <c r="M771" s="356"/>
      <c r="N771" s="356"/>
      <c r="O771" s="356"/>
      <c r="P771" s="356"/>
    </row>
    <row r="772" spans="1:16" ht="18.75" customHeight="1">
      <c r="A772" s="366"/>
      <c r="B772" s="367"/>
      <c r="C772" s="367"/>
      <c r="D772" s="367"/>
      <c r="E772" s="367"/>
      <c r="F772" s="367"/>
      <c r="G772" s="159"/>
      <c r="H772" s="368"/>
      <c r="I772" s="369"/>
      <c r="J772" s="353"/>
      <c r="K772" s="356"/>
      <c r="L772" s="356"/>
      <c r="M772" s="356"/>
      <c r="N772" s="356"/>
      <c r="O772" s="356"/>
      <c r="P772" s="356"/>
    </row>
    <row r="773" spans="1:16" ht="18.75" customHeight="1">
      <c r="A773" s="366"/>
      <c r="B773" s="367"/>
      <c r="C773" s="367"/>
      <c r="D773" s="367"/>
      <c r="E773" s="370"/>
      <c r="F773" s="367"/>
      <c r="G773" s="156"/>
      <c r="H773" s="371"/>
      <c r="I773" s="372"/>
      <c r="J773" s="355"/>
      <c r="K773" s="356"/>
      <c r="L773" s="356"/>
      <c r="M773" s="356"/>
      <c r="N773" s="356"/>
      <c r="O773" s="356"/>
      <c r="P773" s="356"/>
    </row>
    <row r="774" spans="1:16" ht="18.75" customHeight="1">
      <c r="A774" s="366"/>
      <c r="B774" s="367"/>
      <c r="C774" s="367"/>
      <c r="D774" s="367"/>
      <c r="E774" s="367"/>
      <c r="F774" s="367"/>
      <c r="G774" s="159"/>
      <c r="H774" s="368"/>
      <c r="I774" s="369"/>
      <c r="J774" s="353"/>
      <c r="K774" s="356"/>
      <c r="L774" s="356"/>
      <c r="M774" s="356"/>
      <c r="N774" s="356"/>
      <c r="O774" s="356"/>
      <c r="P774" s="356"/>
    </row>
    <row r="775" spans="1:16" ht="18.75" customHeight="1">
      <c r="A775" s="366"/>
      <c r="B775" s="367"/>
      <c r="C775" s="367"/>
      <c r="D775" s="367"/>
      <c r="E775" s="370"/>
      <c r="F775" s="367"/>
      <c r="G775" s="156"/>
      <c r="H775" s="371"/>
      <c r="I775" s="372"/>
      <c r="J775" s="355"/>
      <c r="K775" s="356"/>
      <c r="L775" s="356"/>
      <c r="M775" s="356"/>
      <c r="N775" s="356"/>
      <c r="O775" s="356"/>
      <c r="P775" s="356"/>
    </row>
    <row r="776" spans="1:16" ht="18.75" customHeight="1">
      <c r="A776" s="366"/>
      <c r="B776" s="367"/>
      <c r="C776" s="367"/>
      <c r="D776" s="367"/>
      <c r="E776" s="367"/>
      <c r="F776" s="367"/>
      <c r="G776" s="159"/>
      <c r="H776" s="368"/>
      <c r="I776" s="369"/>
      <c r="J776" s="353"/>
      <c r="K776" s="356"/>
      <c r="L776" s="356"/>
      <c r="M776" s="356"/>
      <c r="N776" s="356"/>
      <c r="O776" s="356"/>
      <c r="P776" s="356"/>
    </row>
    <row r="777" spans="1:16" ht="18.75" customHeight="1">
      <c r="A777" s="366"/>
      <c r="B777" s="367"/>
      <c r="C777" s="367"/>
      <c r="D777" s="367"/>
      <c r="E777" s="370"/>
      <c r="F777" s="367"/>
      <c r="G777" s="156"/>
      <c r="H777" s="371"/>
      <c r="I777" s="372"/>
      <c r="J777" s="355"/>
      <c r="K777" s="356"/>
      <c r="L777" s="356"/>
      <c r="M777" s="356"/>
      <c r="N777" s="356"/>
      <c r="O777" s="356"/>
      <c r="P777" s="356"/>
    </row>
    <row r="778" spans="1:16" ht="18.75" customHeight="1">
      <c r="A778" s="366"/>
      <c r="B778" s="367"/>
      <c r="C778" s="367"/>
      <c r="D778" s="367"/>
      <c r="E778" s="367"/>
      <c r="F778" s="367"/>
      <c r="G778" s="159"/>
      <c r="H778" s="368"/>
      <c r="I778" s="369"/>
      <c r="J778" s="353"/>
      <c r="K778" s="356"/>
      <c r="L778" s="356"/>
      <c r="M778" s="356"/>
      <c r="N778" s="356"/>
      <c r="O778" s="356"/>
      <c r="P778" s="356"/>
    </row>
    <row r="779" spans="1:16" ht="18.75" customHeight="1">
      <c r="A779" s="366"/>
      <c r="B779" s="367"/>
      <c r="C779" s="367"/>
      <c r="D779" s="367"/>
      <c r="E779" s="370"/>
      <c r="F779" s="367"/>
      <c r="G779" s="156"/>
      <c r="H779" s="371"/>
      <c r="I779" s="372"/>
      <c r="J779" s="355"/>
      <c r="K779" s="356"/>
      <c r="L779" s="356"/>
      <c r="M779" s="356"/>
      <c r="N779" s="356"/>
      <c r="O779" s="356"/>
      <c r="P779" s="356"/>
    </row>
    <row r="780" spans="1:16" ht="18.75" customHeight="1">
      <c r="A780" s="366"/>
      <c r="B780" s="367"/>
      <c r="C780" s="367"/>
      <c r="D780" s="367"/>
      <c r="E780" s="367"/>
      <c r="F780" s="367"/>
      <c r="G780" s="159"/>
      <c r="H780" s="368"/>
      <c r="I780" s="369"/>
      <c r="J780" s="353"/>
      <c r="K780" s="356"/>
      <c r="L780" s="356"/>
      <c r="M780" s="356"/>
      <c r="N780" s="356"/>
      <c r="O780" s="356"/>
      <c r="P780" s="356"/>
    </row>
    <row r="781" spans="1:16" ht="18.75" customHeight="1">
      <c r="A781" s="366"/>
      <c r="B781" s="367"/>
      <c r="C781" s="367"/>
      <c r="D781" s="367"/>
      <c r="E781" s="370"/>
      <c r="F781" s="367"/>
      <c r="G781" s="156"/>
      <c r="H781" s="371"/>
      <c r="I781" s="372"/>
      <c r="J781" s="355"/>
      <c r="K781" s="356"/>
      <c r="L781" s="356"/>
      <c r="M781" s="356"/>
      <c r="N781" s="356"/>
      <c r="O781" s="356"/>
      <c r="P781" s="356"/>
    </row>
    <row r="782" spans="1:16" ht="18.75" customHeight="1">
      <c r="A782" s="366"/>
      <c r="B782" s="367"/>
      <c r="C782" s="367"/>
      <c r="D782" s="367"/>
      <c r="E782" s="367"/>
      <c r="F782" s="367"/>
      <c r="G782" s="159"/>
      <c r="H782" s="368"/>
      <c r="I782" s="369"/>
      <c r="J782" s="353"/>
      <c r="K782" s="356"/>
      <c r="L782" s="356"/>
      <c r="M782" s="356"/>
      <c r="N782" s="356"/>
      <c r="O782" s="356"/>
      <c r="P782" s="356"/>
    </row>
    <row r="783" spans="1:16" ht="18.75" customHeight="1">
      <c r="A783" s="366"/>
      <c r="B783" s="367"/>
      <c r="C783" s="367"/>
      <c r="D783" s="367"/>
      <c r="E783" s="370"/>
      <c r="F783" s="367"/>
      <c r="G783" s="156"/>
      <c r="H783" s="371"/>
      <c r="I783" s="372"/>
      <c r="J783" s="355"/>
      <c r="K783" s="356"/>
      <c r="L783" s="356"/>
      <c r="M783" s="356"/>
      <c r="N783" s="356"/>
      <c r="O783" s="356"/>
      <c r="P783" s="356"/>
    </row>
    <row r="784" spans="1:16" ht="18.75" customHeight="1">
      <c r="A784" s="366"/>
      <c r="B784" s="367"/>
      <c r="C784" s="367"/>
      <c r="D784" s="367"/>
      <c r="E784" s="367"/>
      <c r="F784" s="367"/>
      <c r="G784" s="159"/>
      <c r="H784" s="368"/>
      <c r="I784" s="369"/>
      <c r="J784" s="353"/>
      <c r="K784" s="356"/>
      <c r="L784" s="356"/>
      <c r="M784" s="356"/>
      <c r="N784" s="356"/>
      <c r="O784" s="356"/>
      <c r="P784" s="356"/>
    </row>
    <row r="785" spans="1:16" ht="18.75" customHeight="1">
      <c r="A785" s="366"/>
      <c r="B785" s="367"/>
      <c r="C785" s="367"/>
      <c r="D785" s="367"/>
      <c r="E785" s="370"/>
      <c r="F785" s="367"/>
      <c r="G785" s="156"/>
      <c r="H785" s="371"/>
      <c r="I785" s="372"/>
      <c r="J785" s="355"/>
      <c r="K785" s="356"/>
      <c r="L785" s="356"/>
      <c r="M785" s="356"/>
      <c r="N785" s="356"/>
      <c r="O785" s="356"/>
      <c r="P785" s="356"/>
    </row>
    <row r="786" spans="1:16" ht="18.75" customHeight="1">
      <c r="A786" s="366"/>
      <c r="B786" s="367"/>
      <c r="C786" s="367"/>
      <c r="D786" s="367"/>
      <c r="E786" s="367"/>
      <c r="F786" s="367"/>
      <c r="G786" s="159"/>
      <c r="H786" s="368"/>
      <c r="I786" s="369"/>
      <c r="J786" s="353"/>
      <c r="K786" s="356"/>
      <c r="L786" s="356"/>
      <c r="M786" s="356"/>
      <c r="N786" s="356"/>
      <c r="O786" s="356"/>
      <c r="P786" s="356"/>
    </row>
    <row r="787" spans="1:16" ht="18.75" customHeight="1">
      <c r="A787" s="366"/>
      <c r="B787" s="367"/>
      <c r="C787" s="367"/>
      <c r="D787" s="367"/>
      <c r="E787" s="370"/>
      <c r="F787" s="367"/>
      <c r="G787" s="156"/>
      <c r="H787" s="371"/>
      <c r="I787" s="372"/>
      <c r="J787" s="355"/>
      <c r="K787" s="356"/>
      <c r="L787" s="356"/>
      <c r="M787" s="356"/>
      <c r="N787" s="356"/>
      <c r="O787" s="356"/>
      <c r="P787" s="356"/>
    </row>
    <row r="788" spans="1:16" ht="18.75" customHeight="1">
      <c r="A788" s="366"/>
      <c r="B788" s="367"/>
      <c r="C788" s="367"/>
      <c r="D788" s="367"/>
      <c r="E788" s="367"/>
      <c r="F788" s="367"/>
      <c r="G788" s="159"/>
      <c r="H788" s="368"/>
      <c r="I788" s="369"/>
      <c r="J788" s="353"/>
      <c r="K788" s="356"/>
      <c r="L788" s="356"/>
      <c r="M788" s="356"/>
      <c r="N788" s="356"/>
      <c r="O788" s="356"/>
      <c r="P788" s="356"/>
    </row>
    <row r="789" spans="1:16" ht="18.75" customHeight="1">
      <c r="A789" s="366"/>
      <c r="B789" s="367"/>
      <c r="C789" s="367"/>
      <c r="D789" s="367"/>
      <c r="E789" s="370"/>
      <c r="F789" s="367"/>
      <c r="G789" s="156"/>
      <c r="H789" s="371"/>
      <c r="I789" s="372"/>
      <c r="J789" s="355"/>
      <c r="K789" s="356"/>
      <c r="L789" s="356"/>
      <c r="M789" s="356"/>
      <c r="N789" s="356"/>
      <c r="O789" s="356"/>
      <c r="P789" s="356"/>
    </row>
    <row r="790" spans="1:16" ht="18.75" customHeight="1">
      <c r="A790" s="366"/>
      <c r="B790" s="367"/>
      <c r="C790" s="367"/>
      <c r="D790" s="367"/>
      <c r="E790" s="367"/>
      <c r="F790" s="367"/>
      <c r="G790" s="159"/>
      <c r="H790" s="368"/>
      <c r="I790" s="369"/>
      <c r="J790" s="353"/>
      <c r="K790" s="356"/>
      <c r="L790" s="356"/>
      <c r="M790" s="356"/>
      <c r="N790" s="356"/>
      <c r="O790" s="356"/>
      <c r="P790" s="356"/>
    </row>
    <row r="791" spans="1:16" ht="18.75" customHeight="1">
      <c r="A791" s="366"/>
      <c r="B791" s="367"/>
      <c r="C791" s="367"/>
      <c r="D791" s="367"/>
      <c r="E791" s="370"/>
      <c r="F791" s="367"/>
      <c r="G791" s="156"/>
      <c r="H791" s="371"/>
      <c r="I791" s="372"/>
      <c r="J791" s="355"/>
      <c r="K791" s="356"/>
      <c r="L791" s="356"/>
      <c r="M791" s="356"/>
      <c r="N791" s="356"/>
      <c r="O791" s="356"/>
      <c r="P791" s="356"/>
    </row>
    <row r="792" spans="1:16" ht="18.75" customHeight="1">
      <c r="A792" s="366"/>
      <c r="B792" s="367"/>
      <c r="C792" s="367"/>
      <c r="D792" s="367"/>
      <c r="E792" s="367"/>
      <c r="F792" s="367"/>
      <c r="G792" s="159"/>
      <c r="H792" s="368"/>
      <c r="I792" s="369"/>
      <c r="J792" s="353"/>
      <c r="K792" s="356"/>
      <c r="L792" s="356"/>
      <c r="M792" s="356"/>
      <c r="N792" s="356"/>
      <c r="O792" s="356"/>
      <c r="P792" s="356"/>
    </row>
    <row r="793" spans="1:16" ht="18.75" customHeight="1">
      <c r="A793" s="366"/>
      <c r="B793" s="367"/>
      <c r="C793" s="367"/>
      <c r="D793" s="367"/>
      <c r="E793" s="370"/>
      <c r="F793" s="367"/>
      <c r="G793" s="156"/>
      <c r="H793" s="371"/>
      <c r="I793" s="372"/>
      <c r="J793" s="355"/>
      <c r="K793" s="356"/>
      <c r="L793" s="356"/>
      <c r="M793" s="356"/>
      <c r="N793" s="356"/>
      <c r="O793" s="356"/>
      <c r="P793" s="356"/>
    </row>
    <row r="794" spans="1:16" ht="18.75" customHeight="1">
      <c r="A794" s="366"/>
      <c r="B794" s="367"/>
      <c r="C794" s="367"/>
      <c r="D794" s="367"/>
      <c r="E794" s="367"/>
      <c r="F794" s="367"/>
      <c r="G794" s="159"/>
      <c r="H794" s="368"/>
      <c r="I794" s="369"/>
      <c r="J794" s="353"/>
      <c r="K794" s="356"/>
      <c r="L794" s="356"/>
      <c r="M794" s="356"/>
      <c r="N794" s="356"/>
      <c r="O794" s="356"/>
      <c r="P794" s="356"/>
    </row>
    <row r="795" spans="1:16" ht="18.75" customHeight="1">
      <c r="A795" s="366"/>
      <c r="B795" s="367"/>
      <c r="C795" s="367"/>
      <c r="D795" s="367"/>
      <c r="E795" s="370"/>
      <c r="F795" s="367"/>
      <c r="G795" s="156"/>
      <c r="H795" s="371"/>
      <c r="I795" s="372"/>
      <c r="J795" s="355"/>
      <c r="K795" s="356"/>
      <c r="L795" s="356"/>
      <c r="M795" s="356"/>
      <c r="N795" s="356"/>
      <c r="O795" s="356"/>
      <c r="P795" s="356"/>
    </row>
    <row r="796" spans="1:16" ht="18.75" customHeight="1">
      <c r="A796" s="366"/>
      <c r="B796" s="367"/>
      <c r="C796" s="367"/>
      <c r="D796" s="367"/>
      <c r="E796" s="367"/>
      <c r="F796" s="367"/>
      <c r="G796" s="159"/>
      <c r="H796" s="368"/>
      <c r="I796" s="369"/>
      <c r="J796" s="353"/>
      <c r="K796" s="356"/>
      <c r="L796" s="356"/>
      <c r="M796" s="356"/>
      <c r="N796" s="356"/>
      <c r="O796" s="356"/>
      <c r="P796" s="356"/>
    </row>
    <row r="797" spans="1:16" ht="18.75" customHeight="1">
      <c r="A797" s="366"/>
      <c r="B797" s="367"/>
      <c r="C797" s="367"/>
      <c r="D797" s="367"/>
      <c r="E797" s="370"/>
      <c r="F797" s="367"/>
      <c r="G797" s="156"/>
      <c r="H797" s="371"/>
      <c r="I797" s="372"/>
      <c r="J797" s="355"/>
      <c r="K797" s="356"/>
      <c r="L797" s="356"/>
      <c r="M797" s="356"/>
      <c r="N797" s="356"/>
      <c r="O797" s="356"/>
      <c r="P797" s="356"/>
    </row>
    <row r="798" spans="1:16" ht="18.75" customHeight="1">
      <c r="A798" s="366"/>
      <c r="B798" s="367"/>
      <c r="C798" s="367"/>
      <c r="D798" s="367"/>
      <c r="E798" s="367"/>
      <c r="F798" s="367"/>
      <c r="G798" s="159"/>
      <c r="H798" s="368"/>
      <c r="I798" s="369"/>
      <c r="J798" s="353"/>
      <c r="K798" s="356"/>
      <c r="L798" s="356"/>
      <c r="M798" s="356"/>
      <c r="N798" s="356"/>
      <c r="O798" s="356"/>
      <c r="P798" s="356"/>
    </row>
    <row r="799" spans="1:16" ht="18.75" customHeight="1">
      <c r="A799" s="366"/>
      <c r="B799" s="367"/>
      <c r="C799" s="367"/>
      <c r="D799" s="367"/>
      <c r="E799" s="370"/>
      <c r="F799" s="367"/>
      <c r="G799" s="156"/>
      <c r="H799" s="371"/>
      <c r="I799" s="372"/>
      <c r="J799" s="355"/>
      <c r="K799" s="356"/>
      <c r="L799" s="356"/>
      <c r="M799" s="356"/>
      <c r="N799" s="356"/>
      <c r="O799" s="356"/>
      <c r="P799" s="356"/>
    </row>
    <row r="800" spans="1:16" ht="18.75" customHeight="1">
      <c r="A800" s="366"/>
      <c r="B800" s="367"/>
      <c r="C800" s="367"/>
      <c r="D800" s="367"/>
      <c r="E800" s="367"/>
      <c r="F800" s="367"/>
      <c r="G800" s="159"/>
      <c r="H800" s="368"/>
      <c r="I800" s="369"/>
      <c r="J800" s="353"/>
      <c r="K800" s="356"/>
      <c r="L800" s="356"/>
      <c r="M800" s="356"/>
      <c r="N800" s="356"/>
      <c r="O800" s="356"/>
      <c r="P800" s="356"/>
    </row>
    <row r="801" spans="1:16" ht="18.75" customHeight="1">
      <c r="A801" s="366"/>
      <c r="B801" s="367"/>
      <c r="C801" s="367"/>
      <c r="D801" s="367"/>
      <c r="E801" s="370"/>
      <c r="F801" s="367"/>
      <c r="G801" s="156"/>
      <c r="H801" s="371"/>
      <c r="I801" s="372"/>
      <c r="J801" s="355"/>
      <c r="K801" s="356"/>
      <c r="L801" s="356"/>
      <c r="M801" s="356"/>
      <c r="N801" s="356"/>
      <c r="O801" s="356"/>
      <c r="P801" s="356"/>
    </row>
    <row r="802" spans="1:16" ht="18.75" customHeight="1">
      <c r="A802" s="366"/>
      <c r="B802" s="367"/>
      <c r="C802" s="367"/>
      <c r="D802" s="367"/>
      <c r="E802" s="367"/>
      <c r="F802" s="367"/>
      <c r="G802" s="159"/>
      <c r="H802" s="368"/>
      <c r="I802" s="369"/>
      <c r="J802" s="353"/>
      <c r="K802" s="356"/>
      <c r="L802" s="356"/>
      <c r="M802" s="356"/>
      <c r="N802" s="356"/>
      <c r="O802" s="356"/>
      <c r="P802" s="356"/>
    </row>
    <row r="803" spans="1:16" ht="18.75" customHeight="1">
      <c r="A803" s="366"/>
      <c r="B803" s="367"/>
      <c r="C803" s="367"/>
      <c r="D803" s="367"/>
      <c r="E803" s="370"/>
      <c r="F803" s="367"/>
      <c r="G803" s="156"/>
      <c r="H803" s="371"/>
      <c r="I803" s="372"/>
      <c r="J803" s="355"/>
      <c r="K803" s="356"/>
      <c r="L803" s="356"/>
      <c r="M803" s="356"/>
      <c r="N803" s="356"/>
      <c r="O803" s="356"/>
      <c r="P803" s="356"/>
    </row>
    <row r="804" spans="1:16" ht="18.75" customHeight="1">
      <c r="A804" s="366"/>
      <c r="B804" s="367"/>
      <c r="C804" s="367"/>
      <c r="D804" s="367"/>
      <c r="E804" s="367"/>
      <c r="F804" s="367"/>
      <c r="G804" s="159"/>
      <c r="H804" s="368"/>
      <c r="I804" s="369"/>
      <c r="J804" s="353"/>
      <c r="K804" s="356"/>
      <c r="L804" s="356"/>
      <c r="M804" s="356"/>
      <c r="N804" s="356"/>
      <c r="O804" s="356"/>
      <c r="P804" s="356"/>
    </row>
    <row r="805" spans="1:16" ht="18.75" customHeight="1">
      <c r="A805" s="366"/>
      <c r="B805" s="367"/>
      <c r="C805" s="367"/>
      <c r="D805" s="367"/>
      <c r="E805" s="370"/>
      <c r="F805" s="367"/>
      <c r="G805" s="156"/>
      <c r="H805" s="371"/>
      <c r="I805" s="372"/>
      <c r="J805" s="355"/>
      <c r="K805" s="356"/>
      <c r="L805" s="356"/>
      <c r="M805" s="356"/>
      <c r="N805" s="356"/>
      <c r="O805" s="356"/>
      <c r="P805" s="356"/>
    </row>
    <row r="806" spans="1:16" ht="18.75" customHeight="1">
      <c r="A806" s="366"/>
      <c r="B806" s="367"/>
      <c r="C806" s="367"/>
      <c r="D806" s="367"/>
      <c r="E806" s="367"/>
      <c r="F806" s="367"/>
      <c r="G806" s="159"/>
      <c r="H806" s="368"/>
      <c r="I806" s="369"/>
      <c r="J806" s="353"/>
      <c r="K806" s="356"/>
      <c r="L806" s="356"/>
      <c r="M806" s="356"/>
      <c r="N806" s="356"/>
      <c r="O806" s="356"/>
      <c r="P806" s="356"/>
    </row>
    <row r="807" spans="1:16" ht="18.75" customHeight="1">
      <c r="A807" s="366"/>
      <c r="B807" s="367"/>
      <c r="C807" s="367"/>
      <c r="D807" s="367"/>
      <c r="E807" s="370"/>
      <c r="F807" s="367"/>
      <c r="G807" s="156"/>
      <c r="H807" s="371"/>
      <c r="I807" s="372"/>
      <c r="J807" s="355"/>
      <c r="K807" s="356"/>
      <c r="L807" s="356"/>
      <c r="M807" s="356"/>
      <c r="N807" s="356"/>
      <c r="O807" s="356"/>
      <c r="P807" s="356"/>
    </row>
    <row r="808" spans="1:16" ht="18.75" customHeight="1">
      <c r="A808" s="366"/>
      <c r="B808" s="367"/>
      <c r="C808" s="367"/>
      <c r="D808" s="367"/>
      <c r="E808" s="367"/>
      <c r="F808" s="367"/>
      <c r="G808" s="159"/>
      <c r="H808" s="368"/>
      <c r="I808" s="369"/>
      <c r="J808" s="353"/>
      <c r="K808" s="356"/>
      <c r="L808" s="356"/>
      <c r="M808" s="356"/>
      <c r="N808" s="356"/>
      <c r="O808" s="356"/>
      <c r="P808" s="356"/>
    </row>
    <row r="809" spans="1:16" ht="18.75" customHeight="1">
      <c r="A809" s="366"/>
      <c r="B809" s="367"/>
      <c r="C809" s="367"/>
      <c r="D809" s="367"/>
      <c r="E809" s="370"/>
      <c r="F809" s="367"/>
      <c r="G809" s="156"/>
      <c r="H809" s="371"/>
      <c r="I809" s="372"/>
      <c r="J809" s="355"/>
      <c r="K809" s="356"/>
      <c r="L809" s="356"/>
      <c r="M809" s="356"/>
      <c r="N809" s="356"/>
      <c r="O809" s="356"/>
      <c r="P809" s="356"/>
    </row>
    <row r="810" spans="1:16" ht="18.75" customHeight="1">
      <c r="A810" s="366"/>
      <c r="B810" s="367"/>
      <c r="C810" s="367"/>
      <c r="D810" s="367"/>
      <c r="E810" s="367"/>
      <c r="F810" s="367"/>
      <c r="G810" s="159"/>
      <c r="H810" s="368"/>
      <c r="I810" s="369"/>
      <c r="J810" s="353"/>
      <c r="K810" s="356"/>
      <c r="L810" s="356"/>
      <c r="M810" s="356"/>
      <c r="N810" s="356"/>
      <c r="O810" s="356"/>
      <c r="P810" s="356"/>
    </row>
    <row r="811" spans="1:16" ht="18.75" customHeight="1">
      <c r="A811" s="366"/>
      <c r="B811" s="367"/>
      <c r="C811" s="367"/>
      <c r="D811" s="367"/>
      <c r="E811" s="370"/>
      <c r="F811" s="367"/>
      <c r="G811" s="156"/>
      <c r="H811" s="371"/>
      <c r="I811" s="372"/>
      <c r="J811" s="355"/>
      <c r="K811" s="356"/>
      <c r="L811" s="356"/>
      <c r="M811" s="356"/>
      <c r="N811" s="356"/>
      <c r="O811" s="356"/>
      <c r="P811" s="356"/>
    </row>
    <row r="812" spans="1:16" ht="18.75" customHeight="1">
      <c r="A812" s="366"/>
      <c r="B812" s="367"/>
      <c r="C812" s="367"/>
      <c r="D812" s="367"/>
      <c r="E812" s="367"/>
      <c r="F812" s="367"/>
      <c r="G812" s="159"/>
      <c r="H812" s="368"/>
      <c r="I812" s="369"/>
      <c r="J812" s="353"/>
      <c r="K812" s="356"/>
      <c r="L812" s="356"/>
      <c r="M812" s="356"/>
      <c r="N812" s="356"/>
      <c r="O812" s="356"/>
      <c r="P812" s="356"/>
    </row>
    <row r="813" spans="1:16" ht="18.75" customHeight="1">
      <c r="A813" s="366"/>
      <c r="B813" s="367"/>
      <c r="C813" s="367"/>
      <c r="D813" s="367"/>
      <c r="E813" s="370"/>
      <c r="F813" s="367"/>
      <c r="G813" s="156"/>
      <c r="H813" s="371"/>
      <c r="I813" s="372"/>
      <c r="J813" s="355"/>
      <c r="K813" s="356"/>
      <c r="L813" s="356"/>
      <c r="M813" s="356"/>
      <c r="N813" s="356"/>
      <c r="O813" s="356"/>
      <c r="P813" s="356"/>
    </row>
    <row r="814" spans="1:16" ht="18.75" customHeight="1">
      <c r="A814" s="366"/>
      <c r="B814" s="367"/>
      <c r="C814" s="367"/>
      <c r="D814" s="367"/>
      <c r="E814" s="367"/>
      <c r="F814" s="367"/>
      <c r="G814" s="159"/>
      <c r="H814" s="368"/>
      <c r="I814" s="369"/>
      <c r="J814" s="353"/>
      <c r="K814" s="356"/>
      <c r="L814" s="356"/>
      <c r="M814" s="356"/>
      <c r="N814" s="356"/>
      <c r="O814" s="356"/>
      <c r="P814" s="356"/>
    </row>
    <row r="815" spans="1:16" ht="18.75" customHeight="1">
      <c r="A815" s="366"/>
      <c r="B815" s="367"/>
      <c r="C815" s="367"/>
      <c r="D815" s="367"/>
      <c r="E815" s="370"/>
      <c r="F815" s="367"/>
      <c r="G815" s="156"/>
      <c r="H815" s="371"/>
      <c r="I815" s="372"/>
      <c r="J815" s="355"/>
      <c r="K815" s="356"/>
      <c r="L815" s="356"/>
      <c r="M815" s="356"/>
      <c r="N815" s="356"/>
      <c r="O815" s="356"/>
      <c r="P815" s="356"/>
    </row>
    <row r="816" spans="1:16" ht="18.75" customHeight="1">
      <c r="A816" s="366"/>
      <c r="B816" s="367"/>
      <c r="C816" s="367"/>
      <c r="D816" s="367"/>
      <c r="E816" s="367"/>
      <c r="F816" s="367"/>
      <c r="G816" s="159"/>
      <c r="H816" s="368"/>
      <c r="I816" s="369"/>
      <c r="J816" s="353"/>
      <c r="K816" s="356"/>
      <c r="L816" s="356"/>
      <c r="M816" s="356"/>
      <c r="N816" s="356"/>
      <c r="O816" s="356"/>
      <c r="P816" s="356"/>
    </row>
    <row r="817" spans="1:16" ht="18.75" customHeight="1">
      <c r="A817" s="366"/>
      <c r="B817" s="367"/>
      <c r="C817" s="367"/>
      <c r="D817" s="367"/>
      <c r="E817" s="370"/>
      <c r="F817" s="367"/>
      <c r="G817" s="156"/>
      <c r="H817" s="371"/>
      <c r="I817" s="372"/>
      <c r="J817" s="355"/>
      <c r="K817" s="356"/>
      <c r="L817" s="356"/>
      <c r="M817" s="356"/>
      <c r="N817" s="356"/>
      <c r="O817" s="356"/>
      <c r="P817" s="356"/>
    </row>
    <row r="818" spans="1:16" ht="18.75" customHeight="1">
      <c r="A818" s="366"/>
      <c r="B818" s="367"/>
      <c r="C818" s="367"/>
      <c r="D818" s="367"/>
      <c r="E818" s="367"/>
      <c r="F818" s="367"/>
      <c r="G818" s="159"/>
      <c r="H818" s="368"/>
      <c r="I818" s="369"/>
      <c r="J818" s="353"/>
      <c r="K818" s="356"/>
      <c r="L818" s="356"/>
      <c r="M818" s="356"/>
      <c r="N818" s="356"/>
      <c r="O818" s="356"/>
      <c r="P818" s="356"/>
    </row>
    <row r="819" spans="1:16" ht="18.75" customHeight="1">
      <c r="A819" s="366"/>
      <c r="B819" s="367"/>
      <c r="C819" s="367"/>
      <c r="D819" s="367"/>
      <c r="E819" s="370"/>
      <c r="F819" s="367"/>
      <c r="G819" s="156"/>
      <c r="H819" s="371"/>
      <c r="I819" s="372"/>
      <c r="J819" s="355"/>
      <c r="K819" s="356"/>
      <c r="L819" s="356"/>
      <c r="M819" s="356"/>
      <c r="N819" s="356"/>
      <c r="O819" s="356"/>
      <c r="P819" s="356"/>
    </row>
    <row r="820" spans="1:16" ht="18.75" customHeight="1">
      <c r="A820" s="366"/>
      <c r="B820" s="367"/>
      <c r="C820" s="367"/>
      <c r="D820" s="367"/>
      <c r="E820" s="367"/>
      <c r="F820" s="367"/>
      <c r="G820" s="159"/>
      <c r="H820" s="368"/>
      <c r="I820" s="369"/>
      <c r="J820" s="353"/>
      <c r="K820" s="356"/>
      <c r="L820" s="356"/>
      <c r="M820" s="356"/>
      <c r="N820" s="356"/>
      <c r="O820" s="356"/>
      <c r="P820" s="356"/>
    </row>
    <row r="821" spans="1:16" ht="18.75" customHeight="1">
      <c r="A821" s="366"/>
      <c r="B821" s="367"/>
      <c r="C821" s="367"/>
      <c r="D821" s="367"/>
      <c r="E821" s="370"/>
      <c r="F821" s="367"/>
      <c r="G821" s="156"/>
      <c r="H821" s="371"/>
      <c r="I821" s="372"/>
      <c r="J821" s="355"/>
      <c r="K821" s="356"/>
      <c r="L821" s="356"/>
      <c r="M821" s="356"/>
      <c r="N821" s="356"/>
      <c r="O821" s="356"/>
      <c r="P821" s="356"/>
    </row>
    <row r="822" spans="1:16" ht="18.75" customHeight="1">
      <c r="A822" s="366"/>
      <c r="B822" s="367"/>
      <c r="C822" s="367"/>
      <c r="D822" s="367"/>
      <c r="E822" s="367"/>
      <c r="F822" s="367"/>
      <c r="G822" s="159"/>
      <c r="H822" s="368"/>
      <c r="I822" s="369"/>
      <c r="J822" s="353"/>
      <c r="K822" s="356"/>
      <c r="L822" s="356"/>
      <c r="M822" s="356"/>
      <c r="N822" s="356"/>
      <c r="O822" s="356"/>
      <c r="P822" s="356"/>
    </row>
    <row r="823" spans="1:16" ht="18.75" customHeight="1">
      <c r="A823" s="366"/>
      <c r="B823" s="367"/>
      <c r="C823" s="367"/>
      <c r="D823" s="367"/>
      <c r="E823" s="370"/>
      <c r="F823" s="367"/>
      <c r="G823" s="156"/>
      <c r="H823" s="371"/>
      <c r="I823" s="372"/>
      <c r="J823" s="355"/>
      <c r="K823" s="356"/>
      <c r="L823" s="356"/>
      <c r="M823" s="356"/>
      <c r="N823" s="356"/>
      <c r="O823" s="356"/>
      <c r="P823" s="356"/>
    </row>
    <row r="824" spans="1:16" ht="18.75" customHeight="1">
      <c r="A824" s="366"/>
      <c r="B824" s="367"/>
      <c r="C824" s="367"/>
      <c r="D824" s="367"/>
      <c r="E824" s="367"/>
      <c r="F824" s="367"/>
      <c r="G824" s="159"/>
      <c r="H824" s="368"/>
      <c r="I824" s="369"/>
      <c r="J824" s="353"/>
      <c r="K824" s="356"/>
      <c r="L824" s="356"/>
      <c r="M824" s="356"/>
      <c r="N824" s="356"/>
      <c r="O824" s="356"/>
      <c r="P824" s="356"/>
    </row>
    <row r="825" spans="1:16" ht="18.75" customHeight="1">
      <c r="A825" s="366"/>
      <c r="B825" s="367"/>
      <c r="C825" s="367"/>
      <c r="D825" s="367"/>
      <c r="E825" s="370"/>
      <c r="F825" s="367"/>
      <c r="G825" s="156"/>
      <c r="H825" s="371"/>
      <c r="I825" s="372"/>
      <c r="J825" s="355"/>
      <c r="K825" s="356"/>
      <c r="L825" s="356"/>
      <c r="M825" s="356"/>
      <c r="N825" s="356"/>
      <c r="O825" s="356"/>
      <c r="P825" s="356"/>
    </row>
    <row r="826" spans="1:16" ht="18.75" customHeight="1">
      <c r="A826" s="366"/>
      <c r="B826" s="367"/>
      <c r="C826" s="367"/>
      <c r="D826" s="367"/>
      <c r="E826" s="367"/>
      <c r="F826" s="367"/>
      <c r="G826" s="159"/>
      <c r="H826" s="368"/>
      <c r="I826" s="369"/>
      <c r="J826" s="353"/>
      <c r="K826" s="356"/>
      <c r="L826" s="356"/>
      <c r="M826" s="356"/>
      <c r="N826" s="356"/>
      <c r="O826" s="356"/>
      <c r="P826" s="356"/>
    </row>
    <row r="827" spans="1:16" ht="18.75" customHeight="1">
      <c r="A827" s="366"/>
      <c r="B827" s="367"/>
      <c r="C827" s="367"/>
      <c r="D827" s="367"/>
      <c r="E827" s="370"/>
      <c r="F827" s="367"/>
      <c r="G827" s="156"/>
      <c r="H827" s="371"/>
      <c r="I827" s="372"/>
      <c r="J827" s="355"/>
      <c r="K827" s="356"/>
      <c r="L827" s="356"/>
      <c r="M827" s="356"/>
      <c r="N827" s="356"/>
      <c r="O827" s="356"/>
      <c r="P827" s="356"/>
    </row>
    <row r="828" spans="1:16" ht="18.75" customHeight="1">
      <c r="A828" s="366"/>
      <c r="B828" s="367"/>
      <c r="C828" s="367"/>
      <c r="D828" s="367"/>
      <c r="E828" s="367"/>
      <c r="F828" s="367"/>
      <c r="G828" s="159"/>
      <c r="H828" s="368"/>
      <c r="I828" s="369"/>
      <c r="J828" s="353"/>
      <c r="K828" s="356"/>
      <c r="L828" s="356"/>
      <c r="M828" s="356"/>
      <c r="N828" s="356"/>
      <c r="O828" s="356"/>
      <c r="P828" s="356"/>
    </row>
    <row r="829" spans="1:16" ht="18.75" customHeight="1">
      <c r="A829" s="366"/>
      <c r="B829" s="367"/>
      <c r="C829" s="367"/>
      <c r="D829" s="367"/>
      <c r="E829" s="370"/>
      <c r="F829" s="367"/>
      <c r="G829" s="156"/>
      <c r="H829" s="371"/>
      <c r="I829" s="372"/>
      <c r="J829" s="355"/>
      <c r="K829" s="356"/>
      <c r="L829" s="356"/>
      <c r="M829" s="356"/>
      <c r="N829" s="356"/>
      <c r="O829" s="356"/>
      <c r="P829" s="356"/>
    </row>
    <row r="830" spans="1:16" ht="18.75" customHeight="1">
      <c r="A830" s="366"/>
      <c r="B830" s="367"/>
      <c r="C830" s="367"/>
      <c r="D830" s="367"/>
      <c r="E830" s="367"/>
      <c r="F830" s="367"/>
      <c r="G830" s="159"/>
      <c r="H830" s="368"/>
      <c r="I830" s="369"/>
      <c r="J830" s="353"/>
      <c r="K830" s="356"/>
      <c r="L830" s="356"/>
      <c r="M830" s="356"/>
      <c r="N830" s="356"/>
      <c r="O830" s="356"/>
      <c r="P830" s="356"/>
    </row>
    <row r="831" spans="1:16" ht="18.75" customHeight="1">
      <c r="A831" s="366"/>
      <c r="B831" s="367"/>
      <c r="C831" s="367"/>
      <c r="D831" s="367"/>
      <c r="E831" s="370"/>
      <c r="F831" s="367"/>
      <c r="G831" s="156"/>
      <c r="H831" s="371"/>
      <c r="I831" s="372"/>
      <c r="J831" s="355"/>
      <c r="K831" s="356"/>
      <c r="L831" s="356"/>
      <c r="M831" s="356"/>
      <c r="N831" s="356"/>
      <c r="O831" s="356"/>
      <c r="P831" s="356"/>
    </row>
    <row r="832" spans="1:16" ht="18.75" customHeight="1">
      <c r="A832" s="366"/>
      <c r="B832" s="367"/>
      <c r="C832" s="367"/>
      <c r="D832" s="367"/>
      <c r="E832" s="367"/>
      <c r="F832" s="367"/>
      <c r="G832" s="159"/>
      <c r="H832" s="368"/>
      <c r="I832" s="369"/>
      <c r="J832" s="353"/>
      <c r="K832" s="356"/>
      <c r="L832" s="356"/>
      <c r="M832" s="356"/>
      <c r="N832" s="356"/>
      <c r="O832" s="356"/>
      <c r="P832" s="356"/>
    </row>
    <row r="833" spans="1:16" ht="18.75" customHeight="1">
      <c r="A833" s="366"/>
      <c r="B833" s="367"/>
      <c r="C833" s="367"/>
      <c r="D833" s="367"/>
      <c r="E833" s="370"/>
      <c r="F833" s="367"/>
      <c r="G833" s="156"/>
      <c r="H833" s="371"/>
      <c r="I833" s="372"/>
      <c r="J833" s="355"/>
      <c r="K833" s="356"/>
      <c r="L833" s="356"/>
      <c r="M833" s="356"/>
      <c r="N833" s="356"/>
      <c r="O833" s="356"/>
      <c r="P833" s="356"/>
    </row>
    <row r="834" spans="1:16" ht="18.75" customHeight="1">
      <c r="A834" s="366"/>
      <c r="B834" s="367"/>
      <c r="C834" s="367"/>
      <c r="D834" s="367"/>
      <c r="E834" s="367"/>
      <c r="F834" s="367"/>
      <c r="G834" s="159"/>
      <c r="H834" s="368"/>
      <c r="I834" s="369"/>
      <c r="J834" s="353"/>
      <c r="K834" s="356"/>
      <c r="L834" s="356"/>
      <c r="M834" s="356"/>
      <c r="N834" s="356"/>
      <c r="O834" s="356"/>
      <c r="P834" s="356"/>
    </row>
    <row r="835" spans="1:16" ht="18.75" customHeight="1">
      <c r="A835" s="366"/>
      <c r="B835" s="367"/>
      <c r="C835" s="367"/>
      <c r="D835" s="367"/>
      <c r="E835" s="370"/>
      <c r="F835" s="367"/>
      <c r="G835" s="156"/>
      <c r="H835" s="371"/>
      <c r="I835" s="372"/>
      <c r="J835" s="355"/>
      <c r="K835" s="356"/>
      <c r="L835" s="356"/>
      <c r="M835" s="356"/>
      <c r="N835" s="356"/>
      <c r="O835" s="356"/>
      <c r="P835" s="356"/>
    </row>
    <row r="836" spans="1:16" ht="18.75" customHeight="1">
      <c r="A836" s="366"/>
      <c r="B836" s="367"/>
      <c r="C836" s="367"/>
      <c r="D836" s="367"/>
      <c r="E836" s="367"/>
      <c r="F836" s="367"/>
      <c r="G836" s="159"/>
      <c r="H836" s="368"/>
      <c r="I836" s="369"/>
      <c r="J836" s="353"/>
      <c r="K836" s="356"/>
      <c r="L836" s="356"/>
      <c r="M836" s="356"/>
      <c r="N836" s="356"/>
      <c r="O836" s="356"/>
      <c r="P836" s="356"/>
    </row>
    <row r="837" spans="1:16" ht="18.75" customHeight="1">
      <c r="A837" s="366"/>
      <c r="B837" s="367"/>
      <c r="C837" s="367"/>
      <c r="D837" s="367"/>
      <c r="E837" s="370"/>
      <c r="F837" s="367"/>
      <c r="G837" s="156"/>
      <c r="H837" s="371"/>
      <c r="I837" s="372"/>
      <c r="J837" s="355"/>
      <c r="K837" s="356"/>
      <c r="L837" s="356"/>
      <c r="M837" s="356"/>
      <c r="N837" s="356"/>
      <c r="O837" s="356"/>
      <c r="P837" s="356"/>
    </row>
    <row r="838" spans="1:16" ht="18.75" customHeight="1">
      <c r="A838" s="366"/>
      <c r="B838" s="367"/>
      <c r="C838" s="367"/>
      <c r="D838" s="367"/>
      <c r="E838" s="367"/>
      <c r="F838" s="367"/>
      <c r="G838" s="159"/>
      <c r="H838" s="368"/>
      <c r="I838" s="369"/>
      <c r="J838" s="353"/>
      <c r="K838" s="356"/>
      <c r="L838" s="356"/>
      <c r="M838" s="356"/>
      <c r="N838" s="356"/>
      <c r="O838" s="356"/>
      <c r="P838" s="356"/>
    </row>
    <row r="839" spans="1:16" ht="18.75" customHeight="1">
      <c r="A839" s="366"/>
      <c r="B839" s="367"/>
      <c r="C839" s="367"/>
      <c r="D839" s="367"/>
      <c r="E839" s="370"/>
      <c r="F839" s="367"/>
      <c r="G839" s="156"/>
      <c r="H839" s="371"/>
      <c r="I839" s="372"/>
      <c r="J839" s="355"/>
      <c r="K839" s="356"/>
      <c r="L839" s="356"/>
      <c r="M839" s="356"/>
      <c r="N839" s="356"/>
      <c r="O839" s="356"/>
      <c r="P839" s="356"/>
    </row>
    <row r="840" spans="1:16" ht="18.75" customHeight="1">
      <c r="A840" s="366"/>
      <c r="B840" s="367"/>
      <c r="C840" s="367"/>
      <c r="D840" s="367"/>
      <c r="E840" s="367"/>
      <c r="F840" s="367"/>
      <c r="G840" s="159"/>
      <c r="H840" s="368"/>
      <c r="I840" s="369"/>
      <c r="J840" s="353"/>
      <c r="K840" s="356"/>
      <c r="L840" s="356"/>
      <c r="M840" s="356"/>
      <c r="N840" s="356"/>
      <c r="O840" s="356"/>
      <c r="P840" s="356"/>
    </row>
    <row r="841" spans="1:16" ht="18.75" customHeight="1">
      <c r="A841" s="366"/>
      <c r="B841" s="367"/>
      <c r="C841" s="367"/>
      <c r="D841" s="367"/>
      <c r="E841" s="370"/>
      <c r="F841" s="367"/>
      <c r="G841" s="156"/>
      <c r="H841" s="371"/>
      <c r="I841" s="372"/>
      <c r="J841" s="355"/>
      <c r="K841" s="356"/>
      <c r="L841" s="356"/>
      <c r="M841" s="356"/>
      <c r="N841" s="356"/>
      <c r="O841" s="356"/>
      <c r="P841" s="356"/>
    </row>
    <row r="842" spans="1:16" ht="18.75" customHeight="1">
      <c r="A842" s="366"/>
      <c r="B842" s="367"/>
      <c r="C842" s="367"/>
      <c r="D842" s="367"/>
      <c r="E842" s="367"/>
      <c r="F842" s="367"/>
      <c r="G842" s="159"/>
      <c r="H842" s="368"/>
      <c r="I842" s="369"/>
      <c r="J842" s="353"/>
      <c r="K842" s="356"/>
      <c r="L842" s="356"/>
      <c r="M842" s="356"/>
      <c r="N842" s="356"/>
      <c r="O842" s="356"/>
      <c r="P842" s="356"/>
    </row>
    <row r="843" spans="1:16" ht="18.75" customHeight="1">
      <c r="A843" s="366"/>
      <c r="B843" s="367"/>
      <c r="C843" s="367"/>
      <c r="D843" s="367"/>
      <c r="E843" s="370"/>
      <c r="F843" s="367"/>
      <c r="G843" s="156"/>
      <c r="H843" s="371"/>
      <c r="I843" s="372"/>
      <c r="J843" s="355"/>
      <c r="K843" s="356"/>
      <c r="L843" s="356"/>
      <c r="M843" s="356"/>
      <c r="N843" s="356"/>
      <c r="O843" s="356"/>
      <c r="P843" s="356"/>
    </row>
    <row r="844" spans="1:16" ht="18.75" customHeight="1">
      <c r="A844" s="366"/>
      <c r="B844" s="367"/>
      <c r="C844" s="367"/>
      <c r="D844" s="367"/>
      <c r="E844" s="367"/>
      <c r="F844" s="367"/>
      <c r="G844" s="159"/>
      <c r="H844" s="368"/>
      <c r="I844" s="369"/>
      <c r="J844" s="353"/>
      <c r="K844" s="356"/>
      <c r="L844" s="356"/>
      <c r="M844" s="356"/>
      <c r="N844" s="356"/>
      <c r="O844" s="356"/>
      <c r="P844" s="356"/>
    </row>
    <row r="845" spans="1:16" ht="18.75" customHeight="1">
      <c r="A845" s="366"/>
      <c r="B845" s="367"/>
      <c r="C845" s="367"/>
      <c r="D845" s="367"/>
      <c r="E845" s="370"/>
      <c r="F845" s="367"/>
      <c r="G845" s="156"/>
      <c r="H845" s="371"/>
      <c r="I845" s="372"/>
      <c r="J845" s="355"/>
      <c r="K845" s="356"/>
      <c r="L845" s="356"/>
      <c r="M845" s="356"/>
      <c r="N845" s="356"/>
      <c r="O845" s="356"/>
      <c r="P845" s="356"/>
    </row>
    <row r="846" spans="1:16" ht="18.75" customHeight="1">
      <c r="A846" s="366"/>
      <c r="B846" s="367"/>
      <c r="C846" s="367"/>
      <c r="D846" s="367"/>
      <c r="E846" s="367"/>
      <c r="F846" s="367"/>
      <c r="G846" s="159"/>
      <c r="H846" s="368"/>
      <c r="I846" s="369"/>
      <c r="J846" s="353"/>
      <c r="K846" s="356"/>
      <c r="L846" s="356"/>
      <c r="M846" s="356"/>
      <c r="N846" s="356"/>
      <c r="O846" s="356"/>
      <c r="P846" s="356"/>
    </row>
    <row r="847" spans="1:16" ht="18.75" customHeight="1">
      <c r="A847" s="366"/>
      <c r="B847" s="367"/>
      <c r="C847" s="367"/>
      <c r="D847" s="367"/>
      <c r="E847" s="370"/>
      <c r="F847" s="367"/>
      <c r="G847" s="156"/>
      <c r="H847" s="371"/>
      <c r="I847" s="372"/>
      <c r="J847" s="355"/>
      <c r="K847" s="356"/>
      <c r="L847" s="356"/>
      <c r="M847" s="356"/>
      <c r="N847" s="356"/>
      <c r="O847" s="356"/>
      <c r="P847" s="356"/>
    </row>
    <row r="848" spans="1:16" ht="18.75" customHeight="1">
      <c r="A848" s="366"/>
      <c r="B848" s="367"/>
      <c r="C848" s="367"/>
      <c r="D848" s="367"/>
      <c r="E848" s="367"/>
      <c r="F848" s="367"/>
      <c r="G848" s="159"/>
      <c r="H848" s="368"/>
      <c r="I848" s="369"/>
      <c r="J848" s="353"/>
      <c r="K848" s="356"/>
      <c r="L848" s="356"/>
      <c r="M848" s="356"/>
      <c r="N848" s="356"/>
      <c r="O848" s="356"/>
      <c r="P848" s="356"/>
    </row>
    <row r="849" spans="1:16" ht="18.75" customHeight="1">
      <c r="A849" s="366"/>
      <c r="B849" s="367"/>
      <c r="C849" s="367"/>
      <c r="D849" s="367"/>
      <c r="E849" s="370"/>
      <c r="F849" s="367"/>
      <c r="G849" s="156"/>
      <c r="H849" s="371"/>
      <c r="I849" s="372"/>
      <c r="J849" s="355"/>
      <c r="K849" s="356"/>
      <c r="L849" s="356"/>
      <c r="M849" s="356"/>
      <c r="N849" s="356"/>
      <c r="O849" s="356"/>
      <c r="P849" s="356"/>
    </row>
    <row r="850" spans="1:16" ht="18.75" customHeight="1">
      <c r="A850" s="366"/>
      <c r="B850" s="367"/>
      <c r="C850" s="367"/>
      <c r="D850" s="367"/>
      <c r="E850" s="367"/>
      <c r="F850" s="367"/>
      <c r="G850" s="159"/>
      <c r="H850" s="368"/>
      <c r="I850" s="369"/>
      <c r="J850" s="353"/>
      <c r="K850" s="356"/>
      <c r="L850" s="356"/>
      <c r="M850" s="356"/>
      <c r="N850" s="356"/>
      <c r="O850" s="356"/>
      <c r="P850" s="356"/>
    </row>
    <row r="851" spans="1:16" ht="18.75" customHeight="1">
      <c r="A851" s="366"/>
      <c r="B851" s="367"/>
      <c r="C851" s="367"/>
      <c r="D851" s="367"/>
      <c r="E851" s="370"/>
      <c r="F851" s="367"/>
      <c r="G851" s="156"/>
      <c r="H851" s="371"/>
      <c r="I851" s="372"/>
      <c r="J851" s="355"/>
      <c r="K851" s="356"/>
      <c r="L851" s="356"/>
      <c r="M851" s="356"/>
      <c r="N851" s="356"/>
      <c r="O851" s="356"/>
      <c r="P851" s="356"/>
    </row>
    <row r="852" spans="1:16" ht="18.75" customHeight="1">
      <c r="A852" s="366"/>
      <c r="B852" s="367"/>
      <c r="C852" s="367"/>
      <c r="D852" s="367"/>
      <c r="E852" s="367"/>
      <c r="F852" s="367"/>
      <c r="G852" s="159"/>
      <c r="H852" s="368"/>
      <c r="I852" s="369"/>
      <c r="J852" s="353"/>
      <c r="K852" s="356"/>
      <c r="L852" s="356"/>
      <c r="M852" s="356"/>
      <c r="N852" s="356"/>
      <c r="O852" s="356"/>
      <c r="P852" s="356"/>
    </row>
    <row r="853" spans="1:16" ht="18.75" customHeight="1">
      <c r="A853" s="366"/>
      <c r="B853" s="367"/>
      <c r="C853" s="367"/>
      <c r="D853" s="367"/>
      <c r="E853" s="370"/>
      <c r="F853" s="367"/>
      <c r="G853" s="156"/>
      <c r="H853" s="371"/>
      <c r="I853" s="372"/>
      <c r="J853" s="355"/>
      <c r="K853" s="356"/>
      <c r="L853" s="356"/>
      <c r="M853" s="356"/>
      <c r="N853" s="356"/>
      <c r="O853" s="356"/>
      <c r="P853" s="356"/>
    </row>
    <row r="854" spans="1:16" ht="18.75" customHeight="1">
      <c r="A854" s="366"/>
      <c r="B854" s="367"/>
      <c r="C854" s="367"/>
      <c r="D854" s="367"/>
      <c r="E854" s="367"/>
      <c r="F854" s="367"/>
      <c r="G854" s="159"/>
      <c r="H854" s="368"/>
      <c r="I854" s="369"/>
      <c r="J854" s="353"/>
      <c r="K854" s="356"/>
      <c r="L854" s="356"/>
      <c r="M854" s="356"/>
      <c r="N854" s="356"/>
      <c r="O854" s="356"/>
      <c r="P854" s="356"/>
    </row>
    <row r="855" spans="1:16" ht="18.75" customHeight="1">
      <c r="A855" s="366"/>
      <c r="B855" s="367"/>
      <c r="C855" s="367"/>
      <c r="D855" s="367"/>
      <c r="E855" s="370"/>
      <c r="F855" s="367"/>
      <c r="G855" s="156"/>
      <c r="H855" s="371"/>
      <c r="I855" s="372"/>
      <c r="J855" s="355"/>
      <c r="K855" s="356"/>
      <c r="L855" s="356"/>
      <c r="M855" s="356"/>
      <c r="N855" s="356"/>
      <c r="O855" s="356"/>
      <c r="P855" s="356"/>
    </row>
    <row r="856" spans="1:16" ht="18.75" customHeight="1">
      <c r="A856" s="366"/>
      <c r="B856" s="367"/>
      <c r="C856" s="367"/>
      <c r="D856" s="367"/>
      <c r="E856" s="367"/>
      <c r="F856" s="367"/>
      <c r="G856" s="159"/>
      <c r="H856" s="368"/>
      <c r="I856" s="369"/>
      <c r="J856" s="353"/>
      <c r="K856" s="356"/>
      <c r="L856" s="356"/>
      <c r="M856" s="356"/>
      <c r="N856" s="356"/>
      <c r="O856" s="356"/>
      <c r="P856" s="356"/>
    </row>
    <row r="857" spans="1:16" ht="18.75" customHeight="1">
      <c r="A857" s="366"/>
      <c r="B857" s="367"/>
      <c r="C857" s="367"/>
      <c r="D857" s="367"/>
      <c r="E857" s="370"/>
      <c r="F857" s="367"/>
      <c r="G857" s="156"/>
      <c r="H857" s="371"/>
      <c r="I857" s="372"/>
      <c r="J857" s="355"/>
      <c r="K857" s="356"/>
      <c r="L857" s="356"/>
      <c r="M857" s="356"/>
      <c r="N857" s="356"/>
      <c r="O857" s="356"/>
      <c r="P857" s="356"/>
    </row>
    <row r="858" spans="1:16" ht="18.75" customHeight="1">
      <c r="A858" s="366"/>
      <c r="B858" s="367"/>
      <c r="C858" s="367"/>
      <c r="D858" s="367"/>
      <c r="E858" s="367"/>
      <c r="F858" s="367"/>
      <c r="G858" s="159"/>
      <c r="H858" s="368"/>
      <c r="I858" s="369"/>
      <c r="J858" s="353"/>
      <c r="K858" s="356"/>
      <c r="L858" s="356"/>
      <c r="M858" s="356"/>
      <c r="N858" s="356"/>
      <c r="O858" s="356"/>
      <c r="P858" s="356"/>
    </row>
    <row r="859" spans="1:16" ht="18.75" customHeight="1">
      <c r="A859" s="366"/>
      <c r="B859" s="367"/>
      <c r="C859" s="367"/>
      <c r="D859" s="367"/>
      <c r="E859" s="370"/>
      <c r="F859" s="367"/>
      <c r="G859" s="156"/>
      <c r="H859" s="371"/>
      <c r="I859" s="372"/>
      <c r="J859" s="355"/>
      <c r="K859" s="356"/>
      <c r="L859" s="356"/>
      <c r="M859" s="356"/>
      <c r="N859" s="356"/>
      <c r="O859" s="356"/>
      <c r="P859" s="356"/>
    </row>
    <row r="860" spans="1:16" ht="18.75" customHeight="1">
      <c r="A860" s="366"/>
      <c r="B860" s="367"/>
      <c r="C860" s="367"/>
      <c r="D860" s="367"/>
      <c r="E860" s="367"/>
      <c r="F860" s="367"/>
      <c r="G860" s="159"/>
      <c r="H860" s="368"/>
      <c r="I860" s="369"/>
      <c r="J860" s="353"/>
      <c r="K860" s="356"/>
      <c r="L860" s="356"/>
      <c r="M860" s="356"/>
      <c r="N860" s="356"/>
      <c r="O860" s="356"/>
      <c r="P860" s="356"/>
    </row>
    <row r="861" spans="1:16" ht="18.75" customHeight="1">
      <c r="A861" s="366"/>
      <c r="B861" s="367"/>
      <c r="C861" s="367"/>
      <c r="D861" s="367"/>
      <c r="E861" s="370"/>
      <c r="F861" s="367"/>
      <c r="G861" s="156"/>
      <c r="H861" s="371"/>
      <c r="I861" s="372"/>
      <c r="J861" s="355"/>
      <c r="K861" s="356"/>
      <c r="L861" s="356"/>
      <c r="M861" s="356"/>
      <c r="N861" s="356"/>
      <c r="O861" s="356"/>
      <c r="P861" s="356"/>
    </row>
    <row r="862" spans="1:16" ht="18.75" customHeight="1">
      <c r="A862" s="366"/>
      <c r="B862" s="367"/>
      <c r="C862" s="367"/>
      <c r="D862" s="367"/>
      <c r="E862" s="367"/>
      <c r="F862" s="367"/>
      <c r="G862" s="159"/>
      <c r="H862" s="368"/>
      <c r="I862" s="369"/>
      <c r="J862" s="353"/>
      <c r="K862" s="356"/>
      <c r="L862" s="356"/>
      <c r="M862" s="356"/>
      <c r="N862" s="356"/>
      <c r="O862" s="356"/>
      <c r="P862" s="356"/>
    </row>
    <row r="863" spans="1:16" ht="18.75" customHeight="1">
      <c r="A863" s="366"/>
      <c r="B863" s="367"/>
      <c r="C863" s="367"/>
      <c r="D863" s="367"/>
      <c r="E863" s="370"/>
      <c r="F863" s="367"/>
      <c r="G863" s="156"/>
      <c r="H863" s="371"/>
      <c r="I863" s="372"/>
      <c r="J863" s="355"/>
      <c r="K863" s="356"/>
      <c r="L863" s="356"/>
      <c r="M863" s="356"/>
      <c r="N863" s="356"/>
      <c r="O863" s="356"/>
      <c r="P863" s="356"/>
    </row>
    <row r="864" spans="1:16" ht="18.75" customHeight="1">
      <c r="A864" s="366"/>
      <c r="B864" s="367"/>
      <c r="C864" s="367"/>
      <c r="D864" s="367"/>
      <c r="E864" s="367"/>
      <c r="F864" s="367"/>
      <c r="G864" s="159"/>
      <c r="H864" s="368"/>
      <c r="I864" s="369"/>
      <c r="J864" s="353"/>
      <c r="K864" s="356"/>
      <c r="L864" s="356"/>
      <c r="M864" s="356"/>
      <c r="N864" s="356"/>
      <c r="O864" s="356"/>
      <c r="P864" s="356"/>
    </row>
    <row r="865" spans="1:16" ht="18.75" customHeight="1">
      <c r="A865" s="366"/>
      <c r="B865" s="367"/>
      <c r="C865" s="367"/>
      <c r="D865" s="367"/>
      <c r="E865" s="370"/>
      <c r="F865" s="367"/>
      <c r="G865" s="156"/>
      <c r="H865" s="371"/>
      <c r="I865" s="372"/>
      <c r="J865" s="355"/>
      <c r="K865" s="356"/>
      <c r="L865" s="356"/>
      <c r="M865" s="356"/>
      <c r="N865" s="356"/>
      <c r="O865" s="356"/>
      <c r="P865" s="356"/>
    </row>
    <row r="866" spans="1:16" ht="18.75" customHeight="1">
      <c r="A866" s="366"/>
      <c r="B866" s="367"/>
      <c r="C866" s="367"/>
      <c r="D866" s="367"/>
      <c r="E866" s="367"/>
      <c r="F866" s="367"/>
      <c r="G866" s="159"/>
      <c r="H866" s="368"/>
      <c r="I866" s="369"/>
      <c r="J866" s="353"/>
      <c r="K866" s="356"/>
      <c r="L866" s="356"/>
      <c r="M866" s="356"/>
      <c r="N866" s="356"/>
      <c r="O866" s="356"/>
      <c r="P866" s="356"/>
    </row>
    <row r="867" spans="1:16" ht="18.75" customHeight="1">
      <c r="A867" s="366"/>
      <c r="B867" s="367"/>
      <c r="C867" s="367"/>
      <c r="D867" s="367"/>
      <c r="E867" s="370"/>
      <c r="F867" s="367"/>
      <c r="G867" s="156"/>
      <c r="H867" s="371"/>
      <c r="I867" s="372"/>
      <c r="J867" s="355"/>
      <c r="K867" s="356"/>
      <c r="L867" s="356"/>
      <c r="M867" s="356"/>
      <c r="N867" s="356"/>
      <c r="O867" s="356"/>
      <c r="P867" s="356"/>
    </row>
    <row r="868" spans="1:16" ht="18.75" customHeight="1">
      <c r="A868" s="366"/>
      <c r="B868" s="367"/>
      <c r="C868" s="367"/>
      <c r="D868" s="367"/>
      <c r="E868" s="367"/>
      <c r="F868" s="367"/>
      <c r="G868" s="159"/>
      <c r="H868" s="368"/>
      <c r="I868" s="369"/>
      <c r="J868" s="353"/>
      <c r="K868" s="356"/>
      <c r="L868" s="356"/>
      <c r="M868" s="356"/>
      <c r="N868" s="356"/>
      <c r="O868" s="356"/>
      <c r="P868" s="356"/>
    </row>
    <row r="869" spans="1:16" ht="18.75" customHeight="1">
      <c r="A869" s="366"/>
      <c r="B869" s="367"/>
      <c r="C869" s="367"/>
      <c r="D869" s="367"/>
      <c r="E869" s="370"/>
      <c r="F869" s="367"/>
      <c r="G869" s="156"/>
      <c r="H869" s="371"/>
      <c r="I869" s="372"/>
      <c r="J869" s="355"/>
      <c r="K869" s="356"/>
      <c r="L869" s="356"/>
      <c r="M869" s="356"/>
      <c r="N869" s="356"/>
      <c r="O869" s="356"/>
      <c r="P869" s="356"/>
    </row>
    <row r="870" spans="1:16" ht="18.75" customHeight="1">
      <c r="A870" s="366"/>
      <c r="B870" s="367"/>
      <c r="C870" s="367"/>
      <c r="D870" s="367"/>
      <c r="E870" s="367"/>
      <c r="F870" s="367"/>
      <c r="G870" s="159"/>
      <c r="H870" s="368"/>
      <c r="I870" s="369"/>
      <c r="J870" s="353"/>
      <c r="K870" s="356"/>
      <c r="L870" s="356"/>
      <c r="M870" s="356"/>
      <c r="N870" s="356"/>
      <c r="O870" s="356"/>
      <c r="P870" s="356"/>
    </row>
    <row r="871" spans="1:16" ht="18.75" customHeight="1">
      <c r="A871" s="366"/>
      <c r="B871" s="367"/>
      <c r="C871" s="367"/>
      <c r="D871" s="367"/>
      <c r="E871" s="370"/>
      <c r="F871" s="367"/>
      <c r="G871" s="156"/>
      <c r="H871" s="371"/>
      <c r="I871" s="372"/>
      <c r="J871" s="355"/>
      <c r="K871" s="356"/>
      <c r="L871" s="356"/>
      <c r="M871" s="356"/>
      <c r="N871" s="356"/>
      <c r="O871" s="356"/>
      <c r="P871" s="356"/>
    </row>
    <row r="872" spans="1:16" ht="18.75" customHeight="1">
      <c r="A872" s="366"/>
      <c r="B872" s="367"/>
      <c r="C872" s="367"/>
      <c r="D872" s="367"/>
      <c r="E872" s="367"/>
      <c r="F872" s="367"/>
      <c r="G872" s="159"/>
      <c r="H872" s="368"/>
      <c r="I872" s="369"/>
      <c r="J872" s="353"/>
      <c r="K872" s="356"/>
      <c r="L872" s="356"/>
      <c r="M872" s="356"/>
      <c r="N872" s="356"/>
      <c r="O872" s="356"/>
      <c r="P872" s="356"/>
    </row>
    <row r="873" spans="1:16" ht="18.75" customHeight="1">
      <c r="A873" s="366"/>
      <c r="B873" s="367"/>
      <c r="C873" s="367"/>
      <c r="D873" s="367"/>
      <c r="E873" s="370"/>
      <c r="F873" s="367"/>
      <c r="G873" s="156"/>
      <c r="H873" s="371"/>
      <c r="I873" s="372"/>
      <c r="J873" s="355"/>
      <c r="K873" s="356"/>
      <c r="L873" s="356"/>
      <c r="M873" s="356"/>
      <c r="N873" s="356"/>
      <c r="O873" s="356"/>
      <c r="P873" s="356"/>
    </row>
    <row r="874" spans="1:16" ht="18.75" customHeight="1">
      <c r="A874" s="366"/>
      <c r="B874" s="367"/>
      <c r="C874" s="367"/>
      <c r="D874" s="367"/>
      <c r="E874" s="367"/>
      <c r="F874" s="367"/>
      <c r="G874" s="159"/>
      <c r="H874" s="368"/>
      <c r="I874" s="369"/>
      <c r="J874" s="353"/>
      <c r="K874" s="356"/>
      <c r="L874" s="356"/>
      <c r="M874" s="356"/>
      <c r="N874" s="356"/>
      <c r="O874" s="356"/>
      <c r="P874" s="356"/>
    </row>
    <row r="875" spans="1:16" ht="18.75" customHeight="1">
      <c r="A875" s="366"/>
      <c r="B875" s="367"/>
      <c r="C875" s="367"/>
      <c r="D875" s="367"/>
      <c r="E875" s="370"/>
      <c r="F875" s="367"/>
      <c r="G875" s="156"/>
      <c r="H875" s="371"/>
      <c r="I875" s="372"/>
      <c r="J875" s="355"/>
      <c r="K875" s="356"/>
      <c r="L875" s="356"/>
      <c r="M875" s="356"/>
      <c r="N875" s="356"/>
      <c r="O875" s="356"/>
      <c r="P875" s="356"/>
    </row>
    <row r="876" spans="1:16" ht="18.75" customHeight="1">
      <c r="A876" s="366"/>
      <c r="B876" s="367"/>
      <c r="C876" s="367"/>
      <c r="D876" s="367"/>
      <c r="E876" s="367"/>
      <c r="F876" s="367"/>
      <c r="G876" s="159"/>
      <c r="H876" s="368"/>
      <c r="I876" s="369"/>
      <c r="J876" s="353"/>
      <c r="K876" s="356"/>
      <c r="L876" s="356"/>
      <c r="M876" s="356"/>
      <c r="N876" s="356"/>
      <c r="O876" s="356"/>
      <c r="P876" s="356"/>
    </row>
    <row r="877" spans="1:16" ht="18.75" customHeight="1">
      <c r="A877" s="366"/>
      <c r="B877" s="367"/>
      <c r="C877" s="367"/>
      <c r="D877" s="367"/>
      <c r="E877" s="370"/>
      <c r="F877" s="367"/>
      <c r="G877" s="156"/>
      <c r="H877" s="371"/>
      <c r="I877" s="372"/>
      <c r="J877" s="355"/>
      <c r="K877" s="356"/>
      <c r="L877" s="356"/>
      <c r="M877" s="356"/>
      <c r="N877" s="356"/>
      <c r="O877" s="356"/>
      <c r="P877" s="356"/>
    </row>
    <row r="878" spans="1:16" ht="18.75" customHeight="1">
      <c r="A878" s="366"/>
      <c r="B878" s="367"/>
      <c r="C878" s="367"/>
      <c r="D878" s="367"/>
      <c r="E878" s="367"/>
      <c r="F878" s="367"/>
      <c r="G878" s="159"/>
      <c r="H878" s="368"/>
      <c r="I878" s="369"/>
      <c r="J878" s="353"/>
      <c r="K878" s="356"/>
      <c r="L878" s="356"/>
      <c r="M878" s="356"/>
      <c r="N878" s="356"/>
      <c r="O878" s="356"/>
      <c r="P878" s="356"/>
    </row>
    <row r="879" spans="1:16" ht="18.75" customHeight="1">
      <c r="A879" s="366"/>
      <c r="B879" s="367"/>
      <c r="C879" s="367"/>
      <c r="D879" s="367"/>
      <c r="E879" s="370"/>
      <c r="F879" s="367"/>
      <c r="G879" s="156"/>
      <c r="H879" s="371"/>
      <c r="I879" s="372"/>
      <c r="J879" s="355"/>
      <c r="K879" s="356"/>
      <c r="L879" s="356"/>
      <c r="M879" s="356"/>
      <c r="N879" s="356"/>
      <c r="O879" s="356"/>
      <c r="P879" s="356"/>
    </row>
    <row r="880" spans="1:16" ht="18.75" customHeight="1">
      <c r="A880" s="366"/>
      <c r="B880" s="367"/>
      <c r="C880" s="367"/>
      <c r="D880" s="367"/>
      <c r="E880" s="367"/>
      <c r="F880" s="367"/>
      <c r="G880" s="159"/>
      <c r="H880" s="368"/>
      <c r="I880" s="369"/>
      <c r="J880" s="353"/>
      <c r="K880" s="356"/>
      <c r="L880" s="356"/>
      <c r="M880" s="356"/>
      <c r="N880" s="356"/>
      <c r="O880" s="356"/>
      <c r="P880" s="356"/>
    </row>
    <row r="881" spans="1:16" ht="18.75" customHeight="1">
      <c r="A881" s="366"/>
      <c r="B881" s="367"/>
      <c r="C881" s="367"/>
      <c r="D881" s="367"/>
      <c r="E881" s="370"/>
      <c r="F881" s="367"/>
      <c r="G881" s="156"/>
      <c r="H881" s="371"/>
      <c r="I881" s="372"/>
      <c r="J881" s="355"/>
      <c r="K881" s="356"/>
      <c r="L881" s="356"/>
      <c r="M881" s="356"/>
      <c r="N881" s="356"/>
      <c r="O881" s="356"/>
      <c r="P881" s="356"/>
    </row>
    <row r="882" spans="1:16" ht="18.75" customHeight="1">
      <c r="A882" s="366"/>
      <c r="B882" s="367"/>
      <c r="C882" s="367"/>
      <c r="D882" s="367"/>
      <c r="E882" s="367"/>
      <c r="F882" s="367"/>
      <c r="G882" s="159"/>
      <c r="H882" s="368"/>
      <c r="I882" s="369"/>
      <c r="J882" s="353"/>
      <c r="K882" s="356"/>
      <c r="L882" s="356"/>
      <c r="M882" s="356"/>
      <c r="N882" s="356"/>
      <c r="O882" s="356"/>
      <c r="P882" s="356"/>
    </row>
    <row r="883" spans="1:16" ht="18.75" customHeight="1">
      <c r="A883" s="366"/>
      <c r="B883" s="367"/>
      <c r="C883" s="367"/>
      <c r="D883" s="367"/>
      <c r="E883" s="370"/>
      <c r="F883" s="367"/>
      <c r="G883" s="156"/>
      <c r="H883" s="371"/>
      <c r="I883" s="372"/>
      <c r="J883" s="355"/>
      <c r="K883" s="356"/>
      <c r="L883" s="356"/>
      <c r="M883" s="356"/>
      <c r="N883" s="356"/>
      <c r="O883" s="356"/>
      <c r="P883" s="356"/>
    </row>
    <row r="884" spans="1:16" ht="18.75" customHeight="1">
      <c r="A884" s="366"/>
      <c r="B884" s="367"/>
      <c r="C884" s="367"/>
      <c r="D884" s="367"/>
      <c r="E884" s="367"/>
      <c r="F884" s="367"/>
      <c r="G884" s="159"/>
      <c r="H884" s="368"/>
      <c r="I884" s="369"/>
      <c r="J884" s="353"/>
      <c r="K884" s="356"/>
      <c r="L884" s="356"/>
      <c r="M884" s="356"/>
      <c r="N884" s="356"/>
      <c r="O884" s="356"/>
      <c r="P884" s="356"/>
    </row>
    <row r="885" spans="1:16" ht="18.75" customHeight="1">
      <c r="A885" s="366"/>
      <c r="B885" s="367"/>
      <c r="C885" s="367"/>
      <c r="D885" s="367"/>
      <c r="E885" s="370"/>
      <c r="F885" s="367"/>
      <c r="G885" s="156"/>
      <c r="H885" s="371"/>
      <c r="I885" s="372"/>
      <c r="J885" s="355"/>
      <c r="K885" s="356"/>
      <c r="L885" s="356"/>
      <c r="M885" s="356"/>
      <c r="N885" s="356"/>
      <c r="O885" s="356"/>
      <c r="P885" s="356"/>
    </row>
    <row r="886" spans="1:16" ht="18.75" customHeight="1">
      <c r="A886" s="366"/>
      <c r="B886" s="367"/>
      <c r="C886" s="367"/>
      <c r="D886" s="367"/>
      <c r="E886" s="367"/>
      <c r="F886" s="367"/>
      <c r="G886" s="159"/>
      <c r="H886" s="368"/>
      <c r="I886" s="369"/>
      <c r="J886" s="353"/>
      <c r="K886" s="356"/>
      <c r="L886" s="356"/>
      <c r="M886" s="356"/>
      <c r="N886" s="356"/>
      <c r="O886" s="356"/>
      <c r="P886" s="356"/>
    </row>
    <row r="887" spans="1:16" ht="18.75" customHeight="1">
      <c r="A887" s="366"/>
      <c r="B887" s="367"/>
      <c r="C887" s="367"/>
      <c r="D887" s="367"/>
      <c r="E887" s="370"/>
      <c r="F887" s="367"/>
      <c r="G887" s="156"/>
      <c r="H887" s="371"/>
      <c r="I887" s="372"/>
      <c r="J887" s="355"/>
      <c r="K887" s="356"/>
      <c r="L887" s="356"/>
      <c r="M887" s="356"/>
      <c r="N887" s="356"/>
      <c r="O887" s="356"/>
      <c r="P887" s="356"/>
    </row>
    <row r="888" spans="1:16" ht="18.75" customHeight="1">
      <c r="A888" s="366"/>
      <c r="B888" s="367"/>
      <c r="C888" s="367"/>
      <c r="D888" s="367"/>
      <c r="E888" s="367"/>
      <c r="F888" s="367"/>
      <c r="G888" s="159"/>
      <c r="H888" s="368"/>
      <c r="I888" s="369"/>
      <c r="J888" s="353"/>
      <c r="K888" s="356"/>
      <c r="L888" s="356"/>
      <c r="M888" s="356"/>
      <c r="N888" s="356"/>
      <c r="O888" s="356"/>
      <c r="P888" s="356"/>
    </row>
    <row r="889" spans="1:16" ht="18.75" customHeight="1">
      <c r="A889" s="366"/>
      <c r="B889" s="367"/>
      <c r="C889" s="367"/>
      <c r="D889" s="367"/>
      <c r="E889" s="370"/>
      <c r="F889" s="367"/>
      <c r="G889" s="156"/>
      <c r="H889" s="371"/>
      <c r="I889" s="372"/>
      <c r="J889" s="355"/>
      <c r="K889" s="356"/>
      <c r="L889" s="356"/>
      <c r="M889" s="356"/>
      <c r="N889" s="356"/>
      <c r="O889" s="356"/>
      <c r="P889" s="356"/>
    </row>
    <row r="890" spans="1:16" ht="18.75" customHeight="1">
      <c r="A890" s="366"/>
      <c r="B890" s="367"/>
      <c r="C890" s="367"/>
      <c r="D890" s="367"/>
      <c r="E890" s="367"/>
      <c r="F890" s="367"/>
      <c r="G890" s="159"/>
      <c r="H890" s="368"/>
      <c r="I890" s="369"/>
      <c r="J890" s="353"/>
      <c r="K890" s="356"/>
      <c r="L890" s="356"/>
      <c r="M890" s="356"/>
      <c r="N890" s="356"/>
      <c r="O890" s="356"/>
      <c r="P890" s="356"/>
    </row>
    <row r="891" spans="1:16" ht="18.75" customHeight="1">
      <c r="A891" s="366"/>
      <c r="B891" s="367"/>
      <c r="C891" s="367"/>
      <c r="D891" s="367"/>
      <c r="E891" s="370"/>
      <c r="F891" s="367"/>
      <c r="G891" s="156"/>
      <c r="H891" s="371"/>
      <c r="I891" s="372"/>
      <c r="J891" s="355"/>
      <c r="K891" s="356"/>
      <c r="L891" s="356"/>
      <c r="M891" s="356"/>
      <c r="N891" s="356"/>
      <c r="O891" s="356"/>
      <c r="P891" s="356"/>
    </row>
    <row r="892" spans="1:16" ht="18.75" customHeight="1">
      <c r="A892" s="366"/>
      <c r="B892" s="367"/>
      <c r="C892" s="367"/>
      <c r="D892" s="367"/>
      <c r="E892" s="367"/>
      <c r="F892" s="367"/>
      <c r="G892" s="159"/>
      <c r="H892" s="368"/>
      <c r="I892" s="369"/>
      <c r="J892" s="353"/>
      <c r="K892" s="356"/>
      <c r="L892" s="356"/>
      <c r="M892" s="356"/>
      <c r="N892" s="356"/>
      <c r="O892" s="356"/>
      <c r="P892" s="356"/>
    </row>
    <row r="893" spans="1:16" ht="18.75" customHeight="1">
      <c r="A893" s="366"/>
      <c r="B893" s="367"/>
      <c r="C893" s="367"/>
      <c r="D893" s="367"/>
      <c r="E893" s="370"/>
      <c r="F893" s="367"/>
      <c r="G893" s="156"/>
      <c r="H893" s="371"/>
      <c r="I893" s="372"/>
      <c r="J893" s="355"/>
      <c r="K893" s="356"/>
      <c r="L893" s="356"/>
      <c r="M893" s="356"/>
      <c r="N893" s="356"/>
      <c r="O893" s="356"/>
      <c r="P893" s="356"/>
    </row>
    <row r="894" spans="1:16" ht="18.75" customHeight="1">
      <c r="A894" s="366"/>
      <c r="B894" s="367"/>
      <c r="C894" s="367"/>
      <c r="D894" s="367"/>
      <c r="E894" s="367"/>
      <c r="F894" s="367"/>
      <c r="G894" s="159"/>
      <c r="H894" s="368"/>
      <c r="I894" s="369"/>
      <c r="J894" s="353"/>
      <c r="K894" s="356"/>
      <c r="L894" s="356"/>
      <c r="M894" s="356"/>
      <c r="N894" s="356"/>
      <c r="O894" s="356"/>
      <c r="P894" s="356"/>
    </row>
    <row r="895" spans="1:16" ht="18.75" customHeight="1">
      <c r="A895" s="366"/>
      <c r="B895" s="367"/>
      <c r="C895" s="367"/>
      <c r="D895" s="367"/>
      <c r="E895" s="370"/>
      <c r="F895" s="367"/>
      <c r="G895" s="156"/>
      <c r="H895" s="371"/>
      <c r="I895" s="372"/>
      <c r="J895" s="355"/>
      <c r="K895" s="356"/>
      <c r="L895" s="356"/>
      <c r="M895" s="356"/>
      <c r="N895" s="356"/>
      <c r="O895" s="356"/>
      <c r="P895" s="356"/>
    </row>
    <row r="896" spans="1:16" ht="18.75" customHeight="1">
      <c r="A896" s="366"/>
      <c r="B896" s="367"/>
      <c r="C896" s="367"/>
      <c r="D896" s="367"/>
      <c r="E896" s="367"/>
      <c r="F896" s="367"/>
      <c r="G896" s="159"/>
      <c r="H896" s="368"/>
      <c r="I896" s="369"/>
      <c r="J896" s="353"/>
      <c r="K896" s="356"/>
      <c r="L896" s="356"/>
      <c r="M896" s="356"/>
      <c r="N896" s="356"/>
      <c r="O896" s="356"/>
      <c r="P896" s="356"/>
    </row>
    <row r="897" spans="1:16" ht="18.75" customHeight="1">
      <c r="A897" s="366"/>
      <c r="B897" s="367"/>
      <c r="C897" s="367"/>
      <c r="D897" s="367"/>
      <c r="E897" s="370"/>
      <c r="F897" s="367"/>
      <c r="G897" s="156"/>
      <c r="H897" s="371"/>
      <c r="I897" s="372"/>
      <c r="J897" s="355"/>
      <c r="K897" s="356"/>
      <c r="L897" s="356"/>
      <c r="M897" s="356"/>
      <c r="N897" s="356"/>
      <c r="O897" s="356"/>
      <c r="P897" s="356"/>
    </row>
    <row r="898" spans="1:16" ht="18.75" customHeight="1">
      <c r="A898" s="366"/>
      <c r="B898" s="367"/>
      <c r="C898" s="367"/>
      <c r="D898" s="367"/>
      <c r="E898" s="367"/>
      <c r="F898" s="367"/>
      <c r="G898" s="159"/>
      <c r="H898" s="368"/>
      <c r="I898" s="369"/>
      <c r="J898" s="353"/>
      <c r="K898" s="356"/>
      <c r="L898" s="356"/>
      <c r="M898" s="356"/>
      <c r="N898" s="356"/>
      <c r="O898" s="356"/>
      <c r="P898" s="356"/>
    </row>
    <row r="899" spans="1:16" ht="18.75" customHeight="1">
      <c r="A899" s="366"/>
      <c r="B899" s="367"/>
      <c r="C899" s="367"/>
      <c r="D899" s="367"/>
      <c r="E899" s="370"/>
      <c r="F899" s="367"/>
      <c r="G899" s="156"/>
      <c r="H899" s="371"/>
      <c r="I899" s="372"/>
      <c r="J899" s="355"/>
      <c r="K899" s="356"/>
      <c r="L899" s="356"/>
      <c r="M899" s="356"/>
      <c r="N899" s="356"/>
      <c r="O899" s="356"/>
      <c r="P899" s="356"/>
    </row>
    <row r="900" spans="1:16" ht="18.75" customHeight="1">
      <c r="A900" s="366"/>
      <c r="B900" s="367"/>
      <c r="C900" s="367"/>
      <c r="D900" s="367"/>
      <c r="E900" s="367"/>
      <c r="F900" s="367"/>
      <c r="G900" s="159"/>
      <c r="H900" s="368"/>
      <c r="I900" s="369"/>
      <c r="J900" s="353"/>
      <c r="K900" s="356"/>
      <c r="L900" s="356"/>
      <c r="M900" s="356"/>
      <c r="N900" s="356"/>
      <c r="O900" s="356"/>
      <c r="P900" s="356"/>
    </row>
    <row r="901" spans="1:16" ht="18.75" customHeight="1">
      <c r="A901" s="366"/>
      <c r="B901" s="367"/>
      <c r="C901" s="367"/>
      <c r="D901" s="367"/>
      <c r="E901" s="370"/>
      <c r="F901" s="367"/>
      <c r="G901" s="156"/>
      <c r="H901" s="371"/>
      <c r="I901" s="372"/>
      <c r="J901" s="355"/>
      <c r="K901" s="356"/>
      <c r="L901" s="356"/>
      <c r="M901" s="356"/>
      <c r="N901" s="356"/>
      <c r="O901" s="356"/>
      <c r="P901" s="356"/>
    </row>
    <row r="902" spans="1:16" ht="18.75" customHeight="1">
      <c r="A902" s="366"/>
      <c r="B902" s="367"/>
      <c r="C902" s="367"/>
      <c r="D902" s="367"/>
      <c r="E902" s="367"/>
      <c r="F902" s="367"/>
      <c r="G902" s="159"/>
      <c r="H902" s="368"/>
      <c r="I902" s="369"/>
      <c r="J902" s="353"/>
      <c r="K902" s="356"/>
      <c r="L902" s="356"/>
      <c r="M902" s="356"/>
      <c r="N902" s="356"/>
      <c r="O902" s="356"/>
      <c r="P902" s="356"/>
    </row>
    <row r="903" spans="1:16" ht="18.75" customHeight="1">
      <c r="A903" s="366"/>
      <c r="B903" s="367"/>
      <c r="C903" s="367"/>
      <c r="D903" s="367"/>
      <c r="E903" s="370"/>
      <c r="F903" s="367"/>
      <c r="G903" s="156"/>
      <c r="H903" s="371"/>
      <c r="I903" s="372"/>
      <c r="J903" s="355"/>
      <c r="K903" s="356"/>
      <c r="L903" s="356"/>
      <c r="M903" s="356"/>
      <c r="N903" s="356"/>
      <c r="O903" s="356"/>
      <c r="P903" s="356"/>
    </row>
    <row r="904" spans="1:16" ht="18.75" customHeight="1">
      <c r="A904" s="366"/>
      <c r="B904" s="367"/>
      <c r="C904" s="367"/>
      <c r="D904" s="367"/>
      <c r="E904" s="367"/>
      <c r="F904" s="367"/>
      <c r="G904" s="159"/>
      <c r="H904" s="368"/>
      <c r="I904" s="369"/>
      <c r="J904" s="353"/>
      <c r="K904" s="356"/>
      <c r="L904" s="356"/>
      <c r="M904" s="356"/>
      <c r="N904" s="356"/>
      <c r="O904" s="356"/>
      <c r="P904" s="356"/>
    </row>
    <row r="905" spans="1:16" ht="18.75" customHeight="1">
      <c r="A905" s="366"/>
      <c r="B905" s="367"/>
      <c r="C905" s="367"/>
      <c r="D905" s="367"/>
      <c r="E905" s="370"/>
      <c r="F905" s="367"/>
      <c r="G905" s="156"/>
      <c r="H905" s="371"/>
      <c r="I905" s="372"/>
      <c r="J905" s="355"/>
      <c r="K905" s="356"/>
      <c r="L905" s="356"/>
      <c r="M905" s="356"/>
      <c r="N905" s="356"/>
      <c r="O905" s="356"/>
      <c r="P905" s="356"/>
    </row>
    <row r="906" spans="1:16" ht="18.75" customHeight="1">
      <c r="A906" s="366"/>
      <c r="B906" s="367"/>
      <c r="C906" s="367"/>
      <c r="D906" s="367"/>
      <c r="E906" s="367"/>
      <c r="F906" s="367"/>
      <c r="G906" s="159"/>
      <c r="H906" s="368"/>
      <c r="I906" s="369"/>
      <c r="J906" s="353"/>
      <c r="K906" s="356"/>
      <c r="L906" s="356"/>
      <c r="M906" s="356"/>
      <c r="N906" s="356"/>
      <c r="O906" s="356"/>
      <c r="P906" s="356"/>
    </row>
    <row r="907" spans="1:16" ht="18.75" customHeight="1">
      <c r="A907" s="366"/>
      <c r="B907" s="367"/>
      <c r="C907" s="367"/>
      <c r="D907" s="367"/>
      <c r="E907" s="370"/>
      <c r="F907" s="367"/>
      <c r="G907" s="156"/>
      <c r="H907" s="371"/>
      <c r="I907" s="372"/>
      <c r="J907" s="355"/>
      <c r="K907" s="356"/>
      <c r="L907" s="356"/>
      <c r="M907" s="356"/>
      <c r="N907" s="356"/>
      <c r="O907" s="356"/>
      <c r="P907" s="356"/>
    </row>
    <row r="908" spans="1:16" ht="18.75" customHeight="1">
      <c r="A908" s="366"/>
      <c r="B908" s="367"/>
      <c r="C908" s="367"/>
      <c r="D908" s="367"/>
      <c r="E908" s="367"/>
      <c r="F908" s="367"/>
      <c r="G908" s="159"/>
      <c r="H908" s="368"/>
      <c r="I908" s="369"/>
      <c r="J908" s="353"/>
      <c r="K908" s="356"/>
      <c r="L908" s="356"/>
      <c r="M908" s="356"/>
      <c r="N908" s="356"/>
      <c r="O908" s="356"/>
      <c r="P908" s="356"/>
    </row>
    <row r="909" spans="1:16" ht="18.75" customHeight="1">
      <c r="A909" s="366"/>
      <c r="B909" s="367"/>
      <c r="C909" s="367"/>
      <c r="D909" s="367"/>
      <c r="E909" s="370"/>
      <c r="F909" s="367"/>
      <c r="G909" s="156"/>
      <c r="H909" s="371"/>
      <c r="I909" s="372"/>
      <c r="J909" s="355"/>
      <c r="K909" s="356"/>
      <c r="L909" s="356"/>
      <c r="M909" s="356"/>
      <c r="N909" s="356"/>
      <c r="O909" s="356"/>
      <c r="P909" s="356"/>
    </row>
    <row r="910" spans="1:16" ht="18.75" customHeight="1">
      <c r="A910" s="366"/>
      <c r="B910" s="367"/>
      <c r="C910" s="367"/>
      <c r="D910" s="367"/>
      <c r="E910" s="367"/>
      <c r="F910" s="367"/>
      <c r="G910" s="159"/>
      <c r="H910" s="368"/>
      <c r="I910" s="369"/>
      <c r="J910" s="353"/>
      <c r="K910" s="356"/>
      <c r="L910" s="356"/>
      <c r="M910" s="356"/>
      <c r="N910" s="356"/>
      <c r="O910" s="356"/>
      <c r="P910" s="356"/>
    </row>
    <row r="911" spans="1:16" ht="18.75" customHeight="1">
      <c r="A911" s="366"/>
      <c r="B911" s="367"/>
      <c r="C911" s="367"/>
      <c r="D911" s="367"/>
      <c r="E911" s="370"/>
      <c r="F911" s="367"/>
      <c r="G911" s="156"/>
      <c r="H911" s="371"/>
      <c r="I911" s="372"/>
      <c r="J911" s="355"/>
      <c r="K911" s="356"/>
      <c r="L911" s="356"/>
      <c r="M911" s="356"/>
      <c r="N911" s="356"/>
      <c r="O911" s="356"/>
      <c r="P911" s="356"/>
    </row>
    <row r="912" spans="1:16" ht="18.75" customHeight="1">
      <c r="A912" s="366"/>
      <c r="B912" s="367"/>
      <c r="C912" s="367"/>
      <c r="D912" s="367"/>
      <c r="E912" s="367"/>
      <c r="F912" s="367"/>
      <c r="G912" s="159"/>
      <c r="H912" s="368"/>
      <c r="I912" s="369"/>
      <c r="J912" s="353"/>
      <c r="K912" s="356"/>
      <c r="L912" s="356"/>
      <c r="M912" s="356"/>
      <c r="N912" s="356"/>
      <c r="O912" s="356"/>
      <c r="P912" s="356"/>
    </row>
    <row r="913" spans="1:16" ht="18.75" customHeight="1">
      <c r="A913" s="366"/>
      <c r="B913" s="367"/>
      <c r="C913" s="367"/>
      <c r="D913" s="367"/>
      <c r="E913" s="370"/>
      <c r="F913" s="367"/>
      <c r="G913" s="156"/>
      <c r="H913" s="371"/>
      <c r="I913" s="372"/>
      <c r="J913" s="355"/>
      <c r="K913" s="356"/>
      <c r="L913" s="356"/>
      <c r="M913" s="356"/>
      <c r="N913" s="356"/>
      <c r="O913" s="356"/>
      <c r="P913" s="356"/>
    </row>
    <row r="914" spans="1:16" ht="18.75" customHeight="1">
      <c r="A914" s="366"/>
      <c r="B914" s="367"/>
      <c r="C914" s="367"/>
      <c r="D914" s="367"/>
      <c r="E914" s="367"/>
      <c r="F914" s="367"/>
      <c r="G914" s="159"/>
      <c r="H914" s="368"/>
      <c r="I914" s="369"/>
      <c r="J914" s="353"/>
      <c r="K914" s="356"/>
      <c r="L914" s="356"/>
      <c r="M914" s="356"/>
      <c r="N914" s="356"/>
      <c r="O914" s="356"/>
      <c r="P914" s="356"/>
    </row>
    <row r="915" spans="1:16" ht="18.75" customHeight="1">
      <c r="A915" s="366"/>
      <c r="B915" s="367"/>
      <c r="C915" s="367"/>
      <c r="D915" s="367"/>
      <c r="E915" s="370"/>
      <c r="F915" s="367"/>
      <c r="G915" s="156"/>
      <c r="H915" s="371"/>
      <c r="I915" s="372"/>
      <c r="J915" s="355"/>
      <c r="K915" s="356"/>
      <c r="L915" s="356"/>
      <c r="M915" s="356"/>
      <c r="N915" s="356"/>
      <c r="O915" s="356"/>
      <c r="P915" s="356"/>
    </row>
    <row r="916" spans="1:16" ht="18.75" customHeight="1">
      <c r="A916" s="366"/>
      <c r="B916" s="367"/>
      <c r="C916" s="367"/>
      <c r="D916" s="367"/>
      <c r="E916" s="367"/>
      <c r="F916" s="367"/>
      <c r="G916" s="159"/>
      <c r="H916" s="368"/>
      <c r="I916" s="369"/>
      <c r="J916" s="353"/>
      <c r="K916" s="356"/>
      <c r="L916" s="356"/>
      <c r="M916" s="356"/>
      <c r="N916" s="356"/>
      <c r="O916" s="356"/>
      <c r="P916" s="356"/>
    </row>
    <row r="917" spans="1:16" ht="18.75" customHeight="1">
      <c r="A917" s="366"/>
      <c r="B917" s="367"/>
      <c r="C917" s="367"/>
      <c r="D917" s="367"/>
      <c r="E917" s="370"/>
      <c r="F917" s="367"/>
      <c r="G917" s="156"/>
      <c r="H917" s="371"/>
      <c r="I917" s="372"/>
      <c r="J917" s="355"/>
      <c r="K917" s="356"/>
      <c r="L917" s="356"/>
      <c r="M917" s="356"/>
      <c r="N917" s="356"/>
      <c r="O917" s="356"/>
      <c r="P917" s="356"/>
    </row>
    <row r="918" spans="1:16" ht="18.75" customHeight="1">
      <c r="A918" s="366"/>
      <c r="B918" s="367"/>
      <c r="C918" s="367"/>
      <c r="D918" s="367"/>
      <c r="E918" s="367"/>
      <c r="F918" s="367"/>
      <c r="G918" s="159"/>
      <c r="H918" s="368"/>
      <c r="I918" s="369"/>
      <c r="J918" s="353"/>
      <c r="K918" s="356"/>
      <c r="L918" s="356"/>
      <c r="M918" s="356"/>
      <c r="N918" s="356"/>
      <c r="O918" s="356"/>
      <c r="P918" s="356"/>
    </row>
    <row r="919" spans="1:16" ht="18.75" customHeight="1">
      <c r="A919" s="366"/>
      <c r="B919" s="367"/>
      <c r="C919" s="367"/>
      <c r="D919" s="367"/>
      <c r="E919" s="370"/>
      <c r="F919" s="367"/>
      <c r="G919" s="156"/>
      <c r="H919" s="371"/>
      <c r="I919" s="372"/>
      <c r="J919" s="355"/>
      <c r="K919" s="356"/>
      <c r="L919" s="356"/>
      <c r="M919" s="356"/>
      <c r="N919" s="356"/>
      <c r="O919" s="356"/>
      <c r="P919" s="356"/>
    </row>
    <row r="920" spans="1:16" ht="18.75" customHeight="1">
      <c r="A920" s="366"/>
      <c r="B920" s="367"/>
      <c r="C920" s="367"/>
      <c r="D920" s="367"/>
      <c r="E920" s="367"/>
      <c r="F920" s="367"/>
      <c r="G920" s="159"/>
      <c r="H920" s="368"/>
      <c r="I920" s="369"/>
      <c r="J920" s="353"/>
      <c r="K920" s="356"/>
      <c r="L920" s="356"/>
      <c r="M920" s="356"/>
      <c r="N920" s="356"/>
      <c r="O920" s="356"/>
      <c r="P920" s="356"/>
    </row>
    <row r="921" spans="1:16" ht="18.75" customHeight="1">
      <c r="A921" s="366"/>
      <c r="B921" s="367"/>
      <c r="C921" s="367"/>
      <c r="D921" s="367"/>
      <c r="E921" s="370"/>
      <c r="F921" s="367"/>
      <c r="G921" s="156"/>
      <c r="H921" s="371"/>
      <c r="I921" s="372"/>
      <c r="J921" s="355"/>
      <c r="K921" s="356"/>
      <c r="L921" s="356"/>
      <c r="M921" s="356"/>
      <c r="N921" s="356"/>
      <c r="O921" s="356"/>
      <c r="P921" s="356"/>
    </row>
    <row r="922" spans="1:16" ht="18.75" customHeight="1">
      <c r="A922" s="366"/>
      <c r="B922" s="367"/>
      <c r="C922" s="367"/>
      <c r="D922" s="367"/>
      <c r="E922" s="367"/>
      <c r="F922" s="367"/>
      <c r="G922" s="159"/>
      <c r="H922" s="368"/>
      <c r="I922" s="369"/>
      <c r="J922" s="353"/>
      <c r="K922" s="356"/>
      <c r="L922" s="356"/>
      <c r="M922" s="356"/>
      <c r="N922" s="356"/>
      <c r="O922" s="356"/>
      <c r="P922" s="356"/>
    </row>
    <row r="923" spans="1:16" ht="18.75" customHeight="1">
      <c r="A923" s="366"/>
      <c r="B923" s="367"/>
      <c r="C923" s="367"/>
      <c r="D923" s="367"/>
      <c r="E923" s="370"/>
      <c r="F923" s="367"/>
      <c r="G923" s="156"/>
      <c r="H923" s="371"/>
      <c r="I923" s="372"/>
      <c r="J923" s="355"/>
      <c r="K923" s="356"/>
      <c r="L923" s="356"/>
      <c r="M923" s="356"/>
      <c r="N923" s="356"/>
      <c r="O923" s="356"/>
      <c r="P923" s="356"/>
    </row>
    <row r="924" spans="1:16" ht="18.75" customHeight="1">
      <c r="A924" s="366"/>
      <c r="B924" s="367"/>
      <c r="C924" s="367"/>
      <c r="D924" s="367"/>
      <c r="E924" s="367"/>
      <c r="F924" s="367"/>
      <c r="G924" s="159"/>
      <c r="H924" s="368"/>
      <c r="I924" s="369"/>
      <c r="J924" s="353"/>
      <c r="K924" s="356"/>
      <c r="L924" s="356"/>
      <c r="M924" s="356"/>
      <c r="N924" s="356"/>
      <c r="O924" s="356"/>
      <c r="P924" s="356"/>
    </row>
    <row r="925" spans="1:16" ht="18.75" customHeight="1">
      <c r="A925" s="366"/>
      <c r="B925" s="367"/>
      <c r="C925" s="367"/>
      <c r="D925" s="367"/>
      <c r="E925" s="370"/>
      <c r="F925" s="367"/>
      <c r="G925" s="156"/>
      <c r="H925" s="371"/>
      <c r="I925" s="372"/>
      <c r="J925" s="355"/>
      <c r="K925" s="356"/>
      <c r="L925" s="356"/>
      <c r="M925" s="356"/>
      <c r="N925" s="356"/>
      <c r="O925" s="356"/>
      <c r="P925" s="356"/>
    </row>
    <row r="926" spans="1:16" ht="18.75" customHeight="1">
      <c r="A926" s="366"/>
      <c r="B926" s="367"/>
      <c r="C926" s="367"/>
      <c r="D926" s="367"/>
      <c r="E926" s="367"/>
      <c r="F926" s="367"/>
      <c r="G926" s="159"/>
      <c r="H926" s="368"/>
      <c r="I926" s="369"/>
      <c r="J926" s="353"/>
      <c r="K926" s="356"/>
      <c r="L926" s="356"/>
      <c r="M926" s="356"/>
      <c r="N926" s="356"/>
      <c r="O926" s="356"/>
      <c r="P926" s="356"/>
    </row>
    <row r="927" spans="1:16" ht="18.75" customHeight="1">
      <c r="A927" s="366"/>
      <c r="B927" s="367"/>
      <c r="C927" s="367"/>
      <c r="D927" s="367"/>
      <c r="E927" s="370"/>
      <c r="F927" s="367"/>
      <c r="G927" s="156"/>
      <c r="H927" s="371"/>
      <c r="I927" s="372"/>
      <c r="J927" s="355"/>
      <c r="K927" s="356"/>
      <c r="L927" s="356"/>
      <c r="M927" s="356"/>
      <c r="N927" s="356"/>
      <c r="O927" s="356"/>
      <c r="P927" s="356"/>
    </row>
    <row r="928" spans="1:16" ht="18.75" customHeight="1">
      <c r="A928" s="366"/>
      <c r="B928" s="367"/>
      <c r="C928" s="367"/>
      <c r="D928" s="367"/>
      <c r="E928" s="367"/>
      <c r="F928" s="367"/>
      <c r="G928" s="159"/>
      <c r="H928" s="368"/>
      <c r="I928" s="369"/>
      <c r="J928" s="353"/>
      <c r="K928" s="356"/>
      <c r="L928" s="356"/>
      <c r="M928" s="356"/>
      <c r="N928" s="356"/>
      <c r="O928" s="356"/>
      <c r="P928" s="356"/>
    </row>
    <row r="929" spans="1:16" ht="18.75" customHeight="1">
      <c r="A929" s="366"/>
      <c r="B929" s="367"/>
      <c r="C929" s="367"/>
      <c r="D929" s="367"/>
      <c r="E929" s="370"/>
      <c r="F929" s="367"/>
      <c r="G929" s="156"/>
      <c r="H929" s="371"/>
      <c r="I929" s="372"/>
      <c r="J929" s="355"/>
      <c r="K929" s="356"/>
      <c r="L929" s="356"/>
      <c r="M929" s="356"/>
      <c r="N929" s="356"/>
      <c r="O929" s="356"/>
      <c r="P929" s="356"/>
    </row>
    <row r="930" spans="1:16" ht="18.75" customHeight="1">
      <c r="A930" s="366"/>
      <c r="B930" s="367"/>
      <c r="C930" s="367"/>
      <c r="D930" s="367"/>
      <c r="E930" s="367"/>
      <c r="F930" s="367"/>
      <c r="G930" s="159"/>
      <c r="H930" s="368"/>
      <c r="I930" s="369"/>
      <c r="J930" s="353"/>
      <c r="K930" s="356"/>
      <c r="L930" s="356"/>
      <c r="M930" s="356"/>
      <c r="N930" s="356"/>
      <c r="O930" s="356"/>
      <c r="P930" s="356"/>
    </row>
    <row r="931" spans="1:16" ht="18.75" customHeight="1">
      <c r="A931" s="366"/>
      <c r="B931" s="367"/>
      <c r="C931" s="367"/>
      <c r="D931" s="367"/>
      <c r="E931" s="370"/>
      <c r="F931" s="367"/>
      <c r="G931" s="156"/>
      <c r="H931" s="371"/>
      <c r="I931" s="372"/>
      <c r="J931" s="355"/>
      <c r="K931" s="356"/>
      <c r="L931" s="356"/>
      <c r="M931" s="356"/>
      <c r="N931" s="356"/>
      <c r="O931" s="356"/>
      <c r="P931" s="356"/>
    </row>
    <row r="932" spans="1:16" ht="18.75" customHeight="1">
      <c r="A932" s="366"/>
      <c r="B932" s="367"/>
      <c r="C932" s="367"/>
      <c r="D932" s="367"/>
      <c r="E932" s="367"/>
      <c r="F932" s="367"/>
      <c r="G932" s="159"/>
      <c r="H932" s="368"/>
      <c r="I932" s="369"/>
      <c r="J932" s="353"/>
      <c r="K932" s="356"/>
      <c r="L932" s="356"/>
      <c r="M932" s="356"/>
      <c r="N932" s="356"/>
      <c r="O932" s="356"/>
      <c r="P932" s="356"/>
    </row>
    <row r="933" spans="1:16" ht="18.75" customHeight="1">
      <c r="A933" s="366"/>
      <c r="B933" s="367"/>
      <c r="C933" s="367"/>
      <c r="D933" s="367"/>
      <c r="E933" s="370"/>
      <c r="F933" s="367"/>
      <c r="G933" s="156"/>
      <c r="H933" s="371"/>
      <c r="I933" s="372"/>
      <c r="J933" s="355"/>
      <c r="K933" s="356"/>
      <c r="L933" s="356"/>
      <c r="M933" s="356"/>
      <c r="N933" s="356"/>
      <c r="O933" s="356"/>
      <c r="P933" s="356"/>
    </row>
    <row r="934" spans="1:16" ht="18.75" customHeight="1">
      <c r="A934" s="366"/>
      <c r="B934" s="367"/>
      <c r="C934" s="367"/>
      <c r="D934" s="367"/>
      <c r="E934" s="367"/>
      <c r="F934" s="367"/>
      <c r="G934" s="159"/>
      <c r="H934" s="368"/>
      <c r="I934" s="369"/>
      <c r="J934" s="353"/>
      <c r="K934" s="356"/>
      <c r="L934" s="356"/>
      <c r="M934" s="356"/>
      <c r="N934" s="356"/>
      <c r="O934" s="356"/>
      <c r="P934" s="356"/>
    </row>
    <row r="935" spans="1:16" ht="18.75" customHeight="1">
      <c r="A935" s="366"/>
      <c r="B935" s="367"/>
      <c r="C935" s="367"/>
      <c r="D935" s="367"/>
      <c r="E935" s="370"/>
      <c r="F935" s="367"/>
      <c r="G935" s="156"/>
      <c r="H935" s="371"/>
      <c r="I935" s="372"/>
      <c r="J935" s="355"/>
      <c r="K935" s="356"/>
      <c r="L935" s="356"/>
      <c r="M935" s="356"/>
      <c r="N935" s="356"/>
      <c r="O935" s="356"/>
      <c r="P935" s="356"/>
    </row>
    <row r="936" spans="1:16" ht="18.75" customHeight="1">
      <c r="A936" s="366"/>
      <c r="B936" s="367"/>
      <c r="C936" s="367"/>
      <c r="D936" s="367"/>
      <c r="E936" s="367"/>
      <c r="F936" s="367"/>
      <c r="G936" s="159"/>
      <c r="H936" s="368"/>
      <c r="I936" s="369"/>
      <c r="J936" s="353"/>
      <c r="K936" s="356"/>
      <c r="L936" s="356"/>
      <c r="M936" s="356"/>
      <c r="N936" s="356"/>
      <c r="O936" s="356"/>
      <c r="P936" s="356"/>
    </row>
    <row r="937" spans="1:16" ht="18.75" customHeight="1">
      <c r="A937" s="366"/>
      <c r="B937" s="367"/>
      <c r="C937" s="367"/>
      <c r="D937" s="367"/>
      <c r="E937" s="370"/>
      <c r="F937" s="367"/>
      <c r="G937" s="156"/>
      <c r="H937" s="371"/>
      <c r="I937" s="372"/>
      <c r="J937" s="355"/>
      <c r="K937" s="356"/>
      <c r="L937" s="356"/>
      <c r="M937" s="356"/>
      <c r="N937" s="356"/>
      <c r="O937" s="356"/>
      <c r="P937" s="356"/>
    </row>
    <row r="938" spans="1:16" ht="18.75" customHeight="1">
      <c r="A938" s="366"/>
      <c r="B938" s="367"/>
      <c r="C938" s="367"/>
      <c r="D938" s="367"/>
      <c r="E938" s="367"/>
      <c r="F938" s="367"/>
      <c r="G938" s="159"/>
      <c r="H938" s="368"/>
      <c r="I938" s="369"/>
      <c r="J938" s="353"/>
      <c r="K938" s="356"/>
      <c r="L938" s="356"/>
      <c r="M938" s="356"/>
      <c r="N938" s="356"/>
      <c r="O938" s="356"/>
      <c r="P938" s="356"/>
    </row>
    <row r="939" spans="1:16" ht="18.75" customHeight="1">
      <c r="A939" s="366"/>
      <c r="B939" s="367"/>
      <c r="C939" s="367"/>
      <c r="D939" s="367"/>
      <c r="E939" s="370"/>
      <c r="F939" s="367"/>
      <c r="G939" s="156"/>
      <c r="H939" s="371"/>
      <c r="I939" s="372"/>
      <c r="J939" s="355"/>
      <c r="K939" s="356"/>
      <c r="L939" s="356"/>
      <c r="M939" s="356"/>
      <c r="N939" s="356"/>
      <c r="O939" s="356"/>
      <c r="P939" s="356"/>
    </row>
    <row r="940" spans="1:16" ht="18.75" customHeight="1">
      <c r="A940" s="366"/>
      <c r="B940" s="367"/>
      <c r="C940" s="367"/>
      <c r="D940" s="367"/>
      <c r="E940" s="367"/>
      <c r="F940" s="367"/>
      <c r="G940" s="159"/>
      <c r="H940" s="368"/>
      <c r="I940" s="369"/>
      <c r="J940" s="353"/>
      <c r="K940" s="356"/>
      <c r="L940" s="356"/>
      <c r="M940" s="356"/>
      <c r="N940" s="356"/>
      <c r="O940" s="356"/>
      <c r="P940" s="356"/>
    </row>
    <row r="941" spans="1:16" ht="18.75" customHeight="1">
      <c r="A941" s="366"/>
      <c r="B941" s="367"/>
      <c r="C941" s="367"/>
      <c r="D941" s="367"/>
      <c r="E941" s="370"/>
      <c r="F941" s="367"/>
      <c r="G941" s="156"/>
      <c r="H941" s="371"/>
      <c r="I941" s="372"/>
      <c r="J941" s="355"/>
      <c r="K941" s="356"/>
      <c r="L941" s="356"/>
      <c r="M941" s="356"/>
      <c r="N941" s="356"/>
      <c r="O941" s="356"/>
      <c r="P941" s="356"/>
    </row>
    <row r="942" spans="1:16" ht="18.75" customHeight="1">
      <c r="A942" s="366"/>
      <c r="B942" s="367"/>
      <c r="C942" s="367"/>
      <c r="D942" s="367"/>
      <c r="E942" s="367"/>
      <c r="F942" s="367"/>
      <c r="G942" s="159"/>
      <c r="H942" s="368"/>
      <c r="I942" s="369"/>
      <c r="J942" s="353"/>
      <c r="K942" s="356"/>
      <c r="L942" s="356"/>
      <c r="M942" s="356"/>
      <c r="N942" s="356"/>
      <c r="O942" s="356"/>
      <c r="P942" s="356"/>
    </row>
    <row r="943" spans="1:16" ht="18.75" customHeight="1">
      <c r="A943" s="366"/>
      <c r="B943" s="367"/>
      <c r="C943" s="367"/>
      <c r="D943" s="367"/>
      <c r="E943" s="370"/>
      <c r="F943" s="367"/>
      <c r="G943" s="156"/>
      <c r="H943" s="371"/>
      <c r="I943" s="372"/>
      <c r="J943" s="355"/>
      <c r="K943" s="356"/>
      <c r="L943" s="356"/>
      <c r="M943" s="356"/>
      <c r="N943" s="356"/>
      <c r="O943" s="356"/>
      <c r="P943" s="356"/>
    </row>
    <row r="944" spans="1:16" ht="18.75" customHeight="1">
      <c r="A944" s="366"/>
      <c r="B944" s="367"/>
      <c r="C944" s="367"/>
      <c r="D944" s="367"/>
      <c r="E944" s="367"/>
      <c r="F944" s="367"/>
      <c r="G944" s="159"/>
      <c r="H944" s="368"/>
      <c r="I944" s="369"/>
      <c r="J944" s="353"/>
      <c r="K944" s="356"/>
      <c r="L944" s="356"/>
      <c r="M944" s="356"/>
      <c r="N944" s="356"/>
      <c r="O944" s="356"/>
      <c r="P944" s="356"/>
    </row>
    <row r="945" spans="1:16" ht="18.75" customHeight="1">
      <c r="A945" s="366"/>
      <c r="B945" s="367"/>
      <c r="C945" s="367"/>
      <c r="D945" s="367"/>
      <c r="E945" s="370"/>
      <c r="F945" s="367"/>
      <c r="G945" s="156"/>
      <c r="H945" s="371"/>
      <c r="I945" s="372"/>
      <c r="J945" s="355"/>
      <c r="K945" s="356"/>
      <c r="L945" s="356"/>
      <c r="M945" s="356"/>
      <c r="N945" s="356"/>
      <c r="O945" s="356"/>
      <c r="P945" s="356"/>
    </row>
    <row r="946" spans="1:16" ht="18.75" customHeight="1">
      <c r="A946" s="366"/>
      <c r="B946" s="367"/>
      <c r="C946" s="367"/>
      <c r="D946" s="367"/>
      <c r="E946" s="367"/>
      <c r="F946" s="367"/>
      <c r="G946" s="159"/>
      <c r="H946" s="368"/>
      <c r="I946" s="369"/>
      <c r="J946" s="353"/>
      <c r="K946" s="356"/>
      <c r="L946" s="356"/>
      <c r="M946" s="356"/>
      <c r="N946" s="356"/>
      <c r="O946" s="356"/>
      <c r="P946" s="356"/>
    </row>
    <row r="947" spans="1:16" ht="18.75" customHeight="1">
      <c r="A947" s="366"/>
      <c r="B947" s="367"/>
      <c r="C947" s="367"/>
      <c r="D947" s="367"/>
      <c r="E947" s="370"/>
      <c r="F947" s="367"/>
      <c r="G947" s="156"/>
      <c r="H947" s="371"/>
      <c r="I947" s="372"/>
      <c r="J947" s="355"/>
      <c r="K947" s="356"/>
      <c r="L947" s="356"/>
      <c r="M947" s="356"/>
      <c r="N947" s="356"/>
      <c r="O947" s="356"/>
      <c r="P947" s="356"/>
    </row>
    <row r="948" spans="1:16" ht="18.75" customHeight="1">
      <c r="A948" s="366"/>
      <c r="B948" s="367"/>
      <c r="C948" s="367"/>
      <c r="D948" s="367"/>
      <c r="E948" s="367"/>
      <c r="F948" s="367"/>
      <c r="G948" s="159"/>
      <c r="H948" s="368"/>
      <c r="I948" s="369"/>
      <c r="J948" s="353"/>
      <c r="K948" s="356"/>
      <c r="L948" s="356"/>
      <c r="M948" s="356"/>
      <c r="N948" s="356"/>
      <c r="O948" s="356"/>
      <c r="P948" s="356"/>
    </row>
    <row r="949" spans="1:16" ht="18.75" customHeight="1">
      <c r="A949" s="366"/>
      <c r="B949" s="367"/>
      <c r="C949" s="367"/>
      <c r="D949" s="367"/>
      <c r="E949" s="370"/>
      <c r="F949" s="367"/>
      <c r="G949" s="156"/>
      <c r="H949" s="371"/>
      <c r="I949" s="372"/>
      <c r="J949" s="355"/>
      <c r="K949" s="356"/>
      <c r="L949" s="356"/>
      <c r="M949" s="356"/>
      <c r="N949" s="356"/>
      <c r="O949" s="356"/>
      <c r="P949" s="356"/>
    </row>
    <row r="950" spans="1:16" ht="18.75" customHeight="1">
      <c r="A950" s="366"/>
      <c r="B950" s="367"/>
      <c r="C950" s="367"/>
      <c r="D950" s="367"/>
      <c r="E950" s="367"/>
      <c r="F950" s="367"/>
      <c r="G950" s="159"/>
      <c r="H950" s="368"/>
      <c r="I950" s="369"/>
      <c r="J950" s="353"/>
      <c r="K950" s="356"/>
      <c r="L950" s="356"/>
      <c r="M950" s="356"/>
      <c r="N950" s="356"/>
      <c r="O950" s="356"/>
      <c r="P950" s="356"/>
    </row>
    <row r="951" spans="1:16" ht="18.75" customHeight="1">
      <c r="A951" s="366"/>
      <c r="B951" s="367"/>
      <c r="C951" s="367"/>
      <c r="D951" s="367"/>
      <c r="E951" s="370"/>
      <c r="F951" s="367"/>
      <c r="G951" s="156"/>
      <c r="H951" s="371"/>
      <c r="I951" s="372"/>
      <c r="J951" s="355"/>
      <c r="K951" s="356"/>
      <c r="L951" s="356"/>
      <c r="M951" s="356"/>
      <c r="N951" s="356"/>
      <c r="O951" s="356"/>
      <c r="P951" s="356"/>
    </row>
    <row r="952" spans="1:16" ht="18.75" customHeight="1">
      <c r="A952" s="366"/>
      <c r="B952" s="367"/>
      <c r="C952" s="367"/>
      <c r="D952" s="367"/>
      <c r="E952" s="367"/>
      <c r="F952" s="367"/>
      <c r="G952" s="159"/>
      <c r="H952" s="368"/>
      <c r="I952" s="369"/>
      <c r="J952" s="353"/>
      <c r="K952" s="356"/>
      <c r="L952" s="356"/>
      <c r="M952" s="356"/>
      <c r="N952" s="356"/>
      <c r="O952" s="356"/>
      <c r="P952" s="356"/>
    </row>
    <row r="953" spans="1:16" ht="18.75" customHeight="1">
      <c r="A953" s="366"/>
      <c r="B953" s="367"/>
      <c r="C953" s="367"/>
      <c r="D953" s="367"/>
      <c r="E953" s="370"/>
      <c r="F953" s="367"/>
      <c r="G953" s="156"/>
      <c r="H953" s="371"/>
      <c r="I953" s="372"/>
      <c r="J953" s="355"/>
      <c r="K953" s="356"/>
      <c r="L953" s="356"/>
      <c r="M953" s="356"/>
      <c r="N953" s="356"/>
      <c r="O953" s="356"/>
      <c r="P953" s="356"/>
    </row>
    <row r="954" spans="1:16" ht="18.75" customHeight="1">
      <c r="A954" s="366"/>
      <c r="B954" s="367"/>
      <c r="C954" s="367"/>
      <c r="D954" s="367"/>
      <c r="E954" s="367"/>
      <c r="F954" s="367"/>
      <c r="G954" s="159"/>
      <c r="H954" s="368"/>
      <c r="I954" s="369"/>
      <c r="J954" s="353"/>
      <c r="K954" s="356"/>
      <c r="L954" s="356"/>
      <c r="M954" s="356"/>
      <c r="N954" s="356"/>
      <c r="O954" s="356"/>
      <c r="P954" s="356"/>
    </row>
    <row r="955" spans="1:16" ht="18.75" customHeight="1">
      <c r="A955" s="366"/>
      <c r="B955" s="367"/>
      <c r="C955" s="367"/>
      <c r="D955" s="367"/>
      <c r="E955" s="370"/>
      <c r="F955" s="367"/>
      <c r="G955" s="156"/>
      <c r="H955" s="371"/>
      <c r="I955" s="372"/>
      <c r="J955" s="355"/>
      <c r="K955" s="356"/>
      <c r="L955" s="356"/>
      <c r="M955" s="356"/>
      <c r="N955" s="356"/>
      <c r="O955" s="356"/>
      <c r="P955" s="356"/>
    </row>
    <row r="956" spans="1:16" ht="18.75" customHeight="1">
      <c r="A956" s="366"/>
      <c r="B956" s="367"/>
      <c r="C956" s="367"/>
      <c r="D956" s="367"/>
      <c r="E956" s="367"/>
      <c r="F956" s="367"/>
      <c r="G956" s="159"/>
      <c r="H956" s="368"/>
      <c r="I956" s="369"/>
      <c r="J956" s="353"/>
      <c r="K956" s="356"/>
      <c r="L956" s="356"/>
      <c r="M956" s="356"/>
      <c r="N956" s="356"/>
      <c r="O956" s="356"/>
      <c r="P956" s="356"/>
    </row>
    <row r="957" spans="1:16" ht="18.75" customHeight="1">
      <c r="A957" s="366"/>
      <c r="B957" s="367"/>
      <c r="C957" s="367"/>
      <c r="D957" s="367"/>
      <c r="E957" s="370"/>
      <c r="F957" s="367"/>
      <c r="G957" s="156"/>
      <c r="H957" s="371"/>
      <c r="I957" s="372"/>
      <c r="J957" s="355"/>
      <c r="K957" s="356"/>
      <c r="L957" s="356"/>
      <c r="M957" s="356"/>
      <c r="N957" s="356"/>
      <c r="O957" s="356"/>
      <c r="P957" s="356"/>
    </row>
    <row r="958" spans="1:16" ht="18.75" customHeight="1">
      <c r="A958" s="366"/>
      <c r="B958" s="367"/>
      <c r="C958" s="367"/>
      <c r="D958" s="367"/>
      <c r="E958" s="367"/>
      <c r="F958" s="367"/>
      <c r="G958" s="159"/>
      <c r="H958" s="368"/>
      <c r="I958" s="369"/>
      <c r="J958" s="353"/>
      <c r="K958" s="356"/>
      <c r="L958" s="356"/>
      <c r="M958" s="356"/>
      <c r="N958" s="356"/>
      <c r="O958" s="356"/>
      <c r="P958" s="356"/>
    </row>
    <row r="959" spans="1:16" ht="18.75" customHeight="1">
      <c r="A959" s="366"/>
      <c r="B959" s="367"/>
      <c r="C959" s="367"/>
      <c r="D959" s="367"/>
      <c r="E959" s="370"/>
      <c r="F959" s="367"/>
      <c r="G959" s="156"/>
      <c r="H959" s="371"/>
      <c r="I959" s="372"/>
      <c r="J959" s="355"/>
      <c r="K959" s="356"/>
      <c r="L959" s="356"/>
      <c r="M959" s="356"/>
      <c r="N959" s="356"/>
      <c r="O959" s="356"/>
      <c r="P959" s="356"/>
    </row>
    <row r="960" spans="1:16" ht="18.75" customHeight="1">
      <c r="A960" s="366"/>
      <c r="B960" s="367"/>
      <c r="C960" s="367"/>
      <c r="D960" s="367"/>
      <c r="E960" s="367"/>
      <c r="F960" s="367"/>
      <c r="G960" s="159"/>
      <c r="H960" s="368"/>
      <c r="I960" s="369"/>
      <c r="J960" s="353"/>
      <c r="K960" s="356"/>
      <c r="L960" s="356"/>
      <c r="M960" s="356"/>
      <c r="N960" s="356"/>
      <c r="O960" s="356"/>
      <c r="P960" s="356"/>
    </row>
    <row r="961" spans="1:16" ht="18.75" customHeight="1">
      <c r="A961" s="366"/>
      <c r="B961" s="367"/>
      <c r="C961" s="367"/>
      <c r="D961" s="367"/>
      <c r="E961" s="370"/>
      <c r="F961" s="367"/>
      <c r="G961" s="156"/>
      <c r="H961" s="371"/>
      <c r="I961" s="372"/>
      <c r="J961" s="355"/>
      <c r="K961" s="356"/>
      <c r="L961" s="356"/>
      <c r="M961" s="356"/>
      <c r="N961" s="356"/>
      <c r="O961" s="356"/>
      <c r="P961" s="356"/>
    </row>
    <row r="962" spans="1:16" ht="18.75" customHeight="1">
      <c r="A962" s="366"/>
      <c r="B962" s="367"/>
      <c r="C962" s="367"/>
      <c r="D962" s="367"/>
      <c r="E962" s="367"/>
      <c r="F962" s="367"/>
      <c r="G962" s="159"/>
      <c r="H962" s="368"/>
      <c r="I962" s="369"/>
      <c r="J962" s="353"/>
      <c r="K962" s="356"/>
      <c r="L962" s="356"/>
      <c r="M962" s="356"/>
      <c r="N962" s="356"/>
      <c r="O962" s="356"/>
      <c r="P962" s="356"/>
    </row>
    <row r="963" spans="1:16" ht="18.75" customHeight="1">
      <c r="A963" s="366"/>
      <c r="B963" s="367"/>
      <c r="C963" s="367"/>
      <c r="D963" s="367"/>
      <c r="E963" s="370"/>
      <c r="F963" s="367"/>
      <c r="G963" s="156"/>
      <c r="H963" s="371"/>
      <c r="I963" s="372"/>
      <c r="J963" s="355"/>
      <c r="K963" s="356"/>
      <c r="L963" s="356"/>
      <c r="M963" s="356"/>
      <c r="N963" s="356"/>
      <c r="O963" s="356"/>
      <c r="P963" s="356"/>
    </row>
    <row r="964" spans="1:16" ht="18.75" customHeight="1">
      <c r="A964" s="366"/>
      <c r="B964" s="367"/>
      <c r="C964" s="367"/>
      <c r="D964" s="367"/>
      <c r="E964" s="367"/>
      <c r="F964" s="367"/>
      <c r="G964" s="159"/>
      <c r="H964" s="368"/>
      <c r="I964" s="369"/>
      <c r="J964" s="353"/>
      <c r="K964" s="356"/>
      <c r="L964" s="356"/>
      <c r="M964" s="356"/>
      <c r="N964" s="356"/>
      <c r="O964" s="356"/>
      <c r="P964" s="356"/>
    </row>
    <row r="965" spans="1:16" ht="18.75" customHeight="1">
      <c r="A965" s="366"/>
      <c r="B965" s="367"/>
      <c r="C965" s="367"/>
      <c r="D965" s="367"/>
      <c r="E965" s="370"/>
      <c r="F965" s="367"/>
      <c r="G965" s="156"/>
      <c r="H965" s="371"/>
      <c r="I965" s="372"/>
      <c r="J965" s="355"/>
      <c r="K965" s="356"/>
      <c r="L965" s="356"/>
      <c r="M965" s="356"/>
      <c r="N965" s="356"/>
      <c r="O965" s="356"/>
      <c r="P965" s="356"/>
    </row>
    <row r="966" spans="1:16" ht="18.75" customHeight="1">
      <c r="A966" s="366"/>
      <c r="B966" s="367"/>
      <c r="C966" s="367"/>
      <c r="D966" s="367"/>
      <c r="E966" s="367"/>
      <c r="F966" s="367"/>
      <c r="G966" s="159"/>
      <c r="H966" s="368"/>
      <c r="I966" s="369"/>
      <c r="J966" s="353"/>
      <c r="K966" s="356"/>
      <c r="L966" s="356"/>
      <c r="M966" s="356"/>
      <c r="N966" s="356"/>
      <c r="O966" s="356"/>
      <c r="P966" s="356"/>
    </row>
    <row r="967" spans="1:16" ht="18.75" customHeight="1">
      <c r="A967" s="366"/>
      <c r="B967" s="367"/>
      <c r="C967" s="367"/>
      <c r="D967" s="367"/>
      <c r="E967" s="370"/>
      <c r="F967" s="367"/>
      <c r="G967" s="156"/>
      <c r="H967" s="371"/>
      <c r="I967" s="372"/>
      <c r="J967" s="355"/>
      <c r="K967" s="356"/>
      <c r="L967" s="356"/>
      <c r="M967" s="356"/>
      <c r="N967" s="356"/>
      <c r="O967" s="356"/>
      <c r="P967" s="356"/>
    </row>
    <row r="968" spans="1:16" ht="18.75" customHeight="1">
      <c r="A968" s="366"/>
      <c r="B968" s="367"/>
      <c r="C968" s="367"/>
      <c r="D968" s="367"/>
      <c r="E968" s="367"/>
      <c r="F968" s="367"/>
      <c r="G968" s="159"/>
      <c r="H968" s="368"/>
      <c r="I968" s="369"/>
      <c r="J968" s="353"/>
      <c r="K968" s="356"/>
      <c r="L968" s="356"/>
      <c r="M968" s="356"/>
      <c r="N968" s="356"/>
      <c r="O968" s="356"/>
      <c r="P968" s="356"/>
    </row>
    <row r="969" spans="1:16" ht="18.75" customHeight="1">
      <c r="A969" s="366"/>
      <c r="B969" s="367"/>
      <c r="C969" s="367"/>
      <c r="D969" s="367"/>
      <c r="E969" s="370"/>
      <c r="F969" s="367"/>
      <c r="G969" s="156"/>
      <c r="H969" s="371"/>
      <c r="I969" s="372"/>
      <c r="J969" s="355"/>
      <c r="K969" s="356"/>
      <c r="L969" s="356"/>
      <c r="M969" s="356"/>
      <c r="N969" s="356"/>
      <c r="O969" s="356"/>
      <c r="P969" s="356"/>
    </row>
    <row r="970" spans="1:16" ht="18.75" customHeight="1">
      <c r="A970" s="366"/>
      <c r="B970" s="367"/>
      <c r="C970" s="367"/>
      <c r="D970" s="367"/>
      <c r="E970" s="367"/>
      <c r="F970" s="367"/>
      <c r="G970" s="159"/>
      <c r="H970" s="368"/>
      <c r="I970" s="369"/>
      <c r="J970" s="353"/>
      <c r="K970" s="356"/>
      <c r="L970" s="356"/>
      <c r="M970" s="356"/>
      <c r="N970" s="356"/>
      <c r="O970" s="356"/>
      <c r="P970" s="356"/>
    </row>
    <row r="971" spans="1:16" ht="18.75" customHeight="1">
      <c r="A971" s="366"/>
      <c r="B971" s="367"/>
      <c r="C971" s="367"/>
      <c r="D971" s="367"/>
      <c r="E971" s="370"/>
      <c r="F971" s="367"/>
      <c r="G971" s="156"/>
      <c r="H971" s="371"/>
      <c r="I971" s="372"/>
      <c r="J971" s="355"/>
      <c r="K971" s="356"/>
      <c r="L971" s="356"/>
      <c r="M971" s="356"/>
      <c r="N971" s="356"/>
      <c r="O971" s="356"/>
      <c r="P971" s="356"/>
    </row>
    <row r="972" spans="1:16" ht="18.75" customHeight="1">
      <c r="A972" s="366"/>
      <c r="B972" s="367"/>
      <c r="C972" s="367"/>
      <c r="D972" s="367"/>
      <c r="E972" s="367"/>
      <c r="F972" s="367"/>
      <c r="G972" s="159"/>
      <c r="H972" s="368"/>
      <c r="I972" s="369"/>
      <c r="J972" s="353"/>
      <c r="K972" s="356"/>
      <c r="L972" s="356"/>
      <c r="M972" s="356"/>
      <c r="N972" s="356"/>
      <c r="O972" s="356"/>
      <c r="P972" s="356"/>
    </row>
    <row r="973" spans="1:16" ht="18.75" customHeight="1">
      <c r="A973" s="366"/>
      <c r="B973" s="367"/>
      <c r="C973" s="367"/>
      <c r="D973" s="367"/>
      <c r="E973" s="370"/>
      <c r="F973" s="367"/>
      <c r="G973" s="156"/>
      <c r="H973" s="371"/>
      <c r="I973" s="372"/>
      <c r="J973" s="355"/>
      <c r="K973" s="356"/>
      <c r="L973" s="356"/>
      <c r="M973" s="356"/>
      <c r="N973" s="356"/>
      <c r="O973" s="356"/>
      <c r="P973" s="356"/>
    </row>
    <row r="974" spans="1:16" ht="18.75" customHeight="1">
      <c r="A974" s="366"/>
      <c r="B974" s="367"/>
      <c r="C974" s="367"/>
      <c r="D974" s="367"/>
      <c r="E974" s="367"/>
      <c r="F974" s="367"/>
      <c r="G974" s="159"/>
      <c r="H974" s="368"/>
      <c r="I974" s="369"/>
      <c r="J974" s="353"/>
      <c r="K974" s="356"/>
      <c r="L974" s="356"/>
      <c r="M974" s="356"/>
      <c r="N974" s="356"/>
      <c r="O974" s="356"/>
      <c r="P974" s="356"/>
    </row>
    <row r="975" spans="1:16" ht="18.75" customHeight="1">
      <c r="A975" s="366"/>
      <c r="B975" s="367"/>
      <c r="C975" s="367"/>
      <c r="D975" s="367"/>
      <c r="E975" s="370"/>
      <c r="F975" s="367"/>
      <c r="G975" s="156"/>
      <c r="H975" s="371"/>
      <c r="I975" s="372"/>
      <c r="J975" s="355"/>
      <c r="K975" s="356"/>
      <c r="L975" s="356"/>
      <c r="M975" s="356"/>
      <c r="N975" s="356"/>
      <c r="O975" s="356"/>
      <c r="P975" s="356"/>
    </row>
    <row r="976" spans="1:16" ht="18.75" customHeight="1">
      <c r="A976" s="366"/>
      <c r="B976" s="367"/>
      <c r="C976" s="367"/>
      <c r="D976" s="367"/>
      <c r="E976" s="367"/>
      <c r="F976" s="367"/>
      <c r="G976" s="159"/>
      <c r="H976" s="368"/>
      <c r="I976" s="369"/>
      <c r="J976" s="353"/>
      <c r="K976" s="356"/>
      <c r="L976" s="356"/>
      <c r="M976" s="356"/>
      <c r="N976" s="356"/>
      <c r="O976" s="356"/>
      <c r="P976" s="356"/>
    </row>
    <row r="977" spans="1:16" ht="18.75" customHeight="1">
      <c r="A977" s="366"/>
      <c r="B977" s="367"/>
      <c r="C977" s="367"/>
      <c r="D977" s="367"/>
      <c r="E977" s="370"/>
      <c r="F977" s="367"/>
      <c r="G977" s="156"/>
      <c r="H977" s="371"/>
      <c r="I977" s="372"/>
      <c r="J977" s="355"/>
      <c r="K977" s="356"/>
      <c r="L977" s="356"/>
      <c r="M977" s="356"/>
      <c r="N977" s="356"/>
      <c r="O977" s="356"/>
      <c r="P977" s="356"/>
    </row>
    <row r="978" spans="1:16" ht="18.75" customHeight="1">
      <c r="A978" s="366"/>
      <c r="B978" s="367"/>
      <c r="C978" s="367"/>
      <c r="D978" s="367"/>
      <c r="E978" s="367"/>
      <c r="F978" s="367"/>
      <c r="G978" s="159"/>
      <c r="H978" s="368"/>
      <c r="I978" s="369"/>
      <c r="J978" s="353"/>
      <c r="K978" s="356"/>
      <c r="L978" s="356"/>
      <c r="M978" s="356"/>
      <c r="N978" s="356"/>
      <c r="O978" s="356"/>
      <c r="P978" s="356"/>
    </row>
    <row r="979" spans="1:16" ht="18.75" customHeight="1">
      <c r="A979" s="366"/>
      <c r="B979" s="367"/>
      <c r="C979" s="367"/>
      <c r="D979" s="367"/>
      <c r="E979" s="370"/>
      <c r="F979" s="367"/>
      <c r="G979" s="156"/>
      <c r="H979" s="371"/>
      <c r="I979" s="372"/>
      <c r="J979" s="355"/>
      <c r="K979" s="356"/>
      <c r="L979" s="356"/>
      <c r="M979" s="356"/>
      <c r="N979" s="356"/>
      <c r="O979" s="356"/>
      <c r="P979" s="356"/>
    </row>
    <row r="980" spans="1:16" ht="18.75" customHeight="1">
      <c r="A980" s="366"/>
      <c r="B980" s="367"/>
      <c r="C980" s="367"/>
      <c r="D980" s="367"/>
      <c r="E980" s="367"/>
      <c r="F980" s="367"/>
      <c r="G980" s="159"/>
      <c r="H980" s="368"/>
      <c r="I980" s="369"/>
      <c r="J980" s="353"/>
      <c r="K980" s="356"/>
      <c r="L980" s="356"/>
      <c r="M980" s="356"/>
      <c r="N980" s="356"/>
      <c r="O980" s="356"/>
      <c r="P980" s="356"/>
    </row>
    <row r="981" spans="1:16" ht="18.75" customHeight="1">
      <c r="A981" s="366"/>
      <c r="B981" s="367"/>
      <c r="C981" s="367"/>
      <c r="D981" s="367"/>
      <c r="E981" s="370"/>
      <c r="F981" s="367"/>
      <c r="G981" s="156"/>
      <c r="H981" s="371"/>
      <c r="I981" s="372"/>
      <c r="J981" s="355"/>
      <c r="K981" s="356"/>
      <c r="L981" s="356"/>
      <c r="M981" s="356"/>
      <c r="N981" s="356"/>
      <c r="O981" s="356"/>
      <c r="P981" s="356"/>
    </row>
    <row r="982" spans="1:16" ht="18.75" customHeight="1">
      <c r="A982" s="366"/>
      <c r="B982" s="367"/>
      <c r="C982" s="367"/>
      <c r="D982" s="367"/>
      <c r="E982" s="367"/>
      <c r="F982" s="367"/>
      <c r="G982" s="159"/>
      <c r="H982" s="368"/>
      <c r="I982" s="369"/>
      <c r="J982" s="353"/>
      <c r="K982" s="356"/>
      <c r="L982" s="356"/>
      <c r="M982" s="356"/>
      <c r="N982" s="356"/>
      <c r="O982" s="356"/>
      <c r="P982" s="356"/>
    </row>
    <row r="983" spans="1:16" ht="18.75" customHeight="1">
      <c r="A983" s="366"/>
      <c r="B983" s="367"/>
      <c r="C983" s="367"/>
      <c r="D983" s="367"/>
      <c r="E983" s="370"/>
      <c r="F983" s="367"/>
      <c r="G983" s="156"/>
      <c r="H983" s="371"/>
      <c r="I983" s="372"/>
      <c r="J983" s="355"/>
      <c r="K983" s="356"/>
      <c r="L983" s="356"/>
      <c r="M983" s="356"/>
      <c r="N983" s="356"/>
      <c r="O983" s="356"/>
      <c r="P983" s="356"/>
    </row>
    <row r="984" spans="1:16" ht="18.75" customHeight="1">
      <c r="A984" s="366"/>
      <c r="B984" s="367"/>
      <c r="C984" s="367"/>
      <c r="D984" s="367"/>
      <c r="E984" s="367"/>
      <c r="F984" s="367"/>
      <c r="G984" s="159"/>
      <c r="H984" s="368"/>
      <c r="I984" s="369"/>
      <c r="J984" s="353"/>
      <c r="K984" s="356"/>
      <c r="L984" s="356"/>
      <c r="M984" s="356"/>
      <c r="N984" s="356"/>
      <c r="O984" s="356"/>
      <c r="P984" s="356"/>
    </row>
    <row r="985" spans="1:16" ht="18.75" customHeight="1">
      <c r="A985" s="366"/>
      <c r="B985" s="367"/>
      <c r="C985" s="367"/>
      <c r="D985" s="367"/>
      <c r="E985" s="370"/>
      <c r="F985" s="367"/>
      <c r="G985" s="156"/>
      <c r="H985" s="371"/>
      <c r="I985" s="372"/>
      <c r="J985" s="355"/>
      <c r="K985" s="356"/>
      <c r="L985" s="356"/>
      <c r="M985" s="356"/>
      <c r="N985" s="356"/>
      <c r="O985" s="356"/>
      <c r="P985" s="356"/>
    </row>
    <row r="986" spans="1:16" ht="18.75" customHeight="1">
      <c r="A986" s="366"/>
      <c r="B986" s="367"/>
      <c r="C986" s="367"/>
      <c r="D986" s="367"/>
      <c r="E986" s="367"/>
      <c r="F986" s="367"/>
      <c r="G986" s="159"/>
      <c r="H986" s="368"/>
      <c r="I986" s="369"/>
      <c r="J986" s="353"/>
      <c r="K986" s="356"/>
      <c r="L986" s="356"/>
      <c r="M986" s="356"/>
      <c r="N986" s="356"/>
      <c r="O986" s="356"/>
      <c r="P986" s="356"/>
    </row>
    <row r="987" spans="1:16" ht="18.75" customHeight="1">
      <c r="A987" s="366"/>
      <c r="B987" s="367"/>
      <c r="C987" s="367"/>
      <c r="D987" s="367"/>
      <c r="E987" s="370"/>
      <c r="F987" s="367"/>
      <c r="G987" s="156"/>
      <c r="H987" s="371"/>
      <c r="I987" s="372"/>
      <c r="J987" s="355"/>
      <c r="K987" s="356"/>
      <c r="L987" s="356"/>
      <c r="M987" s="356"/>
      <c r="N987" s="356"/>
      <c r="O987" s="356"/>
      <c r="P987" s="356"/>
    </row>
    <row r="988" spans="1:16" ht="18.75" customHeight="1">
      <c r="A988" s="366"/>
      <c r="B988" s="367"/>
      <c r="C988" s="367"/>
      <c r="D988" s="367"/>
      <c r="E988" s="367"/>
      <c r="F988" s="367"/>
      <c r="G988" s="159"/>
      <c r="H988" s="368"/>
      <c r="I988" s="369"/>
      <c r="J988" s="353"/>
      <c r="K988" s="356"/>
      <c r="L988" s="356"/>
      <c r="M988" s="356"/>
      <c r="N988" s="356"/>
      <c r="O988" s="356"/>
      <c r="P988" s="356"/>
    </row>
    <row r="989" spans="1:16" ht="18.75" customHeight="1">
      <c r="A989" s="366"/>
      <c r="B989" s="367"/>
      <c r="C989" s="367"/>
      <c r="D989" s="367"/>
      <c r="E989" s="370"/>
      <c r="F989" s="367"/>
      <c r="G989" s="156"/>
      <c r="H989" s="371"/>
      <c r="I989" s="372"/>
      <c r="J989" s="355"/>
      <c r="K989" s="356"/>
      <c r="L989" s="356"/>
      <c r="M989" s="356"/>
      <c r="N989" s="356"/>
      <c r="O989" s="356"/>
      <c r="P989" s="356"/>
    </row>
    <row r="990" spans="1:16" ht="18.75" customHeight="1">
      <c r="A990" s="366"/>
      <c r="B990" s="367"/>
      <c r="C990" s="367"/>
      <c r="D990" s="367"/>
      <c r="E990" s="367"/>
      <c r="F990" s="367"/>
      <c r="G990" s="159"/>
      <c r="H990" s="368"/>
      <c r="I990" s="369"/>
      <c r="J990" s="353"/>
      <c r="K990" s="356"/>
      <c r="L990" s="356"/>
      <c r="M990" s="356"/>
      <c r="N990" s="356"/>
      <c r="O990" s="356"/>
      <c r="P990" s="356"/>
    </row>
    <row r="991" spans="1:16" ht="18.75" customHeight="1">
      <c r="A991" s="366"/>
      <c r="B991" s="367"/>
      <c r="C991" s="367"/>
      <c r="D991" s="367"/>
      <c r="E991" s="370"/>
      <c r="F991" s="367"/>
      <c r="G991" s="156"/>
      <c r="H991" s="371"/>
      <c r="I991" s="372"/>
      <c r="J991" s="355"/>
      <c r="K991" s="356"/>
      <c r="L991" s="356"/>
      <c r="M991" s="356"/>
      <c r="N991" s="356"/>
      <c r="O991" s="356"/>
      <c r="P991" s="356"/>
    </row>
    <row r="992" spans="1:16" ht="18.75" customHeight="1">
      <c r="A992" s="366"/>
      <c r="B992" s="367"/>
      <c r="C992" s="367"/>
      <c r="D992" s="367"/>
      <c r="E992" s="367"/>
      <c r="F992" s="367"/>
      <c r="G992" s="159"/>
      <c r="H992" s="368"/>
      <c r="I992" s="369"/>
      <c r="J992" s="353"/>
      <c r="K992" s="356"/>
      <c r="L992" s="356"/>
      <c r="M992" s="356"/>
      <c r="N992" s="356"/>
      <c r="O992" s="356"/>
      <c r="P992" s="356"/>
    </row>
    <row r="993" spans="1:16" ht="18.75" customHeight="1">
      <c r="A993" s="366"/>
      <c r="B993" s="367"/>
      <c r="C993" s="367"/>
      <c r="D993" s="367"/>
      <c r="E993" s="370"/>
      <c r="F993" s="367"/>
      <c r="G993" s="156"/>
      <c r="H993" s="371"/>
      <c r="I993" s="372"/>
      <c r="J993" s="355"/>
      <c r="K993" s="356"/>
      <c r="L993" s="356"/>
      <c r="M993" s="356"/>
      <c r="N993" s="356"/>
      <c r="O993" s="356"/>
      <c r="P993" s="356"/>
    </row>
    <row r="994" spans="1:16" ht="18.75" customHeight="1">
      <c r="A994" s="366"/>
      <c r="B994" s="367"/>
      <c r="C994" s="367"/>
      <c r="D994" s="367"/>
      <c r="E994" s="367"/>
      <c r="F994" s="367"/>
      <c r="G994" s="159"/>
      <c r="H994" s="368"/>
      <c r="I994" s="369"/>
      <c r="J994" s="353"/>
      <c r="K994" s="356"/>
      <c r="L994" s="356"/>
      <c r="M994" s="356"/>
      <c r="N994" s="356"/>
      <c r="O994" s="356"/>
      <c r="P994" s="356"/>
    </row>
    <row r="995" spans="1:16" ht="18.75" customHeight="1">
      <c r="A995" s="366"/>
      <c r="B995" s="367"/>
      <c r="C995" s="367"/>
      <c r="D995" s="367"/>
      <c r="E995" s="370"/>
      <c r="F995" s="367"/>
      <c r="G995" s="156"/>
      <c r="H995" s="371"/>
      <c r="I995" s="372"/>
      <c r="J995" s="355"/>
      <c r="K995" s="356"/>
      <c r="L995" s="356"/>
      <c r="M995" s="356"/>
      <c r="N995" s="356"/>
      <c r="O995" s="356"/>
      <c r="P995" s="356"/>
    </row>
    <row r="996" spans="1:16" ht="18.75" customHeight="1">
      <c r="A996" s="366"/>
      <c r="B996" s="367"/>
      <c r="C996" s="367"/>
      <c r="D996" s="367"/>
      <c r="E996" s="367"/>
      <c r="F996" s="367"/>
      <c r="G996" s="159"/>
      <c r="H996" s="368"/>
      <c r="I996" s="369"/>
      <c r="J996" s="353"/>
      <c r="K996" s="356"/>
      <c r="L996" s="356"/>
      <c r="M996" s="356"/>
      <c r="N996" s="356"/>
      <c r="O996" s="356"/>
      <c r="P996" s="356"/>
    </row>
    <row r="997" spans="1:16" ht="18.75" customHeight="1">
      <c r="A997" s="366"/>
      <c r="B997" s="367"/>
      <c r="C997" s="367"/>
      <c r="D997" s="367"/>
      <c r="E997" s="370"/>
      <c r="F997" s="367"/>
      <c r="G997" s="156"/>
      <c r="H997" s="371"/>
      <c r="I997" s="372"/>
      <c r="J997" s="355"/>
      <c r="K997" s="356"/>
      <c r="L997" s="356"/>
      <c r="M997" s="356"/>
      <c r="N997" s="356"/>
      <c r="O997" s="356"/>
      <c r="P997" s="356"/>
    </row>
    <row r="998" spans="1:16" ht="18.75" customHeight="1">
      <c r="A998" s="366"/>
      <c r="B998" s="367"/>
      <c r="C998" s="367"/>
      <c r="D998" s="367"/>
      <c r="E998" s="367"/>
      <c r="F998" s="367"/>
      <c r="G998" s="159"/>
      <c r="H998" s="368"/>
      <c r="I998" s="369"/>
      <c r="J998" s="353"/>
      <c r="K998" s="356"/>
      <c r="L998" s="356"/>
      <c r="M998" s="356"/>
      <c r="N998" s="356"/>
      <c r="O998" s="356"/>
      <c r="P998" s="356"/>
    </row>
    <row r="999" spans="1:16" ht="18.75" customHeight="1">
      <c r="A999" s="366"/>
      <c r="B999" s="367"/>
      <c r="C999" s="367"/>
      <c r="D999" s="367"/>
      <c r="E999" s="370"/>
      <c r="F999" s="367"/>
      <c r="G999" s="156"/>
      <c r="H999" s="371"/>
      <c r="I999" s="372"/>
      <c r="J999" s="355"/>
      <c r="K999" s="356"/>
      <c r="L999" s="356"/>
      <c r="M999" s="356"/>
      <c r="N999" s="356"/>
      <c r="O999" s="356"/>
      <c r="P999" s="356"/>
    </row>
    <row r="1000" spans="1:16" ht="18.75" customHeight="1">
      <c r="A1000" s="366"/>
      <c r="B1000" s="367"/>
      <c r="C1000" s="367"/>
      <c r="D1000" s="367"/>
      <c r="E1000" s="367"/>
      <c r="F1000" s="367"/>
      <c r="G1000" s="159"/>
      <c r="H1000" s="368"/>
      <c r="I1000" s="369"/>
      <c r="J1000" s="353"/>
      <c r="K1000" s="356"/>
      <c r="L1000" s="356"/>
      <c r="M1000" s="356"/>
      <c r="N1000" s="356"/>
      <c r="O1000" s="356"/>
      <c r="P1000" s="356"/>
    </row>
    <row r="1001" spans="1:16" ht="18.75" customHeight="1">
      <c r="A1001" s="366"/>
      <c r="B1001" s="367"/>
      <c r="C1001" s="367"/>
      <c r="D1001" s="367"/>
      <c r="E1001" s="370"/>
      <c r="F1001" s="367"/>
      <c r="G1001" s="156"/>
      <c r="H1001" s="371"/>
      <c r="I1001" s="372"/>
      <c r="J1001" s="355"/>
      <c r="K1001" s="356"/>
      <c r="L1001" s="356"/>
      <c r="M1001" s="356"/>
      <c r="N1001" s="356"/>
      <c r="O1001" s="356"/>
      <c r="P1001" s="356"/>
    </row>
    <row r="1002" spans="1:16" ht="18.75" customHeight="1">
      <c r="A1002" s="366"/>
      <c r="B1002" s="367"/>
      <c r="C1002" s="367"/>
      <c r="D1002" s="367"/>
      <c r="E1002" s="367"/>
      <c r="F1002" s="367"/>
      <c r="G1002" s="159"/>
      <c r="H1002" s="368"/>
      <c r="I1002" s="369"/>
      <c r="J1002" s="353"/>
      <c r="K1002" s="356"/>
      <c r="L1002" s="356"/>
      <c r="M1002" s="356"/>
      <c r="N1002" s="356"/>
      <c r="O1002" s="356"/>
      <c r="P1002" s="356"/>
    </row>
    <row r="1003" spans="1:16" ht="18.75" customHeight="1">
      <c r="A1003" s="366"/>
      <c r="B1003" s="367"/>
      <c r="C1003" s="367"/>
      <c r="D1003" s="367"/>
      <c r="E1003" s="370"/>
      <c r="F1003" s="367"/>
      <c r="G1003" s="156"/>
      <c r="H1003" s="371"/>
      <c r="I1003" s="372"/>
      <c r="J1003" s="355"/>
      <c r="K1003" s="356"/>
      <c r="L1003" s="356"/>
      <c r="M1003" s="356"/>
      <c r="N1003" s="356"/>
      <c r="O1003" s="356"/>
      <c r="P1003" s="356"/>
    </row>
    <row r="1004" spans="1:16" ht="18.75" customHeight="1">
      <c r="A1004" s="366"/>
      <c r="B1004" s="367"/>
      <c r="C1004" s="367"/>
      <c r="D1004" s="367"/>
      <c r="E1004" s="367"/>
      <c r="F1004" s="367"/>
      <c r="G1004" s="159"/>
      <c r="H1004" s="368"/>
      <c r="I1004" s="369"/>
      <c r="J1004" s="353"/>
      <c r="K1004" s="356"/>
      <c r="L1004" s="356"/>
      <c r="M1004" s="356"/>
      <c r="N1004" s="356"/>
      <c r="O1004" s="356"/>
      <c r="P1004" s="356"/>
    </row>
    <row r="1005" spans="1:16" ht="18.75" customHeight="1">
      <c r="A1005" s="366"/>
      <c r="B1005" s="367"/>
      <c r="C1005" s="367"/>
      <c r="D1005" s="367"/>
      <c r="E1005" s="370"/>
      <c r="F1005" s="367"/>
      <c r="G1005" s="156"/>
      <c r="H1005" s="371"/>
      <c r="I1005" s="372"/>
      <c r="J1005" s="355"/>
      <c r="K1005" s="356"/>
      <c r="L1005" s="356"/>
      <c r="M1005" s="356"/>
      <c r="N1005" s="356"/>
      <c r="O1005" s="356"/>
      <c r="P1005" s="356"/>
    </row>
    <row r="1006" spans="1:16" ht="18.75" customHeight="1">
      <c r="A1006" s="366"/>
      <c r="B1006" s="367"/>
      <c r="C1006" s="367"/>
      <c r="D1006" s="367"/>
      <c r="E1006" s="367"/>
      <c r="F1006" s="367"/>
      <c r="G1006" s="159"/>
      <c r="H1006" s="368"/>
      <c r="I1006" s="369"/>
      <c r="J1006" s="353"/>
      <c r="K1006" s="356"/>
      <c r="L1006" s="356"/>
      <c r="M1006" s="356"/>
      <c r="N1006" s="356"/>
      <c r="O1006" s="356"/>
      <c r="P1006" s="356"/>
    </row>
    <row r="1007" spans="1:16" ht="18.75" customHeight="1">
      <c r="A1007" s="366"/>
      <c r="B1007" s="367"/>
      <c r="C1007" s="367"/>
      <c r="D1007" s="367"/>
      <c r="E1007" s="370"/>
      <c r="F1007" s="367"/>
      <c r="G1007" s="156"/>
      <c r="H1007" s="371"/>
      <c r="I1007" s="372"/>
      <c r="J1007" s="355"/>
      <c r="K1007" s="356"/>
      <c r="L1007" s="356"/>
      <c r="M1007" s="356"/>
      <c r="N1007" s="356"/>
      <c r="O1007" s="356"/>
      <c r="P1007" s="356"/>
    </row>
    <row r="1008" spans="1:16" ht="18.75" customHeight="1">
      <c r="A1008" s="366"/>
      <c r="B1008" s="367"/>
      <c r="C1008" s="367"/>
      <c r="D1008" s="367"/>
      <c r="E1008" s="367"/>
      <c r="F1008" s="367"/>
      <c r="G1008" s="159"/>
      <c r="H1008" s="368"/>
      <c r="I1008" s="369"/>
      <c r="J1008" s="353"/>
      <c r="K1008" s="356"/>
      <c r="L1008" s="356"/>
      <c r="M1008" s="356"/>
      <c r="N1008" s="356"/>
      <c r="O1008" s="356"/>
      <c r="P1008" s="356"/>
    </row>
    <row r="1009" spans="1:16" ht="18.75" customHeight="1">
      <c r="A1009" s="366"/>
      <c r="B1009" s="367"/>
      <c r="C1009" s="367"/>
      <c r="D1009" s="367"/>
      <c r="E1009" s="370"/>
      <c r="F1009" s="367"/>
      <c r="G1009" s="156"/>
      <c r="H1009" s="371"/>
      <c r="I1009" s="372"/>
      <c r="J1009" s="355"/>
      <c r="K1009" s="356"/>
      <c r="L1009" s="356"/>
      <c r="M1009" s="356"/>
      <c r="N1009" s="356"/>
      <c r="O1009" s="356"/>
      <c r="P1009" s="356"/>
    </row>
    <row r="1010" spans="1:16" ht="18.75" customHeight="1">
      <c r="A1010" s="366"/>
      <c r="B1010" s="367"/>
      <c r="C1010" s="367"/>
      <c r="D1010" s="367"/>
      <c r="E1010" s="367"/>
      <c r="F1010" s="367"/>
      <c r="G1010" s="159"/>
      <c r="H1010" s="368"/>
      <c r="I1010" s="369"/>
      <c r="J1010" s="353"/>
      <c r="K1010" s="356"/>
      <c r="L1010" s="356"/>
      <c r="M1010" s="356"/>
      <c r="N1010" s="356"/>
      <c r="O1010" s="356"/>
      <c r="P1010" s="356"/>
    </row>
    <row r="1011" spans="1:16" ht="18.75" customHeight="1">
      <c r="A1011" s="366"/>
      <c r="B1011" s="367"/>
      <c r="C1011" s="367"/>
      <c r="D1011" s="367"/>
      <c r="E1011" s="370"/>
      <c r="F1011" s="367"/>
      <c r="G1011" s="156"/>
      <c r="H1011" s="371"/>
      <c r="I1011" s="372"/>
      <c r="J1011" s="355"/>
      <c r="K1011" s="356"/>
      <c r="L1011" s="356"/>
      <c r="M1011" s="356"/>
      <c r="N1011" s="356"/>
      <c r="O1011" s="356"/>
      <c r="P1011" s="356"/>
    </row>
    <row r="1012" spans="1:16" ht="18.75" customHeight="1">
      <c r="A1012" s="366"/>
      <c r="B1012" s="367"/>
      <c r="C1012" s="367"/>
      <c r="D1012" s="367"/>
      <c r="E1012" s="367"/>
      <c r="F1012" s="367"/>
      <c r="G1012" s="159"/>
      <c r="H1012" s="368"/>
      <c r="I1012" s="369"/>
      <c r="J1012" s="353"/>
      <c r="K1012" s="356"/>
      <c r="L1012" s="356"/>
      <c r="M1012" s="356"/>
      <c r="N1012" s="356"/>
      <c r="O1012" s="356"/>
      <c r="P1012" s="356"/>
    </row>
    <row r="1013" spans="1:16" ht="18.75" customHeight="1">
      <c r="A1013" s="366"/>
      <c r="B1013" s="367"/>
      <c r="C1013" s="367"/>
      <c r="D1013" s="367"/>
      <c r="E1013" s="370"/>
      <c r="F1013" s="367"/>
      <c r="G1013" s="156"/>
      <c r="H1013" s="371"/>
      <c r="I1013" s="372"/>
      <c r="J1013" s="355"/>
      <c r="K1013" s="356"/>
      <c r="L1013" s="356"/>
      <c r="M1013" s="356"/>
      <c r="N1013" s="356"/>
      <c r="O1013" s="356"/>
      <c r="P1013" s="356"/>
    </row>
    <row r="1014" spans="1:16" ht="18.75" customHeight="1">
      <c r="A1014" s="366"/>
      <c r="B1014" s="367"/>
      <c r="C1014" s="367"/>
      <c r="D1014" s="367"/>
      <c r="E1014" s="367"/>
      <c r="F1014" s="367"/>
      <c r="G1014" s="159"/>
      <c r="H1014" s="368"/>
      <c r="I1014" s="369"/>
      <c r="J1014" s="353"/>
      <c r="K1014" s="356"/>
      <c r="L1014" s="356"/>
      <c r="M1014" s="356"/>
      <c r="N1014" s="356"/>
      <c r="O1014" s="356"/>
      <c r="P1014" s="356"/>
    </row>
    <row r="1015" spans="1:16" ht="18.75" customHeight="1">
      <c r="A1015" s="366"/>
      <c r="B1015" s="367"/>
      <c r="C1015" s="367"/>
      <c r="D1015" s="367"/>
      <c r="E1015" s="370"/>
      <c r="F1015" s="367"/>
      <c r="G1015" s="156"/>
      <c r="H1015" s="371"/>
      <c r="I1015" s="372"/>
      <c r="J1015" s="355"/>
      <c r="K1015" s="356"/>
      <c r="L1015" s="356"/>
      <c r="M1015" s="356"/>
      <c r="N1015" s="356"/>
      <c r="O1015" s="356"/>
      <c r="P1015" s="356"/>
    </row>
    <row r="1016" spans="1:16" ht="18.75" customHeight="1">
      <c r="A1016" s="366"/>
      <c r="B1016" s="367"/>
      <c r="C1016" s="367"/>
      <c r="D1016" s="367"/>
      <c r="E1016" s="367"/>
      <c r="F1016" s="367"/>
      <c r="G1016" s="159"/>
      <c r="H1016" s="368"/>
      <c r="I1016" s="369"/>
      <c r="J1016" s="353"/>
      <c r="K1016" s="356"/>
      <c r="L1016" s="356"/>
      <c r="M1016" s="356"/>
      <c r="N1016" s="356"/>
      <c r="O1016" s="356"/>
      <c r="P1016" s="356"/>
    </row>
    <row r="1017" spans="1:16" ht="18.75" customHeight="1">
      <c r="A1017" s="366"/>
      <c r="B1017" s="367"/>
      <c r="C1017" s="367"/>
      <c r="D1017" s="367"/>
      <c r="E1017" s="370"/>
      <c r="F1017" s="367"/>
      <c r="G1017" s="156"/>
      <c r="H1017" s="371"/>
      <c r="I1017" s="372"/>
      <c r="J1017" s="355"/>
      <c r="K1017" s="356"/>
      <c r="L1017" s="356"/>
      <c r="M1017" s="356"/>
      <c r="N1017" s="356"/>
      <c r="O1017" s="356"/>
      <c r="P1017" s="356"/>
    </row>
    <row r="1018" spans="1:16" ht="18.75" customHeight="1">
      <c r="A1018" s="366"/>
      <c r="B1018" s="367"/>
      <c r="C1018" s="367"/>
      <c r="D1018" s="367"/>
      <c r="E1018" s="367"/>
      <c r="F1018" s="367"/>
      <c r="G1018" s="159"/>
      <c r="H1018" s="368"/>
      <c r="I1018" s="369"/>
      <c r="J1018" s="353"/>
      <c r="K1018" s="356"/>
      <c r="L1018" s="356"/>
      <c r="M1018" s="356"/>
      <c r="N1018" s="356"/>
      <c r="O1018" s="356"/>
      <c r="P1018" s="356"/>
    </row>
    <row r="1019" spans="1:16" ht="18.75" customHeight="1">
      <c r="A1019" s="366"/>
      <c r="B1019" s="367"/>
      <c r="C1019" s="367"/>
      <c r="D1019" s="367"/>
      <c r="E1019" s="370"/>
      <c r="F1019" s="367"/>
      <c r="G1019" s="156"/>
      <c r="H1019" s="371"/>
      <c r="I1019" s="372"/>
      <c r="J1019" s="355"/>
      <c r="K1019" s="356"/>
      <c r="L1019" s="356"/>
      <c r="M1019" s="356"/>
      <c r="N1019" s="356"/>
      <c r="O1019" s="356"/>
      <c r="P1019" s="356"/>
    </row>
    <row r="1020" spans="1:16" ht="18.75" customHeight="1">
      <c r="A1020" s="366"/>
      <c r="B1020" s="367"/>
      <c r="C1020" s="367"/>
      <c r="D1020" s="367"/>
      <c r="E1020" s="367"/>
      <c r="F1020" s="367"/>
      <c r="G1020" s="159"/>
      <c r="H1020" s="368"/>
      <c r="I1020" s="369"/>
      <c r="J1020" s="353"/>
      <c r="K1020" s="356"/>
      <c r="L1020" s="356"/>
      <c r="M1020" s="356"/>
      <c r="N1020" s="356"/>
      <c r="O1020" s="356"/>
      <c r="P1020" s="356"/>
    </row>
    <row r="1021" spans="1:16" ht="18.75" customHeight="1">
      <c r="A1021" s="366"/>
      <c r="B1021" s="367"/>
      <c r="C1021" s="367"/>
      <c r="D1021" s="367"/>
      <c r="E1021" s="370"/>
      <c r="F1021" s="367"/>
      <c r="G1021" s="156"/>
      <c r="H1021" s="371"/>
      <c r="I1021" s="372"/>
      <c r="J1021" s="355"/>
      <c r="K1021" s="356"/>
      <c r="L1021" s="356"/>
      <c r="M1021" s="356"/>
      <c r="N1021" s="356"/>
      <c r="O1021" s="356"/>
      <c r="P1021" s="356"/>
    </row>
    <row r="1022" spans="1:16" ht="18.75" customHeight="1">
      <c r="A1022" s="366"/>
      <c r="B1022" s="367"/>
      <c r="C1022" s="367"/>
      <c r="D1022" s="367"/>
      <c r="E1022" s="367"/>
      <c r="F1022" s="367"/>
      <c r="G1022" s="159"/>
      <c r="H1022" s="368"/>
      <c r="I1022" s="369"/>
      <c r="J1022" s="353"/>
      <c r="K1022" s="356"/>
      <c r="L1022" s="356"/>
      <c r="M1022" s="356"/>
      <c r="N1022" s="356"/>
      <c r="O1022" s="356"/>
      <c r="P1022" s="356"/>
    </row>
    <row r="1023" spans="1:16" ht="18.75" customHeight="1">
      <c r="A1023" s="366"/>
      <c r="B1023" s="367"/>
      <c r="C1023" s="367"/>
      <c r="D1023" s="367"/>
      <c r="E1023" s="370"/>
      <c r="F1023" s="367"/>
      <c r="G1023" s="156"/>
      <c r="H1023" s="371"/>
      <c r="I1023" s="372"/>
      <c r="J1023" s="355"/>
      <c r="K1023" s="356"/>
      <c r="L1023" s="356"/>
      <c r="M1023" s="356"/>
      <c r="N1023" s="356"/>
      <c r="O1023" s="356"/>
      <c r="P1023" s="356"/>
    </row>
    <row r="1024" spans="1:16" ht="18.75" customHeight="1">
      <c r="A1024" s="366"/>
      <c r="B1024" s="367"/>
      <c r="C1024" s="367"/>
      <c r="D1024" s="367"/>
      <c r="E1024" s="367"/>
      <c r="F1024" s="367"/>
      <c r="G1024" s="159"/>
      <c r="H1024" s="368"/>
      <c r="I1024" s="369"/>
      <c r="J1024" s="353"/>
      <c r="K1024" s="356"/>
      <c r="L1024" s="356"/>
      <c r="M1024" s="356"/>
      <c r="N1024" s="356"/>
      <c r="O1024" s="356"/>
      <c r="P1024" s="356"/>
    </row>
    <row r="1025" spans="1:16" ht="18.75" customHeight="1">
      <c r="A1025" s="366"/>
      <c r="B1025" s="367"/>
      <c r="C1025" s="367"/>
      <c r="D1025" s="367"/>
      <c r="E1025" s="370"/>
      <c r="F1025" s="367"/>
      <c r="G1025" s="156"/>
      <c r="H1025" s="371"/>
      <c r="I1025" s="372"/>
      <c r="J1025" s="355"/>
      <c r="K1025" s="356"/>
      <c r="L1025" s="356"/>
      <c r="M1025" s="356"/>
      <c r="N1025" s="356"/>
      <c r="O1025" s="356"/>
      <c r="P1025" s="356"/>
    </row>
    <row r="1026" spans="1:16" ht="18.75" customHeight="1">
      <c r="A1026" s="366"/>
      <c r="B1026" s="367"/>
      <c r="C1026" s="367"/>
      <c r="D1026" s="367"/>
      <c r="E1026" s="367"/>
      <c r="F1026" s="367"/>
      <c r="G1026" s="159"/>
      <c r="H1026" s="368"/>
      <c r="I1026" s="369"/>
      <c r="J1026" s="353"/>
      <c r="K1026" s="356"/>
      <c r="L1026" s="356"/>
      <c r="M1026" s="356"/>
      <c r="N1026" s="356"/>
      <c r="O1026" s="356"/>
      <c r="P1026" s="356"/>
    </row>
    <row r="1027" spans="1:16" ht="18.75" customHeight="1">
      <c r="A1027" s="366"/>
      <c r="B1027" s="367"/>
      <c r="C1027" s="367"/>
      <c r="D1027" s="367"/>
      <c r="E1027" s="370"/>
      <c r="F1027" s="367"/>
      <c r="G1027" s="156"/>
      <c r="H1027" s="371"/>
      <c r="I1027" s="372"/>
      <c r="J1027" s="355"/>
      <c r="K1027" s="356"/>
      <c r="L1027" s="356"/>
      <c r="M1027" s="356"/>
      <c r="N1027" s="356"/>
      <c r="O1027" s="356"/>
      <c r="P1027" s="356"/>
    </row>
    <row r="1028" spans="1:16" ht="18.75" customHeight="1">
      <c r="A1028" s="366"/>
      <c r="B1028" s="367"/>
      <c r="C1028" s="367"/>
      <c r="D1028" s="367"/>
      <c r="E1028" s="367"/>
      <c r="F1028" s="367"/>
      <c r="G1028" s="159"/>
      <c r="H1028" s="368"/>
      <c r="I1028" s="369"/>
      <c r="J1028" s="353"/>
      <c r="K1028" s="356"/>
      <c r="L1028" s="356"/>
      <c r="M1028" s="356"/>
      <c r="N1028" s="356"/>
      <c r="O1028" s="356"/>
      <c r="P1028" s="356"/>
    </row>
    <row r="1029" spans="1:16" ht="18.75" customHeight="1">
      <c r="A1029" s="366"/>
      <c r="B1029" s="367"/>
      <c r="C1029" s="367"/>
      <c r="D1029" s="367"/>
      <c r="E1029" s="370"/>
      <c r="F1029" s="367"/>
      <c r="G1029" s="156"/>
      <c r="H1029" s="371"/>
      <c r="I1029" s="372"/>
      <c r="J1029" s="355"/>
      <c r="K1029" s="356"/>
      <c r="L1029" s="356"/>
      <c r="M1029" s="356"/>
      <c r="N1029" s="356"/>
      <c r="O1029" s="356"/>
      <c r="P1029" s="356"/>
    </row>
    <row r="1030" spans="1:16" ht="18.75" customHeight="1">
      <c r="A1030" s="366"/>
      <c r="B1030" s="367"/>
      <c r="C1030" s="367"/>
      <c r="D1030" s="367"/>
      <c r="E1030" s="367"/>
      <c r="F1030" s="367"/>
      <c r="G1030" s="159"/>
      <c r="H1030" s="368"/>
      <c r="I1030" s="369"/>
      <c r="J1030" s="353"/>
      <c r="K1030" s="356"/>
      <c r="L1030" s="356"/>
      <c r="M1030" s="356"/>
      <c r="N1030" s="356"/>
      <c r="O1030" s="356"/>
      <c r="P1030" s="356"/>
    </row>
    <row r="1031" spans="1:16" ht="18.75" customHeight="1">
      <c r="A1031" s="366"/>
      <c r="B1031" s="367"/>
      <c r="C1031" s="367"/>
      <c r="D1031" s="367"/>
      <c r="E1031" s="370"/>
      <c r="F1031" s="367"/>
      <c r="G1031" s="156"/>
      <c r="H1031" s="371"/>
      <c r="I1031" s="372"/>
      <c r="J1031" s="355"/>
      <c r="K1031" s="356"/>
      <c r="L1031" s="356"/>
      <c r="M1031" s="356"/>
      <c r="N1031" s="356"/>
      <c r="O1031" s="356"/>
      <c r="P1031" s="356"/>
    </row>
    <row r="1032" spans="1:16" ht="18.75" customHeight="1">
      <c r="A1032" s="366"/>
      <c r="B1032" s="367"/>
      <c r="C1032" s="367"/>
      <c r="D1032" s="367"/>
      <c r="E1032" s="367"/>
      <c r="F1032" s="367"/>
      <c r="G1032" s="159"/>
      <c r="H1032" s="368"/>
      <c r="I1032" s="369"/>
      <c r="J1032" s="353"/>
      <c r="K1032" s="356"/>
      <c r="L1032" s="356"/>
      <c r="M1032" s="356"/>
      <c r="N1032" s="356"/>
      <c r="O1032" s="356"/>
      <c r="P1032" s="356"/>
    </row>
    <row r="1033" spans="1:16" ht="18.75" customHeight="1">
      <c r="A1033" s="366"/>
      <c r="B1033" s="367"/>
      <c r="C1033" s="367"/>
      <c r="D1033" s="367"/>
      <c r="E1033" s="370"/>
      <c r="F1033" s="367"/>
      <c r="G1033" s="156"/>
      <c r="H1033" s="371"/>
      <c r="I1033" s="372"/>
      <c r="J1033" s="355"/>
      <c r="K1033" s="356"/>
      <c r="L1033" s="356"/>
      <c r="M1033" s="356"/>
      <c r="N1033" s="356"/>
      <c r="O1033" s="356"/>
      <c r="P1033" s="356"/>
    </row>
    <row r="1034" spans="1:16" ht="18.75" customHeight="1">
      <c r="A1034" s="366"/>
      <c r="B1034" s="367"/>
      <c r="C1034" s="367"/>
      <c r="D1034" s="367"/>
      <c r="E1034" s="367"/>
      <c r="F1034" s="367"/>
      <c r="G1034" s="159"/>
      <c r="H1034" s="368"/>
      <c r="I1034" s="369"/>
      <c r="J1034" s="353"/>
      <c r="K1034" s="356"/>
      <c r="L1034" s="356"/>
      <c r="M1034" s="356"/>
      <c r="N1034" s="356"/>
      <c r="O1034" s="356"/>
      <c r="P1034" s="356"/>
    </row>
    <row r="1035" spans="1:16" ht="18.75" customHeight="1">
      <c r="A1035" s="366"/>
      <c r="B1035" s="367"/>
      <c r="C1035" s="367"/>
      <c r="D1035" s="367"/>
      <c r="E1035" s="370"/>
      <c r="F1035" s="367"/>
      <c r="G1035" s="156"/>
      <c r="H1035" s="371"/>
      <c r="I1035" s="372"/>
      <c r="J1035" s="355"/>
      <c r="K1035" s="356"/>
      <c r="L1035" s="356"/>
      <c r="M1035" s="356"/>
      <c r="N1035" s="356"/>
      <c r="O1035" s="356"/>
      <c r="P1035" s="356"/>
    </row>
    <row r="1036" spans="1:16" ht="18.75" customHeight="1">
      <c r="A1036" s="366"/>
      <c r="B1036" s="367"/>
      <c r="C1036" s="367"/>
      <c r="D1036" s="367"/>
      <c r="E1036" s="367"/>
      <c r="F1036" s="367"/>
      <c r="G1036" s="159"/>
      <c r="H1036" s="368"/>
      <c r="I1036" s="369"/>
      <c r="J1036" s="353"/>
      <c r="K1036" s="356"/>
      <c r="L1036" s="356"/>
      <c r="M1036" s="356"/>
      <c r="N1036" s="356"/>
      <c r="O1036" s="356"/>
      <c r="P1036" s="356"/>
    </row>
    <row r="1037" spans="1:16" ht="18.75" customHeight="1">
      <c r="A1037" s="366"/>
      <c r="B1037" s="367"/>
      <c r="C1037" s="367"/>
      <c r="D1037" s="367"/>
      <c r="E1037" s="370"/>
      <c r="F1037" s="367"/>
      <c r="G1037" s="156"/>
      <c r="H1037" s="371"/>
      <c r="I1037" s="372"/>
      <c r="J1037" s="355"/>
      <c r="K1037" s="356"/>
      <c r="L1037" s="356"/>
      <c r="M1037" s="356"/>
      <c r="N1037" s="356"/>
      <c r="O1037" s="356"/>
      <c r="P1037" s="356"/>
    </row>
    <row r="1038" spans="1:16" ht="18.75" customHeight="1">
      <c r="A1038" s="366"/>
      <c r="B1038" s="367"/>
      <c r="C1038" s="367"/>
      <c r="D1038" s="367"/>
      <c r="E1038" s="367"/>
      <c r="F1038" s="367"/>
      <c r="G1038" s="159"/>
      <c r="H1038" s="368"/>
      <c r="I1038" s="369"/>
      <c r="J1038" s="353"/>
      <c r="K1038" s="356"/>
      <c r="L1038" s="356"/>
      <c r="M1038" s="356"/>
      <c r="N1038" s="356"/>
      <c r="O1038" s="356"/>
      <c r="P1038" s="356"/>
    </row>
    <row r="1039" spans="1:16" ht="18.75" customHeight="1">
      <c r="A1039" s="366"/>
      <c r="B1039" s="367"/>
      <c r="C1039" s="367"/>
      <c r="D1039" s="367"/>
      <c r="E1039" s="370"/>
      <c r="F1039" s="367"/>
      <c r="G1039" s="156"/>
      <c r="H1039" s="371"/>
      <c r="I1039" s="372"/>
      <c r="J1039" s="355"/>
      <c r="K1039" s="356"/>
      <c r="L1039" s="356"/>
      <c r="M1039" s="356"/>
      <c r="N1039" s="356"/>
      <c r="O1039" s="356"/>
      <c r="P1039" s="356"/>
    </row>
    <row r="1040" spans="1:16" ht="18.75" customHeight="1">
      <c r="A1040" s="366"/>
      <c r="B1040" s="367"/>
      <c r="C1040" s="367"/>
      <c r="D1040" s="367"/>
      <c r="E1040" s="367"/>
      <c r="F1040" s="367"/>
      <c r="G1040" s="159"/>
      <c r="H1040" s="368"/>
      <c r="I1040" s="369"/>
      <c r="J1040" s="353"/>
      <c r="K1040" s="356"/>
      <c r="L1040" s="356"/>
      <c r="M1040" s="356"/>
      <c r="N1040" s="356"/>
      <c r="O1040" s="356"/>
      <c r="P1040" s="356"/>
    </row>
    <row r="1041" spans="1:16" ht="18.75" customHeight="1">
      <c r="A1041" s="366"/>
      <c r="B1041" s="367"/>
      <c r="C1041" s="367"/>
      <c r="D1041" s="367"/>
      <c r="E1041" s="370"/>
      <c r="F1041" s="367"/>
      <c r="G1041" s="156"/>
      <c r="H1041" s="371"/>
      <c r="I1041" s="372"/>
      <c r="J1041" s="355"/>
      <c r="K1041" s="356"/>
      <c r="L1041" s="356"/>
      <c r="M1041" s="356"/>
      <c r="N1041" s="356"/>
      <c r="O1041" s="356"/>
      <c r="P1041" s="356"/>
    </row>
    <row r="1042" spans="1:16" ht="18.75" customHeight="1">
      <c r="A1042" s="366"/>
      <c r="B1042" s="367"/>
      <c r="C1042" s="367"/>
      <c r="D1042" s="367"/>
      <c r="E1042" s="367"/>
      <c r="F1042" s="367"/>
      <c r="G1042" s="159"/>
      <c r="H1042" s="368"/>
      <c r="I1042" s="369"/>
      <c r="J1042" s="353"/>
      <c r="K1042" s="356"/>
      <c r="L1042" s="356"/>
      <c r="M1042" s="356"/>
      <c r="N1042" s="356"/>
      <c r="O1042" s="356"/>
      <c r="P1042" s="356"/>
    </row>
    <row r="1043" spans="1:16" ht="18.75" customHeight="1">
      <c r="A1043" s="366"/>
      <c r="B1043" s="367"/>
      <c r="C1043" s="367"/>
      <c r="D1043" s="367"/>
      <c r="E1043" s="370"/>
      <c r="F1043" s="367"/>
      <c r="G1043" s="156"/>
      <c r="H1043" s="371"/>
      <c r="I1043" s="372"/>
      <c r="J1043" s="355"/>
      <c r="K1043" s="356"/>
      <c r="L1043" s="356"/>
      <c r="M1043" s="356"/>
      <c r="N1043" s="356"/>
      <c r="O1043" s="356"/>
      <c r="P1043" s="356"/>
    </row>
    <row r="1044" spans="1:16" ht="18.75" customHeight="1">
      <c r="A1044" s="366"/>
      <c r="B1044" s="367"/>
      <c r="C1044" s="367"/>
      <c r="D1044" s="367"/>
      <c r="E1044" s="367"/>
      <c r="F1044" s="367"/>
      <c r="G1044" s="159"/>
      <c r="H1044" s="368"/>
      <c r="I1044" s="369"/>
      <c r="J1044" s="353"/>
      <c r="K1044" s="356"/>
      <c r="L1044" s="356"/>
      <c r="M1044" s="356"/>
      <c r="N1044" s="356"/>
      <c r="O1044" s="356"/>
      <c r="P1044" s="356"/>
    </row>
    <row r="1045" spans="1:16" ht="18.75" customHeight="1">
      <c r="A1045" s="366"/>
      <c r="B1045" s="367"/>
      <c r="C1045" s="367"/>
      <c r="D1045" s="367"/>
      <c r="E1045" s="370"/>
      <c r="F1045" s="367"/>
      <c r="G1045" s="156"/>
      <c r="H1045" s="371"/>
      <c r="I1045" s="372"/>
      <c r="J1045" s="355"/>
      <c r="K1045" s="356"/>
      <c r="L1045" s="356"/>
      <c r="M1045" s="356"/>
      <c r="N1045" s="356"/>
      <c r="O1045" s="356"/>
      <c r="P1045" s="356"/>
    </row>
    <row r="1046" spans="1:16" ht="18.75" customHeight="1">
      <c r="A1046" s="366"/>
      <c r="B1046" s="367"/>
      <c r="C1046" s="367"/>
      <c r="D1046" s="367"/>
      <c r="E1046" s="367"/>
      <c r="F1046" s="367"/>
      <c r="G1046" s="159"/>
      <c r="H1046" s="368"/>
      <c r="I1046" s="369"/>
      <c r="J1046" s="353"/>
      <c r="K1046" s="356"/>
      <c r="L1046" s="356"/>
      <c r="M1046" s="356"/>
      <c r="N1046" s="356"/>
      <c r="O1046" s="356"/>
      <c r="P1046" s="356"/>
    </row>
    <row r="1047" spans="1:16" ht="18.75" customHeight="1">
      <c r="A1047" s="366"/>
      <c r="B1047" s="367"/>
      <c r="C1047" s="367"/>
      <c r="D1047" s="367"/>
      <c r="E1047" s="370"/>
      <c r="F1047" s="367"/>
      <c r="G1047" s="156"/>
      <c r="H1047" s="371"/>
      <c r="I1047" s="372"/>
      <c r="J1047" s="355"/>
      <c r="K1047" s="356"/>
      <c r="L1047" s="356"/>
      <c r="M1047" s="356"/>
      <c r="N1047" s="356"/>
      <c r="O1047" s="356"/>
      <c r="P1047" s="356"/>
    </row>
    <row r="1048" spans="1:16" ht="18.75" customHeight="1">
      <c r="A1048" s="366"/>
      <c r="B1048" s="367"/>
      <c r="C1048" s="367"/>
      <c r="D1048" s="367"/>
      <c r="E1048" s="367"/>
      <c r="F1048" s="367"/>
      <c r="G1048" s="159"/>
      <c r="H1048" s="368"/>
      <c r="I1048" s="369"/>
      <c r="J1048" s="353"/>
      <c r="K1048" s="356"/>
      <c r="L1048" s="356"/>
      <c r="M1048" s="356"/>
      <c r="N1048" s="356"/>
      <c r="O1048" s="356"/>
      <c r="P1048" s="356"/>
    </row>
    <row r="1049" spans="1:16" ht="18.75" customHeight="1">
      <c r="A1049" s="366"/>
      <c r="B1049" s="367"/>
      <c r="C1049" s="367"/>
      <c r="D1049" s="367"/>
      <c r="E1049" s="370"/>
      <c r="F1049" s="367"/>
      <c r="G1049" s="156"/>
      <c r="H1049" s="371"/>
      <c r="I1049" s="372"/>
      <c r="J1049" s="355"/>
      <c r="K1049" s="356"/>
      <c r="L1049" s="356"/>
      <c r="M1049" s="356"/>
      <c r="N1049" s="356"/>
      <c r="O1049" s="356"/>
      <c r="P1049" s="356"/>
    </row>
    <row r="1050" spans="1:16" ht="18.75" customHeight="1">
      <c r="A1050" s="366"/>
      <c r="B1050" s="367"/>
      <c r="C1050" s="367"/>
      <c r="D1050" s="367"/>
      <c r="E1050" s="367"/>
      <c r="F1050" s="367"/>
      <c r="G1050" s="159"/>
      <c r="H1050" s="368"/>
      <c r="I1050" s="369"/>
      <c r="J1050" s="353"/>
      <c r="K1050" s="356"/>
      <c r="L1050" s="356"/>
      <c r="M1050" s="356"/>
      <c r="N1050" s="356"/>
      <c r="O1050" s="356"/>
      <c r="P1050" s="356"/>
    </row>
    <row r="1051" spans="1:16" ht="18.75" customHeight="1">
      <c r="A1051" s="366"/>
      <c r="B1051" s="367"/>
      <c r="C1051" s="367"/>
      <c r="D1051" s="367"/>
      <c r="E1051" s="370"/>
      <c r="F1051" s="367"/>
      <c r="G1051" s="156"/>
      <c r="H1051" s="371"/>
      <c r="I1051" s="372"/>
      <c r="J1051" s="355"/>
      <c r="K1051" s="356"/>
      <c r="L1051" s="356"/>
      <c r="M1051" s="356"/>
      <c r="N1051" s="356"/>
      <c r="O1051" s="356"/>
      <c r="P1051" s="356"/>
    </row>
    <row r="1052" spans="1:16" ht="18.75" customHeight="1">
      <c r="A1052" s="366"/>
      <c r="B1052" s="367"/>
      <c r="C1052" s="367"/>
      <c r="D1052" s="367"/>
      <c r="E1052" s="367"/>
      <c r="F1052" s="367"/>
      <c r="G1052" s="159"/>
      <c r="H1052" s="368"/>
      <c r="I1052" s="369"/>
      <c r="J1052" s="353"/>
      <c r="K1052" s="356"/>
      <c r="L1052" s="356"/>
      <c r="M1052" s="356"/>
      <c r="N1052" s="356"/>
      <c r="O1052" s="356"/>
      <c r="P1052" s="356"/>
    </row>
    <row r="1053" spans="1:16" ht="18.75" customHeight="1">
      <c r="A1053" s="366"/>
      <c r="B1053" s="367"/>
      <c r="C1053" s="367"/>
      <c r="D1053" s="367"/>
      <c r="E1053" s="370"/>
      <c r="F1053" s="367"/>
      <c r="G1053" s="156"/>
      <c r="H1053" s="371"/>
      <c r="I1053" s="372"/>
      <c r="J1053" s="355"/>
      <c r="K1053" s="356"/>
      <c r="L1053" s="356"/>
      <c r="M1053" s="356"/>
      <c r="N1053" s="356"/>
      <c r="O1053" s="356"/>
      <c r="P1053" s="356"/>
    </row>
    <row r="1054" spans="1:16" ht="18.75" customHeight="1">
      <c r="A1054" s="366"/>
      <c r="B1054" s="367"/>
      <c r="C1054" s="367"/>
      <c r="D1054" s="367"/>
      <c r="E1054" s="367"/>
      <c r="F1054" s="367"/>
      <c r="G1054" s="159"/>
      <c r="H1054" s="368"/>
      <c r="I1054" s="369"/>
      <c r="J1054" s="353"/>
      <c r="K1054" s="356"/>
      <c r="L1054" s="356"/>
      <c r="M1054" s="356"/>
      <c r="N1054" s="356"/>
      <c r="O1054" s="356"/>
      <c r="P1054" s="356"/>
    </row>
    <row r="1055" spans="1:16" ht="18.75" customHeight="1">
      <c r="A1055" s="366"/>
      <c r="B1055" s="367"/>
      <c r="C1055" s="367"/>
      <c r="D1055" s="367"/>
      <c r="E1055" s="370"/>
      <c r="F1055" s="367"/>
      <c r="G1055" s="156"/>
      <c r="H1055" s="371"/>
      <c r="I1055" s="372"/>
      <c r="J1055" s="355"/>
      <c r="K1055" s="356"/>
      <c r="L1055" s="356"/>
      <c r="M1055" s="356"/>
      <c r="N1055" s="356"/>
      <c r="O1055" s="356"/>
      <c r="P1055" s="356"/>
    </row>
    <row r="1056" spans="1:16" ht="18.75" customHeight="1">
      <c r="A1056" s="366"/>
      <c r="B1056" s="367"/>
      <c r="C1056" s="367"/>
      <c r="D1056" s="367"/>
      <c r="E1056" s="367"/>
      <c r="F1056" s="367"/>
      <c r="G1056" s="159"/>
      <c r="H1056" s="368"/>
      <c r="I1056" s="369"/>
      <c r="J1056" s="353"/>
      <c r="K1056" s="356"/>
      <c r="L1056" s="356"/>
      <c r="M1056" s="356"/>
      <c r="N1056" s="356"/>
      <c r="O1056" s="356"/>
      <c r="P1056" s="356"/>
    </row>
    <row r="1057" spans="1:16" ht="18.75" customHeight="1">
      <c r="A1057" s="366"/>
      <c r="B1057" s="367"/>
      <c r="C1057" s="367"/>
      <c r="D1057" s="367"/>
      <c r="E1057" s="370"/>
      <c r="F1057" s="367"/>
      <c r="G1057" s="156"/>
      <c r="H1057" s="371"/>
      <c r="I1057" s="372"/>
      <c r="J1057" s="355"/>
      <c r="K1057" s="356"/>
      <c r="L1057" s="356"/>
      <c r="M1057" s="356"/>
      <c r="N1057" s="356"/>
      <c r="O1057" s="356"/>
      <c r="P1057" s="356"/>
    </row>
    <row r="1058" spans="1:16" ht="18.75" customHeight="1">
      <c r="A1058" s="366"/>
      <c r="B1058" s="367"/>
      <c r="C1058" s="367"/>
      <c r="D1058" s="367"/>
      <c r="E1058" s="367"/>
      <c r="F1058" s="367"/>
      <c r="G1058" s="159"/>
      <c r="H1058" s="368"/>
      <c r="I1058" s="369"/>
      <c r="J1058" s="353"/>
      <c r="K1058" s="356"/>
      <c r="L1058" s="356"/>
      <c r="M1058" s="356"/>
      <c r="N1058" s="356"/>
      <c r="O1058" s="356"/>
      <c r="P1058" s="356"/>
    </row>
    <row r="1059" spans="1:16" ht="18.75" customHeight="1">
      <c r="A1059" s="366"/>
      <c r="B1059" s="367"/>
      <c r="C1059" s="367"/>
      <c r="D1059" s="367"/>
      <c r="E1059" s="370"/>
      <c r="F1059" s="367"/>
      <c r="G1059" s="156"/>
      <c r="H1059" s="371"/>
      <c r="I1059" s="372"/>
      <c r="J1059" s="355"/>
      <c r="K1059" s="356"/>
      <c r="L1059" s="356"/>
      <c r="M1059" s="356"/>
      <c r="N1059" s="356"/>
      <c r="O1059" s="356"/>
      <c r="P1059" s="356"/>
    </row>
    <row r="1060" spans="1:16" ht="18.75" customHeight="1">
      <c r="A1060" s="366"/>
      <c r="B1060" s="367"/>
      <c r="C1060" s="367"/>
      <c r="D1060" s="367"/>
      <c r="E1060" s="367"/>
      <c r="F1060" s="367"/>
      <c r="G1060" s="159"/>
      <c r="H1060" s="368"/>
      <c r="I1060" s="369"/>
      <c r="J1060" s="353"/>
      <c r="K1060" s="356"/>
      <c r="L1060" s="356"/>
      <c r="M1060" s="356"/>
      <c r="N1060" s="356"/>
      <c r="O1060" s="356"/>
      <c r="P1060" s="356"/>
    </row>
    <row r="1061" spans="1:16" ht="18.75" customHeight="1">
      <c r="A1061" s="366"/>
      <c r="B1061" s="367"/>
      <c r="C1061" s="367"/>
      <c r="D1061" s="367"/>
      <c r="E1061" s="370"/>
      <c r="F1061" s="367"/>
      <c r="G1061" s="156"/>
      <c r="H1061" s="371"/>
      <c r="I1061" s="372"/>
      <c r="J1061" s="355"/>
      <c r="K1061" s="356"/>
      <c r="L1061" s="356"/>
      <c r="M1061" s="356"/>
      <c r="N1061" s="356"/>
      <c r="O1061" s="356"/>
      <c r="P1061" s="356"/>
    </row>
    <row r="1062" spans="1:16" ht="18.75" customHeight="1">
      <c r="A1062" s="366"/>
      <c r="B1062" s="367"/>
      <c r="C1062" s="367"/>
      <c r="D1062" s="367"/>
      <c r="E1062" s="367"/>
      <c r="F1062" s="367"/>
      <c r="G1062" s="159"/>
      <c r="H1062" s="368"/>
      <c r="I1062" s="369"/>
      <c r="J1062" s="353"/>
      <c r="K1062" s="356"/>
      <c r="L1062" s="356"/>
      <c r="M1062" s="356"/>
      <c r="N1062" s="356"/>
      <c r="O1062" s="356"/>
      <c r="P1062" s="356"/>
    </row>
    <row r="1063" spans="1:16" ht="18.75" customHeight="1">
      <c r="A1063" s="366"/>
      <c r="B1063" s="367"/>
      <c r="C1063" s="367"/>
      <c r="D1063" s="367"/>
      <c r="E1063" s="370"/>
      <c r="F1063" s="367"/>
      <c r="G1063" s="156"/>
      <c r="H1063" s="371"/>
      <c r="I1063" s="372"/>
      <c r="J1063" s="355"/>
      <c r="K1063" s="356"/>
      <c r="L1063" s="356"/>
      <c r="M1063" s="356"/>
      <c r="N1063" s="356"/>
      <c r="O1063" s="356"/>
      <c r="P1063" s="356"/>
    </row>
    <row r="1064" spans="1:16" ht="18.75" customHeight="1">
      <c r="A1064" s="366"/>
      <c r="B1064" s="367"/>
      <c r="C1064" s="367"/>
      <c r="D1064" s="367"/>
      <c r="E1064" s="367"/>
      <c r="F1064" s="367"/>
      <c r="G1064" s="159"/>
      <c r="H1064" s="368"/>
      <c r="I1064" s="369"/>
      <c r="J1064" s="353"/>
      <c r="K1064" s="356"/>
      <c r="L1064" s="356"/>
      <c r="M1064" s="356"/>
      <c r="N1064" s="356"/>
      <c r="O1064" s="356"/>
      <c r="P1064" s="356"/>
    </row>
    <row r="1065" spans="1:16" ht="18.75" customHeight="1">
      <c r="A1065" s="366"/>
      <c r="B1065" s="367"/>
      <c r="C1065" s="367"/>
      <c r="D1065" s="367"/>
      <c r="E1065" s="370"/>
      <c r="F1065" s="367"/>
      <c r="G1065" s="156"/>
      <c r="H1065" s="371"/>
      <c r="I1065" s="372"/>
      <c r="J1065" s="355"/>
      <c r="K1065" s="356"/>
      <c r="L1065" s="356"/>
      <c r="M1065" s="356"/>
      <c r="N1065" s="356"/>
      <c r="O1065" s="356"/>
      <c r="P1065" s="356"/>
    </row>
    <row r="1066" spans="1:16" ht="18.75" customHeight="1">
      <c r="A1066" s="366"/>
      <c r="B1066" s="367"/>
      <c r="C1066" s="367"/>
      <c r="D1066" s="367"/>
      <c r="E1066" s="367"/>
      <c r="F1066" s="367"/>
      <c r="G1066" s="159"/>
      <c r="H1066" s="368"/>
      <c r="I1066" s="369"/>
      <c r="J1066" s="353"/>
      <c r="K1066" s="356"/>
      <c r="L1066" s="356"/>
      <c r="M1066" s="356"/>
      <c r="N1066" s="356"/>
      <c r="O1066" s="356"/>
      <c r="P1066" s="356"/>
    </row>
    <row r="1067" spans="1:16" ht="18.75" customHeight="1">
      <c r="A1067" s="366"/>
      <c r="B1067" s="367"/>
      <c r="C1067" s="367"/>
      <c r="D1067" s="367"/>
      <c r="E1067" s="370"/>
      <c r="F1067" s="367"/>
      <c r="G1067" s="156"/>
      <c r="H1067" s="371"/>
      <c r="I1067" s="372"/>
      <c r="J1067" s="355"/>
      <c r="K1067" s="356"/>
      <c r="L1067" s="356"/>
      <c r="M1067" s="356"/>
      <c r="N1067" s="356"/>
      <c r="O1067" s="356"/>
      <c r="P1067" s="356"/>
    </row>
    <row r="1068" spans="1:16" ht="18.75" customHeight="1">
      <c r="A1068" s="366"/>
      <c r="B1068" s="367"/>
      <c r="C1068" s="367"/>
      <c r="D1068" s="367"/>
      <c r="E1068" s="367"/>
      <c r="F1068" s="367"/>
      <c r="G1068" s="159"/>
      <c r="H1068" s="368"/>
      <c r="I1068" s="369"/>
      <c r="J1068" s="353"/>
      <c r="K1068" s="356"/>
      <c r="L1068" s="356"/>
      <c r="M1068" s="356"/>
      <c r="N1068" s="356"/>
      <c r="O1068" s="356"/>
      <c r="P1068" s="356"/>
    </row>
    <row r="1069" spans="1:16" ht="18.75" customHeight="1">
      <c r="A1069" s="366"/>
      <c r="B1069" s="367"/>
      <c r="C1069" s="367"/>
      <c r="D1069" s="367"/>
      <c r="E1069" s="370"/>
      <c r="F1069" s="367"/>
      <c r="G1069" s="156"/>
      <c r="H1069" s="371"/>
      <c r="I1069" s="372"/>
      <c r="J1069" s="355"/>
      <c r="K1069" s="356"/>
      <c r="L1069" s="356"/>
      <c r="M1069" s="356"/>
      <c r="N1069" s="356"/>
      <c r="O1069" s="356"/>
      <c r="P1069" s="356"/>
    </row>
    <row r="1070" spans="1:16" ht="18.75" customHeight="1">
      <c r="A1070" s="366"/>
      <c r="B1070" s="367"/>
      <c r="C1070" s="367"/>
      <c r="D1070" s="367"/>
      <c r="E1070" s="367"/>
      <c r="F1070" s="367"/>
      <c r="G1070" s="159"/>
      <c r="H1070" s="368"/>
      <c r="I1070" s="369"/>
      <c r="J1070" s="353"/>
      <c r="K1070" s="356"/>
      <c r="L1070" s="356"/>
      <c r="M1070" s="356"/>
      <c r="N1070" s="356"/>
      <c r="O1070" s="356"/>
      <c r="P1070" s="356"/>
    </row>
    <row r="1071" spans="1:16" ht="18.75" customHeight="1">
      <c r="A1071" s="366"/>
      <c r="B1071" s="367"/>
      <c r="C1071" s="367"/>
      <c r="D1071" s="367"/>
      <c r="E1071" s="370"/>
      <c r="F1071" s="367"/>
      <c r="G1071" s="156"/>
      <c r="H1071" s="371"/>
      <c r="I1071" s="372"/>
      <c r="J1071" s="355"/>
      <c r="K1071" s="356"/>
      <c r="L1071" s="356"/>
      <c r="M1071" s="356"/>
      <c r="N1071" s="356"/>
      <c r="O1071" s="356"/>
      <c r="P1071" s="356"/>
    </row>
    <row r="1072" spans="1:16" ht="18.75" customHeight="1">
      <c r="A1072" s="366"/>
      <c r="B1072" s="367"/>
      <c r="C1072" s="367"/>
      <c r="D1072" s="367"/>
      <c r="E1072" s="367"/>
      <c r="F1072" s="367"/>
      <c r="G1072" s="159"/>
      <c r="H1072" s="368"/>
      <c r="I1072" s="369"/>
      <c r="J1072" s="353"/>
      <c r="K1072" s="356"/>
      <c r="L1072" s="356"/>
      <c r="M1072" s="356"/>
      <c r="N1072" s="356"/>
      <c r="O1072" s="356"/>
      <c r="P1072" s="356"/>
    </row>
    <row r="1073" spans="1:16" ht="18.75" customHeight="1">
      <c r="A1073" s="366"/>
      <c r="B1073" s="367"/>
      <c r="C1073" s="367"/>
      <c r="D1073" s="367"/>
      <c r="E1073" s="370"/>
      <c r="F1073" s="367"/>
      <c r="G1073" s="156"/>
      <c r="H1073" s="371"/>
      <c r="I1073" s="372"/>
      <c r="J1073" s="355"/>
      <c r="K1073" s="356"/>
      <c r="L1073" s="356"/>
      <c r="M1073" s="356"/>
      <c r="N1073" s="356"/>
      <c r="O1073" s="356"/>
      <c r="P1073" s="356"/>
    </row>
    <row r="1074" spans="1:16" ht="18.75" customHeight="1">
      <c r="A1074" s="366"/>
      <c r="B1074" s="367"/>
      <c r="C1074" s="367"/>
      <c r="D1074" s="367"/>
      <c r="E1074" s="367"/>
      <c r="F1074" s="367"/>
      <c r="G1074" s="159"/>
      <c r="H1074" s="368"/>
      <c r="I1074" s="369"/>
      <c r="J1074" s="353"/>
      <c r="K1074" s="356"/>
      <c r="L1074" s="356"/>
      <c r="M1074" s="356"/>
      <c r="N1074" s="356"/>
      <c r="O1074" s="356"/>
      <c r="P1074" s="356"/>
    </row>
    <row r="1075" spans="1:16" ht="18.75" customHeight="1">
      <c r="A1075" s="366"/>
      <c r="B1075" s="367"/>
      <c r="C1075" s="367"/>
      <c r="D1075" s="367"/>
      <c r="E1075" s="370"/>
      <c r="F1075" s="367"/>
      <c r="G1075" s="156"/>
      <c r="H1075" s="371"/>
      <c r="I1075" s="372"/>
      <c r="J1075" s="355"/>
      <c r="K1075" s="356"/>
      <c r="L1075" s="356"/>
      <c r="M1075" s="356"/>
      <c r="N1075" s="356"/>
      <c r="O1075" s="356"/>
      <c r="P1075" s="356"/>
    </row>
    <row r="1076" spans="1:16" ht="18.75" customHeight="1">
      <c r="A1076" s="366"/>
      <c r="B1076" s="367"/>
      <c r="C1076" s="367"/>
      <c r="D1076" s="367"/>
      <c r="E1076" s="367"/>
      <c r="F1076" s="367"/>
      <c r="G1076" s="159"/>
      <c r="H1076" s="368"/>
      <c r="I1076" s="369"/>
      <c r="J1076" s="353"/>
      <c r="K1076" s="356"/>
      <c r="L1076" s="356"/>
      <c r="M1076" s="356"/>
      <c r="N1076" s="356"/>
      <c r="O1076" s="356"/>
      <c r="P1076" s="356"/>
    </row>
    <row r="1077" spans="1:16" ht="18.75" customHeight="1">
      <c r="A1077" s="366"/>
      <c r="B1077" s="367"/>
      <c r="C1077" s="367"/>
      <c r="D1077" s="367"/>
      <c r="E1077" s="370"/>
      <c r="F1077" s="367"/>
      <c r="G1077" s="156"/>
      <c r="H1077" s="371"/>
      <c r="I1077" s="372"/>
      <c r="J1077" s="355"/>
      <c r="K1077" s="356"/>
      <c r="L1077" s="356"/>
      <c r="M1077" s="356"/>
      <c r="N1077" s="356"/>
      <c r="O1077" s="356"/>
      <c r="P1077" s="356"/>
    </row>
    <row r="1078" spans="1:16" ht="18.75" customHeight="1">
      <c r="A1078" s="366"/>
      <c r="B1078" s="367"/>
      <c r="C1078" s="367"/>
      <c r="D1078" s="367"/>
      <c r="E1078" s="367"/>
      <c r="F1078" s="367"/>
      <c r="G1078" s="159"/>
      <c r="H1078" s="368"/>
      <c r="I1078" s="369"/>
      <c r="J1078" s="353"/>
      <c r="K1078" s="356"/>
      <c r="L1078" s="356"/>
      <c r="M1078" s="356"/>
      <c r="N1078" s="356"/>
      <c r="O1078" s="356"/>
      <c r="P1078" s="356"/>
    </row>
    <row r="1079" spans="1:16" ht="18.75" customHeight="1">
      <c r="A1079" s="366"/>
      <c r="B1079" s="367"/>
      <c r="C1079" s="367"/>
      <c r="D1079" s="367"/>
      <c r="E1079" s="370"/>
      <c r="F1079" s="367"/>
      <c r="G1079" s="156"/>
      <c r="H1079" s="371"/>
      <c r="I1079" s="372"/>
      <c r="J1079" s="355"/>
      <c r="K1079" s="356"/>
      <c r="L1079" s="356"/>
      <c r="M1079" s="356"/>
      <c r="N1079" s="356"/>
      <c r="O1079" s="356"/>
      <c r="P1079" s="356"/>
    </row>
    <row r="1080" spans="1:16" ht="18.75" customHeight="1">
      <c r="A1080" s="366"/>
      <c r="B1080" s="367"/>
      <c r="C1080" s="367"/>
      <c r="D1080" s="367"/>
      <c r="E1080" s="367"/>
      <c r="F1080" s="367"/>
      <c r="G1080" s="159"/>
      <c r="H1080" s="368"/>
      <c r="I1080" s="369"/>
      <c r="J1080" s="353"/>
      <c r="K1080" s="356"/>
      <c r="L1080" s="356"/>
      <c r="M1080" s="356"/>
      <c r="N1080" s="356"/>
      <c r="O1080" s="356"/>
      <c r="P1080" s="356"/>
    </row>
    <row r="1081" spans="1:16" ht="18.75" customHeight="1">
      <c r="A1081" s="366"/>
      <c r="B1081" s="367"/>
      <c r="C1081" s="367"/>
      <c r="D1081" s="367"/>
      <c r="E1081" s="370"/>
      <c r="F1081" s="367"/>
      <c r="G1081" s="156"/>
      <c r="H1081" s="371"/>
      <c r="I1081" s="372"/>
      <c r="J1081" s="355"/>
      <c r="K1081" s="356"/>
      <c r="L1081" s="356"/>
      <c r="M1081" s="356"/>
      <c r="N1081" s="356"/>
      <c r="O1081" s="356"/>
      <c r="P1081" s="356"/>
    </row>
    <row r="1082" spans="1:16" ht="18.75" customHeight="1">
      <c r="A1082" s="366"/>
      <c r="B1082" s="367"/>
      <c r="C1082" s="367"/>
      <c r="D1082" s="367"/>
      <c r="E1082" s="367"/>
      <c r="F1082" s="367"/>
      <c r="G1082" s="159"/>
      <c r="H1082" s="368"/>
      <c r="I1082" s="369"/>
      <c r="J1082" s="353"/>
      <c r="K1082" s="356"/>
      <c r="L1082" s="356"/>
      <c r="M1082" s="356"/>
      <c r="N1082" s="356"/>
      <c r="O1082" s="356"/>
      <c r="P1082" s="356"/>
    </row>
    <row r="1083" spans="1:16" ht="18.75" customHeight="1">
      <c r="A1083" s="366"/>
      <c r="B1083" s="367"/>
      <c r="C1083" s="367"/>
      <c r="D1083" s="367"/>
      <c r="E1083" s="370"/>
      <c r="F1083" s="367"/>
      <c r="G1083" s="156"/>
      <c r="H1083" s="371"/>
      <c r="I1083" s="372"/>
      <c r="J1083" s="355"/>
      <c r="K1083" s="356"/>
      <c r="L1083" s="356"/>
      <c r="M1083" s="356"/>
      <c r="N1083" s="356"/>
      <c r="O1083" s="356"/>
      <c r="P1083" s="356"/>
    </row>
    <row r="1084" spans="1:16" ht="18.75" customHeight="1">
      <c r="A1084" s="366"/>
      <c r="B1084" s="367"/>
      <c r="C1084" s="367"/>
      <c r="D1084" s="367"/>
      <c r="E1084" s="367"/>
      <c r="F1084" s="367"/>
      <c r="G1084" s="159"/>
      <c r="H1084" s="368"/>
      <c r="I1084" s="369"/>
      <c r="J1084" s="353"/>
      <c r="K1084" s="356"/>
      <c r="L1084" s="356"/>
      <c r="M1084" s="356"/>
      <c r="N1084" s="356"/>
      <c r="O1084" s="356"/>
      <c r="P1084" s="356"/>
    </row>
    <row r="1085" spans="1:16" ht="18.75" customHeight="1">
      <c r="A1085" s="366"/>
      <c r="B1085" s="367"/>
      <c r="C1085" s="367"/>
      <c r="D1085" s="367"/>
      <c r="E1085" s="370"/>
      <c r="F1085" s="367"/>
      <c r="G1085" s="156"/>
      <c r="H1085" s="371"/>
      <c r="I1085" s="372"/>
      <c r="J1085" s="355"/>
      <c r="K1085" s="356"/>
      <c r="L1085" s="356"/>
      <c r="M1085" s="356"/>
      <c r="N1085" s="356"/>
      <c r="O1085" s="356"/>
      <c r="P1085" s="356"/>
    </row>
    <row r="1086" spans="1:16" ht="18.75" customHeight="1">
      <c r="A1086" s="366"/>
      <c r="B1086" s="367"/>
      <c r="C1086" s="367"/>
      <c r="D1086" s="367"/>
      <c r="E1086" s="367"/>
      <c r="F1086" s="367"/>
      <c r="G1086" s="159"/>
      <c r="H1086" s="368"/>
      <c r="I1086" s="369"/>
      <c r="J1086" s="353"/>
      <c r="K1086" s="356"/>
      <c r="L1086" s="356"/>
      <c r="M1086" s="356"/>
      <c r="N1086" s="356"/>
      <c r="O1086" s="356"/>
      <c r="P1086" s="356"/>
    </row>
    <row r="1087" spans="1:16" ht="18.75" customHeight="1">
      <c r="A1087" s="366"/>
      <c r="B1087" s="367"/>
      <c r="C1087" s="367"/>
      <c r="D1087" s="367"/>
      <c r="E1087" s="370"/>
      <c r="F1087" s="367"/>
      <c r="G1087" s="156"/>
      <c r="H1087" s="371"/>
      <c r="I1087" s="372"/>
      <c r="J1087" s="355"/>
      <c r="K1087" s="356"/>
      <c r="L1087" s="356"/>
      <c r="M1087" s="356"/>
      <c r="N1087" s="356"/>
      <c r="O1087" s="356"/>
      <c r="P1087" s="356"/>
    </row>
    <row r="1088" spans="1:16" ht="18.75" customHeight="1">
      <c r="A1088" s="366"/>
      <c r="B1088" s="367"/>
      <c r="C1088" s="367"/>
      <c r="D1088" s="367"/>
      <c r="E1088" s="367"/>
      <c r="F1088" s="367"/>
      <c r="G1088" s="159"/>
      <c r="H1088" s="368"/>
      <c r="I1088" s="369"/>
      <c r="J1088" s="353"/>
      <c r="K1088" s="356"/>
      <c r="L1088" s="356"/>
      <c r="M1088" s="356"/>
      <c r="N1088" s="356"/>
      <c r="O1088" s="356"/>
      <c r="P1088" s="356"/>
    </row>
    <row r="1089" spans="1:16" ht="18.75" customHeight="1">
      <c r="A1089" s="366"/>
      <c r="B1089" s="367"/>
      <c r="C1089" s="367"/>
      <c r="D1089" s="367"/>
      <c r="E1089" s="370"/>
      <c r="F1089" s="367"/>
      <c r="G1089" s="156"/>
      <c r="H1089" s="371"/>
      <c r="I1089" s="372"/>
      <c r="J1089" s="355"/>
      <c r="K1089" s="356"/>
      <c r="L1089" s="356"/>
      <c r="M1089" s="356"/>
      <c r="N1089" s="356"/>
      <c r="O1089" s="356"/>
      <c r="P1089" s="356"/>
    </row>
    <row r="1090" spans="1:16" ht="18.75" customHeight="1">
      <c r="A1090" s="366"/>
      <c r="B1090" s="367"/>
      <c r="C1090" s="367"/>
      <c r="D1090" s="367"/>
      <c r="E1090" s="367"/>
      <c r="F1090" s="367"/>
      <c r="G1090" s="159"/>
      <c r="H1090" s="368"/>
      <c r="I1090" s="369"/>
      <c r="J1090" s="353"/>
      <c r="K1090" s="356"/>
      <c r="L1090" s="356"/>
      <c r="M1090" s="356"/>
      <c r="N1090" s="356"/>
      <c r="O1090" s="356"/>
      <c r="P1090" s="356"/>
    </row>
    <row r="1091" spans="1:16" ht="18.75" customHeight="1">
      <c r="A1091" s="366"/>
      <c r="B1091" s="367"/>
      <c r="C1091" s="367"/>
      <c r="D1091" s="367"/>
      <c r="E1091" s="370"/>
      <c r="F1091" s="367"/>
      <c r="G1091" s="156"/>
      <c r="H1091" s="371"/>
      <c r="I1091" s="372"/>
      <c r="J1091" s="355"/>
      <c r="K1091" s="356"/>
      <c r="L1091" s="356"/>
      <c r="M1091" s="356"/>
      <c r="N1091" s="356"/>
      <c r="O1091" s="356"/>
      <c r="P1091" s="356"/>
    </row>
    <row r="1092" spans="1:16" ht="18.75" customHeight="1">
      <c r="A1092" s="366"/>
      <c r="B1092" s="367"/>
      <c r="C1092" s="367"/>
      <c r="D1092" s="367"/>
      <c r="E1092" s="367"/>
      <c r="F1092" s="367"/>
      <c r="G1092" s="159"/>
      <c r="H1092" s="368"/>
      <c r="I1092" s="369"/>
      <c r="J1092" s="353"/>
      <c r="K1092" s="356"/>
      <c r="L1092" s="356"/>
      <c r="M1092" s="356"/>
      <c r="N1092" s="356"/>
      <c r="O1092" s="356"/>
      <c r="P1092" s="356"/>
    </row>
    <row r="1093" spans="1:16" ht="18.75" customHeight="1">
      <c r="A1093" s="366"/>
      <c r="B1093" s="367"/>
      <c r="C1093" s="367"/>
      <c r="D1093" s="367"/>
      <c r="E1093" s="370"/>
      <c r="F1093" s="367"/>
      <c r="G1093" s="156"/>
      <c r="H1093" s="371"/>
      <c r="I1093" s="372"/>
      <c r="J1093" s="355"/>
      <c r="K1093" s="356"/>
      <c r="L1093" s="356"/>
      <c r="M1093" s="356"/>
      <c r="N1093" s="356"/>
      <c r="O1093" s="356"/>
      <c r="P1093" s="356"/>
    </row>
    <row r="1094" spans="1:16" ht="18.75" customHeight="1">
      <c r="A1094" s="366"/>
      <c r="B1094" s="367"/>
      <c r="C1094" s="367"/>
      <c r="D1094" s="367"/>
      <c r="E1094" s="367"/>
      <c r="F1094" s="367"/>
      <c r="G1094" s="159"/>
      <c r="H1094" s="368"/>
      <c r="I1094" s="369"/>
      <c r="J1094" s="353"/>
      <c r="K1094" s="356"/>
      <c r="L1094" s="356"/>
      <c r="M1094" s="356"/>
      <c r="N1094" s="356"/>
      <c r="O1094" s="356"/>
      <c r="P1094" s="356"/>
    </row>
    <row r="1095" spans="1:16" ht="18.75" customHeight="1">
      <c r="A1095" s="366"/>
      <c r="B1095" s="367"/>
      <c r="C1095" s="367"/>
      <c r="D1095" s="367"/>
      <c r="E1095" s="370"/>
      <c r="F1095" s="367"/>
      <c r="G1095" s="156"/>
      <c r="H1095" s="371"/>
      <c r="I1095" s="372"/>
      <c r="J1095" s="355"/>
      <c r="K1095" s="356"/>
      <c r="L1095" s="356"/>
      <c r="M1095" s="356"/>
      <c r="N1095" s="356"/>
      <c r="O1095" s="356"/>
      <c r="P1095" s="356"/>
    </row>
    <row r="1096" spans="1:16" ht="18.75" customHeight="1">
      <c r="A1096" s="366"/>
      <c r="B1096" s="367"/>
      <c r="C1096" s="367"/>
      <c r="D1096" s="367"/>
      <c r="E1096" s="367"/>
      <c r="F1096" s="367"/>
      <c r="G1096" s="159"/>
      <c r="H1096" s="368"/>
      <c r="I1096" s="369"/>
      <c r="J1096" s="353"/>
      <c r="K1096" s="356"/>
      <c r="L1096" s="356"/>
      <c r="M1096" s="356"/>
      <c r="N1096" s="356"/>
      <c r="O1096" s="356"/>
      <c r="P1096" s="356"/>
    </row>
    <row r="1097" spans="1:16" ht="18.75" customHeight="1">
      <c r="A1097" s="366"/>
      <c r="B1097" s="367"/>
      <c r="C1097" s="367"/>
      <c r="D1097" s="367"/>
      <c r="E1097" s="370"/>
      <c r="F1097" s="367"/>
      <c r="G1097" s="156"/>
      <c r="H1097" s="371"/>
      <c r="I1097" s="372"/>
      <c r="J1097" s="355"/>
      <c r="K1097" s="356"/>
      <c r="L1097" s="356"/>
      <c r="M1097" s="356"/>
      <c r="N1097" s="356"/>
      <c r="O1097" s="356"/>
      <c r="P1097" s="356"/>
    </row>
    <row r="1098" spans="1:16" ht="18.75" customHeight="1">
      <c r="A1098" s="366"/>
      <c r="B1098" s="367"/>
      <c r="C1098" s="367"/>
      <c r="D1098" s="367"/>
      <c r="E1098" s="367"/>
      <c r="F1098" s="367"/>
      <c r="G1098" s="159"/>
      <c r="H1098" s="368"/>
      <c r="I1098" s="369"/>
      <c r="J1098" s="353"/>
      <c r="K1098" s="356"/>
      <c r="L1098" s="356"/>
      <c r="M1098" s="356"/>
      <c r="N1098" s="356"/>
      <c r="O1098" s="356"/>
      <c r="P1098" s="356"/>
    </row>
    <row r="1099" spans="1:16" ht="18.75" customHeight="1">
      <c r="A1099" s="366"/>
      <c r="B1099" s="367"/>
      <c r="C1099" s="367"/>
      <c r="D1099" s="367"/>
      <c r="E1099" s="370"/>
      <c r="F1099" s="367"/>
      <c r="G1099" s="156"/>
      <c r="H1099" s="371"/>
      <c r="I1099" s="372"/>
      <c r="J1099" s="355"/>
      <c r="K1099" s="356"/>
      <c r="L1099" s="356"/>
      <c r="M1099" s="356"/>
      <c r="N1099" s="356"/>
      <c r="O1099" s="356"/>
      <c r="P1099" s="356"/>
    </row>
    <row r="1100" spans="1:16" ht="18.75" customHeight="1">
      <c r="A1100" s="366"/>
      <c r="B1100" s="367"/>
      <c r="C1100" s="367"/>
      <c r="D1100" s="367"/>
      <c r="E1100" s="367"/>
      <c r="F1100" s="367"/>
      <c r="G1100" s="159"/>
      <c r="H1100" s="368"/>
      <c r="I1100" s="369"/>
      <c r="J1100" s="353"/>
      <c r="K1100" s="356"/>
      <c r="L1100" s="356"/>
      <c r="M1100" s="356"/>
      <c r="N1100" s="356"/>
      <c r="O1100" s="356"/>
      <c r="P1100" s="356"/>
    </row>
    <row r="1101" spans="1:16" ht="18.75" customHeight="1">
      <c r="A1101" s="366"/>
      <c r="B1101" s="367"/>
      <c r="C1101" s="367"/>
      <c r="D1101" s="367"/>
      <c r="E1101" s="370"/>
      <c r="F1101" s="367"/>
      <c r="G1101" s="156"/>
      <c r="H1101" s="371"/>
      <c r="I1101" s="372"/>
      <c r="J1101" s="355"/>
      <c r="K1101" s="356"/>
      <c r="L1101" s="356"/>
      <c r="M1101" s="356"/>
      <c r="N1101" s="356"/>
      <c r="O1101" s="356"/>
      <c r="P1101" s="356"/>
    </row>
    <row r="1102" spans="1:16" ht="18.75" customHeight="1">
      <c r="A1102" s="366"/>
      <c r="B1102" s="367"/>
      <c r="C1102" s="367"/>
      <c r="D1102" s="367"/>
      <c r="E1102" s="367"/>
      <c r="F1102" s="367"/>
      <c r="G1102" s="159"/>
      <c r="H1102" s="368"/>
      <c r="I1102" s="369"/>
      <c r="J1102" s="353"/>
      <c r="K1102" s="356"/>
      <c r="L1102" s="356"/>
      <c r="M1102" s="356"/>
      <c r="N1102" s="356"/>
      <c r="O1102" s="356"/>
      <c r="P1102" s="356"/>
    </row>
    <row r="1103" spans="1:16" ht="18.75" customHeight="1">
      <c r="A1103" s="366"/>
      <c r="B1103" s="367"/>
      <c r="C1103" s="367"/>
      <c r="D1103" s="367"/>
      <c r="E1103" s="370"/>
      <c r="F1103" s="367"/>
      <c r="G1103" s="156"/>
      <c r="H1103" s="371"/>
      <c r="I1103" s="372"/>
      <c r="J1103" s="355"/>
      <c r="K1103" s="356"/>
      <c r="L1103" s="356"/>
      <c r="M1103" s="356"/>
      <c r="N1103" s="356"/>
      <c r="O1103" s="356"/>
      <c r="P1103" s="356"/>
    </row>
    <row r="1104" spans="1:16" ht="18.75" customHeight="1">
      <c r="A1104" s="366"/>
      <c r="B1104" s="367"/>
      <c r="C1104" s="367"/>
      <c r="D1104" s="367"/>
      <c r="E1104" s="367"/>
      <c r="F1104" s="367"/>
      <c r="G1104" s="159"/>
      <c r="H1104" s="368"/>
      <c r="I1104" s="369"/>
      <c r="J1104" s="353"/>
      <c r="K1104" s="356"/>
      <c r="L1104" s="356"/>
      <c r="M1104" s="356"/>
      <c r="N1104" s="356"/>
      <c r="O1104" s="356"/>
      <c r="P1104" s="356"/>
    </row>
    <row r="1105" spans="1:16" ht="18.75" customHeight="1">
      <c r="A1105" s="366"/>
      <c r="B1105" s="367"/>
      <c r="C1105" s="367"/>
      <c r="D1105" s="367"/>
      <c r="E1105" s="370"/>
      <c r="F1105" s="367"/>
      <c r="G1105" s="156"/>
      <c r="H1105" s="371"/>
      <c r="I1105" s="372"/>
      <c r="J1105" s="355"/>
      <c r="K1105" s="356"/>
      <c r="L1105" s="356"/>
      <c r="M1105" s="356"/>
      <c r="N1105" s="356"/>
      <c r="O1105" s="356"/>
      <c r="P1105" s="356"/>
    </row>
    <row r="1106" spans="1:16" ht="18.75" customHeight="1">
      <c r="A1106" s="366"/>
      <c r="B1106" s="367"/>
      <c r="C1106" s="367"/>
      <c r="D1106" s="367"/>
      <c r="E1106" s="367"/>
      <c r="F1106" s="367"/>
      <c r="G1106" s="159"/>
      <c r="H1106" s="368"/>
      <c r="I1106" s="369"/>
      <c r="J1106" s="353"/>
      <c r="K1106" s="356"/>
      <c r="L1106" s="356"/>
      <c r="M1106" s="356"/>
      <c r="N1106" s="356"/>
      <c r="O1106" s="356"/>
      <c r="P1106" s="356"/>
    </row>
    <row r="1107" spans="1:16" ht="18.75" customHeight="1">
      <c r="A1107" s="366"/>
      <c r="B1107" s="367"/>
      <c r="C1107" s="367"/>
      <c r="D1107" s="367"/>
      <c r="E1107" s="370"/>
      <c r="F1107" s="367"/>
      <c r="G1107" s="156"/>
      <c r="H1107" s="371"/>
      <c r="I1107" s="372"/>
      <c r="J1107" s="355"/>
      <c r="K1107" s="356"/>
      <c r="L1107" s="356"/>
      <c r="M1107" s="356"/>
      <c r="N1107" s="356"/>
      <c r="O1107" s="356"/>
      <c r="P1107" s="356"/>
    </row>
    <row r="1108" spans="1:16" ht="18.75" customHeight="1">
      <c r="A1108" s="366"/>
      <c r="B1108" s="367"/>
      <c r="C1108" s="367"/>
      <c r="D1108" s="367"/>
      <c r="E1108" s="367"/>
      <c r="F1108" s="367"/>
      <c r="G1108" s="159"/>
      <c r="H1108" s="368"/>
      <c r="I1108" s="369"/>
      <c r="J1108" s="353"/>
      <c r="K1108" s="356"/>
      <c r="L1108" s="356"/>
      <c r="M1108" s="356"/>
      <c r="N1108" s="356"/>
      <c r="O1108" s="356"/>
      <c r="P1108" s="356"/>
    </row>
    <row r="1109" spans="1:16" ht="18.75" customHeight="1">
      <c r="A1109" s="366"/>
      <c r="B1109" s="367"/>
      <c r="C1109" s="367"/>
      <c r="D1109" s="367"/>
      <c r="E1109" s="370"/>
      <c r="F1109" s="367"/>
      <c r="G1109" s="156"/>
      <c r="H1109" s="371"/>
      <c r="I1109" s="372"/>
      <c r="J1109" s="355"/>
      <c r="K1109" s="356"/>
      <c r="L1109" s="356"/>
      <c r="M1109" s="356"/>
      <c r="N1109" s="356"/>
      <c r="O1109" s="356"/>
      <c r="P1109" s="356"/>
    </row>
    <row r="1110" spans="1:16" ht="18.75" customHeight="1">
      <c r="A1110" s="366"/>
      <c r="B1110" s="367"/>
      <c r="C1110" s="367"/>
      <c r="D1110" s="367"/>
      <c r="E1110" s="367"/>
      <c r="F1110" s="367"/>
      <c r="G1110" s="159"/>
      <c r="H1110" s="368"/>
      <c r="I1110" s="369"/>
      <c r="J1110" s="353"/>
      <c r="K1110" s="356"/>
      <c r="L1110" s="356"/>
      <c r="M1110" s="356"/>
      <c r="N1110" s="356"/>
      <c r="O1110" s="356"/>
      <c r="P1110" s="356"/>
    </row>
    <row r="1111" spans="1:16" ht="18.75" customHeight="1">
      <c r="A1111" s="366"/>
      <c r="B1111" s="367"/>
      <c r="C1111" s="367"/>
      <c r="D1111" s="367"/>
      <c r="E1111" s="370"/>
      <c r="F1111" s="367"/>
      <c r="G1111" s="156"/>
      <c r="H1111" s="371"/>
      <c r="I1111" s="372"/>
      <c r="J1111" s="355"/>
      <c r="K1111" s="356"/>
      <c r="L1111" s="356"/>
      <c r="M1111" s="356"/>
      <c r="N1111" s="356"/>
      <c r="O1111" s="356"/>
      <c r="P1111" s="356"/>
    </row>
    <row r="1112" spans="1:16" ht="18.75" customHeight="1">
      <c r="A1112" s="366"/>
      <c r="B1112" s="367"/>
      <c r="C1112" s="367"/>
      <c r="D1112" s="367"/>
      <c r="E1112" s="367"/>
      <c r="F1112" s="367"/>
      <c r="G1112" s="159"/>
      <c r="H1112" s="368"/>
      <c r="I1112" s="369"/>
      <c r="J1112" s="353"/>
      <c r="K1112" s="356"/>
      <c r="L1112" s="356"/>
      <c r="M1112" s="356"/>
      <c r="N1112" s="356"/>
      <c r="O1112" s="356"/>
      <c r="P1112" s="356"/>
    </row>
    <row r="1113" spans="1:16" ht="18.75" customHeight="1">
      <c r="A1113" s="366"/>
      <c r="B1113" s="367"/>
      <c r="C1113" s="367"/>
      <c r="D1113" s="367"/>
      <c r="E1113" s="370"/>
      <c r="F1113" s="367"/>
      <c r="G1113" s="156"/>
      <c r="H1113" s="371"/>
      <c r="I1113" s="372"/>
      <c r="J1113" s="355"/>
      <c r="K1113" s="356"/>
      <c r="L1113" s="356"/>
      <c r="M1113" s="356"/>
      <c r="N1113" s="356"/>
      <c r="O1113" s="356"/>
      <c r="P1113" s="356"/>
    </row>
    <row r="1114" spans="1:16" ht="18.75" customHeight="1">
      <c r="A1114" s="366"/>
      <c r="B1114" s="367"/>
      <c r="C1114" s="367"/>
      <c r="D1114" s="367"/>
      <c r="E1114" s="367"/>
      <c r="F1114" s="367"/>
      <c r="G1114" s="159"/>
      <c r="H1114" s="368"/>
      <c r="I1114" s="369"/>
      <c r="J1114" s="353"/>
      <c r="K1114" s="356"/>
      <c r="L1114" s="356"/>
      <c r="M1114" s="356"/>
      <c r="N1114" s="356"/>
      <c r="O1114" s="356"/>
      <c r="P1114" s="356"/>
    </row>
    <row r="1115" spans="1:16" ht="18.75" customHeight="1">
      <c r="A1115" s="366"/>
      <c r="B1115" s="367"/>
      <c r="C1115" s="367"/>
      <c r="D1115" s="367"/>
      <c r="E1115" s="370"/>
      <c r="F1115" s="367"/>
      <c r="G1115" s="156"/>
      <c r="H1115" s="371"/>
      <c r="I1115" s="372"/>
      <c r="J1115" s="355"/>
      <c r="K1115" s="356"/>
      <c r="L1115" s="356"/>
      <c r="M1115" s="356"/>
      <c r="N1115" s="356"/>
      <c r="O1115" s="356"/>
      <c r="P1115" s="356"/>
    </row>
    <row r="1116" spans="1:16" ht="18.75" customHeight="1">
      <c r="A1116" s="366"/>
      <c r="B1116" s="367"/>
      <c r="C1116" s="367"/>
      <c r="D1116" s="367"/>
      <c r="E1116" s="367"/>
      <c r="F1116" s="367"/>
      <c r="G1116" s="159"/>
      <c r="H1116" s="368"/>
      <c r="I1116" s="369"/>
      <c r="J1116" s="353"/>
      <c r="K1116" s="356"/>
      <c r="L1116" s="356"/>
      <c r="M1116" s="356"/>
      <c r="N1116" s="356"/>
      <c r="O1116" s="356"/>
      <c r="P1116" s="356"/>
    </row>
    <row r="1117" spans="1:16" ht="18.75" customHeight="1">
      <c r="A1117" s="366"/>
      <c r="B1117" s="367"/>
      <c r="C1117" s="367"/>
      <c r="D1117" s="367"/>
      <c r="E1117" s="370"/>
      <c r="F1117" s="367"/>
      <c r="G1117" s="156"/>
      <c r="H1117" s="371"/>
      <c r="I1117" s="372"/>
      <c r="J1117" s="355"/>
      <c r="K1117" s="356"/>
      <c r="L1117" s="356"/>
      <c r="M1117" s="356"/>
      <c r="N1117" s="356"/>
      <c r="O1117" s="356"/>
      <c r="P1117" s="356"/>
    </row>
    <row r="1118" spans="1:16" ht="18.75" customHeight="1">
      <c r="A1118" s="366"/>
      <c r="B1118" s="367"/>
      <c r="C1118" s="367"/>
      <c r="D1118" s="367"/>
      <c r="E1118" s="367"/>
      <c r="F1118" s="367"/>
      <c r="G1118" s="159"/>
      <c r="H1118" s="368"/>
      <c r="I1118" s="369"/>
      <c r="J1118" s="353"/>
      <c r="K1118" s="356"/>
      <c r="L1118" s="356"/>
      <c r="M1118" s="356"/>
      <c r="N1118" s="356"/>
      <c r="O1118" s="356"/>
      <c r="P1118" s="356"/>
    </row>
    <row r="1119" spans="1:16" ht="18.75" customHeight="1">
      <c r="A1119" s="366"/>
      <c r="B1119" s="367"/>
      <c r="C1119" s="367"/>
      <c r="D1119" s="367"/>
      <c r="E1119" s="370"/>
      <c r="F1119" s="367"/>
      <c r="G1119" s="156"/>
      <c r="H1119" s="371"/>
      <c r="I1119" s="372"/>
      <c r="J1119" s="355"/>
      <c r="K1119" s="356"/>
      <c r="L1119" s="356"/>
      <c r="M1119" s="356"/>
      <c r="N1119" s="356"/>
      <c r="O1119" s="356"/>
      <c r="P1119" s="356"/>
    </row>
    <row r="1120" spans="1:16" ht="18.75" customHeight="1">
      <c r="A1120" s="366"/>
      <c r="B1120" s="367"/>
      <c r="C1120" s="367"/>
      <c r="D1120" s="367"/>
      <c r="E1120" s="367"/>
      <c r="F1120" s="367"/>
      <c r="G1120" s="159"/>
      <c r="H1120" s="368"/>
      <c r="I1120" s="369"/>
      <c r="J1120" s="353"/>
      <c r="K1120" s="356"/>
      <c r="L1120" s="356"/>
      <c r="M1120" s="356"/>
      <c r="N1120" s="356"/>
      <c r="O1120" s="356"/>
      <c r="P1120" s="356"/>
    </row>
    <row r="1121" spans="1:16" ht="18.75" customHeight="1">
      <c r="A1121" s="366"/>
      <c r="B1121" s="367"/>
      <c r="C1121" s="367"/>
      <c r="D1121" s="367"/>
      <c r="E1121" s="370"/>
      <c r="F1121" s="367"/>
      <c r="G1121" s="156"/>
      <c r="H1121" s="371"/>
      <c r="I1121" s="372"/>
      <c r="J1121" s="355"/>
      <c r="K1121" s="356"/>
      <c r="L1121" s="356"/>
      <c r="M1121" s="356"/>
      <c r="N1121" s="356"/>
      <c r="O1121" s="356"/>
      <c r="P1121" s="356"/>
    </row>
    <row r="1122" spans="1:16" ht="18.75" customHeight="1">
      <c r="A1122" s="366"/>
      <c r="B1122" s="367"/>
      <c r="C1122" s="367"/>
      <c r="D1122" s="367"/>
      <c r="E1122" s="367"/>
      <c r="F1122" s="367"/>
      <c r="G1122" s="159"/>
      <c r="H1122" s="368"/>
      <c r="I1122" s="369"/>
      <c r="J1122" s="353"/>
      <c r="K1122" s="356"/>
      <c r="L1122" s="356"/>
      <c r="M1122" s="356"/>
      <c r="N1122" s="356"/>
      <c r="O1122" s="356"/>
      <c r="P1122" s="356"/>
    </row>
    <row r="1123" spans="1:16" ht="18.75" customHeight="1">
      <c r="A1123" s="366"/>
      <c r="B1123" s="367"/>
      <c r="C1123" s="367"/>
      <c r="D1123" s="367"/>
      <c r="E1123" s="370"/>
      <c r="F1123" s="367"/>
      <c r="G1123" s="156"/>
      <c r="H1123" s="371"/>
      <c r="I1123" s="372"/>
      <c r="J1123" s="355"/>
      <c r="K1123" s="356"/>
      <c r="L1123" s="356"/>
      <c r="M1123" s="356"/>
      <c r="N1123" s="356"/>
      <c r="O1123" s="356"/>
      <c r="P1123" s="356"/>
    </row>
    <row r="1124" spans="1:16" ht="18.75" customHeight="1">
      <c r="A1124" s="366"/>
      <c r="B1124" s="367"/>
      <c r="C1124" s="367"/>
      <c r="D1124" s="367"/>
      <c r="E1124" s="367"/>
      <c r="F1124" s="367"/>
      <c r="G1124" s="159"/>
      <c r="H1124" s="368"/>
      <c r="I1124" s="369"/>
      <c r="J1124" s="353"/>
      <c r="K1124" s="356"/>
      <c r="L1124" s="356"/>
      <c r="M1124" s="356"/>
      <c r="N1124" s="356"/>
      <c r="O1124" s="356"/>
      <c r="P1124" s="356"/>
    </row>
    <row r="1125" spans="1:16" ht="18.75" customHeight="1">
      <c r="A1125" s="366"/>
      <c r="B1125" s="367"/>
      <c r="C1125" s="367"/>
      <c r="D1125" s="367"/>
      <c r="E1125" s="370"/>
      <c r="F1125" s="367"/>
      <c r="G1125" s="156"/>
      <c r="H1125" s="371"/>
      <c r="I1125" s="372"/>
      <c r="J1125" s="355"/>
      <c r="K1125" s="356"/>
      <c r="L1125" s="356"/>
      <c r="M1125" s="356"/>
      <c r="N1125" s="356"/>
      <c r="O1125" s="356"/>
      <c r="P1125" s="356"/>
    </row>
    <row r="1126" spans="1:16" ht="18.75" customHeight="1">
      <c r="A1126" s="366"/>
      <c r="B1126" s="367"/>
      <c r="C1126" s="367"/>
      <c r="D1126" s="367"/>
      <c r="E1126" s="367"/>
      <c r="F1126" s="367"/>
      <c r="G1126" s="159"/>
      <c r="H1126" s="368"/>
      <c r="I1126" s="369"/>
      <c r="J1126" s="353"/>
      <c r="K1126" s="356"/>
      <c r="L1126" s="356"/>
      <c r="M1126" s="356"/>
      <c r="N1126" s="356"/>
      <c r="O1126" s="356"/>
      <c r="P1126" s="356"/>
    </row>
    <row r="1127" spans="1:16" ht="18.75" customHeight="1">
      <c r="A1127" s="366"/>
      <c r="B1127" s="367"/>
      <c r="C1127" s="367"/>
      <c r="D1127" s="367"/>
      <c r="E1127" s="370"/>
      <c r="F1127" s="367"/>
      <c r="G1127" s="156"/>
      <c r="H1127" s="371"/>
      <c r="I1127" s="372"/>
      <c r="J1127" s="355"/>
      <c r="K1127" s="356"/>
      <c r="L1127" s="356"/>
      <c r="M1127" s="356"/>
      <c r="N1127" s="356"/>
      <c r="O1127" s="356"/>
      <c r="P1127" s="356"/>
    </row>
    <row r="1128" spans="1:16" ht="18.75" customHeight="1">
      <c r="A1128" s="366"/>
      <c r="B1128" s="367"/>
      <c r="C1128" s="367"/>
      <c r="D1128" s="367"/>
      <c r="E1128" s="367"/>
      <c r="F1128" s="367"/>
      <c r="G1128" s="159"/>
      <c r="H1128" s="368"/>
      <c r="I1128" s="369"/>
      <c r="J1128" s="353"/>
      <c r="K1128" s="356"/>
      <c r="L1128" s="356"/>
      <c r="M1128" s="356"/>
      <c r="N1128" s="356"/>
      <c r="O1128" s="356"/>
      <c r="P1128" s="356"/>
    </row>
    <row r="1129" spans="1:16" ht="18.75" customHeight="1">
      <c r="A1129" s="366"/>
      <c r="B1129" s="367"/>
      <c r="C1129" s="367"/>
      <c r="D1129" s="367"/>
      <c r="E1129" s="370"/>
      <c r="F1129" s="367"/>
      <c r="G1129" s="156"/>
      <c r="H1129" s="371"/>
      <c r="I1129" s="372"/>
      <c r="J1129" s="355"/>
      <c r="K1129" s="356"/>
      <c r="L1129" s="356"/>
      <c r="M1129" s="356"/>
      <c r="N1129" s="356"/>
      <c r="O1129" s="356"/>
      <c r="P1129" s="356"/>
    </row>
    <row r="1130" spans="1:16" ht="18.75" customHeight="1">
      <c r="A1130" s="366"/>
      <c r="B1130" s="367"/>
      <c r="C1130" s="367"/>
      <c r="D1130" s="367"/>
      <c r="E1130" s="367"/>
      <c r="F1130" s="367"/>
      <c r="G1130" s="159"/>
      <c r="H1130" s="368"/>
      <c r="I1130" s="369"/>
      <c r="J1130" s="353"/>
      <c r="K1130" s="356"/>
      <c r="L1130" s="356"/>
      <c r="M1130" s="356"/>
      <c r="N1130" s="356"/>
      <c r="O1130" s="356"/>
      <c r="P1130" s="356"/>
    </row>
    <row r="1131" spans="1:16" ht="18.75" customHeight="1">
      <c r="A1131" s="366"/>
      <c r="B1131" s="367"/>
      <c r="C1131" s="367"/>
      <c r="D1131" s="367"/>
      <c r="E1131" s="370"/>
      <c r="F1131" s="367"/>
      <c r="G1131" s="156"/>
      <c r="H1131" s="371"/>
      <c r="I1131" s="372"/>
      <c r="J1131" s="355"/>
      <c r="K1131" s="356"/>
      <c r="L1131" s="356"/>
      <c r="M1131" s="356"/>
      <c r="N1131" s="356"/>
      <c r="O1131" s="356"/>
      <c r="P1131" s="356"/>
    </row>
    <row r="1132" spans="1:16" ht="18.75" customHeight="1">
      <c r="A1132" s="366"/>
      <c r="B1132" s="367"/>
      <c r="C1132" s="367"/>
      <c r="D1132" s="367"/>
      <c r="E1132" s="367"/>
      <c r="F1132" s="367"/>
      <c r="G1132" s="159"/>
      <c r="H1132" s="368"/>
      <c r="I1132" s="369"/>
      <c r="J1132" s="353"/>
      <c r="K1132" s="356"/>
      <c r="L1132" s="356"/>
      <c r="M1132" s="356"/>
      <c r="N1132" s="356"/>
      <c r="O1132" s="356"/>
      <c r="P1132" s="356"/>
    </row>
    <row r="1133" spans="1:16" ht="18.75" customHeight="1">
      <c r="A1133" s="366"/>
      <c r="B1133" s="367"/>
      <c r="C1133" s="367"/>
      <c r="D1133" s="367"/>
      <c r="E1133" s="370"/>
      <c r="F1133" s="367"/>
      <c r="G1133" s="156"/>
      <c r="H1133" s="371"/>
      <c r="I1133" s="372"/>
      <c r="J1133" s="355"/>
      <c r="K1133" s="356"/>
      <c r="L1133" s="356"/>
      <c r="M1133" s="356"/>
      <c r="N1133" s="356"/>
      <c r="O1133" s="356"/>
      <c r="P1133" s="356"/>
    </row>
    <row r="1134" spans="1:16" ht="18.75" customHeight="1">
      <c r="A1134" s="366"/>
      <c r="B1134" s="367"/>
      <c r="C1134" s="367"/>
      <c r="D1134" s="367"/>
      <c r="E1134" s="367"/>
      <c r="F1134" s="367"/>
      <c r="G1134" s="159"/>
      <c r="H1134" s="368"/>
      <c r="I1134" s="369"/>
      <c r="J1134" s="353"/>
      <c r="K1134" s="356"/>
      <c r="L1134" s="356"/>
      <c r="M1134" s="356"/>
      <c r="N1134" s="356"/>
      <c r="O1134" s="356"/>
      <c r="P1134" s="356"/>
    </row>
    <row r="1135" spans="1:16" ht="18.75" customHeight="1">
      <c r="A1135" s="366"/>
      <c r="B1135" s="367"/>
      <c r="C1135" s="367"/>
      <c r="D1135" s="367"/>
      <c r="E1135" s="370"/>
      <c r="F1135" s="367"/>
      <c r="G1135" s="156"/>
      <c r="H1135" s="371"/>
      <c r="I1135" s="372"/>
      <c r="J1135" s="355"/>
      <c r="K1135" s="356"/>
      <c r="L1135" s="356"/>
      <c r="M1135" s="356"/>
      <c r="N1135" s="356"/>
      <c r="O1135" s="356"/>
      <c r="P1135" s="356"/>
    </row>
    <row r="1136" spans="1:16" ht="18.75" customHeight="1">
      <c r="A1136" s="366"/>
      <c r="B1136" s="367"/>
      <c r="C1136" s="367"/>
      <c r="D1136" s="367"/>
      <c r="E1136" s="367"/>
      <c r="F1136" s="367"/>
      <c r="G1136" s="159"/>
      <c r="H1136" s="368"/>
      <c r="I1136" s="369"/>
      <c r="J1136" s="353"/>
      <c r="K1136" s="356"/>
      <c r="L1136" s="356"/>
      <c r="M1136" s="356"/>
      <c r="N1136" s="356"/>
      <c r="O1136" s="356"/>
      <c r="P1136" s="356"/>
    </row>
    <row r="1137" spans="1:16" ht="18.75" customHeight="1">
      <c r="A1137" s="366"/>
      <c r="B1137" s="367"/>
      <c r="C1137" s="367"/>
      <c r="D1137" s="367"/>
      <c r="E1137" s="370"/>
      <c r="F1137" s="367"/>
      <c r="G1137" s="156"/>
      <c r="H1137" s="371"/>
      <c r="I1137" s="372"/>
      <c r="J1137" s="355"/>
      <c r="K1137" s="356"/>
      <c r="L1137" s="356"/>
      <c r="M1137" s="356"/>
      <c r="N1137" s="356"/>
      <c r="O1137" s="356"/>
      <c r="P1137" s="356"/>
    </row>
    <row r="1138" spans="1:16" ht="18.75" customHeight="1">
      <c r="A1138" s="366"/>
      <c r="B1138" s="367"/>
      <c r="C1138" s="367"/>
      <c r="D1138" s="367"/>
      <c r="E1138" s="367"/>
      <c r="F1138" s="367"/>
      <c r="G1138" s="159"/>
      <c r="H1138" s="368"/>
      <c r="I1138" s="369"/>
      <c r="J1138" s="353"/>
      <c r="K1138" s="356"/>
      <c r="L1138" s="356"/>
      <c r="M1138" s="356"/>
      <c r="N1138" s="356"/>
      <c r="O1138" s="356"/>
      <c r="P1138" s="356"/>
    </row>
    <row r="1139" spans="1:16" ht="18.75" customHeight="1">
      <c r="A1139" s="366"/>
      <c r="B1139" s="367"/>
      <c r="C1139" s="367"/>
      <c r="D1139" s="367"/>
      <c r="E1139" s="370"/>
      <c r="F1139" s="367"/>
      <c r="G1139" s="156"/>
      <c r="H1139" s="371"/>
      <c r="I1139" s="372"/>
      <c r="J1139" s="355"/>
      <c r="K1139" s="356"/>
      <c r="L1139" s="356"/>
      <c r="M1139" s="356"/>
      <c r="N1139" s="356"/>
      <c r="O1139" s="356"/>
      <c r="P1139" s="356"/>
    </row>
    <row r="1140" spans="1:16" ht="18.75" customHeight="1">
      <c r="A1140" s="366"/>
      <c r="B1140" s="367"/>
      <c r="C1140" s="367"/>
      <c r="D1140" s="367"/>
      <c r="E1140" s="367"/>
      <c r="F1140" s="367"/>
      <c r="G1140" s="159"/>
      <c r="H1140" s="368"/>
      <c r="I1140" s="369"/>
      <c r="J1140" s="353"/>
      <c r="K1140" s="356"/>
      <c r="L1140" s="356"/>
      <c r="M1140" s="356"/>
      <c r="N1140" s="356"/>
      <c r="O1140" s="356"/>
      <c r="P1140" s="356"/>
    </row>
    <row r="1141" spans="1:16" ht="18.75" customHeight="1">
      <c r="A1141" s="366"/>
      <c r="B1141" s="367"/>
      <c r="C1141" s="367"/>
      <c r="D1141" s="367"/>
      <c r="E1141" s="370"/>
      <c r="F1141" s="367"/>
      <c r="G1141" s="156"/>
      <c r="H1141" s="371"/>
      <c r="I1141" s="372"/>
      <c r="J1141" s="355"/>
      <c r="K1141" s="356"/>
      <c r="L1141" s="356"/>
      <c r="M1141" s="356"/>
      <c r="N1141" s="356"/>
      <c r="O1141" s="356"/>
      <c r="P1141" s="356"/>
    </row>
    <row r="1142" spans="1:16" ht="18.75" customHeight="1">
      <c r="A1142" s="366"/>
      <c r="B1142" s="367"/>
      <c r="C1142" s="367"/>
      <c r="D1142" s="367"/>
      <c r="E1142" s="367"/>
      <c r="F1142" s="367"/>
      <c r="G1142" s="159"/>
      <c r="H1142" s="368"/>
      <c r="I1142" s="369"/>
      <c r="J1142" s="353"/>
      <c r="K1142" s="356"/>
      <c r="L1142" s="356"/>
      <c r="M1142" s="356"/>
      <c r="N1142" s="356"/>
      <c r="O1142" s="356"/>
      <c r="P1142" s="356"/>
    </row>
    <row r="1143" spans="1:16" ht="18.75" customHeight="1">
      <c r="A1143" s="366"/>
      <c r="B1143" s="367"/>
      <c r="C1143" s="367"/>
      <c r="D1143" s="367"/>
      <c r="E1143" s="370"/>
      <c r="F1143" s="367"/>
      <c r="G1143" s="156"/>
      <c r="H1143" s="371"/>
      <c r="I1143" s="372"/>
      <c r="J1143" s="355"/>
      <c r="K1143" s="356"/>
      <c r="L1143" s="356"/>
      <c r="M1143" s="356"/>
      <c r="N1143" s="356"/>
      <c r="O1143" s="356"/>
      <c r="P1143" s="356"/>
    </row>
    <row r="1144" spans="1:16" ht="18.75" customHeight="1">
      <c r="A1144" s="366"/>
      <c r="B1144" s="367"/>
      <c r="C1144" s="367"/>
      <c r="D1144" s="367"/>
      <c r="E1144" s="367"/>
      <c r="F1144" s="367"/>
      <c r="G1144" s="159"/>
      <c r="H1144" s="368"/>
      <c r="I1144" s="369"/>
      <c r="J1144" s="353"/>
      <c r="K1144" s="356"/>
      <c r="L1144" s="356"/>
      <c r="M1144" s="356"/>
      <c r="N1144" s="356"/>
      <c r="O1144" s="356"/>
      <c r="P1144" s="356"/>
    </row>
    <row r="1145" spans="1:16" ht="18.75" customHeight="1">
      <c r="A1145" s="366"/>
      <c r="B1145" s="367"/>
      <c r="C1145" s="367"/>
      <c r="D1145" s="367"/>
      <c r="E1145" s="370"/>
      <c r="F1145" s="367"/>
      <c r="G1145" s="156"/>
      <c r="H1145" s="371"/>
      <c r="I1145" s="372"/>
      <c r="J1145" s="355"/>
      <c r="K1145" s="356"/>
      <c r="L1145" s="356"/>
      <c r="M1145" s="356"/>
      <c r="N1145" s="356"/>
      <c r="O1145" s="356"/>
      <c r="P1145" s="356"/>
    </row>
    <row r="1146" spans="1:16" ht="18.75" customHeight="1">
      <c r="A1146" s="366"/>
      <c r="B1146" s="367"/>
      <c r="C1146" s="367"/>
      <c r="D1146" s="367"/>
      <c r="E1146" s="367"/>
      <c r="F1146" s="367"/>
      <c r="G1146" s="159"/>
      <c r="H1146" s="368"/>
      <c r="I1146" s="369"/>
      <c r="J1146" s="353"/>
      <c r="K1146" s="356"/>
      <c r="L1146" s="356"/>
      <c r="M1146" s="356"/>
      <c r="N1146" s="356"/>
      <c r="O1146" s="356"/>
      <c r="P1146" s="356"/>
    </row>
    <row r="1147" spans="1:16" ht="18.75" customHeight="1">
      <c r="A1147" s="366"/>
      <c r="B1147" s="367"/>
      <c r="C1147" s="367"/>
      <c r="D1147" s="367"/>
      <c r="E1147" s="370"/>
      <c r="F1147" s="367"/>
      <c r="G1147" s="156"/>
      <c r="H1147" s="371"/>
      <c r="I1147" s="372"/>
      <c r="J1147" s="355"/>
      <c r="K1147" s="356"/>
      <c r="L1147" s="356"/>
      <c r="M1147" s="356"/>
      <c r="N1147" s="356"/>
      <c r="O1147" s="356"/>
      <c r="P1147" s="356"/>
    </row>
    <row r="1148" spans="1:16" ht="18.75" customHeight="1">
      <c r="A1148" s="366"/>
      <c r="B1148" s="367"/>
      <c r="C1148" s="367"/>
      <c r="D1148" s="367"/>
      <c r="E1148" s="367"/>
      <c r="F1148" s="367"/>
      <c r="G1148" s="159"/>
      <c r="H1148" s="368"/>
      <c r="I1148" s="369"/>
      <c r="J1148" s="353"/>
      <c r="K1148" s="356"/>
      <c r="L1148" s="356"/>
      <c r="M1148" s="356"/>
      <c r="N1148" s="356"/>
      <c r="O1148" s="356"/>
      <c r="P1148" s="356"/>
    </row>
    <row r="1149" spans="1:16" ht="18.75" customHeight="1">
      <c r="A1149" s="366"/>
      <c r="B1149" s="367"/>
      <c r="C1149" s="367"/>
      <c r="D1149" s="367"/>
      <c r="E1149" s="370"/>
      <c r="F1149" s="367"/>
      <c r="G1149" s="156"/>
      <c r="H1149" s="371"/>
      <c r="I1149" s="372"/>
      <c r="J1149" s="355"/>
      <c r="K1149" s="356"/>
      <c r="L1149" s="356"/>
      <c r="M1149" s="356"/>
      <c r="N1149" s="356"/>
      <c r="O1149" s="356"/>
      <c r="P1149" s="356"/>
    </row>
    <row r="1150" spans="1:16" ht="18.75" customHeight="1">
      <c r="A1150" s="366"/>
      <c r="B1150" s="367"/>
      <c r="C1150" s="367"/>
      <c r="D1150" s="367"/>
      <c r="E1150" s="367"/>
      <c r="F1150" s="367"/>
      <c r="G1150" s="159"/>
      <c r="H1150" s="368"/>
      <c r="I1150" s="369"/>
      <c r="J1150" s="353"/>
      <c r="K1150" s="356"/>
      <c r="L1150" s="356"/>
      <c r="M1150" s="356"/>
      <c r="N1150" s="356"/>
      <c r="O1150" s="356"/>
      <c r="P1150" s="356"/>
    </row>
    <row r="1151" spans="1:16" ht="18.75" customHeight="1">
      <c r="A1151" s="366"/>
      <c r="B1151" s="367"/>
      <c r="C1151" s="367"/>
      <c r="D1151" s="367"/>
      <c r="E1151" s="370"/>
      <c r="F1151" s="367"/>
      <c r="G1151" s="156"/>
      <c r="H1151" s="371"/>
      <c r="I1151" s="372"/>
      <c r="J1151" s="355"/>
      <c r="K1151" s="356"/>
      <c r="L1151" s="356"/>
      <c r="M1151" s="356"/>
      <c r="N1151" s="356"/>
      <c r="O1151" s="356"/>
      <c r="P1151" s="356"/>
    </row>
    <row r="1152" spans="1:16" ht="18.75" customHeight="1">
      <c r="A1152" s="366"/>
      <c r="B1152" s="367"/>
      <c r="C1152" s="367"/>
      <c r="D1152" s="367"/>
      <c r="E1152" s="367"/>
      <c r="F1152" s="367"/>
      <c r="G1152" s="159"/>
      <c r="H1152" s="368"/>
      <c r="I1152" s="369"/>
      <c r="J1152" s="353"/>
      <c r="K1152" s="356"/>
      <c r="L1152" s="356"/>
      <c r="M1152" s="356"/>
      <c r="N1152" s="356"/>
      <c r="O1152" s="356"/>
      <c r="P1152" s="356"/>
    </row>
    <row r="1153" spans="1:16" ht="18.75" customHeight="1">
      <c r="A1153" s="366"/>
      <c r="B1153" s="367"/>
      <c r="C1153" s="367"/>
      <c r="D1153" s="367"/>
      <c r="E1153" s="370"/>
      <c r="F1153" s="367"/>
      <c r="G1153" s="156"/>
      <c r="H1153" s="371"/>
      <c r="I1153" s="372"/>
      <c r="J1153" s="355"/>
      <c r="K1153" s="356"/>
      <c r="L1153" s="356"/>
      <c r="M1153" s="356"/>
      <c r="N1153" s="356"/>
      <c r="O1153" s="356"/>
      <c r="P1153" s="356"/>
    </row>
    <row r="1154" spans="1:16" ht="18.75" customHeight="1">
      <c r="A1154" s="366"/>
      <c r="B1154" s="367"/>
      <c r="C1154" s="367"/>
      <c r="D1154" s="367"/>
      <c r="E1154" s="367"/>
      <c r="F1154" s="367"/>
      <c r="G1154" s="159"/>
      <c r="H1154" s="368"/>
      <c r="I1154" s="369"/>
      <c r="J1154" s="353"/>
      <c r="K1154" s="356"/>
      <c r="L1154" s="356"/>
      <c r="M1154" s="356"/>
      <c r="N1154" s="356"/>
      <c r="O1154" s="356"/>
      <c r="P1154" s="356"/>
    </row>
    <row r="1155" spans="1:16" ht="18.75" customHeight="1">
      <c r="A1155" s="366"/>
      <c r="B1155" s="367"/>
      <c r="C1155" s="367"/>
      <c r="D1155" s="367"/>
      <c r="E1155" s="370"/>
      <c r="F1155" s="367"/>
      <c r="G1155" s="156"/>
      <c r="H1155" s="371"/>
      <c r="I1155" s="372"/>
      <c r="J1155" s="355"/>
      <c r="K1155" s="356"/>
      <c r="L1155" s="356"/>
      <c r="M1155" s="356"/>
      <c r="N1155" s="356"/>
      <c r="O1155" s="356"/>
      <c r="P1155" s="356"/>
    </row>
    <row r="1156" spans="1:16" ht="18.75" customHeight="1">
      <c r="A1156" s="366"/>
      <c r="B1156" s="367"/>
      <c r="C1156" s="367"/>
      <c r="D1156" s="367"/>
      <c r="E1156" s="367"/>
      <c r="F1156" s="367"/>
      <c r="G1156" s="159"/>
      <c r="H1156" s="368"/>
      <c r="I1156" s="369"/>
      <c r="J1156" s="353"/>
      <c r="K1156" s="356"/>
      <c r="L1156" s="356"/>
      <c r="M1156" s="356"/>
      <c r="N1156" s="356"/>
      <c r="O1156" s="356"/>
      <c r="P1156" s="356"/>
    </row>
    <row r="1157" spans="1:16" ht="18.75" customHeight="1">
      <c r="A1157" s="366"/>
      <c r="B1157" s="367"/>
      <c r="C1157" s="367"/>
      <c r="D1157" s="367"/>
      <c r="E1157" s="370"/>
      <c r="F1157" s="367"/>
      <c r="G1157" s="156"/>
      <c r="H1157" s="371"/>
      <c r="I1157" s="372"/>
      <c r="J1157" s="355"/>
      <c r="K1157" s="356"/>
      <c r="L1157" s="356"/>
      <c r="M1157" s="356"/>
      <c r="N1157" s="356"/>
      <c r="O1157" s="356"/>
      <c r="P1157" s="356"/>
    </row>
    <row r="1158" spans="1:16" ht="18.75" customHeight="1">
      <c r="A1158" s="366"/>
      <c r="B1158" s="367"/>
      <c r="C1158" s="367"/>
      <c r="D1158" s="367"/>
      <c r="E1158" s="367"/>
      <c r="F1158" s="367"/>
      <c r="G1158" s="159"/>
      <c r="H1158" s="368"/>
      <c r="I1158" s="369"/>
      <c r="J1158" s="353"/>
      <c r="K1158" s="356"/>
      <c r="L1158" s="356"/>
      <c r="M1158" s="356"/>
      <c r="N1158" s="356"/>
      <c r="O1158" s="356"/>
      <c r="P1158" s="356"/>
    </row>
    <row r="1159" spans="1:16" ht="18.75" customHeight="1">
      <c r="A1159" s="366"/>
      <c r="B1159" s="367"/>
      <c r="C1159" s="367"/>
      <c r="D1159" s="367"/>
      <c r="E1159" s="370"/>
      <c r="F1159" s="367"/>
      <c r="G1159" s="156"/>
      <c r="H1159" s="371"/>
      <c r="I1159" s="372"/>
      <c r="J1159" s="355"/>
      <c r="K1159" s="356"/>
      <c r="L1159" s="356"/>
      <c r="M1159" s="356"/>
      <c r="N1159" s="356"/>
      <c r="O1159" s="356"/>
      <c r="P1159" s="356"/>
    </row>
    <row r="1160" spans="1:16" ht="18.75" customHeight="1">
      <c r="A1160" s="366"/>
      <c r="B1160" s="367"/>
      <c r="C1160" s="367"/>
      <c r="D1160" s="367"/>
      <c r="E1160" s="367"/>
      <c r="F1160" s="367"/>
      <c r="G1160" s="159"/>
      <c r="H1160" s="368"/>
      <c r="I1160" s="369"/>
      <c r="J1160" s="353"/>
      <c r="K1160" s="356"/>
      <c r="L1160" s="356"/>
      <c r="M1160" s="356"/>
      <c r="N1160" s="356"/>
      <c r="O1160" s="356"/>
      <c r="P1160" s="356"/>
    </row>
    <row r="1161" spans="1:16" ht="18.75" customHeight="1">
      <c r="A1161" s="366"/>
      <c r="B1161" s="367"/>
      <c r="C1161" s="367"/>
      <c r="D1161" s="367"/>
      <c r="E1161" s="370"/>
      <c r="F1161" s="367"/>
      <c r="G1161" s="156"/>
      <c r="H1161" s="371"/>
      <c r="I1161" s="372"/>
      <c r="J1161" s="355"/>
      <c r="K1161" s="356"/>
      <c r="L1161" s="356"/>
      <c r="M1161" s="356"/>
      <c r="N1161" s="356"/>
      <c r="O1161" s="356"/>
      <c r="P1161" s="356"/>
    </row>
    <row r="1162" spans="1:16" ht="18.75" customHeight="1">
      <c r="A1162" s="366"/>
      <c r="B1162" s="367"/>
      <c r="C1162" s="367"/>
      <c r="D1162" s="367"/>
      <c r="E1162" s="367"/>
      <c r="F1162" s="367"/>
      <c r="G1162" s="159"/>
      <c r="H1162" s="368"/>
      <c r="I1162" s="369"/>
      <c r="J1162" s="353"/>
      <c r="K1162" s="356"/>
      <c r="L1162" s="356"/>
      <c r="M1162" s="356"/>
      <c r="N1162" s="356"/>
      <c r="O1162" s="356"/>
      <c r="P1162" s="356"/>
    </row>
    <row r="1163" spans="1:16" ht="18.75" customHeight="1">
      <c r="A1163" s="366"/>
      <c r="B1163" s="367"/>
      <c r="C1163" s="367"/>
      <c r="D1163" s="367"/>
      <c r="E1163" s="370"/>
      <c r="F1163" s="367"/>
      <c r="G1163" s="156"/>
      <c r="H1163" s="371"/>
      <c r="I1163" s="372"/>
      <c r="J1163" s="355"/>
      <c r="K1163" s="356"/>
      <c r="L1163" s="356"/>
      <c r="M1163" s="356"/>
      <c r="N1163" s="356"/>
      <c r="O1163" s="356"/>
      <c r="P1163" s="356"/>
    </row>
    <row r="1164" spans="1:16" ht="18.75" customHeight="1">
      <c r="A1164" s="366"/>
      <c r="B1164" s="367"/>
      <c r="C1164" s="367"/>
      <c r="D1164" s="367"/>
      <c r="E1164" s="367"/>
      <c r="F1164" s="367"/>
      <c r="G1164" s="159"/>
      <c r="H1164" s="368"/>
      <c r="I1164" s="369"/>
      <c r="J1164" s="353"/>
      <c r="K1164" s="356"/>
      <c r="L1164" s="356"/>
      <c r="M1164" s="356"/>
      <c r="N1164" s="356"/>
      <c r="O1164" s="356"/>
      <c r="P1164" s="356"/>
    </row>
    <row r="1165" spans="1:16" ht="18.75" customHeight="1">
      <c r="A1165" s="366"/>
      <c r="B1165" s="367"/>
      <c r="C1165" s="367"/>
      <c r="D1165" s="367"/>
      <c r="E1165" s="370"/>
      <c r="F1165" s="367"/>
      <c r="G1165" s="156"/>
      <c r="H1165" s="371"/>
      <c r="I1165" s="372"/>
      <c r="J1165" s="355"/>
      <c r="K1165" s="356"/>
      <c r="L1165" s="356"/>
      <c r="M1165" s="356"/>
      <c r="N1165" s="356"/>
      <c r="O1165" s="356"/>
      <c r="P1165" s="356"/>
    </row>
    <row r="1166" spans="1:16" ht="18.75" customHeight="1">
      <c r="A1166" s="366"/>
      <c r="B1166" s="367"/>
      <c r="C1166" s="367"/>
      <c r="D1166" s="367"/>
      <c r="E1166" s="367"/>
      <c r="F1166" s="367"/>
      <c r="G1166" s="159"/>
      <c r="H1166" s="368"/>
      <c r="I1166" s="369"/>
      <c r="J1166" s="353"/>
      <c r="K1166" s="356"/>
      <c r="L1166" s="356"/>
      <c r="M1166" s="356"/>
      <c r="N1166" s="356"/>
      <c r="O1166" s="356"/>
      <c r="P1166" s="356"/>
    </row>
    <row r="1167" spans="1:16" ht="18.75" customHeight="1">
      <c r="A1167" s="366"/>
      <c r="B1167" s="367"/>
      <c r="C1167" s="367"/>
      <c r="D1167" s="367"/>
      <c r="E1167" s="370"/>
      <c r="F1167" s="367"/>
      <c r="G1167" s="156"/>
      <c r="H1167" s="371"/>
      <c r="I1167" s="372"/>
      <c r="J1167" s="355"/>
      <c r="K1167" s="356"/>
      <c r="L1167" s="356"/>
      <c r="M1167" s="356"/>
      <c r="N1167" s="356"/>
      <c r="O1167" s="356"/>
      <c r="P1167" s="356"/>
    </row>
    <row r="1168" spans="1:16" ht="18.75" customHeight="1">
      <c r="A1168" s="366"/>
      <c r="B1168" s="367"/>
      <c r="C1168" s="367"/>
      <c r="D1168" s="367"/>
      <c r="E1168" s="367"/>
      <c r="F1168" s="367"/>
      <c r="G1168" s="159"/>
      <c r="H1168" s="368"/>
      <c r="I1168" s="369"/>
      <c r="J1168" s="353"/>
      <c r="K1168" s="356"/>
      <c r="L1168" s="356"/>
      <c r="M1168" s="356"/>
      <c r="N1168" s="356"/>
      <c r="O1168" s="356"/>
      <c r="P1168" s="356"/>
    </row>
    <row r="1169" spans="1:16" ht="18.75" customHeight="1">
      <c r="A1169" s="366"/>
      <c r="B1169" s="367"/>
      <c r="C1169" s="367"/>
      <c r="D1169" s="367"/>
      <c r="E1169" s="370"/>
      <c r="F1169" s="367"/>
      <c r="G1169" s="156"/>
      <c r="H1169" s="371"/>
      <c r="I1169" s="372"/>
      <c r="J1169" s="355"/>
      <c r="K1169" s="356"/>
      <c r="L1169" s="356"/>
      <c r="M1169" s="356"/>
      <c r="N1169" s="356"/>
      <c r="O1169" s="356"/>
      <c r="P1169" s="356"/>
    </row>
    <row r="1170" spans="1:16" ht="18.75" customHeight="1">
      <c r="A1170" s="366"/>
      <c r="B1170" s="367"/>
      <c r="C1170" s="367"/>
      <c r="D1170" s="367"/>
      <c r="E1170" s="367"/>
      <c r="F1170" s="367"/>
      <c r="G1170" s="159"/>
      <c r="H1170" s="368"/>
      <c r="I1170" s="369"/>
      <c r="J1170" s="353"/>
      <c r="K1170" s="356"/>
      <c r="L1170" s="356"/>
      <c r="M1170" s="356"/>
      <c r="N1170" s="356"/>
      <c r="O1170" s="356"/>
      <c r="P1170" s="356"/>
    </row>
    <row r="1171" spans="1:16" ht="18.75" customHeight="1">
      <c r="A1171" s="366"/>
      <c r="B1171" s="367"/>
      <c r="C1171" s="367"/>
      <c r="D1171" s="367"/>
      <c r="E1171" s="370"/>
      <c r="F1171" s="367"/>
      <c r="G1171" s="156"/>
      <c r="H1171" s="371"/>
      <c r="I1171" s="372"/>
      <c r="J1171" s="355"/>
      <c r="K1171" s="356"/>
      <c r="L1171" s="356"/>
      <c r="M1171" s="356"/>
      <c r="N1171" s="356"/>
      <c r="O1171" s="356"/>
      <c r="P1171" s="356"/>
    </row>
    <row r="1172" spans="1:16" ht="18.75" customHeight="1">
      <c r="A1172" s="366"/>
      <c r="B1172" s="367"/>
      <c r="C1172" s="367"/>
      <c r="D1172" s="367"/>
      <c r="E1172" s="367"/>
      <c r="F1172" s="367"/>
      <c r="G1172" s="159"/>
      <c r="H1172" s="368"/>
      <c r="I1172" s="369"/>
      <c r="J1172" s="353"/>
      <c r="K1172" s="356"/>
      <c r="L1172" s="356"/>
      <c r="M1172" s="356"/>
      <c r="N1172" s="356"/>
      <c r="O1172" s="356"/>
      <c r="P1172" s="356"/>
    </row>
    <row r="1173" spans="1:16" ht="18.75" customHeight="1">
      <c r="A1173" s="366"/>
      <c r="B1173" s="367"/>
      <c r="C1173" s="367"/>
      <c r="D1173" s="367"/>
      <c r="E1173" s="370"/>
      <c r="F1173" s="367"/>
      <c r="G1173" s="156"/>
      <c r="H1173" s="371"/>
      <c r="I1173" s="372"/>
      <c r="J1173" s="355"/>
      <c r="K1173" s="356"/>
      <c r="L1173" s="356"/>
      <c r="M1173" s="356"/>
      <c r="N1173" s="356"/>
      <c r="O1173" s="356"/>
      <c r="P1173" s="356"/>
    </row>
    <row r="1174" spans="1:16" ht="18.75" customHeight="1">
      <c r="A1174" s="366"/>
      <c r="B1174" s="367"/>
      <c r="C1174" s="367"/>
      <c r="D1174" s="367"/>
      <c r="E1174" s="367"/>
      <c r="F1174" s="367"/>
      <c r="G1174" s="159"/>
      <c r="H1174" s="368"/>
      <c r="I1174" s="369"/>
      <c r="J1174" s="353"/>
      <c r="K1174" s="356"/>
      <c r="L1174" s="356"/>
      <c r="M1174" s="356"/>
      <c r="N1174" s="356"/>
      <c r="O1174" s="356"/>
      <c r="P1174" s="356"/>
    </row>
    <row r="1175" spans="1:16" ht="18.75" customHeight="1">
      <c r="A1175" s="366"/>
      <c r="B1175" s="367"/>
      <c r="C1175" s="367"/>
      <c r="D1175" s="367"/>
      <c r="E1175" s="370"/>
      <c r="F1175" s="367"/>
      <c r="G1175" s="156"/>
      <c r="H1175" s="371"/>
      <c r="I1175" s="372"/>
      <c r="J1175" s="355"/>
      <c r="K1175" s="356"/>
      <c r="L1175" s="356"/>
      <c r="M1175" s="356"/>
      <c r="N1175" s="356"/>
      <c r="O1175" s="356"/>
      <c r="P1175" s="356"/>
    </row>
    <row r="1176" spans="1:16" ht="18.75" customHeight="1">
      <c r="A1176" s="366"/>
      <c r="B1176" s="367"/>
      <c r="C1176" s="367"/>
      <c r="D1176" s="367"/>
      <c r="E1176" s="367"/>
      <c r="F1176" s="367"/>
      <c r="G1176" s="159"/>
      <c r="H1176" s="368"/>
      <c r="I1176" s="369"/>
      <c r="J1176" s="353"/>
      <c r="K1176" s="356"/>
      <c r="L1176" s="356"/>
      <c r="M1176" s="356"/>
      <c r="N1176" s="356"/>
      <c r="O1176" s="356"/>
      <c r="P1176" s="356"/>
    </row>
    <row r="1177" spans="1:16" ht="18.75" customHeight="1">
      <c r="A1177" s="366"/>
      <c r="B1177" s="367"/>
      <c r="C1177" s="367"/>
      <c r="D1177" s="367"/>
      <c r="E1177" s="370"/>
      <c r="F1177" s="367"/>
      <c r="G1177" s="156"/>
      <c r="H1177" s="371"/>
      <c r="I1177" s="372"/>
      <c r="J1177" s="355"/>
      <c r="K1177" s="356"/>
      <c r="L1177" s="356"/>
      <c r="M1177" s="356"/>
      <c r="N1177" s="356"/>
      <c r="O1177" s="356"/>
      <c r="P1177" s="356"/>
    </row>
    <row r="1178" spans="1:16" ht="18.75" customHeight="1">
      <c r="A1178" s="366"/>
      <c r="B1178" s="367"/>
      <c r="C1178" s="367"/>
      <c r="D1178" s="367"/>
      <c r="E1178" s="367"/>
      <c r="F1178" s="367"/>
      <c r="G1178" s="159"/>
      <c r="H1178" s="368"/>
      <c r="I1178" s="369"/>
      <c r="J1178" s="353"/>
      <c r="K1178" s="356"/>
      <c r="L1178" s="356"/>
      <c r="M1178" s="356"/>
      <c r="N1178" s="356"/>
      <c r="O1178" s="356"/>
      <c r="P1178" s="356"/>
    </row>
    <row r="1179" spans="1:16" ht="18.75" customHeight="1">
      <c r="A1179" s="366"/>
      <c r="B1179" s="367"/>
      <c r="C1179" s="367"/>
      <c r="D1179" s="367"/>
      <c r="E1179" s="370"/>
      <c r="F1179" s="367"/>
      <c r="G1179" s="156"/>
      <c r="H1179" s="371"/>
      <c r="I1179" s="372"/>
      <c r="J1179" s="355"/>
      <c r="K1179" s="356"/>
      <c r="L1179" s="356"/>
      <c r="M1179" s="356"/>
      <c r="N1179" s="356"/>
      <c r="O1179" s="356"/>
      <c r="P1179" s="356"/>
    </row>
    <row r="1180" spans="1:16" ht="18.75" customHeight="1">
      <c r="A1180" s="366"/>
      <c r="B1180" s="367"/>
      <c r="C1180" s="367"/>
      <c r="D1180" s="367"/>
      <c r="E1180" s="367"/>
      <c r="F1180" s="367"/>
      <c r="G1180" s="159"/>
      <c r="H1180" s="368"/>
      <c r="I1180" s="369"/>
      <c r="J1180" s="353"/>
      <c r="K1180" s="356"/>
      <c r="L1180" s="356"/>
      <c r="M1180" s="356"/>
      <c r="N1180" s="356"/>
      <c r="O1180" s="356"/>
      <c r="P1180" s="356"/>
    </row>
    <row r="1181" spans="1:16" ht="18.75" customHeight="1">
      <c r="A1181" s="366"/>
      <c r="B1181" s="367"/>
      <c r="C1181" s="367"/>
      <c r="D1181" s="367"/>
      <c r="E1181" s="370"/>
      <c r="F1181" s="367"/>
      <c r="G1181" s="156"/>
      <c r="H1181" s="371"/>
      <c r="I1181" s="372"/>
      <c r="J1181" s="355"/>
      <c r="K1181" s="356"/>
      <c r="L1181" s="356"/>
      <c r="M1181" s="356"/>
      <c r="N1181" s="356"/>
      <c r="O1181" s="356"/>
      <c r="P1181" s="356"/>
    </row>
    <row r="1182" spans="1:16" ht="18.75" customHeight="1">
      <c r="A1182" s="366"/>
      <c r="B1182" s="367"/>
      <c r="C1182" s="367"/>
      <c r="D1182" s="367"/>
      <c r="E1182" s="367"/>
      <c r="F1182" s="367"/>
      <c r="G1182" s="159"/>
      <c r="H1182" s="368"/>
      <c r="I1182" s="369"/>
      <c r="J1182" s="353"/>
      <c r="K1182" s="356"/>
      <c r="L1182" s="356"/>
      <c r="M1182" s="356"/>
      <c r="N1182" s="356"/>
      <c r="O1182" s="356"/>
      <c r="P1182" s="356"/>
    </row>
    <row r="1183" spans="1:16" ht="18.75" customHeight="1">
      <c r="A1183" s="366"/>
      <c r="B1183" s="367"/>
      <c r="C1183" s="367"/>
      <c r="D1183" s="367"/>
      <c r="E1183" s="370"/>
      <c r="F1183" s="367"/>
      <c r="G1183" s="156"/>
      <c r="H1183" s="371"/>
      <c r="I1183" s="372"/>
      <c r="J1183" s="355"/>
      <c r="K1183" s="356"/>
      <c r="L1183" s="356"/>
      <c r="M1183" s="356"/>
      <c r="N1183" s="356"/>
      <c r="O1183" s="356"/>
      <c r="P1183" s="356"/>
    </row>
    <row r="1184" spans="1:16" ht="18.75" customHeight="1">
      <c r="A1184" s="366"/>
      <c r="B1184" s="367"/>
      <c r="C1184" s="367"/>
      <c r="D1184" s="367"/>
      <c r="E1184" s="367"/>
      <c r="F1184" s="367"/>
      <c r="G1184" s="159"/>
      <c r="H1184" s="368"/>
      <c r="I1184" s="369"/>
      <c r="J1184" s="353"/>
      <c r="K1184" s="356"/>
      <c r="L1184" s="356"/>
      <c r="M1184" s="356"/>
      <c r="N1184" s="356"/>
      <c r="O1184" s="356"/>
      <c r="P1184" s="356"/>
    </row>
    <row r="1185" spans="1:16" ht="18.75" customHeight="1">
      <c r="A1185" s="366"/>
      <c r="B1185" s="367"/>
      <c r="C1185" s="367"/>
      <c r="D1185" s="367"/>
      <c r="E1185" s="370"/>
      <c r="F1185" s="367"/>
      <c r="G1185" s="156"/>
      <c r="H1185" s="371"/>
      <c r="I1185" s="372"/>
      <c r="J1185" s="355"/>
      <c r="K1185" s="356"/>
      <c r="L1185" s="356"/>
      <c r="M1185" s="356"/>
      <c r="N1185" s="356"/>
      <c r="O1185" s="356"/>
      <c r="P1185" s="356"/>
    </row>
    <row r="1186" spans="1:16" ht="18.75" customHeight="1">
      <c r="A1186" s="366"/>
      <c r="B1186" s="367"/>
      <c r="C1186" s="367"/>
      <c r="D1186" s="367"/>
      <c r="E1186" s="367"/>
      <c r="F1186" s="367"/>
      <c r="G1186" s="159"/>
      <c r="H1186" s="368"/>
      <c r="I1186" s="369"/>
      <c r="J1186" s="353"/>
      <c r="K1186" s="356"/>
      <c r="L1186" s="356"/>
      <c r="M1186" s="356"/>
      <c r="N1186" s="356"/>
      <c r="O1186" s="356"/>
      <c r="P1186" s="356"/>
    </row>
    <row r="1187" spans="1:16" ht="18.75" customHeight="1">
      <c r="A1187" s="366"/>
      <c r="B1187" s="367"/>
      <c r="C1187" s="367"/>
      <c r="D1187" s="367"/>
      <c r="E1187" s="370"/>
      <c r="F1187" s="367"/>
      <c r="G1187" s="156"/>
      <c r="H1187" s="371"/>
      <c r="I1187" s="372"/>
      <c r="J1187" s="355"/>
      <c r="K1187" s="356"/>
      <c r="L1187" s="356"/>
      <c r="M1187" s="356"/>
      <c r="N1187" s="356"/>
      <c r="O1187" s="356"/>
      <c r="P1187" s="356"/>
    </row>
    <row r="1188" spans="1:16" ht="18.75" customHeight="1">
      <c r="A1188" s="366"/>
      <c r="B1188" s="367"/>
      <c r="C1188" s="367"/>
      <c r="D1188" s="367"/>
      <c r="E1188" s="367"/>
      <c r="F1188" s="367"/>
      <c r="G1188" s="159"/>
      <c r="H1188" s="368"/>
      <c r="I1188" s="369"/>
      <c r="J1188" s="353"/>
      <c r="K1188" s="356"/>
      <c r="L1188" s="356"/>
      <c r="M1188" s="356"/>
      <c r="N1188" s="356"/>
      <c r="O1188" s="356"/>
      <c r="P1188" s="356"/>
    </row>
    <row r="1189" spans="1:16" ht="18.75" customHeight="1">
      <c r="A1189" s="366"/>
      <c r="B1189" s="367"/>
      <c r="C1189" s="367"/>
      <c r="D1189" s="367"/>
      <c r="E1189" s="370"/>
      <c r="F1189" s="367"/>
      <c r="G1189" s="156"/>
      <c r="H1189" s="371"/>
      <c r="I1189" s="372"/>
      <c r="J1189" s="355"/>
      <c r="K1189" s="356"/>
      <c r="L1189" s="356"/>
      <c r="M1189" s="356"/>
      <c r="N1189" s="356"/>
      <c r="O1189" s="356"/>
      <c r="P1189" s="356"/>
    </row>
    <row r="1190" spans="1:16" ht="18.75" customHeight="1">
      <c r="A1190" s="366"/>
      <c r="B1190" s="367"/>
      <c r="C1190" s="367"/>
      <c r="D1190" s="367"/>
      <c r="E1190" s="367"/>
      <c r="F1190" s="367"/>
      <c r="G1190" s="159"/>
      <c r="H1190" s="368"/>
      <c r="I1190" s="369"/>
      <c r="J1190" s="353"/>
      <c r="K1190" s="356"/>
      <c r="L1190" s="356"/>
      <c r="M1190" s="356"/>
      <c r="N1190" s="356"/>
      <c r="O1190" s="356"/>
      <c r="P1190" s="356"/>
    </row>
    <row r="1191" spans="1:16" ht="18.75" customHeight="1">
      <c r="A1191" s="366"/>
      <c r="B1191" s="367"/>
      <c r="C1191" s="367"/>
      <c r="D1191" s="367"/>
      <c r="E1191" s="370"/>
      <c r="F1191" s="367"/>
      <c r="G1191" s="156"/>
      <c r="H1191" s="371"/>
      <c r="I1191" s="372"/>
      <c r="J1191" s="355"/>
      <c r="K1191" s="356"/>
      <c r="L1191" s="356"/>
      <c r="M1191" s="356"/>
      <c r="N1191" s="356"/>
      <c r="O1191" s="356"/>
      <c r="P1191" s="356"/>
    </row>
    <row r="1192" spans="1:16" ht="18.75" customHeight="1">
      <c r="A1192" s="366"/>
      <c r="B1192" s="367"/>
      <c r="C1192" s="367"/>
      <c r="D1192" s="367"/>
      <c r="E1192" s="367"/>
      <c r="F1192" s="367"/>
      <c r="G1192" s="159"/>
      <c r="H1192" s="368"/>
      <c r="I1192" s="369"/>
      <c r="J1192" s="353"/>
      <c r="K1192" s="356"/>
      <c r="L1192" s="356"/>
      <c r="M1192" s="356"/>
      <c r="N1192" s="356"/>
      <c r="O1192" s="356"/>
      <c r="P1192" s="356"/>
    </row>
    <row r="1193" spans="1:16" ht="18.75" customHeight="1">
      <c r="A1193" s="366"/>
      <c r="B1193" s="367"/>
      <c r="C1193" s="367"/>
      <c r="D1193" s="367"/>
      <c r="E1193" s="370"/>
      <c r="F1193" s="367"/>
      <c r="G1193" s="156"/>
      <c r="H1193" s="371"/>
      <c r="I1193" s="372"/>
      <c r="J1193" s="355"/>
      <c r="K1193" s="356"/>
      <c r="L1193" s="356"/>
      <c r="M1193" s="356"/>
      <c r="N1193" s="356"/>
      <c r="O1193" s="356"/>
      <c r="P1193" s="356"/>
    </row>
    <row r="1194" spans="1:16" ht="18.75" customHeight="1">
      <c r="A1194" s="366"/>
      <c r="B1194" s="367"/>
      <c r="C1194" s="367"/>
      <c r="D1194" s="367"/>
      <c r="E1194" s="367"/>
      <c r="F1194" s="367"/>
      <c r="G1194" s="159"/>
      <c r="H1194" s="368"/>
      <c r="I1194" s="369"/>
      <c r="J1194" s="353"/>
      <c r="K1194" s="356"/>
      <c r="L1194" s="356"/>
      <c r="M1194" s="356"/>
      <c r="N1194" s="356"/>
      <c r="O1194" s="356"/>
      <c r="P1194" s="356"/>
    </row>
    <row r="1195" spans="1:16" ht="18.75" customHeight="1">
      <c r="A1195" s="366"/>
      <c r="B1195" s="367"/>
      <c r="C1195" s="367"/>
      <c r="D1195" s="367"/>
      <c r="E1195" s="370"/>
      <c r="F1195" s="367"/>
      <c r="G1195" s="156"/>
      <c r="H1195" s="371"/>
      <c r="I1195" s="372"/>
      <c r="J1195" s="355"/>
      <c r="K1195" s="356"/>
      <c r="L1195" s="356"/>
      <c r="M1195" s="356"/>
      <c r="N1195" s="356"/>
      <c r="O1195" s="356"/>
      <c r="P1195" s="356"/>
    </row>
    <row r="1196" spans="1:16" ht="18.75" customHeight="1">
      <c r="A1196" s="366"/>
      <c r="B1196" s="367"/>
      <c r="C1196" s="367"/>
      <c r="D1196" s="367"/>
      <c r="E1196" s="367"/>
      <c r="F1196" s="367"/>
      <c r="G1196" s="159"/>
      <c r="H1196" s="368"/>
      <c r="I1196" s="369"/>
      <c r="J1196" s="353"/>
      <c r="K1196" s="356"/>
      <c r="L1196" s="356"/>
      <c r="M1196" s="356"/>
      <c r="N1196" s="356"/>
      <c r="O1196" s="356"/>
      <c r="P1196" s="356"/>
    </row>
    <row r="1197" spans="1:16" ht="18.75" customHeight="1">
      <c r="A1197" s="366"/>
      <c r="B1197" s="367"/>
      <c r="C1197" s="367"/>
      <c r="D1197" s="367"/>
      <c r="E1197" s="370"/>
      <c r="F1197" s="367"/>
      <c r="G1197" s="156"/>
      <c r="H1197" s="371"/>
      <c r="I1197" s="372"/>
      <c r="J1197" s="355"/>
      <c r="K1197" s="356"/>
      <c r="L1197" s="356"/>
      <c r="M1197" s="356"/>
      <c r="N1197" s="356"/>
      <c r="O1197" s="356"/>
      <c r="P1197" s="356"/>
    </row>
    <row r="1198" spans="1:16" ht="18.75" customHeight="1">
      <c r="A1198" s="366"/>
      <c r="B1198" s="367"/>
      <c r="C1198" s="367"/>
      <c r="D1198" s="367"/>
      <c r="E1198" s="367"/>
      <c r="F1198" s="367"/>
      <c r="G1198" s="159"/>
      <c r="H1198" s="368"/>
      <c r="I1198" s="369"/>
      <c r="J1198" s="353"/>
      <c r="K1198" s="356"/>
      <c r="L1198" s="356"/>
      <c r="M1198" s="356"/>
      <c r="N1198" s="356"/>
      <c r="O1198" s="356"/>
      <c r="P1198" s="356"/>
    </row>
    <row r="1199" spans="1:16" ht="18.75" customHeight="1">
      <c r="A1199" s="366"/>
      <c r="B1199" s="367"/>
      <c r="C1199" s="367"/>
      <c r="D1199" s="367"/>
      <c r="E1199" s="370"/>
      <c r="F1199" s="367"/>
      <c r="G1199" s="156"/>
      <c r="H1199" s="371"/>
      <c r="I1199" s="372"/>
      <c r="J1199" s="355"/>
      <c r="K1199" s="356"/>
      <c r="L1199" s="356"/>
      <c r="M1199" s="356"/>
      <c r="N1199" s="356"/>
      <c r="O1199" s="356"/>
      <c r="P1199" s="356"/>
    </row>
    <row r="1200" spans="1:16" ht="18.75" customHeight="1">
      <c r="A1200" s="366"/>
      <c r="B1200" s="367"/>
      <c r="C1200" s="367"/>
      <c r="D1200" s="367"/>
      <c r="E1200" s="367"/>
      <c r="F1200" s="367"/>
      <c r="G1200" s="159"/>
      <c r="H1200" s="368"/>
      <c r="I1200" s="369"/>
      <c r="J1200" s="353"/>
      <c r="K1200" s="356"/>
      <c r="L1200" s="356"/>
      <c r="M1200" s="356"/>
      <c r="N1200" s="356"/>
      <c r="O1200" s="356"/>
      <c r="P1200" s="356"/>
    </row>
    <row r="1201" spans="1:16" ht="18.75" customHeight="1">
      <c r="A1201" s="366"/>
      <c r="B1201" s="367"/>
      <c r="C1201" s="367"/>
      <c r="D1201" s="367"/>
      <c r="E1201" s="370"/>
      <c r="F1201" s="367"/>
      <c r="G1201" s="156"/>
      <c r="H1201" s="371"/>
      <c r="I1201" s="372"/>
      <c r="J1201" s="355"/>
      <c r="K1201" s="356"/>
      <c r="L1201" s="356"/>
      <c r="M1201" s="356"/>
      <c r="N1201" s="356"/>
      <c r="O1201" s="356"/>
      <c r="P1201" s="356"/>
    </row>
    <row r="1202" spans="1:16" ht="18.75" customHeight="1">
      <c r="A1202" s="366"/>
      <c r="B1202" s="367"/>
      <c r="C1202" s="367"/>
      <c r="D1202" s="367"/>
      <c r="E1202" s="367"/>
      <c r="F1202" s="367"/>
      <c r="G1202" s="159"/>
      <c r="H1202" s="368"/>
      <c r="I1202" s="369"/>
      <c r="J1202" s="353"/>
      <c r="K1202" s="356"/>
      <c r="L1202" s="356"/>
      <c r="M1202" s="356"/>
      <c r="N1202" s="356"/>
      <c r="O1202" s="356"/>
      <c r="P1202" s="356"/>
    </row>
    <row r="1203" spans="1:16" ht="18.75" customHeight="1">
      <c r="A1203" s="366"/>
      <c r="B1203" s="367"/>
      <c r="C1203" s="367"/>
      <c r="D1203" s="367"/>
      <c r="E1203" s="370"/>
      <c r="F1203" s="367"/>
      <c r="G1203" s="156"/>
      <c r="H1203" s="371"/>
      <c r="I1203" s="372"/>
      <c r="J1203" s="355"/>
      <c r="K1203" s="356"/>
      <c r="L1203" s="356"/>
      <c r="M1203" s="356"/>
      <c r="N1203" s="356"/>
      <c r="O1203" s="356"/>
      <c r="P1203" s="356"/>
    </row>
    <row r="1204" spans="1:16" ht="18.75" customHeight="1">
      <c r="A1204" s="366"/>
      <c r="B1204" s="367"/>
      <c r="C1204" s="367"/>
      <c r="D1204" s="367"/>
      <c r="E1204" s="367"/>
      <c r="F1204" s="367"/>
      <c r="G1204" s="159"/>
      <c r="H1204" s="368"/>
      <c r="I1204" s="369"/>
      <c r="J1204" s="353"/>
      <c r="K1204" s="356"/>
      <c r="L1204" s="356"/>
      <c r="M1204" s="356"/>
      <c r="N1204" s="356"/>
      <c r="O1204" s="356"/>
      <c r="P1204" s="356"/>
    </row>
    <row r="1205" spans="1:16" ht="18.75" customHeight="1">
      <c r="A1205" s="366"/>
      <c r="B1205" s="367"/>
      <c r="C1205" s="367"/>
      <c r="D1205" s="367"/>
      <c r="E1205" s="370"/>
      <c r="F1205" s="367"/>
      <c r="G1205" s="156"/>
      <c r="H1205" s="371"/>
      <c r="I1205" s="372"/>
      <c r="J1205" s="355"/>
      <c r="K1205" s="356"/>
      <c r="L1205" s="356"/>
      <c r="M1205" s="356"/>
      <c r="N1205" s="356"/>
      <c r="O1205" s="356"/>
      <c r="P1205" s="356"/>
    </row>
    <row r="1206" spans="1:16" ht="18.75" customHeight="1">
      <c r="A1206" s="366"/>
      <c r="B1206" s="367"/>
      <c r="C1206" s="367"/>
      <c r="D1206" s="367"/>
      <c r="E1206" s="367"/>
      <c r="F1206" s="367"/>
      <c r="G1206" s="159"/>
      <c r="H1206" s="368"/>
      <c r="I1206" s="369"/>
      <c r="J1206" s="353"/>
      <c r="K1206" s="356"/>
      <c r="L1206" s="356"/>
      <c r="M1206" s="356"/>
      <c r="N1206" s="356"/>
      <c r="O1206" s="356"/>
      <c r="P1206" s="356"/>
    </row>
    <row r="1207" spans="1:16" ht="18.75" customHeight="1">
      <c r="A1207" s="366"/>
      <c r="B1207" s="367"/>
      <c r="C1207" s="367"/>
      <c r="D1207" s="367"/>
      <c r="E1207" s="370"/>
      <c r="F1207" s="367"/>
      <c r="G1207" s="156"/>
      <c r="H1207" s="371"/>
      <c r="I1207" s="372"/>
      <c r="J1207" s="355"/>
      <c r="K1207" s="356"/>
      <c r="L1207" s="356"/>
      <c r="M1207" s="356"/>
      <c r="N1207" s="356"/>
      <c r="O1207" s="356"/>
      <c r="P1207" s="356"/>
    </row>
    <row r="1208" spans="1:16" ht="18.75" customHeight="1">
      <c r="A1208" s="366"/>
      <c r="B1208" s="367"/>
      <c r="C1208" s="367"/>
      <c r="D1208" s="367"/>
      <c r="E1208" s="367"/>
      <c r="F1208" s="367"/>
      <c r="G1208" s="159"/>
      <c r="H1208" s="368"/>
      <c r="I1208" s="369"/>
      <c r="J1208" s="353"/>
      <c r="K1208" s="356"/>
      <c r="L1208" s="356"/>
      <c r="M1208" s="356"/>
      <c r="N1208" s="356"/>
      <c r="O1208" s="356"/>
      <c r="P1208" s="356"/>
    </row>
    <row r="1209" spans="1:16" ht="18.75" customHeight="1">
      <c r="A1209" s="366"/>
      <c r="B1209" s="367"/>
      <c r="C1209" s="367"/>
      <c r="D1209" s="367"/>
      <c r="E1209" s="370"/>
      <c r="F1209" s="367"/>
      <c r="G1209" s="156"/>
      <c r="H1209" s="371"/>
      <c r="I1209" s="372"/>
      <c r="J1209" s="355"/>
      <c r="K1209" s="356"/>
      <c r="L1209" s="356"/>
      <c r="M1209" s="356"/>
      <c r="N1209" s="356"/>
      <c r="O1209" s="356"/>
      <c r="P1209" s="356"/>
    </row>
    <row r="1210" spans="1:16" ht="18.75" customHeight="1">
      <c r="A1210" s="366"/>
      <c r="B1210" s="367"/>
      <c r="C1210" s="367"/>
      <c r="D1210" s="367"/>
      <c r="E1210" s="367"/>
      <c r="F1210" s="367"/>
      <c r="G1210" s="159"/>
      <c r="H1210" s="368"/>
      <c r="I1210" s="369"/>
      <c r="J1210" s="353"/>
      <c r="K1210" s="356"/>
      <c r="L1210" s="356"/>
      <c r="M1210" s="356"/>
      <c r="N1210" s="356"/>
      <c r="O1210" s="356"/>
      <c r="P1210" s="356"/>
    </row>
    <row r="1211" spans="1:16" ht="18.75" customHeight="1">
      <c r="A1211" s="366"/>
      <c r="B1211" s="367"/>
      <c r="C1211" s="367"/>
      <c r="D1211" s="367"/>
      <c r="E1211" s="370"/>
      <c r="F1211" s="367"/>
      <c r="G1211" s="156"/>
      <c r="H1211" s="371"/>
      <c r="I1211" s="372"/>
      <c r="J1211" s="355"/>
      <c r="K1211" s="356"/>
      <c r="L1211" s="356"/>
      <c r="M1211" s="356"/>
      <c r="N1211" s="356"/>
      <c r="O1211" s="356"/>
      <c r="P1211" s="356"/>
    </row>
    <row r="1212" spans="1:16" ht="18.75" customHeight="1">
      <c r="A1212" s="366"/>
      <c r="B1212" s="367"/>
      <c r="C1212" s="367"/>
      <c r="D1212" s="367"/>
      <c r="E1212" s="367"/>
      <c r="F1212" s="367"/>
      <c r="G1212" s="159"/>
      <c r="H1212" s="368"/>
      <c r="I1212" s="369"/>
      <c r="J1212" s="353"/>
      <c r="K1212" s="356"/>
      <c r="L1212" s="356"/>
      <c r="M1212" s="356"/>
      <c r="N1212" s="356"/>
      <c r="O1212" s="356"/>
      <c r="P1212" s="356"/>
    </row>
    <row r="1213" spans="1:16" ht="18.75" customHeight="1">
      <c r="A1213" s="366"/>
      <c r="B1213" s="367"/>
      <c r="C1213" s="367"/>
      <c r="D1213" s="367"/>
      <c r="E1213" s="370"/>
      <c r="F1213" s="367"/>
      <c r="G1213" s="156"/>
      <c r="H1213" s="371"/>
      <c r="I1213" s="372"/>
      <c r="J1213" s="355"/>
      <c r="K1213" s="356"/>
      <c r="L1213" s="356"/>
      <c r="M1213" s="356"/>
      <c r="N1213" s="356"/>
      <c r="O1213" s="356"/>
      <c r="P1213" s="356"/>
    </row>
    <row r="1214" spans="1:16" ht="18.75" customHeight="1">
      <c r="A1214" s="366"/>
      <c r="B1214" s="367"/>
      <c r="C1214" s="367"/>
      <c r="D1214" s="367"/>
      <c r="E1214" s="367"/>
      <c r="F1214" s="367"/>
      <c r="G1214" s="159"/>
      <c r="H1214" s="368"/>
      <c r="I1214" s="369"/>
      <c r="J1214" s="353"/>
      <c r="K1214" s="356"/>
      <c r="L1214" s="356"/>
      <c r="M1214" s="356"/>
      <c r="N1214" s="356"/>
      <c r="O1214" s="356"/>
      <c r="P1214" s="356"/>
    </row>
    <row r="1215" spans="1:16" ht="18.75" customHeight="1">
      <c r="A1215" s="366"/>
      <c r="B1215" s="367"/>
      <c r="C1215" s="367"/>
      <c r="D1215" s="367"/>
      <c r="E1215" s="370"/>
      <c r="F1215" s="367"/>
      <c r="G1215" s="156"/>
      <c r="H1215" s="371"/>
      <c r="I1215" s="372"/>
      <c r="J1215" s="355"/>
      <c r="K1215" s="356"/>
      <c r="L1215" s="356"/>
      <c r="M1215" s="356"/>
      <c r="N1215" s="356"/>
      <c r="O1215" s="356"/>
      <c r="P1215" s="356"/>
    </row>
    <row r="1216" spans="1:16" ht="18.75" customHeight="1">
      <c r="A1216" s="366"/>
      <c r="B1216" s="367"/>
      <c r="C1216" s="367"/>
      <c r="D1216" s="367"/>
      <c r="E1216" s="367"/>
      <c r="F1216" s="367"/>
      <c r="G1216" s="159"/>
      <c r="H1216" s="368"/>
      <c r="I1216" s="369"/>
      <c r="J1216" s="353"/>
      <c r="K1216" s="356"/>
      <c r="L1216" s="356"/>
      <c r="M1216" s="356"/>
      <c r="N1216" s="356"/>
      <c r="O1216" s="356"/>
      <c r="P1216" s="356"/>
    </row>
    <row r="1217" spans="1:16" ht="18.75" customHeight="1">
      <c r="A1217" s="366"/>
      <c r="B1217" s="367"/>
      <c r="C1217" s="367"/>
      <c r="D1217" s="367"/>
      <c r="E1217" s="370"/>
      <c r="F1217" s="367"/>
      <c r="G1217" s="156"/>
      <c r="H1217" s="371"/>
      <c r="I1217" s="372"/>
      <c r="J1217" s="355"/>
      <c r="K1217" s="356"/>
      <c r="L1217" s="356"/>
      <c r="M1217" s="356"/>
      <c r="N1217" s="356"/>
      <c r="O1217" s="356"/>
      <c r="P1217" s="356"/>
    </row>
    <row r="1218" spans="1:16" ht="18.75" customHeight="1">
      <c r="A1218" s="366"/>
      <c r="B1218" s="367"/>
      <c r="C1218" s="367"/>
      <c r="D1218" s="367"/>
      <c r="E1218" s="367"/>
      <c r="F1218" s="367"/>
      <c r="G1218" s="159"/>
      <c r="H1218" s="368"/>
      <c r="I1218" s="369"/>
      <c r="J1218" s="353"/>
      <c r="K1218" s="356"/>
      <c r="L1218" s="356"/>
      <c r="M1218" s="356"/>
      <c r="N1218" s="356"/>
      <c r="O1218" s="356"/>
      <c r="P1218" s="356"/>
    </row>
    <row r="1219" spans="1:16" ht="18.75" customHeight="1">
      <c r="A1219" s="366"/>
      <c r="B1219" s="367"/>
      <c r="C1219" s="367"/>
      <c r="D1219" s="367"/>
      <c r="E1219" s="370"/>
      <c r="F1219" s="367"/>
      <c r="G1219" s="156"/>
      <c r="H1219" s="371"/>
      <c r="I1219" s="372"/>
      <c r="J1219" s="355"/>
      <c r="K1219" s="356"/>
      <c r="L1219" s="356"/>
      <c r="M1219" s="356"/>
      <c r="N1219" s="356"/>
      <c r="O1219" s="356"/>
      <c r="P1219" s="356"/>
    </row>
    <row r="1220" spans="1:16" ht="18.75" customHeight="1">
      <c r="A1220" s="366"/>
      <c r="B1220" s="367"/>
      <c r="C1220" s="367"/>
      <c r="D1220" s="367"/>
      <c r="E1220" s="367"/>
      <c r="F1220" s="367"/>
      <c r="G1220" s="159"/>
      <c r="H1220" s="368"/>
      <c r="I1220" s="369"/>
      <c r="J1220" s="353"/>
      <c r="K1220" s="356"/>
      <c r="L1220" s="356"/>
      <c r="M1220" s="356"/>
      <c r="N1220" s="356"/>
      <c r="O1220" s="356"/>
      <c r="P1220" s="356"/>
    </row>
    <row r="1221" spans="1:16" ht="18.75" customHeight="1">
      <c r="A1221" s="366"/>
      <c r="B1221" s="367"/>
      <c r="C1221" s="367"/>
      <c r="D1221" s="367"/>
      <c r="E1221" s="370"/>
      <c r="F1221" s="367"/>
      <c r="G1221" s="156"/>
      <c r="H1221" s="371"/>
      <c r="I1221" s="372"/>
      <c r="J1221" s="355"/>
      <c r="K1221" s="356"/>
      <c r="L1221" s="356"/>
      <c r="M1221" s="356"/>
      <c r="N1221" s="356"/>
      <c r="O1221" s="356"/>
      <c r="P1221" s="356"/>
    </row>
    <row r="1222" spans="1:16" ht="18.75" customHeight="1">
      <c r="A1222" s="366"/>
      <c r="B1222" s="367"/>
      <c r="C1222" s="367"/>
      <c r="D1222" s="367"/>
      <c r="E1222" s="367"/>
      <c r="F1222" s="367"/>
      <c r="G1222" s="159"/>
      <c r="H1222" s="368"/>
      <c r="I1222" s="369"/>
      <c r="J1222" s="353"/>
      <c r="K1222" s="356"/>
      <c r="L1222" s="356"/>
      <c r="M1222" s="356"/>
      <c r="N1222" s="356"/>
      <c r="O1222" s="356"/>
      <c r="P1222" s="356"/>
    </row>
    <row r="1223" spans="1:16" ht="18.75" customHeight="1">
      <c r="A1223" s="366"/>
      <c r="B1223" s="367"/>
      <c r="C1223" s="367"/>
      <c r="D1223" s="367"/>
      <c r="E1223" s="370"/>
      <c r="F1223" s="367"/>
      <c r="G1223" s="156"/>
      <c r="H1223" s="371"/>
      <c r="I1223" s="372"/>
      <c r="J1223" s="355"/>
      <c r="K1223" s="356"/>
      <c r="L1223" s="356"/>
      <c r="M1223" s="356"/>
      <c r="N1223" s="356"/>
      <c r="O1223" s="356"/>
      <c r="P1223" s="356"/>
    </row>
    <row r="1224" spans="1:16" ht="18.75" customHeight="1">
      <c r="A1224" s="366"/>
      <c r="B1224" s="367"/>
      <c r="C1224" s="367"/>
      <c r="D1224" s="367"/>
      <c r="E1224" s="367"/>
      <c r="F1224" s="367"/>
      <c r="G1224" s="159"/>
      <c r="H1224" s="368"/>
      <c r="I1224" s="369"/>
      <c r="J1224" s="353"/>
      <c r="K1224" s="356"/>
      <c r="L1224" s="356"/>
      <c r="M1224" s="356"/>
      <c r="N1224" s="356"/>
      <c r="O1224" s="356"/>
      <c r="P1224" s="356"/>
    </row>
    <row r="1225" spans="1:16" ht="18.75" customHeight="1">
      <c r="A1225" s="366"/>
      <c r="B1225" s="367"/>
      <c r="C1225" s="367"/>
      <c r="D1225" s="367"/>
      <c r="E1225" s="370"/>
      <c r="F1225" s="367"/>
      <c r="G1225" s="156"/>
      <c r="H1225" s="371"/>
      <c r="I1225" s="372"/>
      <c r="J1225" s="355"/>
      <c r="K1225" s="356"/>
      <c r="L1225" s="356"/>
      <c r="M1225" s="356"/>
      <c r="N1225" s="356"/>
      <c r="O1225" s="356"/>
      <c r="P1225" s="356"/>
    </row>
    <row r="1226" spans="1:16" ht="18.75" customHeight="1">
      <c r="A1226" s="366"/>
      <c r="B1226" s="367"/>
      <c r="C1226" s="367"/>
      <c r="D1226" s="367"/>
      <c r="E1226" s="367"/>
      <c r="F1226" s="367"/>
      <c r="G1226" s="159"/>
      <c r="H1226" s="368"/>
      <c r="I1226" s="369"/>
      <c r="J1226" s="353"/>
      <c r="K1226" s="356"/>
      <c r="L1226" s="356"/>
      <c r="M1226" s="356"/>
      <c r="N1226" s="356"/>
      <c r="O1226" s="356"/>
      <c r="P1226" s="356"/>
    </row>
    <row r="1227" spans="1:16" ht="18.75" customHeight="1">
      <c r="A1227" s="366"/>
      <c r="B1227" s="367"/>
      <c r="C1227" s="367"/>
      <c r="D1227" s="367"/>
      <c r="E1227" s="370"/>
      <c r="F1227" s="367"/>
      <c r="G1227" s="156"/>
      <c r="H1227" s="371"/>
      <c r="I1227" s="372"/>
      <c r="J1227" s="355"/>
      <c r="K1227" s="356"/>
      <c r="L1227" s="356"/>
      <c r="M1227" s="356"/>
      <c r="N1227" s="356"/>
      <c r="O1227" s="356"/>
      <c r="P1227" s="356"/>
    </row>
    <row r="1228" spans="1:16" ht="18.75" customHeight="1">
      <c r="A1228" s="366"/>
      <c r="B1228" s="367"/>
      <c r="C1228" s="367"/>
      <c r="D1228" s="367"/>
      <c r="E1228" s="367"/>
      <c r="F1228" s="367"/>
      <c r="G1228" s="159"/>
      <c r="H1228" s="368"/>
      <c r="I1228" s="369"/>
      <c r="J1228" s="353"/>
      <c r="K1228" s="356"/>
      <c r="L1228" s="356"/>
      <c r="M1228" s="356"/>
      <c r="N1228" s="356"/>
      <c r="O1228" s="356"/>
      <c r="P1228" s="356"/>
    </row>
    <row r="1229" spans="1:16" ht="18.75" customHeight="1">
      <c r="A1229" s="366"/>
      <c r="B1229" s="367"/>
      <c r="C1229" s="367"/>
      <c r="D1229" s="367"/>
      <c r="E1229" s="370"/>
      <c r="F1229" s="367"/>
      <c r="G1229" s="156"/>
      <c r="H1229" s="371"/>
      <c r="I1229" s="372"/>
      <c r="J1229" s="355"/>
      <c r="K1229" s="356"/>
      <c r="L1229" s="356"/>
      <c r="M1229" s="356"/>
      <c r="N1229" s="356"/>
      <c r="O1229" s="356"/>
      <c r="P1229" s="356"/>
    </row>
    <row r="1230" spans="1:16" ht="18.75" customHeight="1">
      <c r="A1230" s="366"/>
      <c r="B1230" s="367"/>
      <c r="C1230" s="367"/>
      <c r="D1230" s="367"/>
      <c r="E1230" s="367"/>
      <c r="F1230" s="367"/>
      <c r="G1230" s="159"/>
      <c r="H1230" s="368"/>
      <c r="I1230" s="369"/>
      <c r="J1230" s="353"/>
      <c r="K1230" s="356"/>
      <c r="L1230" s="356"/>
      <c r="M1230" s="356"/>
      <c r="N1230" s="356"/>
      <c r="O1230" s="356"/>
      <c r="P1230" s="356"/>
    </row>
    <row r="1231" spans="1:16" ht="18.75" customHeight="1">
      <c r="A1231" s="366"/>
      <c r="B1231" s="367"/>
      <c r="C1231" s="367"/>
      <c r="D1231" s="367"/>
      <c r="E1231" s="370"/>
      <c r="F1231" s="367"/>
      <c r="G1231" s="156"/>
      <c r="H1231" s="371"/>
      <c r="I1231" s="372"/>
      <c r="J1231" s="355"/>
      <c r="K1231" s="356"/>
      <c r="L1231" s="356"/>
      <c r="M1231" s="356"/>
      <c r="N1231" s="356"/>
      <c r="O1231" s="356"/>
      <c r="P1231" s="356"/>
    </row>
    <row r="1232" spans="1:16" ht="18.75" customHeight="1">
      <c r="A1232" s="366"/>
      <c r="B1232" s="367"/>
      <c r="C1232" s="367"/>
      <c r="D1232" s="367"/>
      <c r="E1232" s="367"/>
      <c r="F1232" s="367"/>
      <c r="G1232" s="159"/>
      <c r="H1232" s="368"/>
      <c r="I1232" s="369"/>
      <c r="J1232" s="353"/>
      <c r="K1232" s="356"/>
      <c r="L1232" s="356"/>
      <c r="M1232" s="356"/>
      <c r="N1232" s="356"/>
      <c r="O1232" s="356"/>
      <c r="P1232" s="356"/>
    </row>
    <row r="1233" spans="1:16" ht="18.75" customHeight="1">
      <c r="A1233" s="366"/>
      <c r="B1233" s="367"/>
      <c r="C1233" s="367"/>
      <c r="D1233" s="367"/>
      <c r="E1233" s="370"/>
      <c r="F1233" s="367"/>
      <c r="G1233" s="156"/>
      <c r="H1233" s="371"/>
      <c r="I1233" s="372"/>
      <c r="J1233" s="355"/>
      <c r="K1233" s="356"/>
      <c r="L1233" s="356"/>
      <c r="M1233" s="356"/>
      <c r="N1233" s="356"/>
      <c r="O1233" s="356"/>
      <c r="P1233" s="356"/>
    </row>
    <row r="1234" spans="1:16" ht="18.75" customHeight="1">
      <c r="A1234" s="366"/>
      <c r="B1234" s="367"/>
      <c r="C1234" s="367"/>
      <c r="D1234" s="367"/>
      <c r="E1234" s="367"/>
      <c r="F1234" s="367"/>
      <c r="G1234" s="159"/>
      <c r="H1234" s="368"/>
      <c r="I1234" s="369"/>
      <c r="J1234" s="353"/>
      <c r="K1234" s="356"/>
      <c r="L1234" s="356"/>
      <c r="M1234" s="356"/>
      <c r="N1234" s="356"/>
      <c r="O1234" s="356"/>
      <c r="P1234" s="356"/>
    </row>
    <row r="1235" spans="1:16" ht="18.75" customHeight="1">
      <c r="A1235" s="366"/>
      <c r="B1235" s="367"/>
      <c r="C1235" s="367"/>
      <c r="D1235" s="367"/>
      <c r="E1235" s="370"/>
      <c r="F1235" s="367"/>
      <c r="G1235" s="156"/>
      <c r="H1235" s="371"/>
      <c r="I1235" s="372"/>
      <c r="J1235" s="355"/>
      <c r="K1235" s="356"/>
      <c r="L1235" s="356"/>
      <c r="M1235" s="356"/>
      <c r="N1235" s="356"/>
      <c r="O1235" s="356"/>
      <c r="P1235" s="356"/>
    </row>
    <row r="1236" spans="1:16" ht="18.75" customHeight="1">
      <c r="A1236" s="366"/>
      <c r="B1236" s="367"/>
      <c r="C1236" s="367"/>
      <c r="D1236" s="367"/>
      <c r="E1236" s="367"/>
      <c r="F1236" s="367"/>
      <c r="G1236" s="159"/>
      <c r="H1236" s="368"/>
      <c r="I1236" s="369"/>
      <c r="J1236" s="353"/>
      <c r="K1236" s="356"/>
      <c r="L1236" s="356"/>
      <c r="M1236" s="356"/>
      <c r="N1236" s="356"/>
      <c r="O1236" s="356"/>
      <c r="P1236" s="356"/>
    </row>
    <row r="1237" spans="1:16" ht="18.75" customHeight="1">
      <c r="A1237" s="366"/>
      <c r="B1237" s="367"/>
      <c r="C1237" s="367"/>
      <c r="D1237" s="367"/>
      <c r="E1237" s="370"/>
      <c r="F1237" s="367"/>
      <c r="G1237" s="156"/>
      <c r="H1237" s="371"/>
      <c r="I1237" s="372"/>
      <c r="J1237" s="355"/>
      <c r="K1237" s="356"/>
      <c r="L1237" s="356"/>
      <c r="M1237" s="356"/>
      <c r="N1237" s="356"/>
      <c r="O1237" s="356"/>
      <c r="P1237" s="356"/>
    </row>
    <row r="1238" spans="1:16" ht="18.75" customHeight="1">
      <c r="A1238" s="366"/>
      <c r="B1238" s="367"/>
      <c r="C1238" s="367"/>
      <c r="D1238" s="367"/>
      <c r="E1238" s="367"/>
      <c r="F1238" s="367"/>
      <c r="G1238" s="159"/>
      <c r="H1238" s="368"/>
      <c r="I1238" s="369"/>
      <c r="J1238" s="353"/>
      <c r="K1238" s="356"/>
      <c r="L1238" s="356"/>
      <c r="M1238" s="356"/>
      <c r="N1238" s="356"/>
      <c r="O1238" s="356"/>
      <c r="P1238" s="356"/>
    </row>
    <row r="1239" spans="1:16" ht="18.75" customHeight="1">
      <c r="A1239" s="366"/>
      <c r="B1239" s="367"/>
      <c r="C1239" s="367"/>
      <c r="D1239" s="367"/>
      <c r="E1239" s="370"/>
      <c r="F1239" s="367"/>
      <c r="G1239" s="156"/>
      <c r="H1239" s="371"/>
      <c r="I1239" s="372"/>
      <c r="J1239" s="355"/>
      <c r="K1239" s="356"/>
      <c r="L1239" s="356"/>
      <c r="M1239" s="356"/>
      <c r="N1239" s="356"/>
      <c r="O1239" s="356"/>
      <c r="P1239" s="356"/>
    </row>
    <row r="1240" spans="1:16" ht="18.75" customHeight="1">
      <c r="A1240" s="366"/>
      <c r="B1240" s="367"/>
      <c r="C1240" s="367"/>
      <c r="D1240" s="367"/>
      <c r="E1240" s="367"/>
      <c r="F1240" s="367"/>
      <c r="G1240" s="159"/>
      <c r="H1240" s="368"/>
      <c r="I1240" s="369"/>
      <c r="J1240" s="353"/>
      <c r="K1240" s="356"/>
      <c r="L1240" s="356"/>
      <c r="M1240" s="356"/>
      <c r="N1240" s="356"/>
      <c r="O1240" s="356"/>
      <c r="P1240" s="356"/>
    </row>
    <row r="1241" spans="1:16" ht="18.75" customHeight="1">
      <c r="A1241" s="366"/>
      <c r="B1241" s="367"/>
      <c r="C1241" s="367"/>
      <c r="D1241" s="367"/>
      <c r="E1241" s="370"/>
      <c r="F1241" s="367"/>
      <c r="G1241" s="156"/>
      <c r="H1241" s="371"/>
      <c r="I1241" s="372"/>
      <c r="J1241" s="355"/>
      <c r="K1241" s="356"/>
      <c r="L1241" s="356"/>
      <c r="M1241" s="356"/>
      <c r="N1241" s="356"/>
      <c r="O1241" s="356"/>
      <c r="P1241" s="356"/>
    </row>
    <row r="1242" spans="1:16" ht="18.75" customHeight="1">
      <c r="A1242" s="366"/>
      <c r="B1242" s="367"/>
      <c r="C1242" s="367"/>
      <c r="D1242" s="367"/>
      <c r="E1242" s="367"/>
      <c r="F1242" s="367"/>
      <c r="G1242" s="159"/>
      <c r="H1242" s="368"/>
      <c r="I1242" s="369"/>
      <c r="J1242" s="353"/>
      <c r="K1242" s="356"/>
      <c r="L1242" s="356"/>
      <c r="M1242" s="356"/>
      <c r="N1242" s="356"/>
      <c r="O1242" s="356"/>
      <c r="P1242" s="356"/>
    </row>
    <row r="1243" spans="1:16" ht="18.75" customHeight="1">
      <c r="A1243" s="366"/>
      <c r="B1243" s="367"/>
      <c r="C1243" s="367"/>
      <c r="D1243" s="367"/>
      <c r="E1243" s="370"/>
      <c r="F1243" s="367"/>
      <c r="G1243" s="156"/>
      <c r="H1243" s="371"/>
      <c r="I1243" s="372"/>
      <c r="J1243" s="355"/>
      <c r="K1243" s="356"/>
      <c r="L1243" s="356"/>
      <c r="M1243" s="356"/>
      <c r="N1243" s="356"/>
      <c r="O1243" s="356"/>
      <c r="P1243" s="356"/>
    </row>
    <row r="1244" spans="1:16" ht="18.75" customHeight="1">
      <c r="A1244" s="366"/>
      <c r="B1244" s="367"/>
      <c r="C1244" s="367"/>
      <c r="D1244" s="367"/>
      <c r="E1244" s="367"/>
      <c r="F1244" s="367"/>
      <c r="G1244" s="159"/>
      <c r="H1244" s="368"/>
      <c r="I1244" s="369"/>
      <c r="J1244" s="353"/>
      <c r="K1244" s="356"/>
      <c r="L1244" s="356"/>
      <c r="M1244" s="356"/>
      <c r="N1244" s="356"/>
      <c r="O1244" s="356"/>
      <c r="P1244" s="356"/>
    </row>
    <row r="1245" spans="1:16" ht="18.75" customHeight="1">
      <c r="A1245" s="366"/>
      <c r="B1245" s="367"/>
      <c r="C1245" s="367"/>
      <c r="D1245" s="367"/>
      <c r="E1245" s="370"/>
      <c r="F1245" s="367"/>
      <c r="G1245" s="156"/>
      <c r="H1245" s="371"/>
      <c r="I1245" s="372"/>
      <c r="J1245" s="355"/>
      <c r="K1245" s="356"/>
      <c r="L1245" s="356"/>
      <c r="M1245" s="356"/>
      <c r="N1245" s="356"/>
      <c r="O1245" s="356"/>
      <c r="P1245" s="356"/>
    </row>
    <row r="1246" spans="1:16" ht="18.75" customHeight="1">
      <c r="A1246" s="366"/>
      <c r="B1246" s="367"/>
      <c r="C1246" s="367"/>
      <c r="D1246" s="367"/>
      <c r="E1246" s="367"/>
      <c r="F1246" s="367"/>
      <c r="G1246" s="159"/>
      <c r="H1246" s="368"/>
      <c r="I1246" s="369"/>
      <c r="J1246" s="353"/>
      <c r="K1246" s="356"/>
      <c r="L1246" s="356"/>
      <c r="M1246" s="356"/>
      <c r="N1246" s="356"/>
      <c r="O1246" s="356"/>
      <c r="P1246" s="356"/>
    </row>
    <row r="1247" spans="1:16" ht="18.75" customHeight="1">
      <c r="A1247" s="366"/>
      <c r="B1247" s="367"/>
      <c r="C1247" s="367"/>
      <c r="D1247" s="367"/>
      <c r="E1247" s="370"/>
      <c r="F1247" s="367"/>
      <c r="G1247" s="156"/>
      <c r="H1247" s="371"/>
      <c r="I1247" s="372"/>
      <c r="J1247" s="355"/>
      <c r="K1247" s="356"/>
      <c r="L1247" s="356"/>
      <c r="M1247" s="356"/>
      <c r="N1247" s="356"/>
      <c r="O1247" s="356"/>
      <c r="P1247" s="356"/>
    </row>
    <row r="1248" spans="1:16" ht="18.75" customHeight="1">
      <c r="A1248" s="366"/>
      <c r="B1248" s="367"/>
      <c r="C1248" s="367"/>
      <c r="D1248" s="367"/>
      <c r="E1248" s="367"/>
      <c r="F1248" s="367"/>
      <c r="G1248" s="159"/>
      <c r="H1248" s="368"/>
      <c r="I1248" s="369"/>
      <c r="J1248" s="353"/>
      <c r="K1248" s="356"/>
      <c r="L1248" s="356"/>
      <c r="M1248" s="356"/>
      <c r="N1248" s="356"/>
      <c r="O1248" s="356"/>
      <c r="P1248" s="356"/>
    </row>
    <row r="1249" spans="1:16" ht="18.75" customHeight="1">
      <c r="A1249" s="366"/>
      <c r="B1249" s="367"/>
      <c r="C1249" s="367"/>
      <c r="D1249" s="367"/>
      <c r="E1249" s="370"/>
      <c r="F1249" s="367"/>
      <c r="G1249" s="156"/>
      <c r="H1249" s="371"/>
      <c r="I1249" s="372"/>
      <c r="J1249" s="355"/>
      <c r="K1249" s="356"/>
      <c r="L1249" s="356"/>
      <c r="M1249" s="356"/>
      <c r="N1249" s="356"/>
      <c r="O1249" s="356"/>
      <c r="P1249" s="356"/>
    </row>
    <row r="1250" spans="1:16" ht="18.75" customHeight="1">
      <c r="A1250" s="366"/>
      <c r="B1250" s="367"/>
      <c r="C1250" s="367"/>
      <c r="D1250" s="367"/>
      <c r="E1250" s="367"/>
      <c r="F1250" s="367"/>
      <c r="G1250" s="159"/>
      <c r="H1250" s="368"/>
      <c r="I1250" s="369"/>
      <c r="J1250" s="353"/>
      <c r="K1250" s="356"/>
      <c r="L1250" s="356"/>
      <c r="M1250" s="356"/>
      <c r="N1250" s="356"/>
      <c r="O1250" s="356"/>
      <c r="P1250" s="356"/>
    </row>
    <row r="1251" spans="1:16" ht="18.75" customHeight="1">
      <c r="A1251" s="366"/>
      <c r="B1251" s="367"/>
      <c r="C1251" s="367"/>
      <c r="D1251" s="367"/>
      <c r="E1251" s="370"/>
      <c r="F1251" s="367"/>
      <c r="G1251" s="156"/>
      <c r="H1251" s="371"/>
      <c r="I1251" s="372"/>
      <c r="J1251" s="355"/>
      <c r="K1251" s="356"/>
      <c r="L1251" s="356"/>
      <c r="M1251" s="356"/>
      <c r="N1251" s="356"/>
      <c r="O1251" s="356"/>
      <c r="P1251" s="356"/>
    </row>
    <row r="1252" spans="1:16" ht="18.75" customHeight="1">
      <c r="A1252" s="366"/>
      <c r="B1252" s="367"/>
      <c r="C1252" s="367"/>
      <c r="D1252" s="367"/>
      <c r="E1252" s="367"/>
      <c r="F1252" s="367"/>
      <c r="G1252" s="159"/>
      <c r="H1252" s="368"/>
      <c r="I1252" s="369"/>
      <c r="J1252" s="353"/>
      <c r="K1252" s="356"/>
      <c r="L1252" s="356"/>
      <c r="M1252" s="356"/>
      <c r="N1252" s="356"/>
      <c r="O1252" s="356"/>
      <c r="P1252" s="356"/>
    </row>
    <row r="1253" spans="1:16" ht="18.75" customHeight="1">
      <c r="A1253" s="366"/>
      <c r="B1253" s="367"/>
      <c r="C1253" s="367"/>
      <c r="D1253" s="367"/>
      <c r="E1253" s="370"/>
      <c r="F1253" s="367"/>
      <c r="G1253" s="156"/>
      <c r="H1253" s="371"/>
      <c r="I1253" s="372"/>
      <c r="J1253" s="355"/>
      <c r="K1253" s="356"/>
      <c r="L1253" s="356"/>
      <c r="M1253" s="356"/>
      <c r="N1253" s="356"/>
      <c r="O1253" s="356"/>
      <c r="P1253" s="356"/>
    </row>
    <row r="1254" spans="1:16" ht="18.75" customHeight="1">
      <c r="A1254" s="366"/>
      <c r="B1254" s="367"/>
      <c r="C1254" s="367"/>
      <c r="D1254" s="367"/>
      <c r="E1254" s="367"/>
      <c r="F1254" s="367"/>
      <c r="G1254" s="159"/>
      <c r="H1254" s="368"/>
      <c r="I1254" s="369"/>
      <c r="J1254" s="353"/>
      <c r="K1254" s="356"/>
      <c r="L1254" s="356"/>
      <c r="M1254" s="356"/>
      <c r="N1254" s="356"/>
      <c r="O1254" s="356"/>
      <c r="P1254" s="356"/>
    </row>
    <row r="1255" spans="1:16" ht="18.75" customHeight="1">
      <c r="A1255" s="366"/>
      <c r="B1255" s="367"/>
      <c r="C1255" s="367"/>
      <c r="D1255" s="367"/>
      <c r="E1255" s="370"/>
      <c r="F1255" s="367"/>
      <c r="G1255" s="156"/>
      <c r="H1255" s="371"/>
      <c r="I1255" s="372"/>
      <c r="J1255" s="355"/>
      <c r="K1255" s="356"/>
      <c r="L1255" s="356"/>
      <c r="M1255" s="356"/>
      <c r="N1255" s="356"/>
      <c r="O1255" s="356"/>
      <c r="P1255" s="356"/>
    </row>
    <row r="1256" spans="1:16" ht="18.75" customHeight="1">
      <c r="A1256" s="366"/>
      <c r="B1256" s="367"/>
      <c r="C1256" s="367"/>
      <c r="D1256" s="367"/>
      <c r="E1256" s="367"/>
      <c r="F1256" s="367"/>
      <c r="G1256" s="159"/>
      <c r="H1256" s="368"/>
      <c r="I1256" s="369"/>
      <c r="J1256" s="353"/>
      <c r="K1256" s="356"/>
      <c r="L1256" s="356"/>
      <c r="M1256" s="356"/>
      <c r="N1256" s="356"/>
      <c r="O1256" s="356"/>
      <c r="P1256" s="356"/>
    </row>
    <row r="1257" spans="1:16" ht="18.75" customHeight="1">
      <c r="A1257" s="366"/>
      <c r="B1257" s="367"/>
      <c r="C1257" s="367"/>
      <c r="D1257" s="367"/>
      <c r="E1257" s="370"/>
      <c r="F1257" s="367"/>
      <c r="G1257" s="156"/>
      <c r="H1257" s="371"/>
      <c r="I1257" s="372"/>
      <c r="J1257" s="355"/>
      <c r="K1257" s="356"/>
      <c r="L1257" s="356"/>
      <c r="M1257" s="356"/>
      <c r="N1257" s="356"/>
      <c r="O1257" s="356"/>
      <c r="P1257" s="356"/>
    </row>
    <row r="1258" spans="1:16" ht="18.75" customHeight="1">
      <c r="A1258" s="366"/>
      <c r="B1258" s="367"/>
      <c r="C1258" s="367"/>
      <c r="D1258" s="367"/>
      <c r="E1258" s="367"/>
      <c r="F1258" s="367"/>
      <c r="G1258" s="159"/>
      <c r="H1258" s="368"/>
      <c r="I1258" s="369"/>
      <c r="J1258" s="353"/>
      <c r="K1258" s="356"/>
      <c r="L1258" s="356"/>
      <c r="M1258" s="356"/>
      <c r="N1258" s="356"/>
      <c r="O1258" s="356"/>
      <c r="P1258" s="356"/>
    </row>
    <row r="1259" spans="1:16" ht="18.75" customHeight="1">
      <c r="A1259" s="366"/>
      <c r="B1259" s="367"/>
      <c r="C1259" s="367"/>
      <c r="D1259" s="367"/>
      <c r="E1259" s="370"/>
      <c r="F1259" s="367"/>
      <c r="G1259" s="156"/>
      <c r="H1259" s="371"/>
      <c r="I1259" s="372"/>
      <c r="J1259" s="355"/>
      <c r="K1259" s="356"/>
      <c r="L1259" s="356"/>
      <c r="M1259" s="356"/>
      <c r="N1259" s="356"/>
      <c r="O1259" s="356"/>
      <c r="P1259" s="356"/>
    </row>
    <row r="1260" spans="1:16" ht="18.75" customHeight="1">
      <c r="A1260" s="366"/>
      <c r="B1260" s="367"/>
      <c r="C1260" s="367"/>
      <c r="D1260" s="367"/>
      <c r="E1260" s="367"/>
      <c r="F1260" s="367"/>
      <c r="G1260" s="159"/>
      <c r="H1260" s="368"/>
      <c r="I1260" s="369"/>
      <c r="J1260" s="353"/>
      <c r="K1260" s="356"/>
      <c r="L1260" s="356"/>
      <c r="M1260" s="356"/>
      <c r="N1260" s="356"/>
      <c r="O1260" s="356"/>
      <c r="P1260" s="356"/>
    </row>
    <row r="1261" spans="1:16" ht="18.75" customHeight="1">
      <c r="A1261" s="366"/>
      <c r="B1261" s="367"/>
      <c r="C1261" s="367"/>
      <c r="D1261" s="367"/>
      <c r="E1261" s="370"/>
      <c r="F1261" s="367"/>
      <c r="G1261" s="156"/>
      <c r="H1261" s="371"/>
      <c r="I1261" s="372"/>
      <c r="J1261" s="355"/>
      <c r="K1261" s="356"/>
      <c r="L1261" s="356"/>
      <c r="M1261" s="356"/>
      <c r="N1261" s="356"/>
      <c r="O1261" s="356"/>
      <c r="P1261" s="356"/>
    </row>
    <row r="1262" spans="1:16" ht="18.75" customHeight="1">
      <c r="A1262" s="366"/>
      <c r="B1262" s="367"/>
      <c r="C1262" s="367"/>
      <c r="D1262" s="367"/>
      <c r="E1262" s="367"/>
      <c r="F1262" s="367"/>
      <c r="G1262" s="159"/>
      <c r="H1262" s="368"/>
      <c r="I1262" s="369"/>
      <c r="J1262" s="353"/>
      <c r="K1262" s="356"/>
      <c r="L1262" s="356"/>
      <c r="M1262" s="356"/>
      <c r="N1262" s="356"/>
      <c r="O1262" s="356"/>
      <c r="P1262" s="356"/>
    </row>
    <row r="1263" spans="1:16" ht="18.75" customHeight="1">
      <c r="A1263" s="366"/>
      <c r="B1263" s="367"/>
      <c r="C1263" s="367"/>
      <c r="D1263" s="367"/>
      <c r="E1263" s="370"/>
      <c r="F1263" s="367"/>
      <c r="G1263" s="156"/>
      <c r="H1263" s="371"/>
      <c r="I1263" s="372"/>
      <c r="J1263" s="355"/>
      <c r="K1263" s="356"/>
      <c r="L1263" s="356"/>
      <c r="M1263" s="356"/>
      <c r="N1263" s="356"/>
      <c r="O1263" s="356"/>
      <c r="P1263" s="356"/>
    </row>
    <row r="1264" spans="1:16" ht="18.75" customHeight="1">
      <c r="A1264" s="366"/>
      <c r="B1264" s="367"/>
      <c r="C1264" s="367"/>
      <c r="D1264" s="367"/>
      <c r="E1264" s="367"/>
      <c r="F1264" s="367"/>
      <c r="G1264" s="159"/>
      <c r="H1264" s="368"/>
      <c r="I1264" s="369"/>
      <c r="J1264" s="353"/>
      <c r="K1264" s="356"/>
      <c r="L1264" s="356"/>
      <c r="M1264" s="356"/>
      <c r="N1264" s="356"/>
      <c r="O1264" s="356"/>
      <c r="P1264" s="356"/>
    </row>
    <row r="1265" spans="1:16" ht="18.75" customHeight="1">
      <c r="A1265" s="366"/>
      <c r="B1265" s="367"/>
      <c r="C1265" s="367"/>
      <c r="D1265" s="367"/>
      <c r="E1265" s="370"/>
      <c r="F1265" s="367"/>
      <c r="G1265" s="156"/>
      <c r="H1265" s="371"/>
      <c r="I1265" s="372"/>
      <c r="J1265" s="355"/>
      <c r="K1265" s="356"/>
      <c r="L1265" s="356"/>
      <c r="M1265" s="356"/>
      <c r="N1265" s="356"/>
      <c r="O1265" s="356"/>
      <c r="P1265" s="356"/>
    </row>
    <row r="1266" spans="1:16" ht="18.75" customHeight="1">
      <c r="A1266" s="366"/>
      <c r="B1266" s="367"/>
      <c r="C1266" s="367"/>
      <c r="D1266" s="367"/>
      <c r="E1266" s="367"/>
      <c r="F1266" s="367"/>
      <c r="G1266" s="159"/>
      <c r="H1266" s="368"/>
      <c r="I1266" s="369"/>
      <c r="J1266" s="353"/>
      <c r="K1266" s="356"/>
      <c r="L1266" s="356"/>
      <c r="M1266" s="356"/>
      <c r="N1266" s="356"/>
      <c r="O1266" s="356"/>
      <c r="P1266" s="356"/>
    </row>
    <row r="1267" spans="1:16" ht="18.75" customHeight="1">
      <c r="A1267" s="366"/>
      <c r="B1267" s="367"/>
      <c r="C1267" s="367"/>
      <c r="D1267" s="367"/>
      <c r="E1267" s="370"/>
      <c r="F1267" s="367"/>
      <c r="G1267" s="156"/>
      <c r="H1267" s="371"/>
      <c r="I1267" s="372"/>
      <c r="J1267" s="355"/>
      <c r="K1267" s="356"/>
      <c r="L1267" s="356"/>
      <c r="M1267" s="356"/>
      <c r="N1267" s="356"/>
      <c r="O1267" s="356"/>
      <c r="P1267" s="356"/>
    </row>
    <row r="1268" spans="1:16" ht="18.75" customHeight="1">
      <c r="A1268" s="366"/>
      <c r="B1268" s="367"/>
      <c r="C1268" s="367"/>
      <c r="D1268" s="367"/>
      <c r="E1268" s="367"/>
      <c r="F1268" s="367"/>
      <c r="G1268" s="159"/>
      <c r="H1268" s="368"/>
      <c r="I1268" s="369"/>
      <c r="J1268" s="353"/>
      <c r="K1268" s="356"/>
      <c r="L1268" s="356"/>
      <c r="M1268" s="356"/>
      <c r="N1268" s="356"/>
      <c r="O1268" s="356"/>
      <c r="P1268" s="356"/>
    </row>
    <row r="1269" spans="1:16" ht="18.75" customHeight="1">
      <c r="A1269" s="366"/>
      <c r="B1269" s="367"/>
      <c r="C1269" s="367"/>
      <c r="D1269" s="367"/>
      <c r="E1269" s="370"/>
      <c r="F1269" s="367"/>
      <c r="G1269" s="156"/>
      <c r="H1269" s="371"/>
      <c r="I1269" s="372"/>
      <c r="J1269" s="355"/>
      <c r="K1269" s="356"/>
      <c r="L1269" s="356"/>
      <c r="M1269" s="356"/>
      <c r="N1269" s="356"/>
      <c r="O1269" s="356"/>
      <c r="P1269" s="356"/>
    </row>
    <row r="1270" spans="1:16" ht="18.75" customHeight="1">
      <c r="A1270" s="366"/>
      <c r="B1270" s="367"/>
      <c r="C1270" s="367"/>
      <c r="D1270" s="367"/>
      <c r="E1270" s="367"/>
      <c r="F1270" s="367"/>
      <c r="G1270" s="159"/>
      <c r="H1270" s="368"/>
      <c r="I1270" s="369"/>
      <c r="J1270" s="353"/>
      <c r="K1270" s="356"/>
      <c r="L1270" s="356"/>
      <c r="M1270" s="356"/>
      <c r="N1270" s="356"/>
      <c r="O1270" s="356"/>
      <c r="P1270" s="356"/>
    </row>
    <row r="1271" spans="1:16" ht="18.75" customHeight="1">
      <c r="A1271" s="366"/>
      <c r="B1271" s="367"/>
      <c r="C1271" s="367"/>
      <c r="D1271" s="367"/>
      <c r="E1271" s="370"/>
      <c r="F1271" s="367"/>
      <c r="G1271" s="156"/>
      <c r="H1271" s="371"/>
      <c r="I1271" s="372"/>
      <c r="J1271" s="355"/>
      <c r="K1271" s="356"/>
      <c r="L1271" s="356"/>
      <c r="M1271" s="356"/>
      <c r="N1271" s="356"/>
      <c r="O1271" s="356"/>
      <c r="P1271" s="356"/>
    </row>
    <row r="1272" spans="1:16" ht="18.75" customHeight="1">
      <c r="A1272" s="366"/>
      <c r="B1272" s="367"/>
      <c r="C1272" s="367"/>
      <c r="D1272" s="367"/>
      <c r="E1272" s="367"/>
      <c r="F1272" s="367"/>
      <c r="G1272" s="159"/>
      <c r="H1272" s="368"/>
      <c r="I1272" s="369"/>
      <c r="J1272" s="353"/>
      <c r="K1272" s="356"/>
      <c r="L1272" s="356"/>
      <c r="M1272" s="356"/>
      <c r="N1272" s="356"/>
      <c r="O1272" s="356"/>
      <c r="P1272" s="356"/>
    </row>
    <row r="1273" spans="1:16" ht="18.75" customHeight="1">
      <c r="A1273" s="366"/>
      <c r="B1273" s="367"/>
      <c r="C1273" s="367"/>
      <c r="D1273" s="367"/>
      <c r="E1273" s="370"/>
      <c r="F1273" s="367"/>
      <c r="G1273" s="156"/>
      <c r="H1273" s="371"/>
      <c r="I1273" s="372"/>
      <c r="J1273" s="355"/>
      <c r="K1273" s="356"/>
      <c r="L1273" s="356"/>
      <c r="M1273" s="356"/>
      <c r="N1273" s="356"/>
      <c r="O1273" s="356"/>
      <c r="P1273" s="356"/>
    </row>
    <row r="1274" spans="1:16" ht="18.75" customHeight="1">
      <c r="A1274" s="366"/>
      <c r="B1274" s="367"/>
      <c r="C1274" s="367"/>
      <c r="D1274" s="367"/>
      <c r="E1274" s="367"/>
      <c r="F1274" s="367"/>
      <c r="G1274" s="159"/>
      <c r="H1274" s="368"/>
      <c r="I1274" s="369"/>
      <c r="J1274" s="353"/>
      <c r="K1274" s="356"/>
      <c r="L1274" s="356"/>
      <c r="M1274" s="356"/>
      <c r="N1274" s="356"/>
      <c r="O1274" s="356"/>
      <c r="P1274" s="356"/>
    </row>
    <row r="1275" spans="1:16" ht="18.75" customHeight="1">
      <c r="A1275" s="366"/>
      <c r="B1275" s="367"/>
      <c r="C1275" s="367"/>
      <c r="D1275" s="367"/>
      <c r="E1275" s="370"/>
      <c r="F1275" s="367"/>
      <c r="G1275" s="156"/>
      <c r="H1275" s="371"/>
      <c r="I1275" s="372"/>
      <c r="J1275" s="355"/>
      <c r="K1275" s="356"/>
      <c r="L1275" s="356"/>
      <c r="M1275" s="356"/>
      <c r="N1275" s="356"/>
      <c r="O1275" s="356"/>
      <c r="P1275" s="356"/>
    </row>
    <row r="1276" spans="1:16" ht="18.75" customHeight="1">
      <c r="A1276" s="366"/>
      <c r="B1276" s="367"/>
      <c r="C1276" s="367"/>
      <c r="D1276" s="367"/>
      <c r="E1276" s="367"/>
      <c r="F1276" s="367"/>
      <c r="G1276" s="159"/>
      <c r="H1276" s="368"/>
      <c r="I1276" s="369"/>
      <c r="J1276" s="353"/>
      <c r="K1276" s="356"/>
      <c r="L1276" s="356"/>
      <c r="M1276" s="356"/>
      <c r="N1276" s="356"/>
      <c r="O1276" s="356"/>
      <c r="P1276" s="356"/>
    </row>
    <row r="1277" spans="1:16" ht="18.75" customHeight="1">
      <c r="A1277" s="366"/>
      <c r="B1277" s="367"/>
      <c r="C1277" s="367"/>
      <c r="D1277" s="367"/>
      <c r="E1277" s="370"/>
      <c r="F1277" s="367"/>
      <c r="G1277" s="156"/>
      <c r="H1277" s="371"/>
      <c r="I1277" s="372"/>
      <c r="J1277" s="355"/>
      <c r="K1277" s="356"/>
      <c r="L1277" s="356"/>
      <c r="M1277" s="356"/>
      <c r="N1277" s="356"/>
      <c r="O1277" s="356"/>
      <c r="P1277" s="356"/>
    </row>
    <row r="1278" spans="1:16" ht="18.75" customHeight="1">
      <c r="A1278" s="366"/>
      <c r="B1278" s="367"/>
      <c r="C1278" s="367"/>
      <c r="D1278" s="367"/>
      <c r="E1278" s="367"/>
      <c r="F1278" s="367"/>
      <c r="G1278" s="159"/>
      <c r="H1278" s="368"/>
      <c r="I1278" s="369"/>
      <c r="J1278" s="353"/>
      <c r="K1278" s="356"/>
      <c r="L1278" s="356"/>
      <c r="M1278" s="356"/>
      <c r="N1278" s="356"/>
      <c r="O1278" s="356"/>
      <c r="P1278" s="356"/>
    </row>
    <row r="1279" spans="1:16" ht="18.75" customHeight="1">
      <c r="A1279" s="366"/>
      <c r="B1279" s="367"/>
      <c r="C1279" s="367"/>
      <c r="D1279" s="367"/>
      <c r="E1279" s="370"/>
      <c r="F1279" s="367"/>
      <c r="G1279" s="156"/>
      <c r="H1279" s="371"/>
      <c r="I1279" s="372"/>
      <c r="J1279" s="355"/>
      <c r="K1279" s="356"/>
      <c r="L1279" s="356"/>
      <c r="M1279" s="356"/>
      <c r="N1279" s="356"/>
      <c r="O1279" s="356"/>
      <c r="P1279" s="356"/>
    </row>
    <row r="1280" spans="1:16" ht="18.75" customHeight="1">
      <c r="A1280" s="366"/>
      <c r="B1280" s="367"/>
      <c r="C1280" s="367"/>
      <c r="D1280" s="367"/>
      <c r="E1280" s="367"/>
      <c r="F1280" s="367"/>
      <c r="G1280" s="159"/>
      <c r="H1280" s="368"/>
      <c r="I1280" s="369"/>
      <c r="J1280" s="353"/>
      <c r="K1280" s="356"/>
      <c r="L1280" s="356"/>
      <c r="M1280" s="356"/>
      <c r="N1280" s="356"/>
      <c r="O1280" s="356"/>
      <c r="P1280" s="356"/>
    </row>
    <row r="1281" spans="1:16" ht="18.75" customHeight="1">
      <c r="A1281" s="366"/>
      <c r="B1281" s="367"/>
      <c r="C1281" s="367"/>
      <c r="D1281" s="367"/>
      <c r="E1281" s="370"/>
      <c r="F1281" s="367"/>
      <c r="G1281" s="156"/>
      <c r="H1281" s="371"/>
      <c r="I1281" s="372"/>
      <c r="J1281" s="355"/>
      <c r="K1281" s="356"/>
      <c r="L1281" s="356"/>
      <c r="M1281" s="356"/>
      <c r="N1281" s="356"/>
      <c r="O1281" s="356"/>
      <c r="P1281" s="356"/>
    </row>
    <row r="1282" spans="1:16" ht="18.75" customHeight="1">
      <c r="A1282" s="366"/>
      <c r="B1282" s="367"/>
      <c r="C1282" s="367"/>
      <c r="D1282" s="367"/>
      <c r="E1282" s="367"/>
      <c r="F1282" s="367"/>
      <c r="G1282" s="159"/>
      <c r="H1282" s="368"/>
      <c r="I1282" s="369"/>
      <c r="J1282" s="353"/>
      <c r="K1282" s="356"/>
      <c r="L1282" s="356"/>
      <c r="M1282" s="356"/>
      <c r="N1282" s="356"/>
      <c r="O1282" s="356"/>
      <c r="P1282" s="356"/>
    </row>
    <row r="1283" spans="1:16" ht="18.75" customHeight="1">
      <c r="A1283" s="366"/>
      <c r="B1283" s="367"/>
      <c r="C1283" s="367"/>
      <c r="D1283" s="367"/>
      <c r="E1283" s="370"/>
      <c r="F1283" s="367"/>
      <c r="G1283" s="156"/>
      <c r="H1283" s="371"/>
      <c r="I1283" s="372"/>
      <c r="J1283" s="355"/>
      <c r="K1283" s="356"/>
      <c r="L1283" s="356"/>
      <c r="M1283" s="356"/>
      <c r="N1283" s="356"/>
      <c r="O1283" s="356"/>
      <c r="P1283" s="356"/>
    </row>
    <row r="1284" spans="1:16" ht="18.75" customHeight="1">
      <c r="A1284" s="366"/>
      <c r="B1284" s="367"/>
      <c r="C1284" s="367"/>
      <c r="D1284" s="367"/>
      <c r="E1284" s="367"/>
      <c r="F1284" s="367"/>
      <c r="G1284" s="159"/>
      <c r="H1284" s="368"/>
      <c r="I1284" s="369"/>
      <c r="J1284" s="353"/>
      <c r="K1284" s="356"/>
      <c r="L1284" s="356"/>
      <c r="M1284" s="356"/>
      <c r="N1284" s="356"/>
      <c r="O1284" s="356"/>
      <c r="P1284" s="356"/>
    </row>
    <row r="1285" spans="1:16" ht="18.75" customHeight="1">
      <c r="A1285" s="366"/>
      <c r="B1285" s="367"/>
      <c r="C1285" s="367"/>
      <c r="D1285" s="367"/>
      <c r="E1285" s="370"/>
      <c r="F1285" s="367"/>
      <c r="G1285" s="156"/>
      <c r="H1285" s="371"/>
      <c r="I1285" s="372"/>
      <c r="J1285" s="355"/>
      <c r="K1285" s="356"/>
      <c r="L1285" s="356"/>
      <c r="M1285" s="356"/>
      <c r="N1285" s="356"/>
      <c r="O1285" s="356"/>
      <c r="P1285" s="356"/>
    </row>
    <row r="1286" spans="1:16" ht="18.75" customHeight="1">
      <c r="A1286" s="366"/>
      <c r="B1286" s="367"/>
      <c r="C1286" s="367"/>
      <c r="D1286" s="367"/>
      <c r="E1286" s="367"/>
      <c r="F1286" s="367"/>
      <c r="G1286" s="159"/>
      <c r="H1286" s="368"/>
      <c r="I1286" s="369"/>
      <c r="J1286" s="353"/>
      <c r="K1286" s="356"/>
      <c r="L1286" s="356"/>
      <c r="M1286" s="356"/>
      <c r="N1286" s="356"/>
      <c r="O1286" s="356"/>
      <c r="P1286" s="356"/>
    </row>
    <row r="1287" spans="1:16" ht="18.75" customHeight="1">
      <c r="A1287" s="366"/>
      <c r="B1287" s="367"/>
      <c r="C1287" s="367"/>
      <c r="D1287" s="367"/>
      <c r="E1287" s="370"/>
      <c r="F1287" s="367"/>
      <c r="G1287" s="156"/>
      <c r="H1287" s="371"/>
      <c r="I1287" s="372"/>
      <c r="J1287" s="355"/>
      <c r="K1287" s="356"/>
      <c r="L1287" s="356"/>
      <c r="M1287" s="356"/>
      <c r="N1287" s="356"/>
      <c r="O1287" s="356"/>
      <c r="P1287" s="356"/>
    </row>
    <row r="1288" spans="1:16" ht="18.75" customHeight="1">
      <c r="A1288" s="366"/>
      <c r="B1288" s="367"/>
      <c r="C1288" s="367"/>
      <c r="D1288" s="367"/>
      <c r="E1288" s="367"/>
      <c r="F1288" s="367"/>
      <c r="G1288" s="159"/>
      <c r="H1288" s="368"/>
      <c r="I1288" s="369"/>
      <c r="J1288" s="353"/>
      <c r="K1288" s="356"/>
      <c r="L1288" s="356"/>
      <c r="M1288" s="356"/>
      <c r="N1288" s="356"/>
      <c r="O1288" s="356"/>
      <c r="P1288" s="356"/>
    </row>
    <row r="1289" spans="1:16" ht="18.75" customHeight="1">
      <c r="A1289" s="366"/>
      <c r="B1289" s="367"/>
      <c r="C1289" s="367"/>
      <c r="D1289" s="367"/>
      <c r="E1289" s="370"/>
      <c r="F1289" s="367"/>
      <c r="G1289" s="156"/>
      <c r="H1289" s="371"/>
      <c r="I1289" s="372"/>
      <c r="J1289" s="355"/>
      <c r="K1289" s="356"/>
      <c r="L1289" s="356"/>
      <c r="M1289" s="356"/>
      <c r="N1289" s="356"/>
      <c r="O1289" s="356"/>
      <c r="P1289" s="356"/>
    </row>
    <row r="1290" spans="1:16" ht="18.75" customHeight="1">
      <c r="A1290" s="366"/>
      <c r="B1290" s="367"/>
      <c r="C1290" s="367"/>
      <c r="D1290" s="367"/>
      <c r="E1290" s="367"/>
      <c r="F1290" s="367"/>
      <c r="G1290" s="159"/>
      <c r="H1290" s="368"/>
      <c r="I1290" s="369"/>
      <c r="J1290" s="353"/>
      <c r="K1290" s="356"/>
      <c r="L1290" s="356"/>
      <c r="M1290" s="356"/>
      <c r="N1290" s="356"/>
      <c r="O1290" s="356"/>
      <c r="P1290" s="356"/>
    </row>
    <row r="1291" spans="1:16" ht="18.75" customHeight="1">
      <c r="A1291" s="366"/>
      <c r="B1291" s="367"/>
      <c r="C1291" s="367"/>
      <c r="D1291" s="367"/>
      <c r="E1291" s="370"/>
      <c r="F1291" s="367"/>
      <c r="G1291" s="156"/>
      <c r="H1291" s="371"/>
      <c r="I1291" s="372"/>
      <c r="J1291" s="355"/>
      <c r="K1291" s="356"/>
      <c r="L1291" s="356"/>
      <c r="M1291" s="356"/>
      <c r="N1291" s="356"/>
      <c r="O1291" s="356"/>
      <c r="P1291" s="356"/>
    </row>
    <row r="1292" spans="1:16" ht="18.75" customHeight="1">
      <c r="A1292" s="366"/>
      <c r="B1292" s="367"/>
      <c r="C1292" s="367"/>
      <c r="D1292" s="367"/>
      <c r="E1292" s="367"/>
      <c r="F1292" s="367"/>
      <c r="G1292" s="159"/>
      <c r="H1292" s="368"/>
      <c r="I1292" s="369"/>
      <c r="J1292" s="353"/>
      <c r="K1292" s="356"/>
      <c r="L1292" s="356"/>
      <c r="M1292" s="356"/>
      <c r="N1292" s="356"/>
      <c r="O1292" s="356"/>
      <c r="P1292" s="356"/>
    </row>
    <row r="1293" spans="1:16" ht="18.75" customHeight="1">
      <c r="A1293" s="366"/>
      <c r="B1293" s="367"/>
      <c r="C1293" s="367"/>
      <c r="D1293" s="367"/>
      <c r="E1293" s="370"/>
      <c r="F1293" s="367"/>
      <c r="G1293" s="156"/>
      <c r="H1293" s="371"/>
      <c r="I1293" s="372"/>
      <c r="J1293" s="355"/>
      <c r="K1293" s="356"/>
      <c r="L1293" s="356"/>
      <c r="M1293" s="356"/>
      <c r="N1293" s="356"/>
      <c r="O1293" s="356"/>
      <c r="P1293" s="356"/>
    </row>
    <row r="1294" spans="1:16" ht="18.75" customHeight="1">
      <c r="A1294" s="366"/>
      <c r="B1294" s="367"/>
      <c r="C1294" s="367"/>
      <c r="D1294" s="367"/>
      <c r="E1294" s="367"/>
      <c r="F1294" s="367"/>
      <c r="G1294" s="159"/>
      <c r="H1294" s="368"/>
      <c r="I1294" s="369"/>
      <c r="J1294" s="353"/>
      <c r="K1294" s="356"/>
      <c r="L1294" s="356"/>
      <c r="M1294" s="356"/>
      <c r="N1294" s="356"/>
      <c r="O1294" s="356"/>
      <c r="P1294" s="356"/>
    </row>
    <row r="1295" spans="1:16" ht="18.75" customHeight="1">
      <c r="A1295" s="366"/>
      <c r="B1295" s="367"/>
      <c r="C1295" s="367"/>
      <c r="D1295" s="367"/>
      <c r="E1295" s="370"/>
      <c r="F1295" s="367"/>
      <c r="G1295" s="156"/>
      <c r="H1295" s="371"/>
      <c r="I1295" s="372"/>
      <c r="J1295" s="355"/>
      <c r="K1295" s="356"/>
      <c r="L1295" s="356"/>
      <c r="M1295" s="356"/>
      <c r="N1295" s="356"/>
      <c r="O1295" s="356"/>
      <c r="P1295" s="356"/>
    </row>
    <row r="1296" spans="1:16" ht="18.75" customHeight="1">
      <c r="A1296" s="366"/>
      <c r="B1296" s="367"/>
      <c r="C1296" s="367"/>
      <c r="D1296" s="367"/>
      <c r="E1296" s="367"/>
      <c r="F1296" s="367"/>
      <c r="G1296" s="159"/>
      <c r="H1296" s="368"/>
      <c r="I1296" s="369"/>
      <c r="J1296" s="353"/>
      <c r="K1296" s="356"/>
      <c r="L1296" s="356"/>
      <c r="M1296" s="356"/>
      <c r="N1296" s="356"/>
      <c r="O1296" s="356"/>
      <c r="P1296" s="356"/>
    </row>
    <row r="1297" spans="1:16" ht="18.75" customHeight="1">
      <c r="A1297" s="366"/>
      <c r="B1297" s="367"/>
      <c r="C1297" s="367"/>
      <c r="D1297" s="367"/>
      <c r="E1297" s="370"/>
      <c r="F1297" s="367"/>
      <c r="G1297" s="156"/>
      <c r="H1297" s="371"/>
      <c r="I1297" s="372"/>
      <c r="J1297" s="355"/>
      <c r="K1297" s="356"/>
      <c r="L1297" s="356"/>
      <c r="M1297" s="356"/>
      <c r="N1297" s="356"/>
      <c r="O1297" s="356"/>
      <c r="P1297" s="356"/>
    </row>
    <row r="1298" spans="1:16" ht="18.75" customHeight="1">
      <c r="A1298" s="366"/>
      <c r="B1298" s="367"/>
      <c r="C1298" s="367"/>
      <c r="D1298" s="367"/>
      <c r="E1298" s="367"/>
      <c r="F1298" s="367"/>
      <c r="G1298" s="159"/>
      <c r="H1298" s="368"/>
      <c r="I1298" s="369"/>
      <c r="J1298" s="353"/>
      <c r="K1298" s="356"/>
      <c r="L1298" s="356"/>
      <c r="M1298" s="356"/>
      <c r="N1298" s="356"/>
      <c r="O1298" s="356"/>
      <c r="P1298" s="356"/>
    </row>
    <row r="1299" spans="1:16" ht="18.75" customHeight="1">
      <c r="A1299" s="366"/>
      <c r="B1299" s="367"/>
      <c r="C1299" s="367"/>
      <c r="D1299" s="367"/>
      <c r="E1299" s="370"/>
      <c r="F1299" s="367"/>
      <c r="G1299" s="156"/>
      <c r="H1299" s="371"/>
      <c r="I1299" s="372"/>
      <c r="J1299" s="355"/>
      <c r="K1299" s="356"/>
      <c r="L1299" s="356"/>
      <c r="M1299" s="356"/>
      <c r="N1299" s="356"/>
      <c r="O1299" s="356"/>
      <c r="P1299" s="356"/>
    </row>
    <row r="1300" spans="1:16" ht="18.75" customHeight="1">
      <c r="A1300" s="366"/>
      <c r="B1300" s="367"/>
      <c r="C1300" s="367"/>
      <c r="D1300" s="367"/>
      <c r="E1300" s="367"/>
      <c r="F1300" s="367"/>
      <c r="G1300" s="159"/>
      <c r="H1300" s="368"/>
      <c r="I1300" s="369"/>
      <c r="J1300" s="353"/>
      <c r="K1300" s="356"/>
      <c r="L1300" s="356"/>
      <c r="M1300" s="356"/>
      <c r="N1300" s="356"/>
      <c r="O1300" s="356"/>
      <c r="P1300" s="356"/>
    </row>
    <row r="1301" spans="1:16" ht="18.75" customHeight="1">
      <c r="A1301" s="366"/>
      <c r="B1301" s="367"/>
      <c r="C1301" s="367"/>
      <c r="D1301" s="367"/>
      <c r="E1301" s="370"/>
      <c r="F1301" s="367"/>
      <c r="G1301" s="156"/>
      <c r="H1301" s="371"/>
      <c r="I1301" s="372"/>
      <c r="J1301" s="355"/>
      <c r="K1301" s="356"/>
      <c r="L1301" s="356"/>
      <c r="M1301" s="356"/>
      <c r="N1301" s="356"/>
      <c r="O1301" s="356"/>
      <c r="P1301" s="356"/>
    </row>
    <row r="1302" spans="1:16" ht="18.75" customHeight="1">
      <c r="A1302" s="366"/>
      <c r="B1302" s="367"/>
      <c r="C1302" s="367"/>
      <c r="D1302" s="367"/>
      <c r="E1302" s="367"/>
      <c r="F1302" s="367"/>
      <c r="G1302" s="159"/>
      <c r="H1302" s="368"/>
      <c r="I1302" s="369"/>
      <c r="J1302" s="353"/>
      <c r="K1302" s="356"/>
      <c r="L1302" s="356"/>
      <c r="M1302" s="356"/>
      <c r="N1302" s="356"/>
      <c r="O1302" s="356"/>
      <c r="P1302" s="356"/>
    </row>
    <row r="1303" spans="1:16" ht="18.75" customHeight="1">
      <c r="A1303" s="366"/>
      <c r="B1303" s="367"/>
      <c r="C1303" s="367"/>
      <c r="D1303" s="367"/>
      <c r="E1303" s="370"/>
      <c r="F1303" s="367"/>
      <c r="G1303" s="156"/>
      <c r="H1303" s="371"/>
      <c r="I1303" s="372"/>
      <c r="J1303" s="355"/>
      <c r="K1303" s="356"/>
      <c r="L1303" s="356"/>
      <c r="M1303" s="356"/>
      <c r="N1303" s="356"/>
      <c r="O1303" s="356"/>
      <c r="P1303" s="356"/>
    </row>
    <row r="1304" spans="1:16" ht="18.75" customHeight="1">
      <c r="A1304" s="366"/>
      <c r="B1304" s="367"/>
      <c r="C1304" s="367"/>
      <c r="D1304" s="367"/>
      <c r="E1304" s="367"/>
      <c r="F1304" s="367"/>
      <c r="G1304" s="159"/>
      <c r="H1304" s="368"/>
      <c r="I1304" s="369"/>
      <c r="J1304" s="353"/>
      <c r="K1304" s="356"/>
      <c r="L1304" s="356"/>
      <c r="M1304" s="356"/>
      <c r="N1304" s="356"/>
      <c r="O1304" s="356"/>
      <c r="P1304" s="356"/>
    </row>
    <row r="1305" spans="1:16" ht="18.75" customHeight="1">
      <c r="A1305" s="366"/>
      <c r="B1305" s="367"/>
      <c r="C1305" s="367"/>
      <c r="D1305" s="367"/>
      <c r="E1305" s="370"/>
      <c r="F1305" s="367"/>
      <c r="G1305" s="156"/>
      <c r="H1305" s="371"/>
      <c r="I1305" s="372"/>
      <c r="J1305" s="355"/>
      <c r="K1305" s="356"/>
      <c r="L1305" s="356"/>
      <c r="M1305" s="356"/>
      <c r="N1305" s="356"/>
      <c r="O1305" s="356"/>
      <c r="P1305" s="356"/>
    </row>
    <row r="1306" spans="1:16" ht="18.75" customHeight="1">
      <c r="A1306" s="366"/>
      <c r="B1306" s="367"/>
      <c r="C1306" s="367"/>
      <c r="D1306" s="367"/>
      <c r="E1306" s="367"/>
      <c r="F1306" s="367"/>
      <c r="G1306" s="159"/>
      <c r="H1306" s="368"/>
      <c r="I1306" s="369"/>
      <c r="J1306" s="353"/>
      <c r="K1306" s="356"/>
      <c r="L1306" s="356"/>
      <c r="M1306" s="356"/>
      <c r="N1306" s="356"/>
      <c r="O1306" s="356"/>
      <c r="P1306" s="356"/>
    </row>
    <row r="1307" spans="1:16" ht="18.75" customHeight="1">
      <c r="A1307" s="366"/>
      <c r="B1307" s="367"/>
      <c r="C1307" s="367"/>
      <c r="D1307" s="367"/>
      <c r="E1307" s="370"/>
      <c r="F1307" s="367"/>
      <c r="G1307" s="156"/>
      <c r="H1307" s="371"/>
      <c r="I1307" s="372"/>
      <c r="J1307" s="355"/>
      <c r="K1307" s="356"/>
      <c r="L1307" s="356"/>
      <c r="M1307" s="356"/>
      <c r="N1307" s="356"/>
      <c r="O1307" s="356"/>
      <c r="P1307" s="356"/>
    </row>
    <row r="1308" spans="1:16" ht="18.75" customHeight="1">
      <c r="A1308" s="366"/>
      <c r="B1308" s="367"/>
      <c r="C1308" s="367"/>
      <c r="D1308" s="367"/>
      <c r="E1308" s="367"/>
      <c r="F1308" s="367"/>
      <c r="G1308" s="159"/>
      <c r="H1308" s="368"/>
      <c r="I1308" s="369"/>
      <c r="J1308" s="353"/>
      <c r="K1308" s="356"/>
      <c r="L1308" s="356"/>
      <c r="M1308" s="356"/>
      <c r="N1308" s="356"/>
      <c r="O1308" s="356"/>
      <c r="P1308" s="356"/>
    </row>
    <row r="1309" spans="1:16" ht="18.75" customHeight="1">
      <c r="A1309" s="366"/>
      <c r="B1309" s="367"/>
      <c r="C1309" s="367"/>
      <c r="D1309" s="367"/>
      <c r="E1309" s="370"/>
      <c r="F1309" s="367"/>
      <c r="G1309" s="156"/>
      <c r="H1309" s="371"/>
      <c r="I1309" s="372"/>
      <c r="J1309" s="355"/>
      <c r="K1309" s="356"/>
      <c r="L1309" s="356"/>
      <c r="M1309" s="356"/>
      <c r="N1309" s="356"/>
      <c r="O1309" s="356"/>
      <c r="P1309" s="356"/>
    </row>
    <row r="1310" spans="1:16" ht="18.75" customHeight="1">
      <c r="A1310" s="366"/>
      <c r="B1310" s="367"/>
      <c r="C1310" s="367"/>
      <c r="D1310" s="367"/>
      <c r="E1310" s="367"/>
      <c r="F1310" s="367"/>
      <c r="G1310" s="159"/>
      <c r="H1310" s="368"/>
      <c r="I1310" s="369"/>
      <c r="J1310" s="353"/>
      <c r="K1310" s="356"/>
      <c r="L1310" s="356"/>
      <c r="M1310" s="356"/>
      <c r="N1310" s="356"/>
      <c r="O1310" s="356"/>
      <c r="P1310" s="356"/>
    </row>
    <row r="1311" spans="1:16" ht="18.75" customHeight="1">
      <c r="A1311" s="366"/>
      <c r="B1311" s="367"/>
      <c r="C1311" s="367"/>
      <c r="D1311" s="367"/>
      <c r="E1311" s="370"/>
      <c r="F1311" s="367"/>
      <c r="G1311" s="156"/>
      <c r="H1311" s="371"/>
      <c r="I1311" s="372"/>
      <c r="J1311" s="355"/>
      <c r="K1311" s="356"/>
      <c r="L1311" s="356"/>
      <c r="M1311" s="356"/>
      <c r="N1311" s="356"/>
      <c r="O1311" s="356"/>
      <c r="P1311" s="356"/>
    </row>
    <row r="1312" spans="1:16" ht="18.75" customHeight="1">
      <c r="A1312" s="366"/>
      <c r="B1312" s="367"/>
      <c r="C1312" s="367"/>
      <c r="D1312" s="367"/>
      <c r="E1312" s="367"/>
      <c r="F1312" s="367"/>
      <c r="G1312" s="159"/>
      <c r="H1312" s="368"/>
      <c r="I1312" s="369"/>
      <c r="J1312" s="353"/>
      <c r="K1312" s="356"/>
      <c r="L1312" s="356"/>
      <c r="M1312" s="356"/>
      <c r="N1312" s="356"/>
      <c r="O1312" s="356"/>
      <c r="P1312" s="356"/>
    </row>
    <row r="1313" spans="1:16" ht="18.75" customHeight="1">
      <c r="A1313" s="366"/>
      <c r="B1313" s="367"/>
      <c r="C1313" s="367"/>
      <c r="D1313" s="367"/>
      <c r="E1313" s="370"/>
      <c r="F1313" s="367"/>
      <c r="G1313" s="156"/>
      <c r="H1313" s="371"/>
      <c r="I1313" s="372"/>
      <c r="J1313" s="355"/>
      <c r="K1313" s="356"/>
      <c r="L1313" s="356"/>
      <c r="M1313" s="356"/>
      <c r="N1313" s="356"/>
      <c r="O1313" s="356"/>
      <c r="P1313" s="356"/>
    </row>
    <row r="1314" spans="1:16" ht="18.75" customHeight="1">
      <c r="A1314" s="366"/>
      <c r="B1314" s="367"/>
      <c r="C1314" s="367"/>
      <c r="D1314" s="367"/>
      <c r="E1314" s="367"/>
      <c r="F1314" s="367"/>
      <c r="G1314" s="159"/>
      <c r="H1314" s="368"/>
      <c r="I1314" s="369"/>
      <c r="J1314" s="353"/>
      <c r="K1314" s="356"/>
      <c r="L1314" s="356"/>
      <c r="M1314" s="356"/>
      <c r="N1314" s="356"/>
      <c r="O1314" s="356"/>
      <c r="P1314" s="356"/>
    </row>
    <row r="1315" spans="1:16" ht="18.75" customHeight="1">
      <c r="A1315" s="366"/>
      <c r="B1315" s="367"/>
      <c r="C1315" s="367"/>
      <c r="D1315" s="367"/>
      <c r="E1315" s="370"/>
      <c r="F1315" s="367"/>
      <c r="G1315" s="156"/>
      <c r="H1315" s="371"/>
      <c r="I1315" s="372"/>
      <c r="J1315" s="355"/>
      <c r="K1315" s="356"/>
      <c r="L1315" s="356"/>
      <c r="M1315" s="356"/>
      <c r="N1315" s="356"/>
      <c r="O1315" s="356"/>
      <c r="P1315" s="356"/>
    </row>
    <row r="1316" spans="1:16" ht="18.75" customHeight="1">
      <c r="A1316" s="366"/>
      <c r="B1316" s="367"/>
      <c r="C1316" s="367"/>
      <c r="D1316" s="367"/>
      <c r="E1316" s="367"/>
      <c r="F1316" s="367"/>
      <c r="G1316" s="159"/>
      <c r="H1316" s="368"/>
      <c r="I1316" s="369"/>
      <c r="J1316" s="353"/>
      <c r="K1316" s="356"/>
      <c r="L1316" s="356"/>
      <c r="M1316" s="356"/>
      <c r="N1316" s="356"/>
      <c r="O1316" s="356"/>
      <c r="P1316" s="356"/>
    </row>
    <row r="1317" spans="1:16" ht="18.75" customHeight="1">
      <c r="A1317" s="366"/>
      <c r="B1317" s="367"/>
      <c r="C1317" s="367"/>
      <c r="D1317" s="367"/>
      <c r="E1317" s="370"/>
      <c r="F1317" s="367"/>
      <c r="G1317" s="156"/>
      <c r="H1317" s="371"/>
      <c r="I1317" s="372"/>
      <c r="J1317" s="355"/>
      <c r="K1317" s="356"/>
      <c r="L1317" s="356"/>
      <c r="M1317" s="356"/>
      <c r="N1317" s="356"/>
      <c r="O1317" s="356"/>
      <c r="P1317" s="356"/>
    </row>
    <row r="1318" spans="1:16" ht="18.75" customHeight="1">
      <c r="A1318" s="366"/>
      <c r="B1318" s="367"/>
      <c r="C1318" s="367"/>
      <c r="D1318" s="367"/>
      <c r="E1318" s="367"/>
      <c r="F1318" s="367"/>
      <c r="G1318" s="159"/>
      <c r="H1318" s="368"/>
      <c r="I1318" s="369"/>
      <c r="J1318" s="353"/>
      <c r="K1318" s="356"/>
      <c r="L1318" s="356"/>
      <c r="M1318" s="356"/>
      <c r="N1318" s="356"/>
      <c r="O1318" s="356"/>
      <c r="P1318" s="356"/>
    </row>
    <row r="1319" spans="1:16" ht="18.75" customHeight="1">
      <c r="A1319" s="366"/>
      <c r="B1319" s="367"/>
      <c r="C1319" s="367"/>
      <c r="D1319" s="367"/>
      <c r="E1319" s="370"/>
      <c r="F1319" s="367"/>
      <c r="G1319" s="156"/>
      <c r="H1319" s="371"/>
      <c r="I1319" s="372"/>
      <c r="J1319" s="355"/>
      <c r="K1319" s="356"/>
      <c r="L1319" s="356"/>
      <c r="M1319" s="356"/>
      <c r="N1319" s="356"/>
      <c r="O1319" s="356"/>
      <c r="P1319" s="356"/>
    </row>
    <row r="1320" spans="1:16" ht="18.75" customHeight="1">
      <c r="A1320" s="366"/>
      <c r="B1320" s="367"/>
      <c r="C1320" s="367"/>
      <c r="D1320" s="367"/>
      <c r="E1320" s="367"/>
      <c r="F1320" s="367"/>
      <c r="G1320" s="159"/>
      <c r="H1320" s="368"/>
      <c r="I1320" s="369"/>
      <c r="J1320" s="353"/>
      <c r="K1320" s="356"/>
      <c r="L1320" s="356"/>
      <c r="M1320" s="356"/>
      <c r="N1320" s="356"/>
      <c r="O1320" s="356"/>
      <c r="P1320" s="356"/>
    </row>
    <row r="1321" spans="1:16" ht="18.75" customHeight="1">
      <c r="A1321" s="366"/>
      <c r="B1321" s="367"/>
      <c r="C1321" s="367"/>
      <c r="D1321" s="367"/>
      <c r="E1321" s="370"/>
      <c r="F1321" s="367"/>
      <c r="G1321" s="156"/>
      <c r="H1321" s="371"/>
      <c r="I1321" s="372"/>
      <c r="J1321" s="355"/>
      <c r="K1321" s="356"/>
      <c r="L1321" s="356"/>
      <c r="M1321" s="356"/>
      <c r="N1321" s="356"/>
      <c r="O1321" s="356"/>
      <c r="P1321" s="356"/>
    </row>
    <row r="1322" spans="1:16" ht="18.75" customHeight="1">
      <c r="A1322" s="366"/>
      <c r="B1322" s="367"/>
      <c r="C1322" s="367"/>
      <c r="D1322" s="367"/>
      <c r="E1322" s="367"/>
      <c r="F1322" s="367"/>
      <c r="G1322" s="159"/>
      <c r="H1322" s="368"/>
      <c r="I1322" s="369"/>
      <c r="J1322" s="353"/>
      <c r="K1322" s="356"/>
      <c r="L1322" s="356"/>
      <c r="M1322" s="356"/>
      <c r="N1322" s="356"/>
      <c r="O1322" s="356"/>
      <c r="P1322" s="356"/>
    </row>
    <row r="1323" spans="1:16" ht="18.75" customHeight="1">
      <c r="A1323" s="366"/>
      <c r="B1323" s="367"/>
      <c r="C1323" s="367"/>
      <c r="D1323" s="367"/>
      <c r="E1323" s="370"/>
      <c r="F1323" s="367"/>
      <c r="G1323" s="156"/>
      <c r="H1323" s="371"/>
      <c r="I1323" s="372"/>
      <c r="J1323" s="355"/>
      <c r="K1323" s="356"/>
      <c r="L1323" s="356"/>
      <c r="M1323" s="356"/>
      <c r="N1323" s="356"/>
      <c r="O1323" s="356"/>
      <c r="P1323" s="356"/>
    </row>
    <row r="1324" spans="1:16" ht="18.75" customHeight="1">
      <c r="A1324" s="366"/>
      <c r="B1324" s="367"/>
      <c r="C1324" s="367"/>
      <c r="D1324" s="367"/>
      <c r="E1324" s="367"/>
      <c r="F1324" s="367"/>
      <c r="G1324" s="159"/>
      <c r="H1324" s="368"/>
      <c r="I1324" s="369"/>
      <c r="J1324" s="353"/>
      <c r="K1324" s="356"/>
      <c r="L1324" s="356"/>
      <c r="M1324" s="356"/>
      <c r="N1324" s="356"/>
      <c r="O1324" s="356"/>
      <c r="P1324" s="356"/>
    </row>
    <row r="1325" spans="1:16" ht="18.75" customHeight="1">
      <c r="A1325" s="366"/>
      <c r="B1325" s="367"/>
      <c r="C1325" s="367"/>
      <c r="D1325" s="367"/>
      <c r="E1325" s="370"/>
      <c r="F1325" s="367"/>
      <c r="G1325" s="156"/>
      <c r="H1325" s="371"/>
      <c r="I1325" s="372"/>
      <c r="J1325" s="355"/>
      <c r="K1325" s="356"/>
      <c r="L1325" s="356"/>
      <c r="M1325" s="356"/>
      <c r="N1325" s="356"/>
      <c r="O1325" s="356"/>
      <c r="P1325" s="356"/>
    </row>
    <row r="1326" spans="1:16" ht="18.75" customHeight="1">
      <c r="A1326" s="366"/>
      <c r="B1326" s="367"/>
      <c r="C1326" s="367"/>
      <c r="D1326" s="367"/>
      <c r="E1326" s="367"/>
      <c r="F1326" s="367"/>
      <c r="G1326" s="159"/>
      <c r="H1326" s="368"/>
      <c r="I1326" s="369"/>
      <c r="J1326" s="353"/>
      <c r="K1326" s="356"/>
      <c r="L1326" s="356"/>
      <c r="M1326" s="356"/>
      <c r="N1326" s="356"/>
      <c r="O1326" s="356"/>
      <c r="P1326" s="356"/>
    </row>
    <row r="1327" spans="1:16" ht="18.75" customHeight="1">
      <c r="A1327" s="366"/>
      <c r="B1327" s="367"/>
      <c r="C1327" s="367"/>
      <c r="D1327" s="367"/>
      <c r="E1327" s="370"/>
      <c r="F1327" s="367"/>
      <c r="G1327" s="156"/>
      <c r="H1327" s="371"/>
      <c r="I1327" s="372"/>
      <c r="J1327" s="355"/>
      <c r="K1327" s="356"/>
      <c r="L1327" s="356"/>
      <c r="M1327" s="356"/>
      <c r="N1327" s="356"/>
      <c r="O1327" s="356"/>
      <c r="P1327" s="356"/>
    </row>
    <row r="1328" spans="1:16" ht="18.75" customHeight="1">
      <c r="A1328" s="366"/>
      <c r="B1328" s="367"/>
      <c r="C1328" s="367"/>
      <c r="D1328" s="367"/>
      <c r="E1328" s="367"/>
      <c r="F1328" s="367"/>
      <c r="G1328" s="159"/>
      <c r="H1328" s="368"/>
      <c r="I1328" s="369"/>
      <c r="J1328" s="353"/>
      <c r="K1328" s="356"/>
      <c r="L1328" s="356"/>
      <c r="M1328" s="356"/>
      <c r="N1328" s="356"/>
      <c r="O1328" s="356"/>
      <c r="P1328" s="356"/>
    </row>
    <row r="1329" spans="1:16" ht="18.75" customHeight="1">
      <c r="A1329" s="366"/>
      <c r="B1329" s="367"/>
      <c r="C1329" s="367"/>
      <c r="D1329" s="367"/>
      <c r="E1329" s="370"/>
      <c r="F1329" s="367"/>
      <c r="G1329" s="156"/>
      <c r="H1329" s="371"/>
      <c r="I1329" s="372"/>
      <c r="J1329" s="355"/>
      <c r="K1329" s="356"/>
      <c r="L1329" s="356"/>
      <c r="M1329" s="356"/>
      <c r="N1329" s="356"/>
      <c r="O1329" s="356"/>
      <c r="P1329" s="356"/>
    </row>
    <row r="1330" spans="1:16" ht="18.75" customHeight="1">
      <c r="A1330" s="366"/>
      <c r="B1330" s="367"/>
      <c r="C1330" s="367"/>
      <c r="D1330" s="367"/>
      <c r="E1330" s="367"/>
      <c r="F1330" s="367"/>
      <c r="G1330" s="159"/>
      <c r="H1330" s="368"/>
      <c r="I1330" s="369"/>
      <c r="J1330" s="353"/>
      <c r="K1330" s="356"/>
      <c r="L1330" s="356"/>
      <c r="M1330" s="356"/>
      <c r="N1330" s="356"/>
      <c r="O1330" s="356"/>
      <c r="P1330" s="356"/>
    </row>
    <row r="1331" spans="1:16" ht="18.75" customHeight="1">
      <c r="A1331" s="366"/>
      <c r="B1331" s="367"/>
      <c r="C1331" s="367"/>
      <c r="D1331" s="367"/>
      <c r="E1331" s="370"/>
      <c r="F1331" s="367"/>
      <c r="G1331" s="156"/>
      <c r="H1331" s="371"/>
      <c r="I1331" s="372"/>
      <c r="J1331" s="355"/>
      <c r="K1331" s="356"/>
      <c r="L1331" s="356"/>
      <c r="M1331" s="356"/>
      <c r="N1331" s="356"/>
      <c r="O1331" s="356"/>
      <c r="P1331" s="356"/>
    </row>
    <row r="1332" spans="1:16" ht="18.75" customHeight="1">
      <c r="A1332" s="366"/>
      <c r="B1332" s="367"/>
      <c r="C1332" s="367"/>
      <c r="D1332" s="367"/>
      <c r="E1332" s="367"/>
      <c r="F1332" s="367"/>
      <c r="G1332" s="159"/>
      <c r="H1332" s="368"/>
      <c r="I1332" s="369"/>
      <c r="J1332" s="353"/>
      <c r="K1332" s="356"/>
      <c r="L1332" s="356"/>
      <c r="M1332" s="356"/>
      <c r="N1332" s="356"/>
      <c r="O1332" s="356"/>
      <c r="P1332" s="356"/>
    </row>
    <row r="1333" spans="1:16" ht="18.75" customHeight="1">
      <c r="A1333" s="366"/>
      <c r="B1333" s="367"/>
      <c r="C1333" s="367"/>
      <c r="D1333" s="367"/>
      <c r="E1333" s="370"/>
      <c r="F1333" s="367"/>
      <c r="G1333" s="156"/>
      <c r="H1333" s="371"/>
      <c r="I1333" s="372"/>
      <c r="J1333" s="355"/>
      <c r="K1333" s="356"/>
      <c r="L1333" s="356"/>
      <c r="M1333" s="356"/>
      <c r="N1333" s="356"/>
      <c r="O1333" s="356"/>
      <c r="P1333" s="356"/>
    </row>
    <row r="1334" spans="1:16" ht="18.75" customHeight="1">
      <c r="A1334" s="366"/>
      <c r="B1334" s="367"/>
      <c r="C1334" s="367"/>
      <c r="D1334" s="367"/>
      <c r="E1334" s="367"/>
      <c r="F1334" s="367"/>
      <c r="G1334" s="159"/>
      <c r="H1334" s="368"/>
      <c r="I1334" s="369"/>
      <c r="J1334" s="353"/>
      <c r="K1334" s="356"/>
      <c r="L1334" s="356"/>
      <c r="M1334" s="356"/>
      <c r="N1334" s="356"/>
      <c r="O1334" s="356"/>
      <c r="P1334" s="356"/>
    </row>
    <row r="1335" spans="1:16" ht="18.75" customHeight="1">
      <c r="A1335" s="366"/>
      <c r="B1335" s="367"/>
      <c r="C1335" s="367"/>
      <c r="D1335" s="367"/>
      <c r="E1335" s="370"/>
      <c r="F1335" s="367"/>
      <c r="G1335" s="156"/>
      <c r="H1335" s="371"/>
      <c r="I1335" s="372"/>
      <c r="J1335" s="355"/>
      <c r="K1335" s="356"/>
      <c r="L1335" s="356"/>
      <c r="M1335" s="356"/>
      <c r="N1335" s="356"/>
      <c r="O1335" s="356"/>
      <c r="P1335" s="356"/>
    </row>
    <row r="1336" spans="1:16" ht="18.75" customHeight="1">
      <c r="A1336" s="366"/>
      <c r="B1336" s="367"/>
      <c r="C1336" s="367"/>
      <c r="D1336" s="367"/>
      <c r="E1336" s="367"/>
      <c r="F1336" s="367"/>
      <c r="G1336" s="159"/>
      <c r="H1336" s="368"/>
      <c r="I1336" s="369"/>
      <c r="J1336" s="353"/>
      <c r="K1336" s="356"/>
      <c r="L1336" s="356"/>
      <c r="M1336" s="356"/>
      <c r="N1336" s="356"/>
      <c r="O1336" s="356"/>
      <c r="P1336" s="356"/>
    </row>
    <row r="1337" spans="1:16" ht="18.75" customHeight="1">
      <c r="A1337" s="366"/>
      <c r="B1337" s="367"/>
      <c r="C1337" s="367"/>
      <c r="D1337" s="367"/>
      <c r="E1337" s="370"/>
      <c r="F1337" s="367"/>
      <c r="G1337" s="156"/>
      <c r="H1337" s="371"/>
      <c r="I1337" s="372"/>
      <c r="J1337" s="355"/>
      <c r="K1337" s="356"/>
      <c r="L1337" s="356"/>
      <c r="M1337" s="356"/>
      <c r="N1337" s="356"/>
      <c r="O1337" s="356"/>
      <c r="P1337" s="356"/>
    </row>
    <row r="1338" spans="1:16" ht="18.75" customHeight="1">
      <c r="A1338" s="366"/>
      <c r="B1338" s="367"/>
      <c r="C1338" s="367"/>
      <c r="D1338" s="367"/>
      <c r="E1338" s="367"/>
      <c r="F1338" s="367"/>
      <c r="G1338" s="159"/>
      <c r="H1338" s="368"/>
      <c r="I1338" s="369"/>
      <c r="J1338" s="353"/>
      <c r="K1338" s="356"/>
      <c r="L1338" s="356"/>
      <c r="M1338" s="356"/>
      <c r="N1338" s="356"/>
      <c r="O1338" s="356"/>
      <c r="P1338" s="356"/>
    </row>
    <row r="1339" spans="1:16" ht="18.75" customHeight="1">
      <c r="A1339" s="366"/>
      <c r="B1339" s="367"/>
      <c r="C1339" s="367"/>
      <c r="D1339" s="367"/>
      <c r="E1339" s="370"/>
      <c r="F1339" s="367"/>
      <c r="G1339" s="156"/>
      <c r="H1339" s="371"/>
      <c r="I1339" s="372"/>
      <c r="J1339" s="355"/>
      <c r="K1339" s="356"/>
      <c r="L1339" s="356"/>
      <c r="M1339" s="356"/>
      <c r="N1339" s="356"/>
      <c r="O1339" s="356"/>
      <c r="P1339" s="356"/>
    </row>
    <row r="1340" spans="1:16" ht="18.75" customHeight="1">
      <c r="A1340" s="366"/>
      <c r="B1340" s="367"/>
      <c r="C1340" s="367"/>
      <c r="D1340" s="367"/>
      <c r="E1340" s="367"/>
      <c r="F1340" s="367"/>
      <c r="G1340" s="159"/>
      <c r="H1340" s="368"/>
      <c r="I1340" s="369"/>
      <c r="J1340" s="353"/>
      <c r="K1340" s="356"/>
      <c r="L1340" s="356"/>
      <c r="M1340" s="356"/>
      <c r="N1340" s="356"/>
      <c r="O1340" s="356"/>
      <c r="P1340" s="356"/>
    </row>
    <row r="1341" spans="1:16" ht="18.75" customHeight="1">
      <c r="A1341" s="366"/>
      <c r="B1341" s="367"/>
      <c r="C1341" s="367"/>
      <c r="D1341" s="367"/>
      <c r="E1341" s="370"/>
      <c r="F1341" s="367"/>
      <c r="G1341" s="156"/>
      <c r="H1341" s="371"/>
      <c r="I1341" s="372"/>
      <c r="J1341" s="355"/>
      <c r="K1341" s="356"/>
      <c r="L1341" s="356"/>
      <c r="M1341" s="356"/>
      <c r="N1341" s="356"/>
      <c r="O1341" s="356"/>
      <c r="P1341" s="356"/>
    </row>
    <row r="1342" spans="1:16" ht="18.75" customHeight="1">
      <c r="A1342" s="366"/>
      <c r="B1342" s="367"/>
      <c r="C1342" s="367"/>
      <c r="D1342" s="367"/>
      <c r="E1342" s="367"/>
      <c r="F1342" s="367"/>
      <c r="G1342" s="159"/>
      <c r="H1342" s="368"/>
      <c r="I1342" s="369"/>
      <c r="J1342" s="353"/>
      <c r="K1342" s="356"/>
      <c r="L1342" s="356"/>
      <c r="M1342" s="356"/>
      <c r="N1342" s="356"/>
      <c r="O1342" s="356"/>
      <c r="P1342" s="356"/>
    </row>
    <row r="1343" spans="1:16" ht="18.75" customHeight="1">
      <c r="A1343" s="366"/>
      <c r="B1343" s="367"/>
      <c r="C1343" s="367"/>
      <c r="D1343" s="367"/>
      <c r="E1343" s="370"/>
      <c r="F1343" s="367"/>
      <c r="G1343" s="156"/>
      <c r="H1343" s="371"/>
      <c r="I1343" s="372"/>
      <c r="J1343" s="355"/>
      <c r="K1343" s="356"/>
      <c r="L1343" s="356"/>
      <c r="M1343" s="356"/>
      <c r="N1343" s="356"/>
      <c r="O1343" s="356"/>
      <c r="P1343" s="356"/>
    </row>
    <row r="1344" spans="1:16" ht="18.75" customHeight="1">
      <c r="A1344" s="366"/>
      <c r="B1344" s="367"/>
      <c r="C1344" s="367"/>
      <c r="D1344" s="367"/>
      <c r="E1344" s="367"/>
      <c r="F1344" s="367"/>
      <c r="G1344" s="159"/>
      <c r="H1344" s="368"/>
      <c r="I1344" s="369"/>
      <c r="J1344" s="353"/>
      <c r="K1344" s="356"/>
      <c r="L1344" s="356"/>
      <c r="M1344" s="356"/>
      <c r="N1344" s="356"/>
      <c r="O1344" s="356"/>
      <c r="P1344" s="356"/>
    </row>
    <row r="1345" spans="1:16" ht="18.75" customHeight="1">
      <c r="A1345" s="366"/>
      <c r="B1345" s="367"/>
      <c r="C1345" s="367"/>
      <c r="D1345" s="367"/>
      <c r="E1345" s="370"/>
      <c r="F1345" s="367"/>
      <c r="G1345" s="156"/>
      <c r="H1345" s="371"/>
      <c r="I1345" s="372"/>
      <c r="J1345" s="355"/>
      <c r="K1345" s="356"/>
      <c r="L1345" s="356"/>
      <c r="M1345" s="356"/>
      <c r="N1345" s="356"/>
      <c r="O1345" s="356"/>
      <c r="P1345" s="356"/>
    </row>
    <row r="1346" spans="1:16" ht="18.75" customHeight="1">
      <c r="A1346" s="366"/>
      <c r="B1346" s="367"/>
      <c r="C1346" s="367"/>
      <c r="D1346" s="367"/>
      <c r="E1346" s="367"/>
      <c r="F1346" s="367"/>
      <c r="G1346" s="159"/>
      <c r="H1346" s="368"/>
      <c r="I1346" s="369"/>
      <c r="J1346" s="353"/>
      <c r="K1346" s="356"/>
      <c r="L1346" s="356"/>
      <c r="M1346" s="356"/>
      <c r="N1346" s="356"/>
      <c r="O1346" s="356"/>
      <c r="P1346" s="356"/>
    </row>
    <row r="1347" spans="1:16" ht="18.75" customHeight="1">
      <c r="A1347" s="366"/>
      <c r="B1347" s="367"/>
      <c r="C1347" s="367"/>
      <c r="D1347" s="367"/>
      <c r="E1347" s="370"/>
      <c r="F1347" s="367"/>
      <c r="G1347" s="156"/>
      <c r="H1347" s="371"/>
      <c r="I1347" s="372"/>
      <c r="J1347" s="355"/>
      <c r="K1347" s="356"/>
      <c r="L1347" s="356"/>
      <c r="M1347" s="356"/>
      <c r="N1347" s="356"/>
      <c r="O1347" s="356"/>
      <c r="P1347" s="356"/>
    </row>
    <row r="1348" spans="1:16" ht="18.75" customHeight="1">
      <c r="A1348" s="366"/>
      <c r="B1348" s="367"/>
      <c r="C1348" s="367"/>
      <c r="D1348" s="367"/>
      <c r="E1348" s="367"/>
      <c r="F1348" s="367"/>
      <c r="G1348" s="159"/>
      <c r="H1348" s="368"/>
      <c r="I1348" s="369"/>
      <c r="J1348" s="353"/>
      <c r="K1348" s="356"/>
      <c r="L1348" s="356"/>
      <c r="M1348" s="356"/>
      <c r="N1348" s="356"/>
      <c r="O1348" s="356"/>
      <c r="P1348" s="356"/>
    </row>
    <row r="1349" spans="1:16" ht="18.75" customHeight="1">
      <c r="A1349" s="366"/>
      <c r="B1349" s="367"/>
      <c r="C1349" s="367"/>
      <c r="D1349" s="367"/>
      <c r="E1349" s="370"/>
      <c r="F1349" s="367"/>
      <c r="G1349" s="156"/>
      <c r="H1349" s="371"/>
      <c r="I1349" s="372"/>
      <c r="J1349" s="355"/>
      <c r="K1349" s="356"/>
      <c r="L1349" s="356"/>
      <c r="M1349" s="356"/>
      <c r="N1349" s="356"/>
      <c r="O1349" s="356"/>
      <c r="P1349" s="356"/>
    </row>
    <row r="1350" spans="1:16" ht="18.75" customHeight="1">
      <c r="A1350" s="366"/>
      <c r="B1350" s="367"/>
      <c r="C1350" s="367"/>
      <c r="D1350" s="367"/>
      <c r="E1350" s="367"/>
      <c r="F1350" s="367"/>
      <c r="G1350" s="159"/>
      <c r="H1350" s="368"/>
      <c r="I1350" s="369"/>
      <c r="J1350" s="353"/>
      <c r="K1350" s="356"/>
      <c r="L1350" s="356"/>
      <c r="M1350" s="356"/>
      <c r="N1350" s="356"/>
      <c r="O1350" s="356"/>
      <c r="P1350" s="356"/>
    </row>
    <row r="1351" spans="1:16" ht="18.75" customHeight="1">
      <c r="A1351" s="366"/>
      <c r="B1351" s="367"/>
      <c r="C1351" s="367"/>
      <c r="D1351" s="367"/>
      <c r="E1351" s="370"/>
      <c r="F1351" s="367"/>
      <c r="G1351" s="156"/>
      <c r="H1351" s="371"/>
      <c r="I1351" s="372"/>
      <c r="J1351" s="355"/>
      <c r="K1351" s="356"/>
      <c r="L1351" s="356"/>
      <c r="M1351" s="356"/>
      <c r="N1351" s="356"/>
      <c r="O1351" s="356"/>
      <c r="P1351" s="356"/>
    </row>
    <row r="1352" spans="1:16" ht="18.75" customHeight="1">
      <c r="A1352" s="366"/>
      <c r="B1352" s="367"/>
      <c r="C1352" s="367"/>
      <c r="D1352" s="367"/>
      <c r="E1352" s="367"/>
      <c r="F1352" s="367"/>
      <c r="G1352" s="159"/>
      <c r="H1352" s="368"/>
      <c r="I1352" s="369"/>
      <c r="J1352" s="353"/>
      <c r="K1352" s="356"/>
      <c r="L1352" s="356"/>
      <c r="M1352" s="356"/>
      <c r="N1352" s="356"/>
      <c r="O1352" s="356"/>
      <c r="P1352" s="356"/>
    </row>
    <row r="1353" spans="1:16" ht="18.75" customHeight="1">
      <c r="A1353" s="366"/>
      <c r="B1353" s="367"/>
      <c r="C1353" s="367"/>
      <c r="D1353" s="367"/>
      <c r="E1353" s="370"/>
      <c r="F1353" s="367"/>
      <c r="G1353" s="156"/>
      <c r="H1353" s="371"/>
      <c r="I1353" s="372"/>
      <c r="J1353" s="355"/>
      <c r="K1353" s="356"/>
      <c r="L1353" s="356"/>
      <c r="M1353" s="356"/>
      <c r="N1353" s="356"/>
      <c r="O1353" s="356"/>
      <c r="P1353" s="356"/>
    </row>
    <row r="1354" spans="1:16" ht="18.75" customHeight="1">
      <c r="A1354" s="366"/>
      <c r="B1354" s="367"/>
      <c r="C1354" s="367"/>
      <c r="D1354" s="367"/>
      <c r="E1354" s="367"/>
      <c r="F1354" s="367"/>
      <c r="G1354" s="159"/>
      <c r="H1354" s="368"/>
      <c r="I1354" s="369"/>
      <c r="J1354" s="353"/>
      <c r="K1354" s="356"/>
      <c r="L1354" s="356"/>
      <c r="M1354" s="356"/>
      <c r="N1354" s="356"/>
      <c r="O1354" s="356"/>
      <c r="P1354" s="356"/>
    </row>
    <row r="1355" spans="1:16" ht="18.75" customHeight="1">
      <c r="A1355" s="366"/>
      <c r="B1355" s="367"/>
      <c r="C1355" s="367"/>
      <c r="D1355" s="367"/>
      <c r="E1355" s="370"/>
      <c r="F1355" s="367"/>
      <c r="G1355" s="156"/>
      <c r="H1355" s="371"/>
      <c r="I1355" s="372"/>
      <c r="J1355" s="355"/>
      <c r="K1355" s="356"/>
      <c r="L1355" s="356"/>
      <c r="M1355" s="356"/>
      <c r="N1355" s="356"/>
      <c r="O1355" s="356"/>
      <c r="P1355" s="356"/>
    </row>
    <row r="1356" spans="1:16" ht="18.75" customHeight="1">
      <c r="A1356" s="366"/>
      <c r="B1356" s="367"/>
      <c r="C1356" s="367"/>
      <c r="D1356" s="367"/>
      <c r="E1356" s="367"/>
      <c r="F1356" s="367"/>
      <c r="G1356" s="159"/>
      <c r="H1356" s="368"/>
      <c r="I1356" s="369"/>
      <c r="J1356" s="353"/>
      <c r="K1356" s="356"/>
      <c r="L1356" s="356"/>
      <c r="M1356" s="356"/>
      <c r="N1356" s="356"/>
      <c r="O1356" s="356"/>
      <c r="P1356" s="356"/>
    </row>
    <row r="1357" spans="1:16" ht="18.75" customHeight="1">
      <c r="A1357" s="366"/>
      <c r="B1357" s="367"/>
      <c r="C1357" s="367"/>
      <c r="D1357" s="367"/>
      <c r="E1357" s="370"/>
      <c r="F1357" s="367"/>
      <c r="G1357" s="156"/>
      <c r="H1357" s="371"/>
      <c r="I1357" s="372"/>
      <c r="J1357" s="355"/>
      <c r="K1357" s="356"/>
      <c r="L1357" s="356"/>
      <c r="M1357" s="356"/>
      <c r="N1357" s="356"/>
      <c r="O1357" s="356"/>
      <c r="P1357" s="356"/>
    </row>
    <row r="1358" spans="1:16" ht="18.75" customHeight="1">
      <c r="A1358" s="366"/>
      <c r="B1358" s="367"/>
      <c r="C1358" s="367"/>
      <c r="D1358" s="367"/>
      <c r="E1358" s="367"/>
      <c r="F1358" s="367"/>
      <c r="G1358" s="159"/>
      <c r="H1358" s="368"/>
      <c r="I1358" s="369"/>
      <c r="J1358" s="353"/>
      <c r="K1358" s="356"/>
      <c r="L1358" s="356"/>
      <c r="M1358" s="356"/>
      <c r="N1358" s="356"/>
      <c r="O1358" s="356"/>
      <c r="P1358" s="356"/>
    </row>
    <row r="1359" spans="1:16" ht="18.75" customHeight="1">
      <c r="A1359" s="366"/>
      <c r="B1359" s="367"/>
      <c r="C1359" s="367"/>
      <c r="D1359" s="367"/>
      <c r="E1359" s="370"/>
      <c r="F1359" s="367"/>
      <c r="G1359" s="156"/>
      <c r="H1359" s="371"/>
      <c r="I1359" s="372"/>
      <c r="J1359" s="355"/>
      <c r="K1359" s="356"/>
      <c r="L1359" s="356"/>
      <c r="M1359" s="356"/>
      <c r="N1359" s="356"/>
      <c r="O1359" s="356"/>
      <c r="P1359" s="356"/>
    </row>
    <row r="1360" spans="1:16" ht="18.75" customHeight="1">
      <c r="A1360" s="366"/>
      <c r="B1360" s="367"/>
      <c r="C1360" s="367"/>
      <c r="D1360" s="367"/>
      <c r="E1360" s="367"/>
      <c r="F1360" s="367"/>
      <c r="G1360" s="159"/>
      <c r="H1360" s="368"/>
      <c r="I1360" s="369"/>
      <c r="J1360" s="353"/>
      <c r="K1360" s="356"/>
      <c r="L1360" s="356"/>
      <c r="M1360" s="356"/>
      <c r="N1360" s="356"/>
      <c r="O1360" s="356"/>
      <c r="P1360" s="356"/>
    </row>
    <row r="1361" spans="1:16" ht="18.75" customHeight="1">
      <c r="A1361" s="366"/>
      <c r="B1361" s="367"/>
      <c r="C1361" s="367"/>
      <c r="D1361" s="367"/>
      <c r="E1361" s="370"/>
      <c r="F1361" s="367"/>
      <c r="G1361" s="156"/>
      <c r="H1361" s="371"/>
      <c r="I1361" s="372"/>
      <c r="J1361" s="355"/>
      <c r="K1361" s="356"/>
      <c r="L1361" s="356"/>
      <c r="M1361" s="356"/>
      <c r="N1361" s="356"/>
      <c r="O1361" s="356"/>
      <c r="P1361" s="356"/>
    </row>
    <row r="1362" spans="1:16" ht="18.75" customHeight="1">
      <c r="A1362" s="366"/>
      <c r="B1362" s="367"/>
      <c r="C1362" s="367"/>
      <c r="D1362" s="367"/>
      <c r="E1362" s="367"/>
      <c r="F1362" s="367"/>
      <c r="G1362" s="159"/>
      <c r="H1362" s="368"/>
      <c r="I1362" s="369"/>
      <c r="J1362" s="353"/>
      <c r="K1362" s="356"/>
      <c r="L1362" s="356"/>
      <c r="M1362" s="356"/>
      <c r="N1362" s="356"/>
      <c r="O1362" s="356"/>
      <c r="P1362" s="356"/>
    </row>
    <row r="1363" spans="1:16" ht="18.75" customHeight="1">
      <c r="A1363" s="366"/>
      <c r="B1363" s="367"/>
      <c r="C1363" s="367"/>
      <c r="D1363" s="367"/>
      <c r="E1363" s="370"/>
      <c r="F1363" s="367"/>
      <c r="G1363" s="156"/>
      <c r="H1363" s="371"/>
      <c r="I1363" s="372"/>
      <c r="J1363" s="355"/>
      <c r="K1363" s="356"/>
      <c r="L1363" s="356"/>
      <c r="M1363" s="356"/>
      <c r="N1363" s="356"/>
      <c r="O1363" s="356"/>
      <c r="P1363" s="356"/>
    </row>
    <row r="1364" spans="1:16" ht="18.75" customHeight="1">
      <c r="A1364" s="366"/>
      <c r="B1364" s="367"/>
      <c r="C1364" s="367"/>
      <c r="D1364" s="367"/>
      <c r="E1364" s="367"/>
      <c r="F1364" s="367"/>
      <c r="G1364" s="159"/>
      <c r="H1364" s="368"/>
      <c r="I1364" s="369"/>
      <c r="J1364" s="353"/>
      <c r="K1364" s="356"/>
      <c r="L1364" s="356"/>
      <c r="M1364" s="356"/>
      <c r="N1364" s="356"/>
      <c r="O1364" s="356"/>
      <c r="P1364" s="356"/>
    </row>
    <row r="1365" spans="1:16" ht="18.75" customHeight="1">
      <c r="A1365" s="366"/>
      <c r="B1365" s="367"/>
      <c r="C1365" s="367"/>
      <c r="D1365" s="367"/>
      <c r="E1365" s="370"/>
      <c r="F1365" s="367"/>
      <c r="G1365" s="156"/>
      <c r="H1365" s="371"/>
      <c r="I1365" s="372"/>
      <c r="J1365" s="355"/>
      <c r="K1365" s="356"/>
      <c r="L1365" s="356"/>
      <c r="M1365" s="356"/>
      <c r="N1365" s="356"/>
      <c r="O1365" s="356"/>
      <c r="P1365" s="356"/>
    </row>
    <row r="1366" spans="1:16" ht="18.75" customHeight="1">
      <c r="A1366" s="366"/>
      <c r="B1366" s="367"/>
      <c r="C1366" s="367"/>
      <c r="D1366" s="367"/>
      <c r="E1366" s="367"/>
      <c r="F1366" s="367"/>
      <c r="G1366" s="159"/>
      <c r="H1366" s="368"/>
      <c r="I1366" s="369"/>
      <c r="J1366" s="353"/>
      <c r="K1366" s="356"/>
      <c r="L1366" s="356"/>
      <c r="M1366" s="356"/>
      <c r="N1366" s="356"/>
      <c r="O1366" s="356"/>
      <c r="P1366" s="356"/>
    </row>
    <row r="1367" spans="1:16" ht="18.75" customHeight="1">
      <c r="A1367" s="366"/>
      <c r="B1367" s="367"/>
      <c r="C1367" s="367"/>
      <c r="D1367" s="367"/>
      <c r="E1367" s="370"/>
      <c r="F1367" s="367"/>
      <c r="G1367" s="156"/>
      <c r="H1367" s="371"/>
      <c r="I1367" s="372"/>
      <c r="J1367" s="355"/>
      <c r="K1367" s="356"/>
      <c r="L1367" s="356"/>
      <c r="M1367" s="356"/>
      <c r="N1367" s="356"/>
      <c r="O1367" s="356"/>
      <c r="P1367" s="356"/>
    </row>
    <row r="1368" spans="1:16" ht="18.75" customHeight="1">
      <c r="A1368" s="366"/>
      <c r="B1368" s="367"/>
      <c r="C1368" s="367"/>
      <c r="D1368" s="367"/>
      <c r="E1368" s="367"/>
      <c r="F1368" s="367"/>
      <c r="G1368" s="159"/>
      <c r="H1368" s="368"/>
      <c r="I1368" s="369"/>
      <c r="J1368" s="353"/>
      <c r="K1368" s="356"/>
      <c r="L1368" s="356"/>
      <c r="M1368" s="356"/>
      <c r="N1368" s="356"/>
      <c r="O1368" s="356"/>
      <c r="P1368" s="356"/>
    </row>
    <row r="1369" spans="1:16" ht="18.75" customHeight="1">
      <c r="A1369" s="366"/>
      <c r="B1369" s="367"/>
      <c r="C1369" s="367"/>
      <c r="D1369" s="367"/>
      <c r="E1369" s="370"/>
      <c r="F1369" s="367"/>
      <c r="G1369" s="156"/>
      <c r="H1369" s="371"/>
      <c r="I1369" s="372"/>
      <c r="J1369" s="355"/>
      <c r="K1369" s="356"/>
      <c r="L1369" s="356"/>
      <c r="M1369" s="356"/>
      <c r="N1369" s="356"/>
      <c r="O1369" s="356"/>
      <c r="P1369" s="356"/>
    </row>
    <row r="1370" spans="1:16" ht="18.75" customHeight="1">
      <c r="A1370" s="366"/>
      <c r="B1370" s="367"/>
      <c r="C1370" s="367"/>
      <c r="D1370" s="367"/>
      <c r="E1370" s="367"/>
      <c r="F1370" s="367"/>
      <c r="G1370" s="159"/>
      <c r="H1370" s="368"/>
      <c r="I1370" s="369"/>
      <c r="J1370" s="353"/>
      <c r="K1370" s="356"/>
      <c r="L1370" s="356"/>
      <c r="M1370" s="356"/>
      <c r="N1370" s="356"/>
      <c r="O1370" s="356"/>
      <c r="P1370" s="356"/>
    </row>
    <row r="1371" spans="1:16" ht="18.75" customHeight="1">
      <c r="A1371" s="366"/>
      <c r="B1371" s="367"/>
      <c r="C1371" s="367"/>
      <c r="D1371" s="367"/>
      <c r="E1371" s="370"/>
      <c r="F1371" s="367"/>
      <c r="G1371" s="156"/>
      <c r="H1371" s="371"/>
      <c r="I1371" s="372"/>
      <c r="J1371" s="355"/>
      <c r="K1371" s="356"/>
      <c r="L1371" s="356"/>
      <c r="M1371" s="356"/>
      <c r="N1371" s="356"/>
      <c r="O1371" s="356"/>
      <c r="P1371" s="356"/>
    </row>
    <row r="1372" spans="1:16" ht="18.75" customHeight="1">
      <c r="A1372" s="366"/>
      <c r="B1372" s="367"/>
      <c r="C1372" s="367"/>
      <c r="D1372" s="367"/>
      <c r="E1372" s="367"/>
      <c r="F1372" s="367"/>
      <c r="G1372" s="159"/>
      <c r="H1372" s="368"/>
      <c r="I1372" s="369"/>
      <c r="J1372" s="353"/>
      <c r="K1372" s="356"/>
      <c r="L1372" s="356"/>
      <c r="M1372" s="356"/>
      <c r="N1372" s="356"/>
      <c r="O1372" s="356"/>
      <c r="P1372" s="356"/>
    </row>
    <row r="1373" spans="1:16" ht="18.75" customHeight="1">
      <c r="A1373" s="366"/>
      <c r="B1373" s="367"/>
      <c r="C1373" s="367"/>
      <c r="D1373" s="367"/>
      <c r="E1373" s="370"/>
      <c r="F1373" s="367"/>
      <c r="G1373" s="156"/>
      <c r="H1373" s="371"/>
      <c r="I1373" s="372"/>
      <c r="J1373" s="355"/>
      <c r="K1373" s="356"/>
      <c r="L1373" s="356"/>
      <c r="M1373" s="356"/>
      <c r="N1373" s="356"/>
      <c r="O1373" s="356"/>
      <c r="P1373" s="356"/>
    </row>
    <row r="1374" spans="1:16" ht="18.75" customHeight="1">
      <c r="A1374" s="366"/>
      <c r="B1374" s="367"/>
      <c r="C1374" s="367"/>
      <c r="D1374" s="367"/>
      <c r="E1374" s="367"/>
      <c r="F1374" s="367"/>
      <c r="G1374" s="159"/>
      <c r="H1374" s="368"/>
      <c r="I1374" s="369"/>
      <c r="J1374" s="353"/>
      <c r="K1374" s="356"/>
      <c r="L1374" s="356"/>
      <c r="M1374" s="356"/>
      <c r="N1374" s="356"/>
      <c r="O1374" s="356"/>
      <c r="P1374" s="356"/>
    </row>
    <row r="1375" spans="1:16" ht="18.75" customHeight="1">
      <c r="A1375" s="366"/>
      <c r="B1375" s="367"/>
      <c r="C1375" s="367"/>
      <c r="D1375" s="367"/>
      <c r="E1375" s="370"/>
      <c r="F1375" s="367"/>
      <c r="G1375" s="156"/>
      <c r="H1375" s="371"/>
      <c r="I1375" s="372"/>
      <c r="J1375" s="355"/>
      <c r="K1375" s="356"/>
      <c r="L1375" s="356"/>
      <c r="M1375" s="356"/>
      <c r="N1375" s="356"/>
      <c r="O1375" s="356"/>
      <c r="P1375" s="356"/>
    </row>
    <row r="1376" spans="1:16" ht="18.75" customHeight="1">
      <c r="A1376" s="366"/>
      <c r="B1376" s="367"/>
      <c r="C1376" s="367"/>
      <c r="D1376" s="367"/>
      <c r="E1376" s="367"/>
      <c r="F1376" s="367"/>
      <c r="G1376" s="159"/>
      <c r="H1376" s="368"/>
      <c r="I1376" s="369"/>
      <c r="J1376" s="353"/>
      <c r="K1376" s="356"/>
      <c r="L1376" s="356"/>
      <c r="M1376" s="356"/>
      <c r="N1376" s="356"/>
      <c r="O1376" s="356"/>
      <c r="P1376" s="356"/>
    </row>
    <row r="1377" spans="1:16" ht="18.75" customHeight="1">
      <c r="A1377" s="366"/>
      <c r="B1377" s="367"/>
      <c r="C1377" s="367"/>
      <c r="D1377" s="367"/>
      <c r="E1377" s="370"/>
      <c r="F1377" s="367"/>
      <c r="G1377" s="156"/>
      <c r="H1377" s="371"/>
      <c r="I1377" s="372"/>
      <c r="J1377" s="355"/>
      <c r="K1377" s="356"/>
      <c r="L1377" s="356"/>
      <c r="M1377" s="356"/>
      <c r="N1377" s="356"/>
      <c r="O1377" s="356"/>
      <c r="P1377" s="356"/>
    </row>
    <row r="1378" spans="1:16" ht="18.75" customHeight="1">
      <c r="A1378" s="366"/>
      <c r="B1378" s="367"/>
      <c r="C1378" s="367"/>
      <c r="D1378" s="367"/>
      <c r="E1378" s="367"/>
      <c r="F1378" s="367"/>
      <c r="G1378" s="159"/>
      <c r="H1378" s="368"/>
      <c r="I1378" s="369"/>
      <c r="J1378" s="353"/>
      <c r="K1378" s="356"/>
      <c r="L1378" s="356"/>
      <c r="M1378" s="356"/>
      <c r="N1378" s="356"/>
      <c r="O1378" s="356"/>
      <c r="P1378" s="356"/>
    </row>
    <row r="1379" spans="1:16" ht="18.75" customHeight="1">
      <c r="A1379" s="366"/>
      <c r="B1379" s="367"/>
      <c r="C1379" s="367"/>
      <c r="D1379" s="367"/>
      <c r="E1379" s="370"/>
      <c r="F1379" s="367"/>
      <c r="G1379" s="156"/>
      <c r="H1379" s="371"/>
      <c r="I1379" s="372"/>
      <c r="J1379" s="355"/>
      <c r="K1379" s="356"/>
      <c r="L1379" s="356"/>
      <c r="M1379" s="356"/>
      <c r="N1379" s="356"/>
      <c r="O1379" s="356"/>
      <c r="P1379" s="356"/>
    </row>
    <row r="1380" spans="1:16" ht="18.75" customHeight="1">
      <c r="A1380" s="366"/>
      <c r="B1380" s="367"/>
      <c r="C1380" s="367"/>
      <c r="D1380" s="367"/>
      <c r="E1380" s="367"/>
      <c r="F1380" s="367"/>
      <c r="G1380" s="159"/>
      <c r="H1380" s="368"/>
      <c r="I1380" s="369"/>
      <c r="J1380" s="353"/>
      <c r="K1380" s="356"/>
      <c r="L1380" s="356"/>
      <c r="M1380" s="356"/>
      <c r="N1380" s="356"/>
      <c r="O1380" s="356"/>
      <c r="P1380" s="356"/>
    </row>
    <row r="1381" spans="1:16" ht="18.75" customHeight="1">
      <c r="A1381" s="366"/>
      <c r="B1381" s="367"/>
      <c r="C1381" s="367"/>
      <c r="D1381" s="367"/>
      <c r="E1381" s="370"/>
      <c r="F1381" s="367"/>
      <c r="G1381" s="156"/>
      <c r="H1381" s="371"/>
      <c r="I1381" s="372"/>
      <c r="J1381" s="355"/>
      <c r="K1381" s="356"/>
      <c r="L1381" s="356"/>
      <c r="M1381" s="356"/>
      <c r="N1381" s="356"/>
      <c r="O1381" s="356"/>
      <c r="P1381" s="356"/>
    </row>
    <row r="1382" spans="1:16" ht="18.75" customHeight="1">
      <c r="A1382" s="366"/>
      <c r="B1382" s="367"/>
      <c r="C1382" s="367"/>
      <c r="D1382" s="367"/>
      <c r="E1382" s="367"/>
      <c r="F1382" s="367"/>
      <c r="G1382" s="159"/>
      <c r="H1382" s="368"/>
      <c r="I1382" s="369"/>
      <c r="J1382" s="353"/>
      <c r="K1382" s="356"/>
      <c r="L1382" s="356"/>
      <c r="M1382" s="356"/>
      <c r="N1382" s="356"/>
      <c r="O1382" s="356"/>
      <c r="P1382" s="356"/>
    </row>
    <row r="1383" spans="1:16" ht="18.75" customHeight="1">
      <c r="A1383" s="366"/>
      <c r="B1383" s="367"/>
      <c r="C1383" s="367"/>
      <c r="D1383" s="367"/>
      <c r="E1383" s="370"/>
      <c r="F1383" s="367"/>
      <c r="G1383" s="156"/>
      <c r="H1383" s="371"/>
      <c r="I1383" s="372"/>
      <c r="J1383" s="355"/>
      <c r="K1383" s="356"/>
      <c r="L1383" s="356"/>
      <c r="M1383" s="356"/>
      <c r="N1383" s="356"/>
      <c r="O1383" s="356"/>
      <c r="P1383" s="356"/>
    </row>
    <row r="1384" spans="1:16" ht="18.75" customHeight="1">
      <c r="A1384" s="366"/>
      <c r="B1384" s="367"/>
      <c r="C1384" s="367"/>
      <c r="D1384" s="367"/>
      <c r="E1384" s="367"/>
      <c r="F1384" s="367"/>
      <c r="G1384" s="159"/>
      <c r="H1384" s="368"/>
      <c r="I1384" s="369"/>
      <c r="J1384" s="353"/>
      <c r="K1384" s="356"/>
      <c r="L1384" s="356"/>
      <c r="M1384" s="356"/>
      <c r="N1384" s="356"/>
      <c r="O1384" s="356"/>
      <c r="P1384" s="356"/>
    </row>
    <row r="1385" spans="1:16" ht="18.75" customHeight="1">
      <c r="A1385" s="366"/>
      <c r="B1385" s="367"/>
      <c r="C1385" s="367"/>
      <c r="D1385" s="367"/>
      <c r="E1385" s="370"/>
      <c r="F1385" s="367"/>
      <c r="G1385" s="156"/>
      <c r="H1385" s="371"/>
      <c r="I1385" s="372"/>
      <c r="J1385" s="355"/>
      <c r="K1385" s="356"/>
      <c r="L1385" s="356"/>
      <c r="M1385" s="356"/>
      <c r="N1385" s="356"/>
      <c r="O1385" s="356"/>
      <c r="P1385" s="356"/>
    </row>
    <row r="1386" spans="1:16" ht="18.75" customHeight="1">
      <c r="A1386" s="366"/>
      <c r="B1386" s="367"/>
      <c r="C1386" s="367"/>
      <c r="D1386" s="367"/>
      <c r="E1386" s="367"/>
      <c r="F1386" s="367"/>
      <c r="G1386" s="159"/>
      <c r="H1386" s="368"/>
      <c r="I1386" s="369"/>
      <c r="J1386" s="353"/>
      <c r="K1386" s="356"/>
      <c r="L1386" s="356"/>
      <c r="M1386" s="356"/>
      <c r="N1386" s="356"/>
      <c r="O1386" s="356"/>
      <c r="P1386" s="356"/>
    </row>
    <row r="1387" spans="1:16" ht="18.75" customHeight="1">
      <c r="A1387" s="366"/>
      <c r="B1387" s="367"/>
      <c r="C1387" s="367"/>
      <c r="D1387" s="367"/>
      <c r="E1387" s="370"/>
      <c r="F1387" s="367"/>
      <c r="G1387" s="156"/>
      <c r="H1387" s="371"/>
      <c r="I1387" s="372"/>
      <c r="J1387" s="355"/>
      <c r="K1387" s="356"/>
      <c r="L1387" s="356"/>
      <c r="M1387" s="356"/>
      <c r="N1387" s="356"/>
      <c r="O1387" s="356"/>
      <c r="P1387" s="356"/>
    </row>
    <row r="1388" spans="1:16" ht="18.75" customHeight="1">
      <c r="A1388" s="366"/>
      <c r="B1388" s="367"/>
      <c r="C1388" s="367"/>
      <c r="D1388" s="367"/>
      <c r="E1388" s="367"/>
      <c r="F1388" s="367"/>
      <c r="G1388" s="159"/>
      <c r="H1388" s="368"/>
      <c r="I1388" s="369"/>
      <c r="J1388" s="353"/>
      <c r="K1388" s="356"/>
      <c r="L1388" s="356"/>
      <c r="M1388" s="356"/>
      <c r="N1388" s="356"/>
      <c r="O1388" s="356"/>
      <c r="P1388" s="356"/>
    </row>
    <row r="1389" spans="1:16" ht="18.75" customHeight="1">
      <c r="A1389" s="366"/>
      <c r="B1389" s="367"/>
      <c r="C1389" s="367"/>
      <c r="D1389" s="367"/>
      <c r="E1389" s="370"/>
      <c r="F1389" s="367"/>
      <c r="G1389" s="156"/>
      <c r="H1389" s="371"/>
      <c r="I1389" s="372"/>
      <c r="J1389" s="355"/>
      <c r="K1389" s="356"/>
      <c r="L1389" s="356"/>
      <c r="M1389" s="356"/>
      <c r="N1389" s="356"/>
      <c r="O1389" s="356"/>
      <c r="P1389" s="356"/>
    </row>
    <row r="1390" spans="1:16" ht="18.75" customHeight="1">
      <c r="A1390" s="366"/>
      <c r="B1390" s="367"/>
      <c r="C1390" s="367"/>
      <c r="D1390" s="367"/>
      <c r="E1390" s="367"/>
      <c r="F1390" s="367"/>
      <c r="G1390" s="159"/>
      <c r="H1390" s="368"/>
      <c r="I1390" s="369"/>
      <c r="J1390" s="353"/>
      <c r="K1390" s="356"/>
      <c r="L1390" s="356"/>
      <c r="M1390" s="356"/>
      <c r="N1390" s="356"/>
      <c r="O1390" s="356"/>
      <c r="P1390" s="356"/>
    </row>
    <row r="1391" spans="1:16" ht="18.75" customHeight="1">
      <c r="A1391" s="366"/>
      <c r="B1391" s="367"/>
      <c r="C1391" s="367"/>
      <c r="D1391" s="367"/>
      <c r="E1391" s="370"/>
      <c r="F1391" s="367"/>
      <c r="G1391" s="156"/>
      <c r="H1391" s="371"/>
      <c r="I1391" s="372"/>
      <c r="J1391" s="355"/>
      <c r="K1391" s="356"/>
      <c r="L1391" s="356"/>
      <c r="M1391" s="356"/>
      <c r="N1391" s="356"/>
      <c r="O1391" s="356"/>
      <c r="P1391" s="356"/>
    </row>
    <row r="1392" spans="1:16" ht="18.75" customHeight="1">
      <c r="A1392" s="366"/>
      <c r="B1392" s="367"/>
      <c r="C1392" s="367"/>
      <c r="D1392" s="367"/>
      <c r="E1392" s="367"/>
      <c r="F1392" s="367"/>
      <c r="G1392" s="159"/>
      <c r="H1392" s="368"/>
      <c r="I1392" s="369"/>
      <c r="J1392" s="353"/>
      <c r="K1392" s="356"/>
      <c r="L1392" s="356"/>
      <c r="M1392" s="356"/>
      <c r="N1392" s="356"/>
      <c r="O1392" s="356"/>
      <c r="P1392" s="356"/>
    </row>
    <row r="1393" spans="1:16" ht="18.75" customHeight="1">
      <c r="A1393" s="366"/>
      <c r="B1393" s="367"/>
      <c r="C1393" s="367"/>
      <c r="D1393" s="367"/>
      <c r="E1393" s="370"/>
      <c r="F1393" s="367"/>
      <c r="G1393" s="156"/>
      <c r="H1393" s="371"/>
      <c r="I1393" s="372"/>
      <c r="J1393" s="355"/>
      <c r="K1393" s="356"/>
      <c r="L1393" s="356"/>
      <c r="M1393" s="356"/>
      <c r="N1393" s="356"/>
      <c r="O1393" s="356"/>
      <c r="P1393" s="356"/>
    </row>
    <row r="1394" spans="1:16" ht="18.75" customHeight="1">
      <c r="A1394" s="366"/>
      <c r="B1394" s="367"/>
      <c r="C1394" s="367"/>
      <c r="D1394" s="367"/>
      <c r="E1394" s="367"/>
      <c r="F1394" s="367"/>
      <c r="G1394" s="159"/>
      <c r="H1394" s="368"/>
      <c r="I1394" s="369"/>
      <c r="J1394" s="353"/>
      <c r="K1394" s="356"/>
      <c r="L1394" s="356"/>
      <c r="M1394" s="356"/>
      <c r="N1394" s="356"/>
      <c r="O1394" s="356"/>
      <c r="P1394" s="356"/>
    </row>
    <row r="1395" spans="1:16" ht="18.75" customHeight="1">
      <c r="A1395" s="366"/>
      <c r="B1395" s="367"/>
      <c r="C1395" s="367"/>
      <c r="D1395" s="367"/>
      <c r="E1395" s="370"/>
      <c r="F1395" s="367"/>
      <c r="G1395" s="156"/>
      <c r="H1395" s="371"/>
      <c r="I1395" s="372"/>
      <c r="J1395" s="355"/>
      <c r="K1395" s="356"/>
      <c r="L1395" s="356"/>
      <c r="M1395" s="356"/>
      <c r="N1395" s="356"/>
      <c r="O1395" s="356"/>
      <c r="P1395" s="356"/>
    </row>
    <row r="1396" spans="1:16" ht="18.75" customHeight="1">
      <c r="A1396" s="366"/>
      <c r="B1396" s="367"/>
      <c r="C1396" s="367"/>
      <c r="D1396" s="367"/>
      <c r="E1396" s="367"/>
      <c r="F1396" s="367"/>
      <c r="G1396" s="159"/>
      <c r="H1396" s="368"/>
      <c r="I1396" s="369"/>
      <c r="J1396" s="353"/>
      <c r="K1396" s="356"/>
      <c r="L1396" s="356"/>
      <c r="M1396" s="356"/>
      <c r="N1396" s="356"/>
      <c r="O1396" s="356"/>
      <c r="P1396" s="356"/>
    </row>
    <row r="1397" spans="1:16" ht="18.75" customHeight="1">
      <c r="A1397" s="366"/>
      <c r="B1397" s="367"/>
      <c r="C1397" s="367"/>
      <c r="D1397" s="367"/>
      <c r="E1397" s="370"/>
      <c r="F1397" s="367"/>
      <c r="G1397" s="156"/>
      <c r="H1397" s="371"/>
      <c r="I1397" s="372"/>
      <c r="J1397" s="355"/>
      <c r="K1397" s="356"/>
      <c r="L1397" s="356"/>
      <c r="M1397" s="356"/>
      <c r="N1397" s="356"/>
      <c r="O1397" s="356"/>
      <c r="P1397" s="356"/>
    </row>
    <row r="1398" spans="1:16" ht="18.75" customHeight="1">
      <c r="A1398" s="366"/>
      <c r="B1398" s="367"/>
      <c r="C1398" s="367"/>
      <c r="D1398" s="367"/>
      <c r="E1398" s="367"/>
      <c r="F1398" s="367"/>
      <c r="G1398" s="159"/>
      <c r="H1398" s="368"/>
      <c r="I1398" s="369"/>
      <c r="J1398" s="353"/>
      <c r="K1398" s="356"/>
      <c r="L1398" s="356"/>
      <c r="M1398" s="356"/>
      <c r="N1398" s="356"/>
      <c r="O1398" s="356"/>
      <c r="P1398" s="356"/>
    </row>
    <row r="1399" spans="1:16" ht="18.75" customHeight="1">
      <c r="A1399" s="366"/>
      <c r="B1399" s="367"/>
      <c r="C1399" s="367"/>
      <c r="D1399" s="367"/>
      <c r="E1399" s="370"/>
      <c r="F1399" s="367"/>
      <c r="G1399" s="156"/>
      <c r="H1399" s="371"/>
      <c r="I1399" s="372"/>
      <c r="J1399" s="355"/>
      <c r="K1399" s="356"/>
      <c r="L1399" s="356"/>
      <c r="M1399" s="356"/>
      <c r="N1399" s="356"/>
      <c r="O1399" s="356"/>
      <c r="P1399" s="356"/>
    </row>
    <row r="1400" spans="1:16" ht="18.75" customHeight="1">
      <c r="A1400" s="366"/>
      <c r="B1400" s="367"/>
      <c r="C1400" s="367"/>
      <c r="D1400" s="367"/>
      <c r="E1400" s="367"/>
      <c r="F1400" s="367"/>
      <c r="G1400" s="159"/>
      <c r="H1400" s="368"/>
      <c r="I1400" s="369"/>
      <c r="J1400" s="353"/>
      <c r="K1400" s="356"/>
      <c r="L1400" s="356"/>
      <c r="M1400" s="356"/>
      <c r="N1400" s="356"/>
      <c r="O1400" s="356"/>
      <c r="P1400" s="356"/>
    </row>
    <row r="1401" spans="1:16" ht="18.75" customHeight="1">
      <c r="A1401" s="366"/>
      <c r="B1401" s="367"/>
      <c r="C1401" s="367"/>
      <c r="D1401" s="367"/>
      <c r="E1401" s="370"/>
      <c r="F1401" s="367"/>
      <c r="G1401" s="156"/>
      <c r="H1401" s="371"/>
      <c r="I1401" s="372"/>
      <c r="J1401" s="355"/>
      <c r="K1401" s="356"/>
      <c r="L1401" s="356"/>
      <c r="M1401" s="356"/>
      <c r="N1401" s="356"/>
      <c r="O1401" s="356"/>
      <c r="P1401" s="356"/>
    </row>
    <row r="1402" spans="1:16" ht="18.75" customHeight="1">
      <c r="A1402" s="366"/>
      <c r="B1402" s="367"/>
      <c r="C1402" s="367"/>
      <c r="D1402" s="367"/>
      <c r="E1402" s="367"/>
      <c r="F1402" s="367"/>
      <c r="G1402" s="159"/>
      <c r="H1402" s="368"/>
      <c r="I1402" s="369"/>
      <c r="J1402" s="353"/>
      <c r="K1402" s="356"/>
      <c r="L1402" s="356"/>
      <c r="M1402" s="356"/>
      <c r="N1402" s="356"/>
      <c r="O1402" s="356"/>
      <c r="P1402" s="356"/>
    </row>
    <row r="1403" spans="1:16" ht="18.75" customHeight="1">
      <c r="A1403" s="366"/>
      <c r="B1403" s="367"/>
      <c r="C1403" s="367"/>
      <c r="D1403" s="367"/>
      <c r="E1403" s="370"/>
      <c r="F1403" s="367"/>
      <c r="G1403" s="156"/>
      <c r="H1403" s="371"/>
      <c r="I1403" s="372"/>
      <c r="J1403" s="355"/>
      <c r="K1403" s="356"/>
      <c r="L1403" s="356"/>
      <c r="M1403" s="356"/>
      <c r="N1403" s="356"/>
      <c r="O1403" s="356"/>
      <c r="P1403" s="356"/>
    </row>
    <row r="1404" spans="1:16" ht="18.75" customHeight="1">
      <c r="A1404" s="366"/>
      <c r="B1404" s="367"/>
      <c r="C1404" s="367"/>
      <c r="D1404" s="367"/>
      <c r="E1404" s="367"/>
      <c r="F1404" s="367"/>
      <c r="G1404" s="159"/>
      <c r="H1404" s="368"/>
      <c r="I1404" s="369"/>
      <c r="J1404" s="353"/>
      <c r="K1404" s="356"/>
      <c r="L1404" s="356"/>
      <c r="M1404" s="356"/>
      <c r="N1404" s="356"/>
      <c r="O1404" s="356"/>
      <c r="P1404" s="356"/>
    </row>
    <row r="1405" spans="1:16" ht="18.75" customHeight="1">
      <c r="A1405" s="366"/>
      <c r="B1405" s="367"/>
      <c r="C1405" s="367"/>
      <c r="D1405" s="367"/>
      <c r="E1405" s="370"/>
      <c r="F1405" s="367"/>
      <c r="G1405" s="156"/>
      <c r="H1405" s="371"/>
      <c r="I1405" s="372"/>
      <c r="J1405" s="355"/>
      <c r="K1405" s="356"/>
      <c r="L1405" s="356"/>
      <c r="M1405" s="356"/>
      <c r="N1405" s="356"/>
      <c r="O1405" s="356"/>
      <c r="P1405" s="356"/>
    </row>
    <row r="1406" spans="1:16" ht="18.75" customHeight="1">
      <c r="A1406" s="366"/>
      <c r="B1406" s="367"/>
      <c r="C1406" s="367"/>
      <c r="D1406" s="367"/>
      <c r="E1406" s="367"/>
      <c r="F1406" s="367"/>
      <c r="G1406" s="159"/>
      <c r="H1406" s="368"/>
      <c r="I1406" s="369"/>
      <c r="J1406" s="353"/>
      <c r="K1406" s="356"/>
      <c r="L1406" s="356"/>
      <c r="M1406" s="356"/>
      <c r="N1406" s="356"/>
      <c r="O1406" s="356"/>
      <c r="P1406" s="356"/>
    </row>
    <row r="1407" spans="1:16" ht="18.75" customHeight="1">
      <c r="A1407" s="366"/>
      <c r="B1407" s="367"/>
      <c r="C1407" s="367"/>
      <c r="D1407" s="367"/>
      <c r="E1407" s="370"/>
      <c r="F1407" s="367"/>
      <c r="G1407" s="156"/>
      <c r="H1407" s="371"/>
      <c r="I1407" s="372"/>
      <c r="J1407" s="355"/>
      <c r="K1407" s="356"/>
      <c r="L1407" s="356"/>
      <c r="M1407" s="356"/>
      <c r="N1407" s="356"/>
      <c r="O1407" s="356"/>
      <c r="P1407" s="356"/>
    </row>
    <row r="1408" spans="1:16" ht="18.75" customHeight="1">
      <c r="A1408" s="366"/>
      <c r="B1408" s="367"/>
      <c r="C1408" s="367"/>
      <c r="D1408" s="367"/>
      <c r="E1408" s="367"/>
      <c r="F1408" s="367"/>
      <c r="G1408" s="159"/>
      <c r="H1408" s="368"/>
      <c r="I1408" s="369"/>
      <c r="J1408" s="353"/>
      <c r="K1408" s="356"/>
      <c r="L1408" s="356"/>
      <c r="M1408" s="356"/>
      <c r="N1408" s="356"/>
      <c r="O1408" s="356"/>
      <c r="P1408" s="356"/>
    </row>
    <row r="1409" spans="1:16" ht="18.75" customHeight="1">
      <c r="A1409" s="366"/>
      <c r="B1409" s="367"/>
      <c r="C1409" s="367"/>
      <c r="D1409" s="367"/>
      <c r="E1409" s="370"/>
      <c r="F1409" s="367"/>
      <c r="G1409" s="156"/>
      <c r="H1409" s="371"/>
      <c r="I1409" s="372"/>
      <c r="J1409" s="355"/>
      <c r="K1409" s="356"/>
      <c r="L1409" s="356"/>
      <c r="M1409" s="356"/>
      <c r="N1409" s="356"/>
      <c r="O1409" s="356"/>
      <c r="P1409" s="356"/>
    </row>
    <row r="1410" spans="1:16" ht="18.75" customHeight="1">
      <c r="A1410" s="366"/>
      <c r="B1410" s="367"/>
      <c r="C1410" s="367"/>
      <c r="D1410" s="367"/>
      <c r="E1410" s="367"/>
      <c r="F1410" s="367"/>
      <c r="G1410" s="159"/>
      <c r="H1410" s="368"/>
      <c r="I1410" s="369"/>
      <c r="J1410" s="353"/>
      <c r="K1410" s="356"/>
      <c r="L1410" s="356"/>
      <c r="M1410" s="356"/>
      <c r="N1410" s="356"/>
      <c r="O1410" s="356"/>
      <c r="P1410" s="356"/>
    </row>
    <row r="1411" spans="1:16" ht="18.75" customHeight="1">
      <c r="A1411" s="366"/>
      <c r="B1411" s="367"/>
      <c r="C1411" s="367"/>
      <c r="D1411" s="367"/>
      <c r="E1411" s="370"/>
      <c r="F1411" s="367"/>
      <c r="G1411" s="156"/>
      <c r="H1411" s="371"/>
      <c r="I1411" s="372"/>
      <c r="J1411" s="355"/>
      <c r="K1411" s="356"/>
      <c r="L1411" s="356"/>
      <c r="M1411" s="356"/>
      <c r="N1411" s="356"/>
      <c r="O1411" s="356"/>
      <c r="P1411" s="356"/>
    </row>
    <row r="1412" spans="1:16" ht="18.75" customHeight="1">
      <c r="A1412" s="366"/>
      <c r="B1412" s="367"/>
      <c r="C1412" s="367"/>
      <c r="D1412" s="367"/>
      <c r="E1412" s="367"/>
      <c r="F1412" s="367"/>
      <c r="G1412" s="159"/>
      <c r="H1412" s="368"/>
      <c r="I1412" s="369"/>
      <c r="J1412" s="353"/>
      <c r="K1412" s="356"/>
      <c r="L1412" s="356"/>
      <c r="M1412" s="356"/>
      <c r="N1412" s="356"/>
      <c r="O1412" s="356"/>
      <c r="P1412" s="356"/>
    </row>
    <row r="1413" spans="1:16" ht="18.75" customHeight="1">
      <c r="A1413" s="366"/>
      <c r="B1413" s="367"/>
      <c r="C1413" s="367"/>
      <c r="D1413" s="367"/>
      <c r="E1413" s="370"/>
      <c r="F1413" s="367"/>
      <c r="G1413" s="156"/>
      <c r="H1413" s="371"/>
      <c r="I1413" s="372"/>
      <c r="J1413" s="355"/>
      <c r="K1413" s="356"/>
      <c r="L1413" s="356"/>
      <c r="M1413" s="356"/>
      <c r="N1413" s="356"/>
      <c r="O1413" s="356"/>
      <c r="P1413" s="356"/>
    </row>
    <row r="1414" spans="1:16" ht="18.75" customHeight="1">
      <c r="A1414" s="366"/>
      <c r="B1414" s="367"/>
      <c r="C1414" s="367"/>
      <c r="D1414" s="367"/>
      <c r="E1414" s="367"/>
      <c r="F1414" s="367"/>
      <c r="G1414" s="159"/>
      <c r="H1414" s="368"/>
      <c r="I1414" s="369"/>
      <c r="J1414" s="353"/>
      <c r="K1414" s="356"/>
      <c r="L1414" s="356"/>
      <c r="M1414" s="356"/>
      <c r="N1414" s="356"/>
      <c r="O1414" s="356"/>
      <c r="P1414" s="356"/>
    </row>
    <row r="1415" spans="1:16" ht="18.75" customHeight="1">
      <c r="A1415" s="366"/>
      <c r="B1415" s="367"/>
      <c r="C1415" s="367"/>
      <c r="D1415" s="367"/>
      <c r="E1415" s="370"/>
      <c r="F1415" s="367"/>
      <c r="G1415" s="156"/>
      <c r="H1415" s="371"/>
      <c r="I1415" s="372"/>
      <c r="J1415" s="355"/>
      <c r="K1415" s="356"/>
      <c r="L1415" s="356"/>
      <c r="M1415" s="356"/>
      <c r="N1415" s="356"/>
      <c r="O1415" s="356"/>
      <c r="P1415" s="356"/>
    </row>
    <row r="1416" spans="1:16" ht="18.75" customHeight="1">
      <c r="A1416" s="366"/>
      <c r="B1416" s="367"/>
      <c r="C1416" s="367"/>
      <c r="D1416" s="367"/>
      <c r="E1416" s="367"/>
      <c r="F1416" s="367"/>
      <c r="G1416" s="159"/>
      <c r="H1416" s="368"/>
      <c r="I1416" s="369"/>
      <c r="J1416" s="353"/>
      <c r="K1416" s="356"/>
      <c r="L1416" s="356"/>
      <c r="M1416" s="356"/>
      <c r="N1416" s="356"/>
      <c r="O1416" s="356"/>
      <c r="P1416" s="356"/>
    </row>
    <row r="1417" spans="1:16" ht="18.75" customHeight="1">
      <c r="A1417" s="366"/>
      <c r="B1417" s="367"/>
      <c r="C1417" s="367"/>
      <c r="D1417" s="367"/>
      <c r="E1417" s="370"/>
      <c r="F1417" s="367"/>
      <c r="G1417" s="156"/>
      <c r="H1417" s="371"/>
      <c r="I1417" s="372"/>
      <c r="J1417" s="355"/>
      <c r="K1417" s="356"/>
      <c r="L1417" s="356"/>
      <c r="M1417" s="356"/>
      <c r="N1417" s="356"/>
      <c r="O1417" s="356"/>
      <c r="P1417" s="356"/>
    </row>
    <row r="1418" spans="1:16" ht="18.75" customHeight="1">
      <c r="A1418" s="366"/>
      <c r="B1418" s="367"/>
      <c r="C1418" s="367"/>
      <c r="D1418" s="367"/>
      <c r="E1418" s="367"/>
      <c r="F1418" s="367"/>
      <c r="G1418" s="159"/>
      <c r="H1418" s="368"/>
      <c r="I1418" s="369"/>
      <c r="J1418" s="353"/>
      <c r="K1418" s="356"/>
      <c r="L1418" s="356"/>
      <c r="M1418" s="356"/>
      <c r="N1418" s="356"/>
      <c r="O1418" s="356"/>
      <c r="P1418" s="356"/>
    </row>
    <row r="1419" spans="1:16" ht="18.75" customHeight="1">
      <c r="A1419" s="366"/>
      <c r="B1419" s="367"/>
      <c r="C1419" s="367"/>
      <c r="D1419" s="367"/>
      <c r="E1419" s="370"/>
      <c r="F1419" s="367"/>
      <c r="G1419" s="156"/>
      <c r="H1419" s="371"/>
      <c r="I1419" s="372"/>
      <c r="J1419" s="355"/>
      <c r="K1419" s="356"/>
      <c r="L1419" s="356"/>
      <c r="M1419" s="356"/>
      <c r="N1419" s="356"/>
      <c r="O1419" s="356"/>
      <c r="P1419" s="356"/>
    </row>
    <row r="1420" spans="1:16" ht="18.75" customHeight="1">
      <c r="A1420" s="366"/>
      <c r="B1420" s="367"/>
      <c r="C1420" s="367"/>
      <c r="D1420" s="367"/>
      <c r="E1420" s="367"/>
      <c r="F1420" s="367"/>
      <c r="G1420" s="159"/>
      <c r="H1420" s="368"/>
      <c r="I1420" s="369"/>
      <c r="J1420" s="353"/>
      <c r="K1420" s="356"/>
      <c r="L1420" s="356"/>
      <c r="M1420" s="356"/>
      <c r="N1420" s="356"/>
      <c r="O1420" s="356"/>
      <c r="P1420" s="356"/>
    </row>
    <row r="1421" spans="1:16" ht="18.75" customHeight="1">
      <c r="A1421" s="366"/>
      <c r="B1421" s="367"/>
      <c r="C1421" s="367"/>
      <c r="D1421" s="367"/>
      <c r="E1421" s="370"/>
      <c r="F1421" s="367"/>
      <c r="G1421" s="156"/>
      <c r="H1421" s="371"/>
      <c r="I1421" s="372"/>
      <c r="J1421" s="355"/>
      <c r="K1421" s="356"/>
      <c r="L1421" s="356"/>
      <c r="M1421" s="356"/>
      <c r="N1421" s="356"/>
      <c r="O1421" s="356"/>
      <c r="P1421" s="356"/>
    </row>
    <row r="1422" spans="1:16" ht="18.75" customHeight="1">
      <c r="A1422" s="366"/>
      <c r="B1422" s="367"/>
      <c r="C1422" s="367"/>
      <c r="D1422" s="367"/>
      <c r="E1422" s="367"/>
      <c r="F1422" s="367"/>
      <c r="G1422" s="159"/>
      <c r="H1422" s="368"/>
      <c r="I1422" s="369"/>
      <c r="J1422" s="353"/>
      <c r="K1422" s="356"/>
      <c r="L1422" s="356"/>
      <c r="M1422" s="356"/>
      <c r="N1422" s="356"/>
      <c r="O1422" s="356"/>
      <c r="P1422" s="356"/>
    </row>
    <row r="1423" spans="1:16" ht="18.75" customHeight="1">
      <c r="A1423" s="366"/>
      <c r="B1423" s="367"/>
      <c r="C1423" s="367"/>
      <c r="D1423" s="367"/>
      <c r="E1423" s="370"/>
      <c r="F1423" s="367"/>
      <c r="G1423" s="156"/>
      <c r="H1423" s="371"/>
      <c r="I1423" s="372"/>
      <c r="J1423" s="355"/>
      <c r="K1423" s="356"/>
      <c r="L1423" s="356"/>
      <c r="M1423" s="356"/>
      <c r="N1423" s="356"/>
      <c r="O1423" s="356"/>
      <c r="P1423" s="356"/>
    </row>
    <row r="1424" spans="1:16" ht="18.75" customHeight="1">
      <c r="A1424" s="366"/>
      <c r="B1424" s="367"/>
      <c r="C1424" s="367"/>
      <c r="D1424" s="367"/>
      <c r="E1424" s="367"/>
      <c r="F1424" s="367"/>
      <c r="G1424" s="159"/>
      <c r="H1424" s="368"/>
      <c r="I1424" s="369"/>
      <c r="J1424" s="353"/>
      <c r="K1424" s="356"/>
      <c r="L1424" s="356"/>
      <c r="M1424" s="356"/>
      <c r="N1424" s="356"/>
      <c r="O1424" s="356"/>
      <c r="P1424" s="356"/>
    </row>
    <row r="1425" spans="1:16" ht="18.75" customHeight="1">
      <c r="A1425" s="366"/>
      <c r="B1425" s="367"/>
      <c r="C1425" s="367"/>
      <c r="D1425" s="367"/>
      <c r="E1425" s="370"/>
      <c r="F1425" s="367"/>
      <c r="G1425" s="156"/>
      <c r="H1425" s="371"/>
      <c r="I1425" s="372"/>
      <c r="J1425" s="355"/>
      <c r="K1425" s="356"/>
      <c r="L1425" s="356"/>
      <c r="M1425" s="356"/>
      <c r="N1425" s="356"/>
      <c r="O1425" s="356"/>
      <c r="P1425" s="356"/>
    </row>
    <row r="1426" spans="1:16" ht="18.75" customHeight="1">
      <c r="A1426" s="366"/>
      <c r="B1426" s="367"/>
      <c r="C1426" s="367"/>
      <c r="D1426" s="367"/>
      <c r="E1426" s="367"/>
      <c r="F1426" s="367"/>
      <c r="G1426" s="159"/>
      <c r="H1426" s="368"/>
      <c r="I1426" s="369"/>
      <c r="J1426" s="353"/>
      <c r="K1426" s="356"/>
      <c r="L1426" s="356"/>
      <c r="M1426" s="356"/>
      <c r="N1426" s="356"/>
      <c r="O1426" s="356"/>
      <c r="P1426" s="356"/>
    </row>
    <row r="1427" spans="1:16" ht="18.75" customHeight="1">
      <c r="A1427" s="366"/>
      <c r="B1427" s="367"/>
      <c r="C1427" s="367"/>
      <c r="D1427" s="367"/>
      <c r="E1427" s="370"/>
      <c r="F1427" s="367"/>
      <c r="G1427" s="156"/>
      <c r="H1427" s="371"/>
      <c r="I1427" s="372"/>
      <c r="J1427" s="355"/>
      <c r="K1427" s="356"/>
      <c r="L1427" s="356"/>
      <c r="M1427" s="356"/>
      <c r="N1427" s="356"/>
      <c r="O1427" s="356"/>
      <c r="P1427" s="356"/>
    </row>
    <row r="1428" spans="1:16" ht="18.75" customHeight="1">
      <c r="A1428" s="366"/>
      <c r="B1428" s="367"/>
      <c r="C1428" s="367"/>
      <c r="D1428" s="367"/>
      <c r="E1428" s="367"/>
      <c r="F1428" s="367"/>
      <c r="G1428" s="159"/>
      <c r="H1428" s="368"/>
      <c r="I1428" s="369"/>
      <c r="J1428" s="353"/>
      <c r="K1428" s="356"/>
      <c r="L1428" s="356"/>
      <c r="M1428" s="356"/>
      <c r="N1428" s="356"/>
      <c r="O1428" s="356"/>
      <c r="P1428" s="356"/>
    </row>
    <row r="1429" spans="1:16" ht="18.75" customHeight="1">
      <c r="A1429" s="366"/>
      <c r="B1429" s="367"/>
      <c r="C1429" s="367"/>
      <c r="D1429" s="367"/>
      <c r="E1429" s="370"/>
      <c r="F1429" s="367"/>
      <c r="G1429" s="156"/>
      <c r="H1429" s="371"/>
      <c r="I1429" s="372"/>
      <c r="J1429" s="355"/>
      <c r="K1429" s="356"/>
      <c r="L1429" s="356"/>
      <c r="M1429" s="356"/>
      <c r="N1429" s="356"/>
      <c r="O1429" s="356"/>
      <c r="P1429" s="356"/>
    </row>
    <row r="1430" spans="1:16" ht="18.75" customHeight="1">
      <c r="A1430" s="366"/>
      <c r="B1430" s="367"/>
      <c r="C1430" s="367"/>
      <c r="D1430" s="367"/>
      <c r="E1430" s="367"/>
      <c r="F1430" s="367"/>
      <c r="G1430" s="159"/>
      <c r="H1430" s="368"/>
      <c r="I1430" s="369"/>
      <c r="J1430" s="353"/>
      <c r="K1430" s="356"/>
      <c r="L1430" s="356"/>
      <c r="M1430" s="356"/>
      <c r="N1430" s="356"/>
      <c r="O1430" s="356"/>
      <c r="P1430" s="356"/>
    </row>
    <row r="1431" spans="1:16" ht="18.75" customHeight="1">
      <c r="A1431" s="366"/>
      <c r="B1431" s="367"/>
      <c r="C1431" s="367"/>
      <c r="D1431" s="367"/>
      <c r="E1431" s="370"/>
      <c r="F1431" s="367"/>
      <c r="G1431" s="156"/>
      <c r="H1431" s="371"/>
      <c r="I1431" s="372"/>
      <c r="J1431" s="355"/>
      <c r="K1431" s="356"/>
      <c r="L1431" s="356"/>
      <c r="M1431" s="356"/>
      <c r="N1431" s="356"/>
      <c r="O1431" s="356"/>
      <c r="P1431" s="356"/>
    </row>
    <row r="1432" spans="1:16" ht="18.75" customHeight="1">
      <c r="A1432" s="366"/>
      <c r="B1432" s="367"/>
      <c r="C1432" s="367"/>
      <c r="D1432" s="367"/>
      <c r="E1432" s="367"/>
      <c r="F1432" s="367"/>
      <c r="G1432" s="159"/>
      <c r="H1432" s="368"/>
      <c r="I1432" s="369"/>
      <c r="J1432" s="353"/>
      <c r="K1432" s="356"/>
      <c r="L1432" s="356"/>
      <c r="M1432" s="356"/>
      <c r="N1432" s="356"/>
      <c r="O1432" s="356"/>
      <c r="P1432" s="356"/>
    </row>
    <row r="1433" spans="1:16" ht="18.75" customHeight="1">
      <c r="A1433" s="366"/>
      <c r="B1433" s="367"/>
      <c r="C1433" s="367"/>
      <c r="D1433" s="367"/>
      <c r="E1433" s="370"/>
      <c r="F1433" s="367"/>
      <c r="G1433" s="156"/>
      <c r="H1433" s="371"/>
      <c r="I1433" s="372"/>
      <c r="J1433" s="355"/>
      <c r="K1433" s="356"/>
      <c r="L1433" s="356"/>
      <c r="M1433" s="356"/>
      <c r="N1433" s="356"/>
      <c r="O1433" s="356"/>
      <c r="P1433" s="356"/>
    </row>
    <row r="1434" spans="1:16" ht="18.75" customHeight="1">
      <c r="A1434" s="366"/>
      <c r="B1434" s="367"/>
      <c r="C1434" s="367"/>
      <c r="D1434" s="367"/>
      <c r="E1434" s="367"/>
      <c r="F1434" s="367"/>
      <c r="G1434" s="159"/>
      <c r="H1434" s="368"/>
      <c r="I1434" s="369"/>
      <c r="J1434" s="353"/>
      <c r="K1434" s="356"/>
      <c r="L1434" s="356"/>
      <c r="M1434" s="356"/>
      <c r="N1434" s="356"/>
      <c r="O1434" s="356"/>
      <c r="P1434" s="356"/>
    </row>
    <row r="1435" spans="1:16" ht="18.75" customHeight="1">
      <c r="A1435" s="366"/>
      <c r="B1435" s="367"/>
      <c r="C1435" s="367"/>
      <c r="D1435" s="367"/>
      <c r="E1435" s="370"/>
      <c r="F1435" s="367"/>
      <c r="G1435" s="156"/>
      <c r="H1435" s="371"/>
      <c r="I1435" s="372"/>
      <c r="J1435" s="355"/>
      <c r="K1435" s="356"/>
      <c r="L1435" s="356"/>
      <c r="M1435" s="356"/>
      <c r="N1435" s="356"/>
      <c r="O1435" s="356"/>
      <c r="P1435" s="356"/>
    </row>
    <row r="1436" spans="1:16" ht="18.75" customHeight="1">
      <c r="A1436" s="366"/>
      <c r="B1436" s="367"/>
      <c r="C1436" s="367"/>
      <c r="D1436" s="367"/>
      <c r="E1436" s="367"/>
      <c r="F1436" s="367"/>
      <c r="G1436" s="159"/>
      <c r="H1436" s="368"/>
      <c r="I1436" s="369"/>
      <c r="J1436" s="353"/>
      <c r="K1436" s="356"/>
      <c r="L1436" s="356"/>
      <c r="M1436" s="356"/>
      <c r="N1436" s="356"/>
      <c r="O1436" s="356"/>
      <c r="P1436" s="356"/>
    </row>
    <row r="1437" spans="1:16" ht="18.75" customHeight="1">
      <c r="A1437" s="366"/>
      <c r="B1437" s="367"/>
      <c r="C1437" s="367"/>
      <c r="D1437" s="367"/>
      <c r="E1437" s="370"/>
      <c r="F1437" s="367"/>
      <c r="G1437" s="156"/>
      <c r="H1437" s="371"/>
      <c r="I1437" s="372"/>
      <c r="J1437" s="355"/>
      <c r="K1437" s="356"/>
      <c r="L1437" s="356"/>
      <c r="M1437" s="356"/>
      <c r="N1437" s="356"/>
      <c r="O1437" s="356"/>
      <c r="P1437" s="356"/>
    </row>
    <row r="1438" spans="1:16" ht="18.75" customHeight="1">
      <c r="A1438" s="366"/>
      <c r="B1438" s="367"/>
      <c r="C1438" s="367"/>
      <c r="D1438" s="367"/>
      <c r="E1438" s="367"/>
      <c r="F1438" s="367"/>
      <c r="G1438" s="159"/>
      <c r="H1438" s="368"/>
      <c r="I1438" s="369"/>
      <c r="J1438" s="353"/>
      <c r="K1438" s="356"/>
      <c r="L1438" s="356"/>
      <c r="M1438" s="356"/>
      <c r="N1438" s="356"/>
      <c r="O1438" s="356"/>
      <c r="P1438" s="356"/>
    </row>
    <row r="1439" spans="1:16" ht="18.75" customHeight="1">
      <c r="A1439" s="366"/>
      <c r="B1439" s="367"/>
      <c r="C1439" s="367"/>
      <c r="D1439" s="367"/>
      <c r="E1439" s="370"/>
      <c r="F1439" s="367"/>
      <c r="G1439" s="156"/>
      <c r="H1439" s="371"/>
      <c r="I1439" s="372"/>
      <c r="J1439" s="355"/>
      <c r="K1439" s="356"/>
      <c r="L1439" s="356"/>
      <c r="M1439" s="356"/>
      <c r="N1439" s="356"/>
      <c r="O1439" s="356"/>
      <c r="P1439" s="356"/>
    </row>
    <row r="1440" spans="1:16" ht="18.75" customHeight="1">
      <c r="A1440" s="366"/>
      <c r="B1440" s="367"/>
      <c r="C1440" s="367"/>
      <c r="D1440" s="367"/>
      <c r="E1440" s="367"/>
      <c r="F1440" s="367"/>
      <c r="G1440" s="159"/>
      <c r="H1440" s="368"/>
      <c r="I1440" s="369"/>
      <c r="J1440" s="353"/>
      <c r="K1440" s="356"/>
      <c r="L1440" s="356"/>
      <c r="M1440" s="356"/>
      <c r="N1440" s="356"/>
      <c r="O1440" s="356"/>
      <c r="P1440" s="356"/>
    </row>
    <row r="1441" spans="1:16" ht="18.75" customHeight="1">
      <c r="A1441" s="366"/>
      <c r="B1441" s="367"/>
      <c r="C1441" s="367"/>
      <c r="D1441" s="367"/>
      <c r="E1441" s="370"/>
      <c r="F1441" s="367"/>
      <c r="G1441" s="156"/>
      <c r="H1441" s="371"/>
      <c r="I1441" s="372"/>
      <c r="J1441" s="355"/>
      <c r="K1441" s="356"/>
      <c r="L1441" s="356"/>
      <c r="M1441" s="356"/>
      <c r="N1441" s="356"/>
      <c r="O1441" s="356"/>
      <c r="P1441" s="356"/>
    </row>
    <row r="1442" spans="1:16" ht="18.75" customHeight="1">
      <c r="A1442" s="366"/>
      <c r="B1442" s="367"/>
      <c r="C1442" s="367"/>
      <c r="D1442" s="367"/>
      <c r="E1442" s="367"/>
      <c r="F1442" s="367"/>
      <c r="G1442" s="159"/>
      <c r="H1442" s="368"/>
      <c r="I1442" s="369"/>
      <c r="J1442" s="353"/>
      <c r="K1442" s="356"/>
      <c r="L1442" s="356"/>
      <c r="M1442" s="356"/>
      <c r="N1442" s="356"/>
      <c r="O1442" s="356"/>
      <c r="P1442" s="356"/>
    </row>
    <row r="1443" spans="1:16" ht="18.75" customHeight="1">
      <c r="A1443" s="366"/>
      <c r="B1443" s="367"/>
      <c r="C1443" s="367"/>
      <c r="D1443" s="367"/>
      <c r="E1443" s="370"/>
      <c r="F1443" s="367"/>
      <c r="G1443" s="156"/>
      <c r="H1443" s="371"/>
      <c r="I1443" s="372"/>
      <c r="J1443" s="355"/>
      <c r="K1443" s="356"/>
      <c r="L1443" s="356"/>
      <c r="M1443" s="356"/>
      <c r="N1443" s="356"/>
      <c r="O1443" s="356"/>
      <c r="P1443" s="356"/>
    </row>
    <row r="1444" spans="1:16" ht="18.75" customHeight="1">
      <c r="A1444" s="366"/>
      <c r="B1444" s="367"/>
      <c r="C1444" s="367"/>
      <c r="D1444" s="367"/>
      <c r="E1444" s="367"/>
      <c r="F1444" s="367"/>
      <c r="G1444" s="159"/>
      <c r="H1444" s="368"/>
      <c r="I1444" s="369"/>
      <c r="J1444" s="353"/>
      <c r="K1444" s="356"/>
      <c r="L1444" s="356"/>
      <c r="M1444" s="356"/>
      <c r="N1444" s="356"/>
      <c r="O1444" s="356"/>
      <c r="P1444" s="356"/>
    </row>
    <row r="1445" spans="1:16" ht="18.75" customHeight="1">
      <c r="A1445" s="366"/>
      <c r="B1445" s="367"/>
      <c r="C1445" s="367"/>
      <c r="D1445" s="367"/>
      <c r="E1445" s="370"/>
      <c r="F1445" s="367"/>
      <c r="G1445" s="156"/>
      <c r="H1445" s="371"/>
      <c r="I1445" s="372"/>
      <c r="J1445" s="355"/>
      <c r="K1445" s="356"/>
      <c r="L1445" s="356"/>
      <c r="M1445" s="356"/>
      <c r="N1445" s="356"/>
      <c r="O1445" s="356"/>
      <c r="P1445" s="356"/>
    </row>
    <row r="1446" spans="1:16" ht="18.75" customHeight="1">
      <c r="A1446" s="366"/>
      <c r="B1446" s="367"/>
      <c r="C1446" s="367"/>
      <c r="D1446" s="367"/>
      <c r="E1446" s="367"/>
      <c r="F1446" s="367"/>
      <c r="G1446" s="159"/>
      <c r="H1446" s="368"/>
      <c r="I1446" s="369"/>
      <c r="J1446" s="353"/>
      <c r="K1446" s="356"/>
      <c r="L1446" s="356"/>
      <c r="M1446" s="356"/>
      <c r="N1446" s="356"/>
      <c r="O1446" s="356"/>
      <c r="P1446" s="356"/>
    </row>
    <row r="1447" spans="1:16" ht="18.75" customHeight="1">
      <c r="A1447" s="366"/>
      <c r="B1447" s="367"/>
      <c r="C1447" s="367"/>
      <c r="D1447" s="367"/>
      <c r="E1447" s="370"/>
      <c r="F1447" s="367"/>
      <c r="G1447" s="156"/>
      <c r="H1447" s="371"/>
      <c r="I1447" s="372"/>
      <c r="J1447" s="355"/>
      <c r="K1447" s="356"/>
      <c r="L1447" s="356"/>
      <c r="M1447" s="356"/>
      <c r="N1447" s="356"/>
      <c r="O1447" s="356"/>
      <c r="P1447" s="356"/>
    </row>
    <row r="1448" spans="1:16" ht="18.75" customHeight="1">
      <c r="A1448" s="366"/>
      <c r="B1448" s="367"/>
      <c r="C1448" s="367"/>
      <c r="D1448" s="367"/>
      <c r="E1448" s="367"/>
      <c r="F1448" s="367"/>
      <c r="G1448" s="159"/>
      <c r="H1448" s="368"/>
      <c r="I1448" s="369"/>
      <c r="J1448" s="353"/>
      <c r="K1448" s="356"/>
      <c r="L1448" s="356"/>
      <c r="M1448" s="356"/>
      <c r="N1448" s="356"/>
      <c r="O1448" s="356"/>
      <c r="P1448" s="356"/>
    </row>
    <row r="1449" spans="1:16" ht="18.75" customHeight="1">
      <c r="A1449" s="366"/>
      <c r="B1449" s="367"/>
      <c r="C1449" s="367"/>
      <c r="D1449" s="367"/>
      <c r="E1449" s="370"/>
      <c r="F1449" s="367"/>
      <c r="G1449" s="156"/>
      <c r="H1449" s="371"/>
      <c r="I1449" s="372"/>
      <c r="J1449" s="355"/>
      <c r="K1449" s="356"/>
      <c r="L1449" s="356"/>
      <c r="M1449" s="356"/>
      <c r="N1449" s="356"/>
      <c r="O1449" s="356"/>
      <c r="P1449" s="356"/>
    </row>
    <row r="1450" spans="1:16" ht="18.75" customHeight="1">
      <c r="A1450" s="366"/>
      <c r="B1450" s="367"/>
      <c r="C1450" s="367"/>
      <c r="D1450" s="367"/>
      <c r="E1450" s="367"/>
      <c r="F1450" s="367"/>
      <c r="G1450" s="159"/>
      <c r="H1450" s="368"/>
      <c r="I1450" s="369"/>
      <c r="J1450" s="353"/>
      <c r="K1450" s="356"/>
      <c r="L1450" s="356"/>
      <c r="M1450" s="356"/>
      <c r="N1450" s="356"/>
      <c r="O1450" s="356"/>
      <c r="P1450" s="356"/>
    </row>
    <row r="1451" spans="1:16" ht="18.75" customHeight="1">
      <c r="A1451" s="366"/>
      <c r="B1451" s="367"/>
      <c r="C1451" s="367"/>
      <c r="D1451" s="367"/>
      <c r="E1451" s="370"/>
      <c r="F1451" s="367"/>
      <c r="G1451" s="156"/>
      <c r="H1451" s="371"/>
      <c r="I1451" s="372"/>
      <c r="J1451" s="355"/>
      <c r="K1451" s="356"/>
      <c r="L1451" s="356"/>
      <c r="M1451" s="356"/>
      <c r="N1451" s="356"/>
      <c r="O1451" s="356"/>
      <c r="P1451" s="356"/>
    </row>
    <row r="1452" spans="1:16" ht="18.75" customHeight="1">
      <c r="A1452" s="366"/>
      <c r="B1452" s="367"/>
      <c r="C1452" s="367"/>
      <c r="D1452" s="367"/>
      <c r="E1452" s="367"/>
      <c r="F1452" s="367"/>
      <c r="G1452" s="159"/>
      <c r="H1452" s="368"/>
      <c r="I1452" s="369"/>
      <c r="J1452" s="353"/>
      <c r="K1452" s="356"/>
      <c r="L1452" s="356"/>
      <c r="M1452" s="356"/>
      <c r="N1452" s="356"/>
      <c r="O1452" s="356"/>
      <c r="P1452" s="356"/>
    </row>
    <row r="1453" spans="1:16" ht="18.75" customHeight="1">
      <c r="A1453" s="366"/>
      <c r="B1453" s="367"/>
      <c r="C1453" s="367"/>
      <c r="D1453" s="367"/>
      <c r="E1453" s="370"/>
      <c r="F1453" s="367"/>
      <c r="G1453" s="156"/>
      <c r="H1453" s="371"/>
      <c r="I1453" s="372"/>
      <c r="J1453" s="355"/>
      <c r="K1453" s="356"/>
      <c r="L1453" s="356"/>
      <c r="M1453" s="356"/>
      <c r="N1453" s="356"/>
      <c r="O1453" s="356"/>
      <c r="P1453" s="356"/>
    </row>
    <row r="1454" spans="1:16" ht="18.75" customHeight="1">
      <c r="A1454" s="366"/>
      <c r="B1454" s="367"/>
      <c r="C1454" s="367"/>
      <c r="D1454" s="367"/>
      <c r="E1454" s="367"/>
      <c r="F1454" s="367"/>
      <c r="G1454" s="159"/>
      <c r="H1454" s="368"/>
      <c r="I1454" s="369"/>
      <c r="J1454" s="353"/>
      <c r="K1454" s="356"/>
      <c r="L1454" s="356"/>
      <c r="M1454" s="356"/>
      <c r="N1454" s="356"/>
      <c r="O1454" s="356"/>
      <c r="P1454" s="356"/>
    </row>
    <row r="1455" spans="1:16" ht="18.75" customHeight="1">
      <c r="A1455" s="366"/>
      <c r="B1455" s="367"/>
      <c r="C1455" s="367"/>
      <c r="D1455" s="367"/>
      <c r="E1455" s="370"/>
      <c r="F1455" s="367"/>
      <c r="G1455" s="156"/>
      <c r="H1455" s="371"/>
      <c r="I1455" s="372"/>
      <c r="J1455" s="355"/>
      <c r="K1455" s="356"/>
      <c r="L1455" s="356"/>
      <c r="M1455" s="356"/>
      <c r="N1455" s="356"/>
      <c r="O1455" s="356"/>
      <c r="P1455" s="356"/>
    </row>
    <row r="1456" spans="1:16" ht="18.75" customHeight="1">
      <c r="A1456" s="366"/>
      <c r="B1456" s="367"/>
      <c r="C1456" s="367"/>
      <c r="D1456" s="367"/>
      <c r="E1456" s="367"/>
      <c r="F1456" s="367"/>
      <c r="G1456" s="159"/>
      <c r="H1456" s="368"/>
      <c r="I1456" s="369"/>
      <c r="J1456" s="353"/>
      <c r="K1456" s="356"/>
      <c r="L1456" s="356"/>
      <c r="M1456" s="356"/>
      <c r="N1456" s="356"/>
      <c r="O1456" s="356"/>
      <c r="P1456" s="356"/>
    </row>
    <row r="1457" spans="1:16" ht="18.75" customHeight="1">
      <c r="A1457" s="366"/>
      <c r="B1457" s="367"/>
      <c r="C1457" s="367"/>
      <c r="D1457" s="367"/>
      <c r="E1457" s="370"/>
      <c r="F1457" s="367"/>
      <c r="G1457" s="156"/>
      <c r="H1457" s="371"/>
      <c r="I1457" s="372"/>
      <c r="J1457" s="355"/>
      <c r="K1457" s="356"/>
      <c r="L1457" s="356"/>
      <c r="M1457" s="356"/>
      <c r="N1457" s="356"/>
      <c r="O1457" s="356"/>
      <c r="P1457" s="356"/>
    </row>
    <row r="1458" spans="1:16" ht="18.75" customHeight="1">
      <c r="A1458" s="366"/>
      <c r="B1458" s="367"/>
      <c r="C1458" s="367"/>
      <c r="D1458" s="367"/>
      <c r="E1458" s="367"/>
      <c r="F1458" s="367"/>
      <c r="G1458" s="159"/>
      <c r="H1458" s="368"/>
      <c r="I1458" s="369"/>
      <c r="J1458" s="353"/>
      <c r="K1458" s="356"/>
      <c r="L1458" s="356"/>
      <c r="M1458" s="356"/>
      <c r="N1458" s="356"/>
      <c r="O1458" s="356"/>
      <c r="P1458" s="356"/>
    </row>
    <row r="1459" spans="1:16" ht="18.75" customHeight="1">
      <c r="A1459" s="366"/>
      <c r="B1459" s="367"/>
      <c r="C1459" s="367"/>
      <c r="D1459" s="367"/>
      <c r="E1459" s="370"/>
      <c r="F1459" s="367"/>
      <c r="G1459" s="156"/>
      <c r="H1459" s="371"/>
      <c r="I1459" s="372"/>
      <c r="J1459" s="355"/>
      <c r="K1459" s="356"/>
      <c r="L1459" s="356"/>
      <c r="M1459" s="356"/>
      <c r="N1459" s="356"/>
      <c r="O1459" s="356"/>
      <c r="P1459" s="356"/>
    </row>
    <row r="1460" spans="1:16" ht="18.75" customHeight="1">
      <c r="A1460" s="366"/>
      <c r="B1460" s="367"/>
      <c r="C1460" s="367"/>
      <c r="D1460" s="367"/>
      <c r="E1460" s="367"/>
      <c r="F1460" s="367"/>
      <c r="G1460" s="159"/>
      <c r="H1460" s="368"/>
      <c r="I1460" s="369"/>
      <c r="J1460" s="353"/>
      <c r="K1460" s="356"/>
      <c r="L1460" s="356"/>
      <c r="M1460" s="356"/>
      <c r="N1460" s="356"/>
      <c r="O1460" s="356"/>
      <c r="P1460" s="356"/>
    </row>
    <row r="1461" spans="1:16" ht="18.75" customHeight="1">
      <c r="A1461" s="366"/>
      <c r="B1461" s="367"/>
      <c r="C1461" s="367"/>
      <c r="D1461" s="367"/>
      <c r="E1461" s="370"/>
      <c r="F1461" s="367"/>
      <c r="G1461" s="156"/>
      <c r="H1461" s="371"/>
      <c r="I1461" s="372"/>
      <c r="J1461" s="355"/>
      <c r="K1461" s="356"/>
      <c r="L1461" s="356"/>
      <c r="M1461" s="356"/>
      <c r="N1461" s="356"/>
      <c r="O1461" s="356"/>
      <c r="P1461" s="356"/>
    </row>
    <row r="1462" spans="1:16" ht="18.75" customHeight="1">
      <c r="A1462" s="366"/>
      <c r="B1462" s="367"/>
      <c r="C1462" s="367"/>
      <c r="D1462" s="367"/>
      <c r="E1462" s="367"/>
      <c r="F1462" s="367"/>
      <c r="G1462" s="159"/>
      <c r="H1462" s="368"/>
      <c r="I1462" s="369"/>
      <c r="J1462" s="353"/>
      <c r="K1462" s="356"/>
      <c r="L1462" s="356"/>
      <c r="M1462" s="356"/>
      <c r="N1462" s="356"/>
      <c r="O1462" s="356"/>
      <c r="P1462" s="356"/>
    </row>
    <row r="1463" spans="1:16" ht="18.75" customHeight="1">
      <c r="A1463" s="366"/>
      <c r="B1463" s="367"/>
      <c r="C1463" s="367"/>
      <c r="D1463" s="367"/>
      <c r="E1463" s="370"/>
      <c r="F1463" s="367"/>
      <c r="G1463" s="156"/>
      <c r="H1463" s="371"/>
      <c r="I1463" s="372"/>
      <c r="J1463" s="355"/>
      <c r="K1463" s="356"/>
      <c r="L1463" s="356"/>
      <c r="M1463" s="356"/>
      <c r="N1463" s="356"/>
      <c r="O1463" s="356"/>
      <c r="P1463" s="356"/>
    </row>
    <row r="1464" spans="1:16" ht="18.75" customHeight="1">
      <c r="A1464" s="366"/>
      <c r="B1464" s="367"/>
      <c r="C1464" s="367"/>
      <c r="D1464" s="367"/>
      <c r="E1464" s="367"/>
      <c r="F1464" s="367"/>
      <c r="G1464" s="159"/>
      <c r="H1464" s="368"/>
      <c r="I1464" s="369"/>
      <c r="J1464" s="353"/>
      <c r="K1464" s="356"/>
      <c r="L1464" s="356"/>
      <c r="M1464" s="356"/>
      <c r="N1464" s="356"/>
      <c r="O1464" s="356"/>
      <c r="P1464" s="356"/>
    </row>
    <row r="1465" spans="1:16" ht="18.75" customHeight="1">
      <c r="A1465" s="366"/>
      <c r="B1465" s="367"/>
      <c r="C1465" s="367"/>
      <c r="D1465" s="367"/>
      <c r="E1465" s="370"/>
      <c r="F1465" s="367"/>
      <c r="G1465" s="156"/>
      <c r="H1465" s="371"/>
      <c r="I1465" s="372"/>
      <c r="J1465" s="355"/>
      <c r="K1465" s="356"/>
      <c r="L1465" s="356"/>
      <c r="M1465" s="356"/>
      <c r="N1465" s="356"/>
      <c r="O1465" s="356"/>
      <c r="P1465" s="356"/>
    </row>
    <row r="1466" spans="1:16" ht="18.75" customHeight="1">
      <c r="A1466" s="366"/>
      <c r="B1466" s="367"/>
      <c r="C1466" s="367"/>
      <c r="D1466" s="367"/>
      <c r="E1466" s="367"/>
      <c r="F1466" s="367"/>
      <c r="G1466" s="159"/>
      <c r="H1466" s="368"/>
      <c r="I1466" s="369"/>
      <c r="J1466" s="353"/>
      <c r="K1466" s="356"/>
      <c r="L1466" s="356"/>
      <c r="M1466" s="356"/>
      <c r="N1466" s="356"/>
      <c r="O1466" s="356"/>
      <c r="P1466" s="356"/>
    </row>
    <row r="1467" spans="1:16" ht="18.75" customHeight="1">
      <c r="A1467" s="366"/>
      <c r="B1467" s="367"/>
      <c r="C1467" s="367"/>
      <c r="D1467" s="367"/>
      <c r="E1467" s="370"/>
      <c r="F1467" s="367"/>
      <c r="G1467" s="156"/>
      <c r="H1467" s="371"/>
      <c r="I1467" s="372"/>
      <c r="J1467" s="355"/>
      <c r="K1467" s="356"/>
      <c r="L1467" s="356"/>
      <c r="M1467" s="356"/>
      <c r="N1467" s="356"/>
      <c r="O1467" s="356"/>
      <c r="P1467" s="356"/>
    </row>
    <row r="1468" spans="1:16" ht="18.75" customHeight="1">
      <c r="A1468" s="366"/>
      <c r="B1468" s="367"/>
      <c r="C1468" s="367"/>
      <c r="D1468" s="367"/>
      <c r="E1468" s="367"/>
      <c r="F1468" s="367"/>
      <c r="G1468" s="159"/>
      <c r="H1468" s="368"/>
      <c r="I1468" s="369"/>
      <c r="J1468" s="353"/>
      <c r="K1468" s="356"/>
      <c r="L1468" s="356"/>
      <c r="M1468" s="356"/>
      <c r="N1468" s="356"/>
      <c r="O1468" s="356"/>
      <c r="P1468" s="356"/>
    </row>
    <row r="1469" spans="1:16" ht="18.75" customHeight="1">
      <c r="A1469" s="366"/>
      <c r="B1469" s="367"/>
      <c r="C1469" s="367"/>
      <c r="D1469" s="367"/>
      <c r="E1469" s="370"/>
      <c r="F1469" s="367"/>
      <c r="G1469" s="156"/>
      <c r="H1469" s="371"/>
      <c r="I1469" s="372"/>
      <c r="J1469" s="355"/>
      <c r="K1469" s="356"/>
      <c r="L1469" s="356"/>
      <c r="M1469" s="356"/>
      <c r="N1469" s="356"/>
      <c r="O1469" s="356"/>
      <c r="P1469" s="356"/>
    </row>
    <row r="1470" spans="1:16" ht="18.75" customHeight="1">
      <c r="A1470" s="366"/>
      <c r="B1470" s="367"/>
      <c r="C1470" s="367"/>
      <c r="D1470" s="367"/>
      <c r="E1470" s="367"/>
      <c r="F1470" s="367"/>
      <c r="G1470" s="159"/>
      <c r="H1470" s="368"/>
      <c r="I1470" s="369"/>
      <c r="J1470" s="353"/>
      <c r="K1470" s="356"/>
      <c r="L1470" s="356"/>
      <c r="M1470" s="356"/>
      <c r="N1470" s="356"/>
      <c r="O1470" s="356"/>
      <c r="P1470" s="356"/>
    </row>
    <row r="1471" spans="1:16" ht="18.75" customHeight="1">
      <c r="A1471" s="366"/>
      <c r="B1471" s="367"/>
      <c r="C1471" s="367"/>
      <c r="D1471" s="367"/>
      <c r="E1471" s="370"/>
      <c r="F1471" s="367"/>
      <c r="G1471" s="156"/>
      <c r="H1471" s="371"/>
      <c r="I1471" s="372"/>
      <c r="J1471" s="355"/>
      <c r="K1471" s="356"/>
      <c r="L1471" s="356"/>
      <c r="M1471" s="356"/>
      <c r="N1471" s="356"/>
      <c r="O1471" s="356"/>
      <c r="P1471" s="356"/>
    </row>
    <row r="1472" spans="1:16" ht="18.75" customHeight="1">
      <c r="A1472" s="366"/>
      <c r="B1472" s="367"/>
      <c r="C1472" s="367"/>
      <c r="D1472" s="367"/>
      <c r="E1472" s="367"/>
      <c r="F1472" s="367"/>
      <c r="G1472" s="159"/>
      <c r="H1472" s="368"/>
      <c r="I1472" s="369"/>
      <c r="J1472" s="353"/>
      <c r="K1472" s="356"/>
      <c r="L1472" s="356"/>
      <c r="M1472" s="356"/>
      <c r="N1472" s="356"/>
      <c r="O1472" s="356"/>
      <c r="P1472" s="356"/>
    </row>
    <row r="1473" spans="1:16" ht="18.75" customHeight="1">
      <c r="A1473" s="366"/>
      <c r="B1473" s="367"/>
      <c r="C1473" s="367"/>
      <c r="D1473" s="367"/>
      <c r="E1473" s="370"/>
      <c r="F1473" s="367"/>
      <c r="G1473" s="156"/>
      <c r="H1473" s="371"/>
      <c r="I1473" s="372"/>
      <c r="J1473" s="355"/>
      <c r="K1473" s="356"/>
      <c r="L1473" s="356"/>
      <c r="M1473" s="356"/>
      <c r="N1473" s="356"/>
      <c r="O1473" s="356"/>
      <c r="P1473" s="356"/>
    </row>
    <row r="1474" spans="1:16" ht="18.75" customHeight="1">
      <c r="A1474" s="366"/>
      <c r="B1474" s="367"/>
      <c r="C1474" s="367"/>
      <c r="D1474" s="367"/>
      <c r="E1474" s="367"/>
      <c r="F1474" s="367"/>
      <c r="G1474" s="159"/>
      <c r="H1474" s="368"/>
      <c r="I1474" s="369"/>
      <c r="J1474" s="353"/>
      <c r="K1474" s="356"/>
      <c r="L1474" s="356"/>
      <c r="M1474" s="356"/>
      <c r="N1474" s="356"/>
      <c r="O1474" s="356"/>
      <c r="P1474" s="356"/>
    </row>
    <row r="1475" spans="1:16" ht="18.75" customHeight="1">
      <c r="A1475" s="366"/>
      <c r="B1475" s="367"/>
      <c r="C1475" s="367"/>
      <c r="D1475" s="367"/>
      <c r="E1475" s="370"/>
      <c r="F1475" s="367"/>
      <c r="G1475" s="156"/>
      <c r="H1475" s="371"/>
      <c r="I1475" s="372"/>
      <c r="J1475" s="355"/>
      <c r="K1475" s="356"/>
      <c r="L1475" s="356"/>
      <c r="M1475" s="356"/>
      <c r="N1475" s="356"/>
      <c r="O1475" s="356"/>
      <c r="P1475" s="356"/>
    </row>
    <row r="1476" spans="1:16" ht="18.75" customHeight="1">
      <c r="A1476" s="366"/>
      <c r="B1476" s="367"/>
      <c r="C1476" s="367"/>
      <c r="D1476" s="367"/>
      <c r="E1476" s="367"/>
      <c r="F1476" s="367"/>
      <c r="G1476" s="159"/>
      <c r="H1476" s="368"/>
      <c r="I1476" s="369"/>
      <c r="J1476" s="353"/>
      <c r="K1476" s="356"/>
      <c r="L1476" s="356"/>
      <c r="M1476" s="356"/>
      <c r="N1476" s="356"/>
      <c r="O1476" s="356"/>
      <c r="P1476" s="356"/>
    </row>
    <row r="1477" spans="1:16" ht="18.75" customHeight="1">
      <c r="A1477" s="366"/>
      <c r="B1477" s="367"/>
      <c r="C1477" s="367"/>
      <c r="D1477" s="367"/>
      <c r="E1477" s="370"/>
      <c r="F1477" s="367"/>
      <c r="G1477" s="156"/>
      <c r="H1477" s="371"/>
      <c r="I1477" s="372"/>
      <c r="J1477" s="355"/>
      <c r="K1477" s="356"/>
      <c r="L1477" s="356"/>
      <c r="M1477" s="356"/>
      <c r="N1477" s="356"/>
      <c r="O1477" s="356"/>
      <c r="P1477" s="356"/>
    </row>
    <row r="1478" spans="1:16" ht="18.75" customHeight="1">
      <c r="A1478" s="366"/>
      <c r="B1478" s="367"/>
      <c r="C1478" s="367"/>
      <c r="D1478" s="367"/>
      <c r="E1478" s="367"/>
      <c r="F1478" s="367"/>
      <c r="G1478" s="159"/>
      <c r="H1478" s="368"/>
      <c r="I1478" s="369"/>
      <c r="J1478" s="353"/>
      <c r="K1478" s="356"/>
      <c r="L1478" s="356"/>
      <c r="M1478" s="356"/>
      <c r="N1478" s="356"/>
      <c r="O1478" s="356"/>
      <c r="P1478" s="356"/>
    </row>
    <row r="1479" spans="1:16" ht="18.75" customHeight="1">
      <c r="A1479" s="366"/>
      <c r="B1479" s="367"/>
      <c r="C1479" s="367"/>
      <c r="D1479" s="367"/>
      <c r="E1479" s="370"/>
      <c r="F1479" s="367"/>
      <c r="G1479" s="156"/>
      <c r="H1479" s="371"/>
      <c r="I1479" s="372"/>
      <c r="J1479" s="355"/>
      <c r="K1479" s="356"/>
      <c r="L1479" s="356"/>
      <c r="M1479" s="356"/>
      <c r="N1479" s="356"/>
      <c r="O1479" s="356"/>
      <c r="P1479" s="356"/>
    </row>
    <row r="1480" spans="1:16" ht="18.75" customHeight="1">
      <c r="A1480" s="366"/>
      <c r="B1480" s="367"/>
      <c r="C1480" s="367"/>
      <c r="D1480" s="367"/>
      <c r="E1480" s="367"/>
      <c r="F1480" s="367"/>
      <c r="G1480" s="159"/>
      <c r="H1480" s="368"/>
      <c r="I1480" s="369"/>
      <c r="J1480" s="353"/>
      <c r="K1480" s="356"/>
      <c r="L1480" s="356"/>
      <c r="M1480" s="356"/>
      <c r="N1480" s="356"/>
      <c r="O1480" s="356"/>
      <c r="P1480" s="356"/>
    </row>
    <row r="1481" spans="1:16" ht="18.75" customHeight="1">
      <c r="A1481" s="366"/>
      <c r="B1481" s="367"/>
      <c r="C1481" s="367"/>
      <c r="D1481" s="367"/>
      <c r="E1481" s="370"/>
      <c r="F1481" s="367"/>
      <c r="G1481" s="156"/>
      <c r="H1481" s="371"/>
      <c r="I1481" s="372"/>
      <c r="J1481" s="355"/>
      <c r="K1481" s="356"/>
      <c r="L1481" s="356"/>
      <c r="M1481" s="356"/>
      <c r="N1481" s="356"/>
      <c r="O1481" s="356"/>
      <c r="P1481" s="356"/>
    </row>
    <row r="1482" spans="1:16" ht="18.75" customHeight="1">
      <c r="A1482" s="366"/>
      <c r="B1482" s="367"/>
      <c r="C1482" s="367"/>
      <c r="D1482" s="367"/>
      <c r="E1482" s="367"/>
      <c r="F1482" s="367"/>
      <c r="G1482" s="159"/>
      <c r="H1482" s="368"/>
      <c r="I1482" s="369"/>
      <c r="J1482" s="353"/>
      <c r="K1482" s="356"/>
      <c r="L1482" s="356"/>
      <c r="M1482" s="356"/>
      <c r="N1482" s="356"/>
      <c r="O1482" s="356"/>
      <c r="P1482" s="356"/>
    </row>
    <row r="1483" spans="1:16" ht="18.75" customHeight="1">
      <c r="A1483" s="366"/>
      <c r="B1483" s="367"/>
      <c r="C1483" s="367"/>
      <c r="D1483" s="367"/>
      <c r="E1483" s="370"/>
      <c r="F1483" s="367"/>
      <c r="G1483" s="156"/>
      <c r="H1483" s="371"/>
      <c r="I1483" s="372"/>
      <c r="J1483" s="355"/>
      <c r="K1483" s="356"/>
      <c r="L1483" s="356"/>
      <c r="M1483" s="356"/>
      <c r="N1483" s="356"/>
      <c r="O1483" s="356"/>
      <c r="P1483" s="356"/>
    </row>
    <row r="1484" spans="1:16" ht="18.75" customHeight="1">
      <c r="A1484" s="366"/>
      <c r="B1484" s="367"/>
      <c r="C1484" s="367"/>
      <c r="D1484" s="367"/>
      <c r="E1484" s="367"/>
      <c r="F1484" s="367"/>
      <c r="G1484" s="159"/>
      <c r="H1484" s="368"/>
      <c r="I1484" s="369"/>
      <c r="J1484" s="353"/>
      <c r="K1484" s="356"/>
      <c r="L1484" s="356"/>
      <c r="M1484" s="356"/>
      <c r="N1484" s="356"/>
      <c r="O1484" s="356"/>
      <c r="P1484" s="356"/>
    </row>
    <row r="1485" spans="1:16" ht="18.75" customHeight="1">
      <c r="A1485" s="366"/>
      <c r="B1485" s="367"/>
      <c r="C1485" s="367"/>
      <c r="D1485" s="367"/>
      <c r="E1485" s="370"/>
      <c r="F1485" s="367"/>
      <c r="G1485" s="156"/>
      <c r="H1485" s="371"/>
      <c r="I1485" s="372"/>
      <c r="J1485" s="355"/>
      <c r="K1485" s="356"/>
      <c r="L1485" s="356"/>
      <c r="M1485" s="356"/>
      <c r="N1485" s="356"/>
      <c r="O1485" s="356"/>
      <c r="P1485" s="356"/>
    </row>
    <row r="1486" spans="1:16" ht="18.75" customHeight="1">
      <c r="A1486" s="366"/>
      <c r="B1486" s="367"/>
      <c r="C1486" s="367"/>
      <c r="D1486" s="367"/>
      <c r="E1486" s="367"/>
      <c r="F1486" s="367"/>
      <c r="G1486" s="159"/>
      <c r="H1486" s="368"/>
      <c r="I1486" s="369"/>
      <c r="J1486" s="353"/>
      <c r="K1486" s="356"/>
      <c r="L1486" s="356"/>
      <c r="M1486" s="356"/>
      <c r="N1486" s="356"/>
      <c r="O1486" s="356"/>
      <c r="P1486" s="356"/>
    </row>
    <row r="1487" spans="1:16" ht="18.75" customHeight="1">
      <c r="A1487" s="366"/>
      <c r="B1487" s="367"/>
      <c r="C1487" s="367"/>
      <c r="D1487" s="367"/>
      <c r="E1487" s="370"/>
      <c r="F1487" s="367"/>
      <c r="G1487" s="156"/>
      <c r="H1487" s="371"/>
      <c r="I1487" s="372"/>
      <c r="J1487" s="355"/>
      <c r="K1487" s="356"/>
      <c r="L1487" s="356"/>
      <c r="M1487" s="356"/>
      <c r="N1487" s="356"/>
      <c r="O1487" s="356"/>
      <c r="P1487" s="356"/>
    </row>
    <row r="1488" spans="1:16" ht="18.75" customHeight="1">
      <c r="A1488" s="366"/>
      <c r="B1488" s="367"/>
      <c r="C1488" s="367"/>
      <c r="D1488" s="367"/>
      <c r="E1488" s="367"/>
      <c r="F1488" s="367"/>
      <c r="G1488" s="159"/>
      <c r="H1488" s="368"/>
      <c r="I1488" s="369"/>
      <c r="J1488" s="353"/>
      <c r="K1488" s="356"/>
      <c r="L1488" s="356"/>
      <c r="M1488" s="356"/>
      <c r="N1488" s="356"/>
      <c r="O1488" s="356"/>
      <c r="P1488" s="356"/>
    </row>
    <row r="1489" spans="1:16" ht="18.75" customHeight="1">
      <c r="A1489" s="366"/>
      <c r="B1489" s="367"/>
      <c r="C1489" s="367"/>
      <c r="D1489" s="367"/>
      <c r="E1489" s="370"/>
      <c r="F1489" s="367"/>
      <c r="G1489" s="156"/>
      <c r="H1489" s="371"/>
      <c r="I1489" s="372"/>
      <c r="J1489" s="355"/>
      <c r="K1489" s="356"/>
      <c r="L1489" s="356"/>
      <c r="M1489" s="356"/>
      <c r="N1489" s="356"/>
      <c r="O1489" s="356"/>
      <c r="P1489" s="356"/>
    </row>
    <row r="1490" spans="1:16" ht="18.75" customHeight="1">
      <c r="A1490" s="366"/>
      <c r="B1490" s="367"/>
      <c r="C1490" s="367"/>
      <c r="D1490" s="367"/>
      <c r="E1490" s="367"/>
      <c r="F1490" s="367"/>
      <c r="G1490" s="159"/>
      <c r="H1490" s="368"/>
      <c r="I1490" s="369"/>
      <c r="J1490" s="353"/>
      <c r="K1490" s="356"/>
      <c r="L1490" s="356"/>
      <c r="M1490" s="356"/>
      <c r="N1490" s="356"/>
      <c r="O1490" s="356"/>
      <c r="P1490" s="356"/>
    </row>
    <row r="1491" spans="1:16" ht="18.75" customHeight="1">
      <c r="A1491" s="366"/>
      <c r="B1491" s="367"/>
      <c r="C1491" s="367"/>
      <c r="D1491" s="367"/>
      <c r="E1491" s="370"/>
      <c r="F1491" s="367"/>
      <c r="G1491" s="156"/>
      <c r="H1491" s="371"/>
      <c r="I1491" s="372"/>
      <c r="J1491" s="355"/>
      <c r="K1491" s="356"/>
      <c r="L1491" s="356"/>
      <c r="M1491" s="356"/>
      <c r="N1491" s="356"/>
      <c r="O1491" s="356"/>
      <c r="P1491" s="356"/>
    </row>
    <row r="1492" spans="1:16" ht="18.75" customHeight="1">
      <c r="A1492" s="366"/>
      <c r="B1492" s="367"/>
      <c r="C1492" s="367"/>
      <c r="D1492" s="367"/>
      <c r="E1492" s="367"/>
      <c r="F1492" s="367"/>
      <c r="G1492" s="159"/>
      <c r="H1492" s="368"/>
      <c r="I1492" s="369"/>
      <c r="J1492" s="353"/>
      <c r="K1492" s="356"/>
      <c r="L1492" s="356"/>
      <c r="M1492" s="356"/>
      <c r="N1492" s="356"/>
      <c r="O1492" s="356"/>
      <c r="P1492" s="356"/>
    </row>
    <row r="1493" spans="1:16" ht="18.75" customHeight="1">
      <c r="A1493" s="366"/>
      <c r="B1493" s="367"/>
      <c r="C1493" s="367"/>
      <c r="D1493" s="367"/>
      <c r="E1493" s="370"/>
      <c r="F1493" s="367"/>
      <c r="G1493" s="156"/>
      <c r="H1493" s="371"/>
      <c r="I1493" s="372"/>
      <c r="J1493" s="355"/>
      <c r="K1493" s="356"/>
      <c r="L1493" s="356"/>
      <c r="M1493" s="356"/>
      <c r="N1493" s="356"/>
      <c r="O1493" s="356"/>
      <c r="P1493" s="356"/>
    </row>
    <row r="1494" spans="1:16" ht="18.75" customHeight="1">
      <c r="A1494" s="366"/>
      <c r="B1494" s="367"/>
      <c r="C1494" s="367"/>
      <c r="D1494" s="367"/>
      <c r="E1494" s="367"/>
      <c r="F1494" s="367"/>
      <c r="G1494" s="159"/>
      <c r="H1494" s="368"/>
      <c r="I1494" s="369"/>
      <c r="J1494" s="353"/>
      <c r="K1494" s="356"/>
      <c r="L1494" s="356"/>
      <c r="M1494" s="356"/>
      <c r="N1494" s="356"/>
      <c r="O1494" s="356"/>
      <c r="P1494" s="356"/>
    </row>
    <row r="1495" spans="1:16" ht="18.75" customHeight="1">
      <c r="A1495" s="366"/>
      <c r="B1495" s="367"/>
      <c r="C1495" s="367"/>
      <c r="D1495" s="367"/>
      <c r="E1495" s="370"/>
      <c r="F1495" s="367"/>
      <c r="G1495" s="156"/>
      <c r="H1495" s="371"/>
      <c r="I1495" s="372"/>
      <c r="J1495" s="355"/>
      <c r="K1495" s="356"/>
      <c r="L1495" s="356"/>
      <c r="M1495" s="356"/>
      <c r="N1495" s="356"/>
      <c r="O1495" s="356"/>
      <c r="P1495" s="356"/>
    </row>
    <row r="1496" spans="1:16" ht="18.75" customHeight="1">
      <c r="A1496" s="366"/>
      <c r="B1496" s="367"/>
      <c r="C1496" s="367"/>
      <c r="D1496" s="367"/>
      <c r="E1496" s="367"/>
      <c r="F1496" s="367"/>
      <c r="G1496" s="159"/>
      <c r="H1496" s="368"/>
      <c r="I1496" s="369"/>
      <c r="J1496" s="353"/>
      <c r="K1496" s="356"/>
      <c r="L1496" s="356"/>
      <c r="M1496" s="356"/>
      <c r="N1496" s="356"/>
      <c r="O1496" s="356"/>
      <c r="P1496" s="356"/>
    </row>
    <row r="1497" spans="1:16" ht="18.75" customHeight="1">
      <c r="A1497" s="366"/>
      <c r="B1497" s="367"/>
      <c r="C1497" s="367"/>
      <c r="D1497" s="367"/>
      <c r="E1497" s="370"/>
      <c r="F1497" s="367"/>
      <c r="G1497" s="156"/>
      <c r="H1497" s="371"/>
      <c r="I1497" s="372"/>
      <c r="J1497" s="355"/>
      <c r="K1497" s="356"/>
      <c r="L1497" s="356"/>
      <c r="M1497" s="356"/>
      <c r="N1497" s="356"/>
      <c r="O1497" s="356"/>
      <c r="P1497" s="356"/>
    </row>
    <row r="1498" spans="1:16" ht="18.75" customHeight="1">
      <c r="A1498" s="366"/>
      <c r="B1498" s="367"/>
      <c r="C1498" s="367"/>
      <c r="D1498" s="367"/>
      <c r="E1498" s="367"/>
      <c r="F1498" s="367"/>
      <c r="G1498" s="159"/>
      <c r="H1498" s="368"/>
      <c r="I1498" s="369"/>
      <c r="J1498" s="353"/>
      <c r="K1498" s="356"/>
      <c r="L1498" s="356"/>
      <c r="M1498" s="356"/>
      <c r="N1498" s="356"/>
      <c r="O1498" s="356"/>
      <c r="P1498" s="356"/>
    </row>
    <row r="1499" spans="1:16" ht="18.75" customHeight="1">
      <c r="A1499" s="366"/>
      <c r="B1499" s="367"/>
      <c r="C1499" s="367"/>
      <c r="D1499" s="367"/>
      <c r="E1499" s="370"/>
      <c r="F1499" s="367"/>
      <c r="G1499" s="156"/>
      <c r="H1499" s="371"/>
      <c r="I1499" s="372"/>
      <c r="J1499" s="355"/>
      <c r="K1499" s="356"/>
      <c r="L1499" s="356"/>
      <c r="M1499" s="356"/>
      <c r="N1499" s="356"/>
      <c r="O1499" s="356"/>
      <c r="P1499" s="356"/>
    </row>
    <row r="1500" spans="1:16" ht="18.75" customHeight="1">
      <c r="A1500" s="366"/>
      <c r="B1500" s="367"/>
      <c r="C1500" s="367"/>
      <c r="D1500" s="367"/>
      <c r="E1500" s="367"/>
      <c r="F1500" s="367"/>
      <c r="G1500" s="159"/>
      <c r="H1500" s="368"/>
      <c r="I1500" s="369"/>
      <c r="J1500" s="353"/>
      <c r="K1500" s="356"/>
      <c r="L1500" s="356"/>
      <c r="M1500" s="356"/>
      <c r="N1500" s="356"/>
      <c r="O1500" s="356"/>
      <c r="P1500" s="356"/>
    </row>
    <row r="1501" spans="1:16" ht="18.75" customHeight="1">
      <c r="A1501" s="366"/>
      <c r="B1501" s="367"/>
      <c r="C1501" s="367"/>
      <c r="D1501" s="367"/>
      <c r="E1501" s="370"/>
      <c r="F1501" s="367"/>
      <c r="G1501" s="156"/>
      <c r="H1501" s="371"/>
      <c r="I1501" s="372"/>
      <c r="J1501" s="355"/>
      <c r="K1501" s="356"/>
      <c r="L1501" s="356"/>
      <c r="M1501" s="356"/>
      <c r="N1501" s="356"/>
      <c r="O1501" s="356"/>
      <c r="P1501" s="356"/>
    </row>
    <row r="1502" spans="1:16" ht="18.75" customHeight="1">
      <c r="A1502" s="366"/>
      <c r="B1502" s="367"/>
      <c r="C1502" s="367"/>
      <c r="D1502" s="367"/>
      <c r="E1502" s="367"/>
      <c r="F1502" s="367"/>
      <c r="G1502" s="159"/>
      <c r="H1502" s="368"/>
      <c r="I1502" s="369"/>
      <c r="J1502" s="353"/>
      <c r="K1502" s="356"/>
      <c r="L1502" s="356"/>
      <c r="M1502" s="356"/>
      <c r="N1502" s="356"/>
      <c r="O1502" s="356"/>
      <c r="P1502" s="356"/>
    </row>
    <row r="1503" spans="1:16" ht="18.75" customHeight="1">
      <c r="A1503" s="366"/>
      <c r="B1503" s="367"/>
      <c r="C1503" s="367"/>
      <c r="D1503" s="367"/>
      <c r="E1503" s="370"/>
      <c r="F1503" s="367"/>
      <c r="G1503" s="156"/>
      <c r="H1503" s="371"/>
      <c r="I1503" s="372"/>
      <c r="J1503" s="355"/>
      <c r="K1503" s="356"/>
      <c r="L1503" s="356"/>
      <c r="M1503" s="356"/>
      <c r="N1503" s="356"/>
      <c r="O1503" s="356"/>
      <c r="P1503" s="356"/>
    </row>
    <row r="1504" spans="1:16" ht="18.75" customHeight="1">
      <c r="A1504" s="366"/>
      <c r="B1504" s="367"/>
      <c r="C1504" s="367"/>
      <c r="D1504" s="367"/>
      <c r="E1504" s="367"/>
      <c r="F1504" s="367"/>
      <c r="G1504" s="159"/>
      <c r="H1504" s="368"/>
      <c r="I1504" s="369"/>
      <c r="J1504" s="353"/>
      <c r="K1504" s="356"/>
      <c r="L1504" s="356"/>
      <c r="M1504" s="356"/>
      <c r="N1504" s="356"/>
      <c r="O1504" s="356"/>
      <c r="P1504" s="356"/>
    </row>
    <row r="1505" spans="1:16" ht="18.75" customHeight="1">
      <c r="A1505" s="366"/>
      <c r="B1505" s="367"/>
      <c r="C1505" s="367"/>
      <c r="D1505" s="367"/>
      <c r="E1505" s="370"/>
      <c r="F1505" s="367"/>
      <c r="G1505" s="156"/>
      <c r="H1505" s="371"/>
      <c r="I1505" s="372"/>
      <c r="J1505" s="355"/>
      <c r="K1505" s="356"/>
      <c r="L1505" s="356"/>
      <c r="M1505" s="356"/>
      <c r="N1505" s="356"/>
      <c r="O1505" s="356"/>
      <c r="P1505" s="356"/>
    </row>
    <row r="1506" spans="1:16" ht="18.75" customHeight="1">
      <c r="A1506" s="366"/>
      <c r="B1506" s="367"/>
      <c r="C1506" s="367"/>
      <c r="D1506" s="367"/>
      <c r="E1506" s="367"/>
      <c r="F1506" s="367"/>
      <c r="G1506" s="159"/>
      <c r="H1506" s="368"/>
      <c r="I1506" s="369"/>
      <c r="J1506" s="353"/>
      <c r="K1506" s="356"/>
      <c r="L1506" s="356"/>
      <c r="M1506" s="356"/>
      <c r="N1506" s="356"/>
      <c r="O1506" s="356"/>
      <c r="P1506" s="356"/>
    </row>
    <row r="1507" spans="1:16" ht="18.75" customHeight="1">
      <c r="A1507" s="366"/>
      <c r="B1507" s="367"/>
      <c r="C1507" s="367"/>
      <c r="D1507" s="367"/>
      <c r="E1507" s="370"/>
      <c r="F1507" s="367"/>
      <c r="G1507" s="156"/>
      <c r="H1507" s="371"/>
      <c r="I1507" s="372"/>
      <c r="J1507" s="355"/>
      <c r="K1507" s="356"/>
      <c r="L1507" s="356"/>
      <c r="M1507" s="356"/>
      <c r="N1507" s="356"/>
      <c r="O1507" s="356"/>
      <c r="P1507" s="356"/>
    </row>
    <row r="1508" spans="1:16" ht="18.75" customHeight="1">
      <c r="A1508" s="366"/>
      <c r="B1508" s="367"/>
      <c r="C1508" s="367"/>
      <c r="D1508" s="367"/>
      <c r="E1508" s="367"/>
      <c r="F1508" s="367"/>
      <c r="G1508" s="159"/>
      <c r="H1508" s="368"/>
      <c r="I1508" s="369"/>
      <c r="J1508" s="353"/>
      <c r="K1508" s="356"/>
      <c r="L1508" s="356"/>
      <c r="M1508" s="356"/>
      <c r="N1508" s="356"/>
      <c r="O1508" s="356"/>
      <c r="P1508" s="356"/>
    </row>
    <row r="1509" spans="1:16" ht="18.75" customHeight="1">
      <c r="A1509" s="366"/>
      <c r="B1509" s="367"/>
      <c r="C1509" s="367"/>
      <c r="D1509" s="367"/>
      <c r="E1509" s="370"/>
      <c r="F1509" s="367"/>
      <c r="G1509" s="156"/>
      <c r="H1509" s="371"/>
      <c r="I1509" s="372"/>
      <c r="J1509" s="355"/>
      <c r="K1509" s="356"/>
      <c r="L1509" s="356"/>
      <c r="M1509" s="356"/>
      <c r="N1509" s="356"/>
      <c r="O1509" s="356"/>
      <c r="P1509" s="356"/>
    </row>
    <row r="1510" spans="1:16" ht="18.75" customHeight="1">
      <c r="A1510" s="366"/>
      <c r="B1510" s="367"/>
      <c r="C1510" s="367"/>
      <c r="D1510" s="367"/>
      <c r="E1510" s="367"/>
      <c r="F1510" s="367"/>
      <c r="G1510" s="159"/>
      <c r="H1510" s="368"/>
      <c r="I1510" s="369"/>
      <c r="J1510" s="353"/>
      <c r="K1510" s="356"/>
      <c r="L1510" s="356"/>
      <c r="M1510" s="356"/>
      <c r="N1510" s="356"/>
      <c r="O1510" s="356"/>
      <c r="P1510" s="356"/>
    </row>
    <row r="1511" spans="1:16" ht="18.75" customHeight="1">
      <c r="A1511" s="366"/>
      <c r="B1511" s="367"/>
      <c r="C1511" s="367"/>
      <c r="D1511" s="367"/>
      <c r="E1511" s="370"/>
      <c r="F1511" s="367"/>
      <c r="G1511" s="156"/>
      <c r="H1511" s="371"/>
      <c r="I1511" s="372"/>
      <c r="J1511" s="355"/>
      <c r="K1511" s="356"/>
      <c r="L1511" s="356"/>
      <c r="M1511" s="356"/>
      <c r="N1511" s="356"/>
      <c r="O1511" s="356"/>
      <c r="P1511" s="356"/>
    </row>
    <row r="1512" spans="1:16" ht="18.75" customHeight="1">
      <c r="A1512" s="366"/>
      <c r="B1512" s="367"/>
      <c r="C1512" s="367"/>
      <c r="D1512" s="367"/>
      <c r="E1512" s="367"/>
      <c r="F1512" s="367"/>
      <c r="G1512" s="159"/>
      <c r="H1512" s="368"/>
      <c r="I1512" s="369"/>
      <c r="J1512" s="353"/>
      <c r="K1512" s="356"/>
      <c r="L1512" s="356"/>
      <c r="M1512" s="356"/>
      <c r="N1512" s="356"/>
      <c r="O1512" s="356"/>
      <c r="P1512" s="356"/>
    </row>
    <row r="1513" spans="1:16" ht="18.75" customHeight="1">
      <c r="A1513" s="366"/>
      <c r="B1513" s="367"/>
      <c r="C1513" s="367"/>
      <c r="D1513" s="367"/>
      <c r="E1513" s="370"/>
      <c r="F1513" s="367"/>
      <c r="G1513" s="156"/>
      <c r="H1513" s="371"/>
      <c r="I1513" s="372"/>
      <c r="J1513" s="355"/>
      <c r="K1513" s="356"/>
      <c r="L1513" s="356"/>
      <c r="M1513" s="356"/>
      <c r="N1513" s="356"/>
      <c r="O1513" s="356"/>
      <c r="P1513" s="356"/>
    </row>
    <row r="1514" spans="1:16" ht="18.75" customHeight="1">
      <c r="A1514" s="366"/>
      <c r="B1514" s="367"/>
      <c r="C1514" s="367"/>
      <c r="D1514" s="367"/>
      <c r="E1514" s="367"/>
      <c r="F1514" s="367"/>
      <c r="G1514" s="159"/>
      <c r="H1514" s="368"/>
      <c r="I1514" s="369"/>
      <c r="J1514" s="353"/>
      <c r="K1514" s="356"/>
      <c r="L1514" s="356"/>
      <c r="M1514" s="356"/>
      <c r="N1514" s="356"/>
      <c r="O1514" s="356"/>
      <c r="P1514" s="356"/>
    </row>
    <row r="1515" spans="1:16" ht="18.75" customHeight="1">
      <c r="A1515" s="366"/>
      <c r="B1515" s="367"/>
      <c r="C1515" s="367"/>
      <c r="D1515" s="367"/>
      <c r="E1515" s="370"/>
      <c r="F1515" s="367"/>
      <c r="G1515" s="156"/>
      <c r="H1515" s="371"/>
      <c r="I1515" s="372"/>
      <c r="J1515" s="355"/>
      <c r="K1515" s="356"/>
      <c r="L1515" s="356"/>
      <c r="M1515" s="356"/>
      <c r="N1515" s="356"/>
      <c r="O1515" s="356"/>
      <c r="P1515" s="356"/>
    </row>
    <row r="1516" spans="1:16" ht="18.75" customHeight="1">
      <c r="A1516" s="366"/>
      <c r="B1516" s="367"/>
      <c r="C1516" s="367"/>
      <c r="D1516" s="367"/>
      <c r="E1516" s="367"/>
      <c r="F1516" s="367"/>
      <c r="G1516" s="159"/>
      <c r="H1516" s="368"/>
      <c r="I1516" s="369"/>
      <c r="J1516" s="353"/>
      <c r="K1516" s="356"/>
      <c r="L1516" s="356"/>
      <c r="M1516" s="356"/>
      <c r="N1516" s="356"/>
      <c r="O1516" s="356"/>
      <c r="P1516" s="356"/>
    </row>
    <row r="1517" spans="1:16" ht="18.75" customHeight="1">
      <c r="A1517" s="366"/>
      <c r="B1517" s="367"/>
      <c r="C1517" s="367"/>
      <c r="D1517" s="367"/>
      <c r="E1517" s="370"/>
      <c r="F1517" s="367"/>
      <c r="G1517" s="156"/>
      <c r="H1517" s="371"/>
      <c r="I1517" s="372"/>
      <c r="J1517" s="355"/>
      <c r="K1517" s="356"/>
      <c r="L1517" s="356"/>
      <c r="M1517" s="356"/>
      <c r="N1517" s="356"/>
      <c r="O1517" s="356"/>
      <c r="P1517" s="356"/>
    </row>
    <row r="1518" spans="1:16" ht="18.75" customHeight="1">
      <c r="A1518" s="366"/>
      <c r="B1518" s="367"/>
      <c r="C1518" s="367"/>
      <c r="D1518" s="367"/>
      <c r="E1518" s="367"/>
      <c r="F1518" s="367"/>
      <c r="G1518" s="159"/>
      <c r="H1518" s="368"/>
      <c r="I1518" s="369"/>
      <c r="J1518" s="353"/>
      <c r="K1518" s="356"/>
      <c r="L1518" s="356"/>
      <c r="M1518" s="356"/>
      <c r="N1518" s="356"/>
      <c r="O1518" s="356"/>
      <c r="P1518" s="356"/>
    </row>
    <row r="1519" spans="1:16" ht="18.75" customHeight="1">
      <c r="A1519" s="366"/>
      <c r="B1519" s="367"/>
      <c r="C1519" s="367"/>
      <c r="D1519" s="367"/>
      <c r="E1519" s="370"/>
      <c r="F1519" s="367"/>
      <c r="G1519" s="156"/>
      <c r="H1519" s="371"/>
      <c r="I1519" s="372"/>
      <c r="J1519" s="355"/>
      <c r="K1519" s="356"/>
      <c r="L1519" s="356"/>
      <c r="M1519" s="356"/>
      <c r="N1519" s="356"/>
      <c r="O1519" s="356"/>
      <c r="P1519" s="356"/>
    </row>
    <row r="1520" spans="1:16" ht="18.75" customHeight="1">
      <c r="A1520" s="366"/>
      <c r="B1520" s="367"/>
      <c r="C1520" s="367"/>
      <c r="D1520" s="367"/>
      <c r="E1520" s="367"/>
      <c r="F1520" s="367"/>
      <c r="G1520" s="159"/>
      <c r="H1520" s="368"/>
      <c r="I1520" s="369"/>
      <c r="J1520" s="353"/>
      <c r="K1520" s="356"/>
      <c r="L1520" s="356"/>
      <c r="M1520" s="356"/>
      <c r="N1520" s="356"/>
      <c r="O1520" s="356"/>
      <c r="P1520" s="356"/>
    </row>
    <row r="1521" spans="1:16" ht="18.75" customHeight="1">
      <c r="A1521" s="366"/>
      <c r="B1521" s="367"/>
      <c r="C1521" s="367"/>
      <c r="D1521" s="367"/>
      <c r="E1521" s="370"/>
      <c r="F1521" s="367"/>
      <c r="G1521" s="156"/>
      <c r="H1521" s="371"/>
      <c r="I1521" s="372"/>
      <c r="J1521" s="355"/>
      <c r="K1521" s="356"/>
      <c r="L1521" s="356"/>
      <c r="M1521" s="356"/>
      <c r="N1521" s="356"/>
      <c r="O1521" s="356"/>
      <c r="P1521" s="356"/>
    </row>
    <row r="1522" spans="1:16" ht="18.75" customHeight="1">
      <c r="A1522" s="366"/>
      <c r="B1522" s="367"/>
      <c r="C1522" s="367"/>
      <c r="D1522" s="367"/>
      <c r="E1522" s="367"/>
      <c r="F1522" s="367"/>
      <c r="G1522" s="159"/>
      <c r="H1522" s="368"/>
      <c r="I1522" s="369"/>
      <c r="J1522" s="353"/>
      <c r="K1522" s="356"/>
      <c r="L1522" s="356"/>
      <c r="M1522" s="356"/>
      <c r="N1522" s="356"/>
      <c r="O1522" s="356"/>
      <c r="P1522" s="356"/>
    </row>
    <row r="1523" spans="1:16" ht="18.75" customHeight="1">
      <c r="A1523" s="366"/>
      <c r="B1523" s="367"/>
      <c r="C1523" s="367"/>
      <c r="D1523" s="367"/>
      <c r="E1523" s="370"/>
      <c r="F1523" s="367"/>
      <c r="G1523" s="156"/>
      <c r="H1523" s="371"/>
      <c r="I1523" s="372"/>
      <c r="J1523" s="355"/>
      <c r="K1523" s="356"/>
      <c r="L1523" s="356"/>
      <c r="M1523" s="356"/>
      <c r="N1523" s="356"/>
      <c r="O1523" s="356"/>
      <c r="P1523" s="356"/>
    </row>
    <row r="1524" spans="1:16" ht="18.75" customHeight="1">
      <c r="A1524" s="366"/>
      <c r="B1524" s="367"/>
      <c r="C1524" s="367"/>
      <c r="D1524" s="367"/>
      <c r="E1524" s="367"/>
      <c r="F1524" s="367"/>
      <c r="G1524" s="159"/>
      <c r="H1524" s="368"/>
      <c r="I1524" s="369"/>
      <c r="J1524" s="353"/>
      <c r="K1524" s="356"/>
      <c r="L1524" s="356"/>
      <c r="M1524" s="356"/>
      <c r="N1524" s="356"/>
      <c r="O1524" s="356"/>
      <c r="P1524" s="356"/>
    </row>
    <row r="1525" spans="1:16" ht="18.75" customHeight="1">
      <c r="A1525" s="366"/>
      <c r="B1525" s="367"/>
      <c r="C1525" s="367"/>
      <c r="D1525" s="367"/>
      <c r="E1525" s="370"/>
      <c r="F1525" s="367"/>
      <c r="G1525" s="156"/>
      <c r="H1525" s="371"/>
      <c r="I1525" s="372"/>
      <c r="J1525" s="355"/>
      <c r="K1525" s="356"/>
      <c r="L1525" s="356"/>
      <c r="M1525" s="356"/>
      <c r="N1525" s="356"/>
      <c r="O1525" s="356"/>
      <c r="P1525" s="356"/>
    </row>
    <row r="1526" spans="1:16" ht="18.75" customHeight="1">
      <c r="A1526" s="366"/>
      <c r="B1526" s="367"/>
      <c r="C1526" s="367"/>
      <c r="D1526" s="367"/>
      <c r="E1526" s="367"/>
      <c r="F1526" s="367"/>
      <c r="G1526" s="159"/>
      <c r="H1526" s="368"/>
      <c r="I1526" s="369"/>
      <c r="J1526" s="353"/>
      <c r="K1526" s="356"/>
      <c r="L1526" s="356"/>
      <c r="M1526" s="356"/>
      <c r="N1526" s="356"/>
      <c r="O1526" s="356"/>
      <c r="P1526" s="356"/>
    </row>
    <row r="1527" spans="1:16" ht="18.75" customHeight="1">
      <c r="A1527" s="366"/>
      <c r="B1527" s="367"/>
      <c r="C1527" s="367"/>
      <c r="D1527" s="367"/>
      <c r="E1527" s="370"/>
      <c r="F1527" s="367"/>
      <c r="G1527" s="156"/>
      <c r="H1527" s="371"/>
      <c r="I1527" s="372"/>
      <c r="J1527" s="355"/>
      <c r="K1527" s="356"/>
      <c r="L1527" s="356"/>
      <c r="M1527" s="356"/>
      <c r="N1527" s="356"/>
      <c r="O1527" s="356"/>
      <c r="P1527" s="356"/>
    </row>
    <row r="1528" spans="1:16" ht="18.75" customHeight="1">
      <c r="A1528" s="366"/>
      <c r="B1528" s="367"/>
      <c r="C1528" s="367"/>
      <c r="D1528" s="367"/>
      <c r="E1528" s="367"/>
      <c r="F1528" s="367"/>
      <c r="G1528" s="159"/>
      <c r="H1528" s="368"/>
      <c r="I1528" s="369"/>
      <c r="J1528" s="353"/>
      <c r="K1528" s="356"/>
      <c r="L1528" s="356"/>
      <c r="M1528" s="356"/>
      <c r="N1528" s="356"/>
      <c r="O1528" s="356"/>
      <c r="P1528" s="356"/>
    </row>
    <row r="1529" spans="1:16" ht="18.75" customHeight="1">
      <c r="A1529" s="366"/>
      <c r="B1529" s="367"/>
      <c r="C1529" s="367"/>
      <c r="D1529" s="367"/>
      <c r="E1529" s="370"/>
      <c r="F1529" s="367"/>
      <c r="G1529" s="156"/>
      <c r="H1529" s="371"/>
      <c r="I1529" s="372"/>
      <c r="J1529" s="355"/>
      <c r="K1529" s="356"/>
      <c r="L1529" s="356"/>
      <c r="M1529" s="356"/>
      <c r="N1529" s="356"/>
      <c r="O1529" s="356"/>
      <c r="P1529" s="356"/>
    </row>
    <row r="1530" spans="1:16" ht="18.75" customHeight="1">
      <c r="A1530" s="366"/>
      <c r="B1530" s="367"/>
      <c r="C1530" s="367"/>
      <c r="D1530" s="367"/>
      <c r="E1530" s="367"/>
      <c r="F1530" s="367"/>
      <c r="G1530" s="159"/>
      <c r="H1530" s="368"/>
      <c r="I1530" s="369"/>
      <c r="J1530" s="353"/>
      <c r="K1530" s="356"/>
      <c r="L1530" s="356"/>
      <c r="M1530" s="356"/>
      <c r="N1530" s="356"/>
      <c r="O1530" s="356"/>
      <c r="P1530" s="356"/>
    </row>
    <row r="1531" spans="1:16" ht="18.75" customHeight="1">
      <c r="A1531" s="366"/>
      <c r="B1531" s="367"/>
      <c r="C1531" s="367"/>
      <c r="D1531" s="367"/>
      <c r="E1531" s="370"/>
      <c r="F1531" s="367"/>
      <c r="G1531" s="156"/>
      <c r="H1531" s="371"/>
      <c r="I1531" s="372"/>
      <c r="J1531" s="355"/>
      <c r="K1531" s="356"/>
      <c r="L1531" s="356"/>
      <c r="M1531" s="356"/>
      <c r="N1531" s="356"/>
      <c r="O1531" s="356"/>
      <c r="P1531" s="356"/>
    </row>
    <row r="1532" spans="1:16" ht="18.75" customHeight="1">
      <c r="A1532" s="366"/>
      <c r="B1532" s="367"/>
      <c r="C1532" s="367"/>
      <c r="D1532" s="367"/>
      <c r="E1532" s="367"/>
      <c r="F1532" s="367"/>
      <c r="G1532" s="159"/>
      <c r="H1532" s="368"/>
      <c r="I1532" s="369"/>
      <c r="J1532" s="353"/>
      <c r="K1532" s="356"/>
      <c r="L1532" s="356"/>
      <c r="M1532" s="356"/>
      <c r="N1532" s="356"/>
      <c r="O1532" s="356"/>
      <c r="P1532" s="356"/>
    </row>
    <row r="1533" spans="1:16" ht="18.75" customHeight="1">
      <c r="A1533" s="366"/>
      <c r="B1533" s="367"/>
      <c r="C1533" s="367"/>
      <c r="D1533" s="367"/>
      <c r="E1533" s="370"/>
      <c r="F1533" s="367"/>
      <c r="G1533" s="156"/>
      <c r="H1533" s="371"/>
      <c r="I1533" s="372"/>
      <c r="J1533" s="355"/>
      <c r="K1533" s="356"/>
      <c r="L1533" s="356"/>
      <c r="M1533" s="356"/>
      <c r="N1533" s="356"/>
      <c r="O1533" s="356"/>
      <c r="P1533" s="356"/>
    </row>
    <row r="1534" spans="1:16" ht="18.75" customHeight="1">
      <c r="A1534" s="366"/>
      <c r="B1534" s="367"/>
      <c r="C1534" s="367"/>
      <c r="D1534" s="367"/>
      <c r="E1534" s="367"/>
      <c r="F1534" s="367"/>
      <c r="G1534" s="159"/>
      <c r="H1534" s="368"/>
      <c r="I1534" s="369"/>
      <c r="J1534" s="353"/>
      <c r="K1534" s="356"/>
      <c r="L1534" s="356"/>
      <c r="M1534" s="356"/>
      <c r="N1534" s="356"/>
      <c r="O1534" s="356"/>
      <c r="P1534" s="356"/>
    </row>
    <row r="1535" spans="1:16" ht="18.75" customHeight="1">
      <c r="A1535" s="366"/>
      <c r="B1535" s="367"/>
      <c r="C1535" s="367"/>
      <c r="D1535" s="367"/>
      <c r="E1535" s="370"/>
      <c r="F1535" s="367"/>
      <c r="G1535" s="156"/>
      <c r="H1535" s="371"/>
      <c r="I1535" s="372"/>
      <c r="J1535" s="355"/>
      <c r="K1535" s="356"/>
      <c r="L1535" s="356"/>
      <c r="M1535" s="356"/>
      <c r="N1535" s="356"/>
      <c r="O1535" s="356"/>
      <c r="P1535" s="356"/>
    </row>
    <row r="1536" spans="1:16" ht="18.75" customHeight="1">
      <c r="A1536" s="366"/>
      <c r="B1536" s="367"/>
      <c r="C1536" s="367"/>
      <c r="D1536" s="367"/>
      <c r="E1536" s="367"/>
      <c r="F1536" s="367"/>
      <c r="G1536" s="159"/>
      <c r="H1536" s="368"/>
      <c r="I1536" s="369"/>
      <c r="J1536" s="353"/>
      <c r="K1536" s="356"/>
      <c r="L1536" s="356"/>
      <c r="M1536" s="356"/>
      <c r="N1536" s="356"/>
      <c r="O1536" s="356"/>
      <c r="P1536" s="356"/>
    </row>
    <row r="1537" spans="1:16" ht="18.75" customHeight="1">
      <c r="A1537" s="366"/>
      <c r="B1537" s="367"/>
      <c r="C1537" s="367"/>
      <c r="D1537" s="367"/>
      <c r="E1537" s="370"/>
      <c r="F1537" s="367"/>
      <c r="G1537" s="156"/>
      <c r="H1537" s="371"/>
      <c r="I1537" s="372"/>
      <c r="J1537" s="355"/>
      <c r="K1537" s="356"/>
      <c r="L1537" s="356"/>
      <c r="M1537" s="356"/>
      <c r="N1537" s="356"/>
      <c r="O1537" s="356"/>
      <c r="P1537" s="356"/>
    </row>
    <row r="1538" spans="1:16" ht="18.75" customHeight="1">
      <c r="A1538" s="366"/>
      <c r="B1538" s="367"/>
      <c r="C1538" s="367"/>
      <c r="D1538" s="367"/>
      <c r="E1538" s="367"/>
      <c r="F1538" s="367"/>
      <c r="G1538" s="159"/>
      <c r="H1538" s="368"/>
      <c r="I1538" s="369"/>
      <c r="J1538" s="353"/>
      <c r="K1538" s="356"/>
      <c r="L1538" s="356"/>
      <c r="M1538" s="356"/>
      <c r="N1538" s="356"/>
      <c r="O1538" s="356"/>
      <c r="P1538" s="356"/>
    </row>
    <row r="1539" spans="1:16" ht="18.75" customHeight="1">
      <c r="A1539" s="366"/>
      <c r="B1539" s="367"/>
      <c r="C1539" s="367"/>
      <c r="D1539" s="367"/>
      <c r="E1539" s="370"/>
      <c r="F1539" s="367"/>
      <c r="G1539" s="156"/>
      <c r="H1539" s="371"/>
      <c r="I1539" s="372"/>
      <c r="J1539" s="355"/>
      <c r="K1539" s="356"/>
      <c r="L1539" s="356"/>
      <c r="M1539" s="356"/>
      <c r="N1539" s="356"/>
      <c r="O1539" s="356"/>
      <c r="P1539" s="356"/>
    </row>
    <row r="1540" spans="1:16" ht="18.75" customHeight="1">
      <c r="A1540" s="366"/>
      <c r="B1540" s="367"/>
      <c r="C1540" s="367"/>
      <c r="D1540" s="367"/>
      <c r="E1540" s="367"/>
      <c r="F1540" s="367"/>
      <c r="G1540" s="159"/>
      <c r="H1540" s="368"/>
      <c r="I1540" s="369"/>
      <c r="J1540" s="353"/>
      <c r="K1540" s="356"/>
      <c r="L1540" s="356"/>
      <c r="M1540" s="356"/>
      <c r="N1540" s="356"/>
      <c r="O1540" s="356"/>
      <c r="P1540" s="356"/>
    </row>
    <row r="1541" spans="1:16" ht="18.75" customHeight="1">
      <c r="A1541" s="366"/>
      <c r="B1541" s="367"/>
      <c r="C1541" s="367"/>
      <c r="D1541" s="367"/>
      <c r="E1541" s="370"/>
      <c r="F1541" s="367"/>
      <c r="G1541" s="156"/>
      <c r="H1541" s="371"/>
      <c r="I1541" s="372"/>
      <c r="J1541" s="355"/>
      <c r="K1541" s="356"/>
      <c r="L1541" s="356"/>
      <c r="M1541" s="356"/>
      <c r="N1541" s="356"/>
      <c r="O1541" s="356"/>
      <c r="P1541" s="356"/>
    </row>
    <row r="1542" spans="1:16" ht="18.75" customHeight="1">
      <c r="A1542" s="366"/>
      <c r="B1542" s="367"/>
      <c r="C1542" s="367"/>
      <c r="D1542" s="367"/>
      <c r="E1542" s="367"/>
      <c r="F1542" s="367"/>
      <c r="G1542" s="159"/>
      <c r="H1542" s="368"/>
      <c r="I1542" s="369"/>
      <c r="J1542" s="353"/>
      <c r="K1542" s="356"/>
      <c r="L1542" s="356"/>
      <c r="M1542" s="356"/>
      <c r="N1542" s="356"/>
      <c r="O1542" s="356"/>
      <c r="P1542" s="356"/>
    </row>
    <row r="1543" spans="1:16" ht="18.75" customHeight="1">
      <c r="A1543" s="366"/>
      <c r="B1543" s="367"/>
      <c r="C1543" s="367"/>
      <c r="D1543" s="367"/>
      <c r="E1543" s="370"/>
      <c r="F1543" s="367"/>
      <c r="G1543" s="156"/>
      <c r="H1543" s="371"/>
      <c r="I1543" s="372"/>
      <c r="J1543" s="355"/>
      <c r="K1543" s="356"/>
      <c r="L1543" s="356"/>
      <c r="M1543" s="356"/>
      <c r="N1543" s="356"/>
      <c r="O1543" s="356"/>
      <c r="P1543" s="356"/>
    </row>
    <row r="1544" spans="1:16" ht="18.75" customHeight="1">
      <c r="A1544" s="366"/>
      <c r="B1544" s="367"/>
      <c r="C1544" s="367"/>
      <c r="D1544" s="367"/>
      <c r="E1544" s="367"/>
      <c r="F1544" s="367"/>
      <c r="G1544" s="159"/>
      <c r="H1544" s="368"/>
      <c r="I1544" s="369"/>
      <c r="J1544" s="353"/>
      <c r="K1544" s="356"/>
      <c r="L1544" s="356"/>
      <c r="M1544" s="356"/>
      <c r="N1544" s="356"/>
      <c r="O1544" s="356"/>
      <c r="P1544" s="356"/>
    </row>
    <row r="1545" spans="1:16" ht="18.75" customHeight="1">
      <c r="A1545" s="366"/>
      <c r="B1545" s="367"/>
      <c r="C1545" s="367"/>
      <c r="D1545" s="367"/>
      <c r="E1545" s="370"/>
      <c r="F1545" s="367"/>
      <c r="G1545" s="156"/>
      <c r="H1545" s="371"/>
      <c r="I1545" s="372"/>
      <c r="J1545" s="355"/>
      <c r="K1545" s="356"/>
      <c r="L1545" s="356"/>
      <c r="M1545" s="356"/>
      <c r="N1545" s="356"/>
      <c r="O1545" s="356"/>
      <c r="P1545" s="356"/>
    </row>
    <row r="1546" spans="1:16" ht="18.75" customHeight="1">
      <c r="A1546" s="366"/>
      <c r="B1546" s="367"/>
      <c r="C1546" s="367"/>
      <c r="D1546" s="367"/>
      <c r="E1546" s="367"/>
      <c r="F1546" s="367"/>
      <c r="G1546" s="159"/>
      <c r="H1546" s="368"/>
      <c r="I1546" s="369"/>
      <c r="J1546" s="353"/>
      <c r="K1546" s="356"/>
      <c r="L1546" s="356"/>
      <c r="M1546" s="356"/>
      <c r="N1546" s="356"/>
      <c r="O1546" s="356"/>
      <c r="P1546" s="356"/>
    </row>
    <row r="1547" spans="1:16" ht="18.75" customHeight="1">
      <c r="A1547" s="366"/>
      <c r="B1547" s="367"/>
      <c r="C1547" s="367"/>
      <c r="D1547" s="367"/>
      <c r="E1547" s="370"/>
      <c r="F1547" s="367"/>
      <c r="G1547" s="156"/>
      <c r="H1547" s="371"/>
      <c r="I1547" s="372"/>
      <c r="J1547" s="355"/>
      <c r="K1547" s="356"/>
      <c r="L1547" s="356"/>
      <c r="M1547" s="356"/>
      <c r="N1547" s="356"/>
      <c r="O1547" s="356"/>
      <c r="P1547" s="356"/>
    </row>
    <row r="1548" spans="1:16" ht="18.75" customHeight="1">
      <c r="A1548" s="366"/>
      <c r="B1548" s="367"/>
      <c r="C1548" s="367"/>
      <c r="D1548" s="367"/>
      <c r="E1548" s="367"/>
      <c r="F1548" s="367"/>
      <c r="G1548" s="159"/>
      <c r="H1548" s="368"/>
      <c r="I1548" s="369"/>
      <c r="J1548" s="353"/>
      <c r="K1548" s="356"/>
      <c r="L1548" s="356"/>
      <c r="M1548" s="356"/>
      <c r="N1548" s="356"/>
      <c r="O1548" s="356"/>
      <c r="P1548" s="356"/>
    </row>
    <row r="1549" spans="1:16" ht="18.75" customHeight="1">
      <c r="A1549" s="366"/>
      <c r="B1549" s="367"/>
      <c r="C1549" s="367"/>
      <c r="D1549" s="367"/>
      <c r="E1549" s="370"/>
      <c r="F1549" s="367"/>
      <c r="G1549" s="156"/>
      <c r="H1549" s="371"/>
      <c r="I1549" s="372"/>
      <c r="J1549" s="355"/>
      <c r="K1549" s="356"/>
      <c r="L1549" s="356"/>
      <c r="M1549" s="356"/>
      <c r="N1549" s="356"/>
      <c r="O1549" s="356"/>
      <c r="P1549" s="356"/>
    </row>
    <row r="1550" spans="1:16" ht="18.75" customHeight="1">
      <c r="A1550" s="366"/>
      <c r="B1550" s="367"/>
      <c r="C1550" s="367"/>
      <c r="D1550" s="367"/>
      <c r="E1550" s="367"/>
      <c r="F1550" s="367"/>
      <c r="G1550" s="159"/>
      <c r="H1550" s="368"/>
      <c r="I1550" s="369"/>
      <c r="J1550" s="353"/>
      <c r="K1550" s="356"/>
      <c r="L1550" s="356"/>
      <c r="M1550" s="356"/>
      <c r="N1550" s="356"/>
      <c r="O1550" s="356"/>
      <c r="P1550" s="356"/>
    </row>
    <row r="1551" spans="1:16" ht="18.75" customHeight="1">
      <c r="A1551" s="366"/>
      <c r="B1551" s="367"/>
      <c r="C1551" s="367"/>
      <c r="D1551" s="367"/>
      <c r="E1551" s="370"/>
      <c r="F1551" s="367"/>
      <c r="G1551" s="156"/>
      <c r="H1551" s="371"/>
      <c r="I1551" s="372"/>
      <c r="J1551" s="355"/>
      <c r="K1551" s="356"/>
      <c r="L1551" s="356"/>
      <c r="M1551" s="356"/>
      <c r="N1551" s="356"/>
      <c r="O1551" s="356"/>
      <c r="P1551" s="356"/>
    </row>
    <row r="1552" spans="1:16" ht="18.75" customHeight="1">
      <c r="A1552" s="366"/>
      <c r="B1552" s="367"/>
      <c r="C1552" s="367"/>
      <c r="D1552" s="367"/>
      <c r="E1552" s="367"/>
      <c r="F1552" s="367"/>
      <c r="G1552" s="159"/>
      <c r="H1552" s="368"/>
      <c r="I1552" s="369"/>
      <c r="J1552" s="353"/>
      <c r="K1552" s="356"/>
      <c r="L1552" s="356"/>
      <c r="M1552" s="356"/>
      <c r="N1552" s="356"/>
      <c r="O1552" s="356"/>
      <c r="P1552" s="356"/>
    </row>
    <row r="1553" spans="1:16" ht="18.75" customHeight="1">
      <c r="A1553" s="366"/>
      <c r="B1553" s="367"/>
      <c r="C1553" s="367"/>
      <c r="D1553" s="367"/>
      <c r="E1553" s="370"/>
      <c r="F1553" s="367"/>
      <c r="G1553" s="156"/>
      <c r="H1553" s="371"/>
      <c r="I1553" s="372"/>
      <c r="J1553" s="355"/>
      <c r="K1553" s="356"/>
      <c r="L1553" s="356"/>
      <c r="M1553" s="356"/>
      <c r="N1553" s="356"/>
      <c r="O1553" s="356"/>
      <c r="P1553" s="356"/>
    </row>
    <row r="1554" spans="1:16" ht="18.75" customHeight="1">
      <c r="A1554" s="366"/>
      <c r="B1554" s="367"/>
      <c r="C1554" s="367"/>
      <c r="D1554" s="367"/>
      <c r="E1554" s="367"/>
      <c r="F1554" s="367"/>
      <c r="G1554" s="159"/>
      <c r="H1554" s="368"/>
      <c r="I1554" s="369"/>
      <c r="J1554" s="353"/>
      <c r="K1554" s="356"/>
      <c r="L1554" s="356"/>
      <c r="M1554" s="356"/>
      <c r="N1554" s="356"/>
      <c r="O1554" s="356"/>
      <c r="P1554" s="356"/>
    </row>
    <row r="1555" spans="1:16" ht="18.75" customHeight="1">
      <c r="A1555" s="366"/>
      <c r="B1555" s="367"/>
      <c r="C1555" s="367"/>
      <c r="D1555" s="367"/>
      <c r="E1555" s="370"/>
      <c r="F1555" s="367"/>
      <c r="G1555" s="156"/>
      <c r="H1555" s="371"/>
      <c r="I1555" s="372"/>
      <c r="J1555" s="355"/>
      <c r="K1555" s="356"/>
      <c r="L1555" s="356"/>
      <c r="M1555" s="356"/>
      <c r="N1555" s="356"/>
      <c r="O1555" s="356"/>
      <c r="P1555" s="356"/>
    </row>
    <row r="1556" spans="1:16" ht="18.75" customHeight="1">
      <c r="A1556" s="366"/>
      <c r="B1556" s="367"/>
      <c r="C1556" s="367"/>
      <c r="D1556" s="367"/>
      <c r="E1556" s="367"/>
      <c r="F1556" s="367"/>
      <c r="G1556" s="159"/>
      <c r="H1556" s="368"/>
      <c r="I1556" s="369"/>
      <c r="J1556" s="353"/>
      <c r="K1556" s="356"/>
      <c r="L1556" s="356"/>
      <c r="M1556" s="356"/>
      <c r="N1556" s="356"/>
      <c r="O1556" s="356"/>
      <c r="P1556" s="356"/>
    </row>
    <row r="1557" spans="1:16" ht="18.75" customHeight="1">
      <c r="A1557" s="366"/>
      <c r="B1557" s="367"/>
      <c r="C1557" s="367"/>
      <c r="D1557" s="367"/>
      <c r="E1557" s="370"/>
      <c r="F1557" s="367"/>
      <c r="G1557" s="156"/>
      <c r="H1557" s="371"/>
      <c r="I1557" s="372"/>
      <c r="J1557" s="355"/>
      <c r="K1557" s="356"/>
      <c r="L1557" s="356"/>
      <c r="M1557" s="356"/>
      <c r="N1557" s="356"/>
      <c r="O1557" s="356"/>
      <c r="P1557" s="356"/>
    </row>
    <row r="1558" spans="1:16" ht="18.75" customHeight="1">
      <c r="A1558" s="366"/>
      <c r="B1558" s="367"/>
      <c r="C1558" s="367"/>
      <c r="D1558" s="367"/>
      <c r="E1558" s="367"/>
      <c r="F1558" s="367"/>
      <c r="G1558" s="159"/>
      <c r="H1558" s="368"/>
      <c r="I1558" s="369"/>
      <c r="J1558" s="353"/>
      <c r="K1558" s="356"/>
      <c r="L1558" s="356"/>
      <c r="M1558" s="356"/>
      <c r="N1558" s="356"/>
      <c r="O1558" s="356"/>
      <c r="P1558" s="356"/>
    </row>
    <row r="1559" spans="1:16" ht="18.75" customHeight="1">
      <c r="A1559" s="366"/>
      <c r="B1559" s="367"/>
      <c r="C1559" s="367"/>
      <c r="D1559" s="367"/>
      <c r="E1559" s="370"/>
      <c r="F1559" s="367"/>
      <c r="G1559" s="156"/>
      <c r="H1559" s="371"/>
      <c r="I1559" s="372"/>
      <c r="J1559" s="355"/>
      <c r="K1559" s="356"/>
      <c r="L1559" s="356"/>
      <c r="M1559" s="356"/>
      <c r="N1559" s="356"/>
      <c r="O1559" s="356"/>
      <c r="P1559" s="356"/>
    </row>
    <row r="1560" spans="1:16" ht="18.75" customHeight="1">
      <c r="A1560" s="366"/>
      <c r="B1560" s="367"/>
      <c r="C1560" s="367"/>
      <c r="D1560" s="367"/>
      <c r="E1560" s="367"/>
      <c r="F1560" s="367"/>
      <c r="G1560" s="159"/>
      <c r="H1560" s="368"/>
      <c r="I1560" s="369"/>
      <c r="J1560" s="353"/>
      <c r="K1560" s="356"/>
      <c r="L1560" s="356"/>
      <c r="M1560" s="356"/>
      <c r="N1560" s="356"/>
      <c r="O1560" s="356"/>
      <c r="P1560" s="356"/>
    </row>
    <row r="1561" spans="1:16" ht="18.75" customHeight="1">
      <c r="A1561" s="366"/>
      <c r="B1561" s="367"/>
      <c r="C1561" s="367"/>
      <c r="D1561" s="367"/>
      <c r="E1561" s="370"/>
      <c r="F1561" s="367"/>
      <c r="G1561" s="156"/>
      <c r="H1561" s="371"/>
      <c r="I1561" s="372"/>
      <c r="J1561" s="355"/>
      <c r="K1561" s="356"/>
      <c r="L1561" s="356"/>
      <c r="M1561" s="356"/>
      <c r="N1561" s="356"/>
      <c r="O1561" s="356"/>
      <c r="P1561" s="356"/>
    </row>
    <row r="1562" spans="1:16" ht="18.75" customHeight="1">
      <c r="A1562" s="366"/>
      <c r="B1562" s="367"/>
      <c r="C1562" s="367"/>
      <c r="D1562" s="367"/>
      <c r="E1562" s="367"/>
      <c r="F1562" s="367"/>
      <c r="G1562" s="159"/>
      <c r="H1562" s="368"/>
      <c r="I1562" s="369"/>
      <c r="J1562" s="353"/>
      <c r="K1562" s="356"/>
      <c r="L1562" s="356"/>
      <c r="M1562" s="356"/>
      <c r="N1562" s="356"/>
      <c r="O1562" s="356"/>
      <c r="P1562" s="356"/>
    </row>
    <row r="1563" spans="1:16" ht="18.75" customHeight="1">
      <c r="A1563" s="366"/>
      <c r="B1563" s="367"/>
      <c r="C1563" s="367"/>
      <c r="D1563" s="367"/>
      <c r="E1563" s="370"/>
      <c r="F1563" s="367"/>
      <c r="G1563" s="156"/>
      <c r="H1563" s="371"/>
      <c r="I1563" s="372"/>
      <c r="J1563" s="355"/>
      <c r="K1563" s="356"/>
      <c r="L1563" s="356"/>
      <c r="M1563" s="356"/>
      <c r="N1563" s="356"/>
      <c r="O1563" s="356"/>
      <c r="P1563" s="356"/>
    </row>
    <row r="1564" spans="1:16" ht="18.75" customHeight="1">
      <c r="A1564" s="366"/>
      <c r="B1564" s="367"/>
      <c r="C1564" s="367"/>
      <c r="D1564" s="367"/>
      <c r="E1564" s="367"/>
      <c r="F1564" s="367"/>
      <c r="G1564" s="159"/>
      <c r="H1564" s="368"/>
      <c r="I1564" s="369"/>
      <c r="J1564" s="353"/>
      <c r="K1564" s="356"/>
      <c r="L1564" s="356"/>
      <c r="M1564" s="356"/>
      <c r="N1564" s="356"/>
      <c r="O1564" s="356"/>
      <c r="P1564" s="356"/>
    </row>
    <row r="1565" spans="1:16" ht="18.75" customHeight="1">
      <c r="A1565" s="366"/>
      <c r="B1565" s="367"/>
      <c r="C1565" s="367"/>
      <c r="D1565" s="367"/>
      <c r="E1565" s="370"/>
      <c r="F1565" s="367"/>
      <c r="G1565" s="156"/>
      <c r="H1565" s="371"/>
      <c r="I1565" s="372"/>
      <c r="J1565" s="355"/>
      <c r="K1565" s="356"/>
      <c r="L1565" s="356"/>
      <c r="M1565" s="356"/>
      <c r="N1565" s="356"/>
      <c r="O1565" s="356"/>
      <c r="P1565" s="356"/>
    </row>
    <row r="1566" spans="1:16" ht="18.75" customHeight="1">
      <c r="A1566" s="366"/>
      <c r="B1566" s="367"/>
      <c r="C1566" s="367"/>
      <c r="D1566" s="367"/>
      <c r="E1566" s="367"/>
      <c r="F1566" s="367"/>
      <c r="G1566" s="159"/>
      <c r="H1566" s="368"/>
      <c r="I1566" s="369"/>
      <c r="J1566" s="353"/>
      <c r="K1566" s="356"/>
      <c r="L1566" s="356"/>
      <c r="M1566" s="356"/>
      <c r="N1566" s="356"/>
      <c r="O1566" s="356"/>
      <c r="P1566" s="356"/>
    </row>
    <row r="1567" spans="1:16" ht="18.75" customHeight="1">
      <c r="A1567" s="366"/>
      <c r="B1567" s="367"/>
      <c r="C1567" s="367"/>
      <c r="D1567" s="367"/>
      <c r="E1567" s="370"/>
      <c r="F1567" s="367"/>
      <c r="G1567" s="156"/>
      <c r="H1567" s="371"/>
      <c r="I1567" s="372"/>
      <c r="J1567" s="355"/>
      <c r="K1567" s="356"/>
      <c r="L1567" s="356"/>
      <c r="M1567" s="356"/>
      <c r="N1567" s="356"/>
      <c r="O1567" s="356"/>
      <c r="P1567" s="356"/>
    </row>
    <row r="1568" spans="1:16" ht="18.75" customHeight="1">
      <c r="A1568" s="366"/>
      <c r="B1568" s="367"/>
      <c r="C1568" s="367"/>
      <c r="D1568" s="367"/>
      <c r="E1568" s="367"/>
      <c r="F1568" s="367"/>
      <c r="G1568" s="159"/>
      <c r="H1568" s="368"/>
      <c r="I1568" s="369"/>
      <c r="J1568" s="353"/>
      <c r="K1568" s="356"/>
      <c r="L1568" s="356"/>
      <c r="M1568" s="356"/>
      <c r="N1568" s="356"/>
      <c r="O1568" s="356"/>
      <c r="P1568" s="356"/>
    </row>
    <row r="1569" spans="1:16" ht="18.75" customHeight="1">
      <c r="A1569" s="366"/>
      <c r="B1569" s="367"/>
      <c r="C1569" s="367"/>
      <c r="D1569" s="367"/>
      <c r="E1569" s="370"/>
      <c r="F1569" s="367"/>
      <c r="G1569" s="156"/>
      <c r="H1569" s="371"/>
      <c r="I1569" s="372"/>
      <c r="J1569" s="355"/>
      <c r="K1569" s="356"/>
      <c r="L1569" s="356"/>
      <c r="M1569" s="356"/>
      <c r="N1569" s="356"/>
      <c r="O1569" s="356"/>
      <c r="P1569" s="356"/>
    </row>
    <row r="1570" spans="1:16" ht="18.75" customHeight="1">
      <c r="A1570" s="366"/>
      <c r="B1570" s="367"/>
      <c r="C1570" s="367"/>
      <c r="D1570" s="367"/>
      <c r="E1570" s="367"/>
      <c r="F1570" s="367"/>
      <c r="G1570" s="159"/>
      <c r="H1570" s="368"/>
      <c r="I1570" s="369"/>
      <c r="J1570" s="353"/>
      <c r="K1570" s="356"/>
      <c r="L1570" s="356"/>
      <c r="M1570" s="356"/>
      <c r="N1570" s="356"/>
      <c r="O1570" s="356"/>
      <c r="P1570" s="356"/>
    </row>
    <row r="1571" spans="1:16" ht="18.75" customHeight="1">
      <c r="A1571" s="366"/>
      <c r="B1571" s="367"/>
      <c r="C1571" s="367"/>
      <c r="D1571" s="367"/>
      <c r="E1571" s="370"/>
      <c r="F1571" s="367"/>
      <c r="G1571" s="156"/>
      <c r="H1571" s="371"/>
      <c r="I1571" s="372"/>
      <c r="J1571" s="355"/>
      <c r="K1571" s="356"/>
      <c r="L1571" s="356"/>
      <c r="M1571" s="356"/>
      <c r="N1571" s="356"/>
      <c r="O1571" s="356"/>
      <c r="P1571" s="356"/>
    </row>
    <row r="1572" spans="1:16" ht="18.75" customHeight="1">
      <c r="A1572" s="366"/>
      <c r="B1572" s="367"/>
      <c r="C1572" s="367"/>
      <c r="D1572" s="367"/>
      <c r="E1572" s="367"/>
      <c r="F1572" s="367"/>
      <c r="G1572" s="159"/>
      <c r="H1572" s="368"/>
      <c r="I1572" s="369"/>
      <c r="J1572" s="353"/>
      <c r="K1572" s="356"/>
      <c r="L1572" s="356"/>
      <c r="M1572" s="356"/>
      <c r="N1572" s="356"/>
      <c r="O1572" s="356"/>
      <c r="P1572" s="356"/>
    </row>
    <row r="1573" spans="1:16" ht="18.75" customHeight="1">
      <c r="A1573" s="366"/>
      <c r="B1573" s="367"/>
      <c r="C1573" s="367"/>
      <c r="D1573" s="367"/>
      <c r="E1573" s="370"/>
      <c r="F1573" s="367"/>
      <c r="G1573" s="156"/>
      <c r="H1573" s="371"/>
      <c r="I1573" s="372"/>
      <c r="J1573" s="355"/>
      <c r="K1573" s="356"/>
      <c r="L1573" s="356"/>
      <c r="M1573" s="356"/>
      <c r="N1573" s="356"/>
      <c r="O1573" s="356"/>
      <c r="P1573" s="356"/>
    </row>
    <row r="1574" spans="1:16" ht="18.75" customHeight="1">
      <c r="A1574" s="366"/>
      <c r="B1574" s="367"/>
      <c r="C1574" s="367"/>
      <c r="D1574" s="367"/>
      <c r="E1574" s="367"/>
      <c r="F1574" s="367"/>
      <c r="G1574" s="159"/>
      <c r="H1574" s="368"/>
      <c r="I1574" s="369"/>
      <c r="J1574" s="353"/>
      <c r="K1574" s="356"/>
      <c r="L1574" s="356"/>
      <c r="M1574" s="356"/>
      <c r="N1574" s="356"/>
      <c r="O1574" s="356"/>
      <c r="P1574" s="356"/>
    </row>
    <row r="1575" spans="1:16" ht="18.75" customHeight="1">
      <c r="A1575" s="366"/>
      <c r="B1575" s="367"/>
      <c r="C1575" s="367"/>
      <c r="D1575" s="367"/>
      <c r="E1575" s="370"/>
      <c r="F1575" s="367"/>
      <c r="G1575" s="156"/>
      <c r="H1575" s="371"/>
      <c r="I1575" s="372"/>
      <c r="J1575" s="355"/>
      <c r="K1575" s="356"/>
      <c r="L1575" s="356"/>
      <c r="M1575" s="356"/>
      <c r="N1575" s="356"/>
      <c r="O1575" s="356"/>
      <c r="P1575" s="356"/>
    </row>
    <row r="1576" spans="1:16" ht="18.75" customHeight="1">
      <c r="A1576" s="366"/>
      <c r="B1576" s="367"/>
      <c r="C1576" s="367"/>
      <c r="D1576" s="367"/>
      <c r="E1576" s="367"/>
      <c r="F1576" s="367"/>
      <c r="G1576" s="159"/>
      <c r="H1576" s="368"/>
      <c r="I1576" s="369"/>
      <c r="J1576" s="353"/>
      <c r="K1576" s="356"/>
      <c r="L1576" s="356"/>
      <c r="M1576" s="356"/>
      <c r="N1576" s="356"/>
      <c r="O1576" s="356"/>
      <c r="P1576" s="356"/>
    </row>
    <row r="1577" spans="1:16" ht="18.75" customHeight="1">
      <c r="A1577" s="366"/>
      <c r="B1577" s="367"/>
      <c r="C1577" s="367"/>
      <c r="D1577" s="367"/>
      <c r="E1577" s="370"/>
      <c r="F1577" s="367"/>
      <c r="G1577" s="156"/>
      <c r="H1577" s="371"/>
      <c r="I1577" s="372"/>
      <c r="J1577" s="355"/>
      <c r="K1577" s="356"/>
      <c r="L1577" s="356"/>
      <c r="M1577" s="356"/>
      <c r="N1577" s="356"/>
      <c r="O1577" s="356"/>
      <c r="P1577" s="356"/>
    </row>
    <row r="1578" spans="1:16" ht="18.75" customHeight="1">
      <c r="A1578" s="366"/>
      <c r="B1578" s="367"/>
      <c r="C1578" s="367"/>
      <c r="D1578" s="367"/>
      <c r="E1578" s="367"/>
      <c r="F1578" s="367"/>
      <c r="G1578" s="159"/>
      <c r="H1578" s="368"/>
      <c r="I1578" s="369"/>
      <c r="J1578" s="353"/>
      <c r="K1578" s="356"/>
      <c r="L1578" s="356"/>
      <c r="M1578" s="356"/>
      <c r="N1578" s="356"/>
      <c r="O1578" s="356"/>
      <c r="P1578" s="356"/>
    </row>
    <row r="1579" spans="1:16" ht="18.75" customHeight="1">
      <c r="A1579" s="366"/>
      <c r="B1579" s="367"/>
      <c r="C1579" s="367"/>
      <c r="D1579" s="367"/>
      <c r="E1579" s="370"/>
      <c r="F1579" s="367"/>
      <c r="G1579" s="156"/>
      <c r="H1579" s="371"/>
      <c r="I1579" s="372"/>
      <c r="J1579" s="355"/>
      <c r="K1579" s="356"/>
      <c r="L1579" s="356"/>
      <c r="M1579" s="356"/>
      <c r="N1579" s="356"/>
      <c r="O1579" s="356"/>
      <c r="P1579" s="356"/>
    </row>
    <row r="1580" spans="1:16" ht="18.75" customHeight="1">
      <c r="A1580" s="366"/>
      <c r="B1580" s="367"/>
      <c r="C1580" s="367"/>
      <c r="D1580" s="367"/>
      <c r="E1580" s="367"/>
      <c r="F1580" s="367"/>
      <c r="G1580" s="159"/>
      <c r="H1580" s="368"/>
      <c r="I1580" s="369"/>
      <c r="J1580" s="353"/>
      <c r="K1580" s="356"/>
      <c r="L1580" s="356"/>
      <c r="M1580" s="356"/>
      <c r="N1580" s="356"/>
      <c r="O1580" s="356"/>
      <c r="P1580" s="356"/>
    </row>
    <row r="1581" spans="1:16" ht="18.75" customHeight="1">
      <c r="A1581" s="366"/>
      <c r="B1581" s="367"/>
      <c r="C1581" s="367"/>
      <c r="D1581" s="367"/>
      <c r="E1581" s="370"/>
      <c r="F1581" s="367"/>
      <c r="G1581" s="156"/>
      <c r="H1581" s="371"/>
      <c r="I1581" s="372"/>
      <c r="J1581" s="355"/>
      <c r="K1581" s="356"/>
      <c r="L1581" s="356"/>
      <c r="M1581" s="356"/>
      <c r="N1581" s="356"/>
      <c r="O1581" s="356"/>
      <c r="P1581" s="356"/>
    </row>
    <row r="1582" spans="1:16" ht="18.75" customHeight="1">
      <c r="A1582" s="366"/>
      <c r="B1582" s="367"/>
      <c r="C1582" s="367"/>
      <c r="D1582" s="367"/>
      <c r="E1582" s="367"/>
      <c r="F1582" s="367"/>
      <c r="G1582" s="159"/>
      <c r="H1582" s="368"/>
      <c r="I1582" s="369"/>
      <c r="J1582" s="353"/>
      <c r="K1582" s="356"/>
      <c r="L1582" s="356"/>
      <c r="M1582" s="356"/>
      <c r="N1582" s="356"/>
      <c r="O1582" s="356"/>
      <c r="P1582" s="356"/>
    </row>
    <row r="1583" spans="1:16" ht="18.75" customHeight="1">
      <c r="A1583" s="366"/>
      <c r="B1583" s="367"/>
      <c r="C1583" s="367"/>
      <c r="D1583" s="367"/>
      <c r="E1583" s="370"/>
      <c r="F1583" s="367"/>
      <c r="G1583" s="156"/>
      <c r="H1583" s="371"/>
      <c r="I1583" s="372"/>
      <c r="J1583" s="355"/>
      <c r="K1583" s="356"/>
      <c r="L1583" s="356"/>
      <c r="M1583" s="356"/>
      <c r="N1583" s="356"/>
      <c r="O1583" s="356"/>
      <c r="P1583" s="356"/>
    </row>
    <row r="1584" spans="1:16" ht="18.75" customHeight="1">
      <c r="A1584" s="366"/>
      <c r="B1584" s="367"/>
      <c r="C1584" s="367"/>
      <c r="D1584" s="367"/>
      <c r="E1584" s="367"/>
      <c r="F1584" s="367"/>
      <c r="G1584" s="159"/>
      <c r="H1584" s="368"/>
      <c r="I1584" s="369"/>
      <c r="J1584" s="353"/>
      <c r="K1584" s="356"/>
      <c r="L1584" s="356"/>
      <c r="M1584" s="356"/>
      <c r="N1584" s="356"/>
      <c r="O1584" s="356"/>
      <c r="P1584" s="356"/>
    </row>
    <row r="1585" spans="1:16" ht="18.75" customHeight="1">
      <c r="A1585" s="366"/>
      <c r="B1585" s="367"/>
      <c r="C1585" s="367"/>
      <c r="D1585" s="367"/>
      <c r="E1585" s="370"/>
      <c r="F1585" s="367"/>
      <c r="G1585" s="156"/>
      <c r="H1585" s="371"/>
      <c r="I1585" s="372"/>
      <c r="J1585" s="355"/>
      <c r="K1585" s="356"/>
      <c r="L1585" s="356"/>
      <c r="M1585" s="356"/>
      <c r="N1585" s="356"/>
      <c r="O1585" s="356"/>
      <c r="P1585" s="356"/>
    </row>
    <row r="1586" spans="1:16" ht="18.75" customHeight="1">
      <c r="A1586" s="366"/>
      <c r="B1586" s="367"/>
      <c r="C1586" s="367"/>
      <c r="D1586" s="367"/>
      <c r="E1586" s="367"/>
      <c r="F1586" s="367"/>
      <c r="G1586" s="159"/>
      <c r="H1586" s="368"/>
      <c r="I1586" s="369"/>
      <c r="J1586" s="353"/>
      <c r="K1586" s="356"/>
      <c r="L1586" s="356"/>
      <c r="M1586" s="356"/>
      <c r="N1586" s="356"/>
      <c r="O1586" s="356"/>
      <c r="P1586" s="356"/>
    </row>
    <row r="1587" spans="1:16" ht="18.75" customHeight="1">
      <c r="A1587" s="366"/>
      <c r="B1587" s="367"/>
      <c r="C1587" s="367"/>
      <c r="D1587" s="367"/>
      <c r="E1587" s="370"/>
      <c r="F1587" s="367"/>
      <c r="G1587" s="156"/>
      <c r="H1587" s="371"/>
      <c r="I1587" s="372"/>
      <c r="J1587" s="355"/>
      <c r="K1587" s="356"/>
      <c r="L1587" s="356"/>
      <c r="M1587" s="356"/>
      <c r="N1587" s="356"/>
      <c r="O1587" s="356"/>
      <c r="P1587" s="356"/>
    </row>
    <row r="1588" spans="1:16" ht="18.75" customHeight="1">
      <c r="A1588" s="366"/>
      <c r="B1588" s="367"/>
      <c r="C1588" s="367"/>
      <c r="D1588" s="367"/>
      <c r="E1588" s="367"/>
      <c r="F1588" s="367"/>
      <c r="G1588" s="159"/>
      <c r="H1588" s="368"/>
      <c r="I1588" s="369"/>
      <c r="J1588" s="353"/>
      <c r="K1588" s="356"/>
      <c r="L1588" s="356"/>
      <c r="M1588" s="356"/>
      <c r="N1588" s="356"/>
      <c r="O1588" s="356"/>
      <c r="P1588" s="356"/>
    </row>
    <row r="1589" spans="1:16" ht="18.75" customHeight="1">
      <c r="A1589" s="366"/>
      <c r="B1589" s="367"/>
      <c r="C1589" s="367"/>
      <c r="D1589" s="367"/>
      <c r="E1589" s="370"/>
      <c r="F1589" s="367"/>
      <c r="G1589" s="156"/>
      <c r="H1589" s="371"/>
      <c r="I1589" s="372"/>
      <c r="J1589" s="355"/>
      <c r="K1589" s="356"/>
      <c r="L1589" s="356"/>
      <c r="M1589" s="356"/>
      <c r="N1589" s="356"/>
      <c r="O1589" s="356"/>
      <c r="P1589" s="356"/>
    </row>
    <row r="1590" spans="1:16" ht="18.75" customHeight="1">
      <c r="A1590" s="366"/>
      <c r="B1590" s="367"/>
      <c r="C1590" s="367"/>
      <c r="D1590" s="367"/>
      <c r="E1590" s="367"/>
      <c r="F1590" s="367"/>
      <c r="G1590" s="159"/>
      <c r="H1590" s="368"/>
      <c r="I1590" s="369"/>
      <c r="J1590" s="353"/>
      <c r="K1590" s="356"/>
      <c r="L1590" s="356"/>
      <c r="M1590" s="356"/>
      <c r="N1590" s="356"/>
      <c r="O1590" s="356"/>
      <c r="P1590" s="356"/>
    </row>
    <row r="1591" spans="1:16" ht="18.75" customHeight="1">
      <c r="A1591" s="366"/>
      <c r="B1591" s="367"/>
      <c r="C1591" s="367"/>
      <c r="D1591" s="367"/>
      <c r="E1591" s="370"/>
      <c r="F1591" s="367"/>
      <c r="G1591" s="156"/>
      <c r="H1591" s="371"/>
      <c r="I1591" s="372"/>
      <c r="J1591" s="355"/>
      <c r="K1591" s="356"/>
      <c r="L1591" s="356"/>
      <c r="M1591" s="356"/>
      <c r="N1591" s="356"/>
      <c r="O1591" s="356"/>
      <c r="P1591" s="356"/>
    </row>
    <row r="1592" spans="1:16" ht="18.75" customHeight="1">
      <c r="A1592" s="366"/>
      <c r="B1592" s="367"/>
      <c r="C1592" s="367"/>
      <c r="D1592" s="367"/>
      <c r="E1592" s="367"/>
      <c r="F1592" s="367"/>
      <c r="G1592" s="159"/>
      <c r="H1592" s="368"/>
      <c r="I1592" s="369"/>
      <c r="J1592" s="353"/>
      <c r="K1592" s="356"/>
      <c r="L1592" s="356"/>
      <c r="M1592" s="356"/>
      <c r="N1592" s="356"/>
      <c r="O1592" s="356"/>
      <c r="P1592" s="356"/>
    </row>
  </sheetData>
  <autoFilter ref="A2:P623"/>
  <mergeCells count="1">
    <mergeCell ref="A1:B1"/>
  </mergeCells>
  <conditionalFormatting sqref="A1:A1592 B112 B114 B117 B119:B120">
    <cfRule type="expression" dxfId="102" priority="1">
      <formula>#REF!="OPEN"</formula>
    </cfRule>
  </conditionalFormatting>
  <conditionalFormatting sqref="A1:A1592 B112 B114 B117 B119:B120">
    <cfRule type="expression" dxfId="101" priority="2">
      <formula>$S1="OPEN"</formula>
    </cfRule>
  </conditionalFormatting>
  <conditionalFormatting sqref="A1:A1592 B112 B114 B117 B119:B120">
    <cfRule type="expression" dxfId="100" priority="3">
      <formula>$S1="CLOSED"</formula>
    </cfRule>
  </conditionalFormatting>
  <conditionalFormatting sqref="A1:A1592 B112 B114 B117 B119:B120">
    <cfRule type="expression" dxfId="99" priority="4">
      <formula>$R1="CLOSED"</formula>
    </cfRule>
  </conditionalFormatting>
  <conditionalFormatting sqref="A1:A1592 B112 B114 B117 B119:B120">
    <cfRule type="expression" dxfId="98" priority="5">
      <formula>$R1="OPEN"</formula>
    </cfRule>
  </conditionalFormatting>
  <conditionalFormatting sqref="A1:A1592 B112 B114 B117 B119:B120">
    <cfRule type="expression" dxfId="97" priority="6">
      <formula>$S1="OPEN"</formula>
    </cfRule>
  </conditionalFormatting>
  <conditionalFormatting sqref="A1:A1592 B112 B114 B117 B119:B120">
    <cfRule type="expression" dxfId="96" priority="7">
      <formula>$S1="CLOSED"</formula>
    </cfRule>
  </conditionalFormatting>
  <conditionalFormatting sqref="A72:A1592">
    <cfRule type="expression" dxfId="95" priority="8">
      <formula>$S72="OPEN"</formula>
    </cfRule>
  </conditionalFormatting>
  <conditionalFormatting sqref="A72:A1592">
    <cfRule type="expression" dxfId="94" priority="9">
      <formula>$S72="CLOSED"</formula>
    </cfRule>
  </conditionalFormatting>
  <conditionalFormatting sqref="A1:A1592 B112 B114 B117 B119:B120">
    <cfRule type="expression" dxfId="93" priority="10">
      <formula>$L1="CLOSED"</formula>
    </cfRule>
  </conditionalFormatting>
  <conditionalFormatting sqref="A1:A1592 B112 B114 B117 B119:B120">
    <cfRule type="expression" dxfId="92" priority="11">
      <formula>$L1="OPEN"</formula>
    </cfRule>
  </conditionalFormatting>
  <conditionalFormatting sqref="A72:A1592">
    <cfRule type="expression" dxfId="91" priority="12">
      <formula>$L72="CLOSED"</formula>
    </cfRule>
  </conditionalFormatting>
  <conditionalFormatting sqref="A72:A1592">
    <cfRule type="expression" dxfId="90" priority="13">
      <formula>$L72="OPEN"</formula>
    </cfRule>
  </conditionalFormatting>
  <conditionalFormatting sqref="A1:A1592 B112 B114 B117 B119:B120">
    <cfRule type="expression" dxfId="89" priority="14">
      <formula>$R1="OPEN"</formula>
    </cfRule>
  </conditionalFormatting>
  <conditionalFormatting sqref="A1:A1592 B112 B114 B117 B119:B120">
    <cfRule type="expression" dxfId="88" priority="15">
      <formula>$R1="CLOSED"</formula>
    </cfRule>
  </conditionalFormatting>
  <conditionalFormatting sqref="A1:A1592 B112 B114 B117 B119:B120">
    <cfRule type="expression" dxfId="87" priority="16">
      <formula>$Q1="CLOSED"</formula>
    </cfRule>
  </conditionalFormatting>
  <conditionalFormatting sqref="A1:A1592 B112 B114 B117 B119:B120">
    <cfRule type="expression" dxfId="86" priority="17">
      <formula>$Q1="OPEN"</formula>
    </cfRule>
  </conditionalFormatting>
  <conditionalFormatting sqref="A1:A1592 B112 B114 B117 B119:B120">
    <cfRule type="expression" dxfId="85" priority="18">
      <formula>$R1="OPEN"</formula>
    </cfRule>
  </conditionalFormatting>
  <conditionalFormatting sqref="A1:A1592 B112 B114 B117 B119:B120">
    <cfRule type="expression" dxfId="84" priority="19">
      <formula>$R1="CLOSED"</formula>
    </cfRule>
  </conditionalFormatting>
  <conditionalFormatting sqref="A72:A1592">
    <cfRule type="expression" dxfId="83" priority="20">
      <formula>$R72="OPEN"</formula>
    </cfRule>
  </conditionalFormatting>
  <conditionalFormatting sqref="A72:A1592">
    <cfRule type="expression" dxfId="82" priority="21">
      <formula>$R72="CLOSED"</formula>
    </cfRule>
  </conditionalFormatting>
  <conditionalFormatting sqref="A1:A1592 B112 B114 B117 B119:B120">
    <cfRule type="expression" dxfId="81" priority="22">
      <formula>$K1="CLOSED"</formula>
    </cfRule>
  </conditionalFormatting>
  <conditionalFormatting sqref="A1:A1592 B112 B114 B117 B119:B120">
    <cfRule type="expression" dxfId="80" priority="23">
      <formula>$K1="OPEN"</formula>
    </cfRule>
  </conditionalFormatting>
  <conditionalFormatting sqref="A72:A1592">
    <cfRule type="expression" dxfId="79" priority="24">
      <formula>$K72="CLOSED"</formula>
    </cfRule>
  </conditionalFormatting>
  <conditionalFormatting sqref="A72:A1592">
    <cfRule type="expression" dxfId="78" priority="25">
      <formula>$K72="OPEN"</formula>
    </cfRule>
  </conditionalFormatting>
  <conditionalFormatting sqref="A1:A1592 B112 B114 B117 B119:B120">
    <cfRule type="expression" dxfId="77" priority="26">
      <formula>$I1="OPEN"</formula>
    </cfRule>
  </conditionalFormatting>
  <conditionalFormatting sqref="A1:A1592 B112 B114 B117 B119:B120">
    <cfRule type="expression" dxfId="76" priority="27">
      <formula>$Q1="OPEN"</formula>
    </cfRule>
  </conditionalFormatting>
  <conditionalFormatting sqref="A1:A1592 B112 B114 B117 B119:B120">
    <cfRule type="expression" dxfId="75" priority="28">
      <formula>$Q1="CLOSED"</formula>
    </cfRule>
  </conditionalFormatting>
  <conditionalFormatting sqref="A1:A1592 B112 B114 B117 B119:B120">
    <cfRule type="expression" dxfId="74" priority="29">
      <formula>$P1="CLOSED"</formula>
    </cfRule>
  </conditionalFormatting>
  <conditionalFormatting sqref="A1:A1592 B112 B114 B117 B119:B120">
    <cfRule type="expression" dxfId="73" priority="30">
      <formula>$P1="OPEN"</formula>
    </cfRule>
  </conditionalFormatting>
  <conditionalFormatting sqref="A1:A1592 B112 B114 B117 B119:B120">
    <cfRule type="expression" dxfId="72" priority="31">
      <formula>$Q1="OPEN"</formula>
    </cfRule>
  </conditionalFormatting>
  <conditionalFormatting sqref="A1:A1592 B112 B114 B117 B119:B120">
    <cfRule type="expression" dxfId="71" priority="32">
      <formula>$Q1="CLOSED"</formula>
    </cfRule>
  </conditionalFormatting>
  <conditionalFormatting sqref="A72:A1592">
    <cfRule type="expression" dxfId="70" priority="33">
      <formula>$Q72="OPEN"</formula>
    </cfRule>
  </conditionalFormatting>
  <conditionalFormatting sqref="A72:A1592">
    <cfRule type="expression" dxfId="69" priority="34">
      <formula>$Q72="CLOSED"</formula>
    </cfRule>
  </conditionalFormatting>
  <conditionalFormatting sqref="A1:A1592 B112 B114 B117 B119:B120">
    <cfRule type="expression" dxfId="68" priority="35">
      <formula>$J1="CLOSED"</formula>
    </cfRule>
  </conditionalFormatting>
  <conditionalFormatting sqref="A1:A1592 B112 B114 B117 B119:B120">
    <cfRule type="expression" dxfId="67" priority="36">
      <formula>$J1="OPEN"</formula>
    </cfRule>
  </conditionalFormatting>
  <conditionalFormatting sqref="A72:A1592">
    <cfRule type="expression" dxfId="66" priority="37">
      <formula>$J72="CLOSED"</formula>
    </cfRule>
  </conditionalFormatting>
  <conditionalFormatting sqref="A72:A1592">
    <cfRule type="expression" dxfId="65" priority="38">
      <formula>$J72="OPEN"</formula>
    </cfRule>
  </conditionalFormatting>
  <conditionalFormatting sqref="A1:A1592 B112 B114 B117 B119:B120">
    <cfRule type="expression" dxfId="64" priority="39">
      <formula>$P1="OPEN"</formula>
    </cfRule>
  </conditionalFormatting>
  <conditionalFormatting sqref="A1:A1592 B112 B114 B117 B119:B120">
    <cfRule type="expression" dxfId="63" priority="40">
      <formula>$P1="CLOSED"</formula>
    </cfRule>
  </conditionalFormatting>
  <conditionalFormatting sqref="A1:A1592 B112 B114 B117 B119:B120">
    <cfRule type="expression" dxfId="62" priority="41">
      <formula>$O1="CLOSED"</formula>
    </cfRule>
  </conditionalFormatting>
  <conditionalFormatting sqref="A1:A1592 B112 B114 B117 B119:B120">
    <cfRule type="expression" dxfId="61" priority="42">
      <formula>$O1="OPEN"</formula>
    </cfRule>
  </conditionalFormatting>
  <conditionalFormatting sqref="A1:A1592 B112 B114 B117 B119:B120">
    <cfRule type="expression" dxfId="60" priority="43">
      <formula>$P1="OPEN"</formula>
    </cfRule>
  </conditionalFormatting>
  <conditionalFormatting sqref="A1:A1592 B112 B114 B117 B119:B120">
    <cfRule type="expression" dxfId="59" priority="44">
      <formula>$P1="CLOSED"</formula>
    </cfRule>
  </conditionalFormatting>
  <conditionalFormatting sqref="A72:A1592">
    <cfRule type="expression" dxfId="58" priority="45">
      <formula>$P72="OPEN"</formula>
    </cfRule>
  </conditionalFormatting>
  <conditionalFormatting sqref="A72:A1592">
    <cfRule type="expression" dxfId="57" priority="46">
      <formula>$P72="CLOSED"</formula>
    </cfRule>
  </conditionalFormatting>
  <conditionalFormatting sqref="A1:A1592 B112 B114 B117 B119:B120">
    <cfRule type="expression" dxfId="56" priority="47">
      <formula>#REF!="CLOSED"</formula>
    </cfRule>
  </conditionalFormatting>
  <conditionalFormatting sqref="A1:A1592 B112 B114 B117 B119:B120">
    <cfRule type="expression" dxfId="55" priority="48">
      <formula>#REF!="OPEN"</formula>
    </cfRule>
  </conditionalFormatting>
  <conditionalFormatting sqref="A1:A1592 B112 B114 B117 B119:B120">
    <cfRule type="expression" dxfId="54" priority="49">
      <formula>#REF!="OPEN"</formula>
    </cfRule>
  </conditionalFormatting>
  <conditionalFormatting sqref="A1:A1592 B112 B114 B117 B119:B120">
    <cfRule type="expression" dxfId="53" priority="50">
      <formula>#REF!="CLOSED"</formula>
    </cfRule>
  </conditionalFormatting>
  <conditionalFormatting sqref="A72:A1592">
    <cfRule type="expression" dxfId="52" priority="51">
      <formula>#REF!="OPEN"</formula>
    </cfRule>
  </conditionalFormatting>
  <conditionalFormatting sqref="A72:A1592">
    <cfRule type="expression" dxfId="51" priority="52">
      <formula>#REF!="CLOSED"</formula>
    </cfRule>
  </conditionalFormatting>
  <conditionalFormatting sqref="A72:A1592">
    <cfRule type="expression" dxfId="50" priority="53">
      <formula>#REF!="OPEN"</formula>
    </cfRule>
  </conditionalFormatting>
  <conditionalFormatting sqref="A72:A1592">
    <cfRule type="expression" dxfId="49" priority="54">
      <formula>#REF!="CLOSED"</formula>
    </cfRule>
  </conditionalFormatting>
  <conditionalFormatting sqref="A72:A1592">
    <cfRule type="expression" dxfId="48" priority="55">
      <formula>$J72="CLOSED"</formula>
    </cfRule>
  </conditionalFormatting>
  <conditionalFormatting sqref="A72:A1592">
    <cfRule type="expression" dxfId="47" priority="56">
      <formula>$J72="OPEN"</formula>
    </cfRule>
  </conditionalFormatting>
  <conditionalFormatting sqref="A1:A1592 B112 B114 B117 B119:B120">
    <cfRule type="expression" dxfId="46" priority="57">
      <formula>$K1="OPEN"</formula>
    </cfRule>
  </conditionalFormatting>
  <conditionalFormatting sqref="A1:A1592 B112 B114 B117 B119:B120">
    <cfRule type="expression" dxfId="45" priority="58">
      <formula>$K1="CLOSED"</formula>
    </cfRule>
  </conditionalFormatting>
  <conditionalFormatting sqref="A72:A1592">
    <cfRule type="expression" dxfId="44" priority="59">
      <formula>$L72="OPEN"</formula>
    </cfRule>
  </conditionalFormatting>
  <conditionalFormatting sqref="A72:A1592">
    <cfRule type="expression" dxfId="43" priority="60">
      <formula>$L72="CLOSED"</formula>
    </cfRule>
  </conditionalFormatting>
  <conditionalFormatting sqref="A72:A1592">
    <cfRule type="expression" dxfId="42" priority="61">
      <formula>#REF!="CLOSED"</formula>
    </cfRule>
  </conditionalFormatting>
  <conditionalFormatting sqref="A72:A1592">
    <cfRule type="expression" dxfId="41" priority="62">
      <formula>#REF!="OPEN"</formula>
    </cfRule>
  </conditionalFormatting>
  <conditionalFormatting sqref="A72:A1592">
    <cfRule type="expression" dxfId="40" priority="63">
      <formula>#REF!="CLOSED"</formula>
    </cfRule>
  </conditionalFormatting>
  <conditionalFormatting sqref="A72:A1592">
    <cfRule type="expression" dxfId="39" priority="64">
      <formula>#REF!="OPEN"</formula>
    </cfRule>
  </conditionalFormatting>
  <conditionalFormatting sqref="A1:A1592 B112 B114 B117 B119:B120">
    <cfRule type="expression" dxfId="38" priority="65">
      <formula>$O1="OPEN"</formula>
    </cfRule>
  </conditionalFormatting>
  <conditionalFormatting sqref="A1:A1592 B112 B114 B117 B119:B120">
    <cfRule type="expression" dxfId="37" priority="66">
      <formula>$O1="CLOSED"</formula>
    </cfRule>
  </conditionalFormatting>
  <conditionalFormatting sqref="A1:A1592 B112 B114 B117 B119:B120">
    <cfRule type="expression" dxfId="36" priority="67">
      <formula>$N1="CLOSED"</formula>
    </cfRule>
  </conditionalFormatting>
  <conditionalFormatting sqref="A1:A1592 B112 B114 B117 B119:B120">
    <cfRule type="expression" dxfId="35" priority="68">
      <formula>$N1="OPEN"</formula>
    </cfRule>
  </conditionalFormatting>
  <conditionalFormatting sqref="A1:A1592 B112 B114 B117 B119:B120">
    <cfRule type="expression" dxfId="34" priority="69">
      <formula>$O1="OPEN"</formula>
    </cfRule>
  </conditionalFormatting>
  <conditionalFormatting sqref="A1:A1592 B112 B114 B117 B119:B120">
    <cfRule type="expression" dxfId="33" priority="70">
      <formula>$O1="CLOSED"</formula>
    </cfRule>
  </conditionalFormatting>
  <conditionalFormatting sqref="A1:A1592 B112 B114 B117 B119:B120">
    <cfRule type="expression" dxfId="32" priority="71">
      <formula>$J1="OPEN"</formula>
    </cfRule>
  </conditionalFormatting>
  <conditionalFormatting sqref="A1:A1592 B112 B114 B117 B119:B120">
    <cfRule type="expression" dxfId="31" priority="72">
      <formula>$J1="CLOSED"</formula>
    </cfRule>
  </conditionalFormatting>
  <conditionalFormatting sqref="A1:A1592 B112 B114 B117 B119:B120">
    <cfRule type="expression" dxfId="30" priority="73">
      <formula>$K1="CLOSED"</formula>
    </cfRule>
  </conditionalFormatting>
  <conditionalFormatting sqref="A1:A1592 B112 B114 B117 B119:B120">
    <cfRule type="expression" dxfId="29" priority="74">
      <formula>$K1="OPEN"</formula>
    </cfRule>
  </conditionalFormatting>
  <conditionalFormatting sqref="A1:A1592 B112 B114 B117 B119:B120">
    <cfRule type="expression" dxfId="28" priority="75">
      <formula>$L1="OPEN"</formula>
    </cfRule>
  </conditionalFormatting>
  <conditionalFormatting sqref="A1:A1592 B112 B114 B117 B119:B120">
    <cfRule type="expression" dxfId="27" priority="76">
      <formula>$L1="CLOSED"</formula>
    </cfRule>
  </conditionalFormatting>
  <conditionalFormatting sqref="A1:A1592 B112 B114 B117 B119:B120">
    <cfRule type="expression" dxfId="26" priority="77">
      <formula>$M1="OPEN"</formula>
    </cfRule>
  </conditionalFormatting>
  <conditionalFormatting sqref="A1:A1592 B112 B114 B117 B119:B120">
    <cfRule type="expression" dxfId="25" priority="78">
      <formula>$M1="CLOSED"</formula>
    </cfRule>
  </conditionalFormatting>
  <conditionalFormatting sqref="A1:A1592 B112 B114 B117 B119:B120">
    <cfRule type="expression" dxfId="24" priority="79">
      <formula>$N1="OPEN"</formula>
    </cfRule>
  </conditionalFormatting>
  <conditionalFormatting sqref="A1:A1592 B112 B114 B117 B119:B120">
    <cfRule type="expression" dxfId="23" priority="80">
      <formula>$N1="CLOSED"</formula>
    </cfRule>
  </conditionalFormatting>
  <conditionalFormatting sqref="A1:A1592 B112 B114 B117 B119:B120">
    <cfRule type="expression" dxfId="22" priority="81">
      <formula>$L1="CLOSED"</formula>
    </cfRule>
  </conditionalFormatting>
  <conditionalFormatting sqref="A1:A1592 B112 B114 B117 B119:B120">
    <cfRule type="expression" dxfId="21" priority="82">
      <formula>$L1="OPEN"</formula>
    </cfRule>
  </conditionalFormatting>
  <conditionalFormatting sqref="A1:A1592 B112 B114 B117 B119:B120">
    <cfRule type="expression" dxfId="20" priority="83">
      <formula>$M1="OPEN"</formula>
    </cfRule>
  </conditionalFormatting>
  <conditionalFormatting sqref="A1:A1592 B112 B114 B117 B119:B120">
    <cfRule type="expression" dxfId="19" priority="84">
      <formula>$M1="CLOSED"</formula>
    </cfRule>
  </conditionalFormatting>
  <conditionalFormatting sqref="A1:A1592 B112 B114 B117 B119:B120">
    <cfRule type="expression" dxfId="18" priority="85">
      <formula>$N1="OPEN"</formula>
    </cfRule>
  </conditionalFormatting>
  <conditionalFormatting sqref="A1:A1592 B112 B114 B117 B119:B120">
    <cfRule type="expression" dxfId="17" priority="86">
      <formula>$N1="CLOSED"</formula>
    </cfRule>
  </conditionalFormatting>
  <conditionalFormatting sqref="A1:A1592 B112 B114 B117 B119:B120">
    <cfRule type="expression" dxfId="16" priority="87">
      <formula>$M1="CLOSED"</formula>
    </cfRule>
  </conditionalFormatting>
  <conditionalFormatting sqref="A1:A1592 B112 B114 B117 B119:B120">
    <cfRule type="expression" dxfId="15" priority="88">
      <formula>$M1="OPEN"</formula>
    </cfRule>
  </conditionalFormatting>
  <conditionalFormatting sqref="A1:A1592 B112 B114 B117 B119:B120">
    <cfRule type="expression" dxfId="14" priority="89">
      <formula>#REF!="CLOSED"</formula>
    </cfRule>
  </conditionalFormatting>
  <conditionalFormatting sqref="A1:A1592 B112 B114 B117 B119:B120">
    <cfRule type="expression" dxfId="13" priority="90">
      <formula>#REF!="OPEN"</formula>
    </cfRule>
  </conditionalFormatting>
  <conditionalFormatting sqref="A72:A1592">
    <cfRule type="expression" dxfId="12" priority="91">
      <formula>#REF!="OPEN"</formula>
    </cfRule>
  </conditionalFormatting>
  <conditionalFormatting sqref="A72:A1592">
    <cfRule type="expression" dxfId="11" priority="92">
      <formula>#REF!="CLOSED"</formula>
    </cfRule>
  </conditionalFormatting>
  <conditionalFormatting sqref="A1:A1592 B112 B114 B117 B119:B120">
    <cfRule type="expression" dxfId="10" priority="93">
      <formula>#REF!="OPEN"</formula>
    </cfRule>
  </conditionalFormatting>
  <conditionalFormatting sqref="A1:A1592 B112 B114 B117 B119:B120">
    <cfRule type="expression" dxfId="9" priority="94">
      <formula>#REF!="CLOSED"</formula>
    </cfRule>
  </conditionalFormatting>
  <conditionalFormatting sqref="A1:A1592 B112 B114 B117 B119:B120">
    <cfRule type="expression" dxfId="8" priority="95">
      <formula>#REF!="OPEN"</formula>
    </cfRule>
  </conditionalFormatting>
  <conditionalFormatting sqref="A1:A1592 B112 B114 B117 B119:B120">
    <cfRule type="expression" dxfId="7" priority="96">
      <formula>#REF!="CLOSED"</formula>
    </cfRule>
  </conditionalFormatting>
  <conditionalFormatting sqref="A1:A1592 B112 B114 B117 B119:B120">
    <cfRule type="expression" dxfId="6" priority="97">
      <formula>$I1="OPEN"</formula>
    </cfRule>
  </conditionalFormatting>
  <conditionalFormatting sqref="A1:A1592 B112 B114 B117 B119:B120">
    <cfRule type="expression" dxfId="5" priority="98">
      <formula>#REF!="OPEN"</formula>
    </cfRule>
  </conditionalFormatting>
  <conditionalFormatting sqref="A1:A1592 B112 B114 B117 B119:B120">
    <cfRule type="expression" dxfId="4" priority="99">
      <formula>$H1="OPEN"</formula>
    </cfRule>
  </conditionalFormatting>
  <conditionalFormatting sqref="A1:A1592 B112 B114 B117 B119:B120">
    <cfRule type="expression" dxfId="3" priority="100">
      <formula>$H1="CLOSED"</formula>
    </cfRule>
  </conditionalFormatting>
  <conditionalFormatting sqref="A1:I1592">
    <cfRule type="expression" dxfId="2" priority="101">
      <formula>$I1="OPEN"</formula>
    </cfRule>
  </conditionalFormatting>
  <conditionalFormatting sqref="A1:I1592">
    <cfRule type="expression" dxfId="1" priority="102">
      <formula>$I1="CLOSED"</formula>
    </cfRule>
  </conditionalFormatting>
  <conditionalFormatting sqref="A1:A1592 B112 B114 B117 B119:B120">
    <cfRule type="expression" dxfId="0" priority="103">
      <formula>$I1="CLOSED"</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WO</vt:lpstr>
      <vt:lpstr>DMI CBM</vt:lpstr>
      <vt:lpstr>Sheet47</vt:lpstr>
      <vt:lpstr>DJA AOC NSRDIL R01</vt:lpstr>
      <vt:lpstr>ALL FINDING</vt:lpstr>
      <vt:lpstr>UNPLANNED WO</vt:lpstr>
      <vt:lpstr>UNPLANNED NSRDI</vt:lpstr>
      <vt:lpstr>DAILY REPORT</vt:lpstr>
      <vt:lpstr>SUMMARY COD</vt:lpstr>
      <vt:lpstr>SUMMARY NSRDI</vt:lpstr>
      <vt:lpstr>UNSCHED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AMINUDIN</dc:creator>
  <cp:lastModifiedBy>AMINUDIN</cp:lastModifiedBy>
  <dcterms:created xsi:type="dcterms:W3CDTF">2026-10-14T07:12:57Z</dcterms:created>
  <dcterms:modified xsi:type="dcterms:W3CDTF">2026-10-14T07:13:00Z</dcterms:modified>
</cp:coreProperties>
</file>